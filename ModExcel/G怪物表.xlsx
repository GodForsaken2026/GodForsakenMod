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5ECEF4F8-928B-4C63-9C12-FC484A179AE7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怪物基本表" sheetId="10" r:id="rId1"/>
    <sheet name="怪物属性表" sheetId="14" r:id="rId2"/>
    <sheet name="Sheet3" sheetId="24" r:id="rId3"/>
    <sheet name="怪物词缀投放" sheetId="25" r:id="rId4"/>
    <sheet name="Sheet1" sheetId="23" state="hidden" r:id="rId5"/>
    <sheet name="Sheet2" sheetId="13" state="hidden" r:id="rId6"/>
    <sheet name="怪物-场景-伤害" sheetId="20" state="hidden" r:id="rId7"/>
    <sheet name="刀数数据支持" sheetId="21" state="hidden" r:id="rId8"/>
  </sheets>
  <definedNames>
    <definedName name="_xlnm._FilterDatabase" localSheetId="7" hidden="1">刀数数据支持!$W$2:$AA$12</definedName>
    <definedName name="_xlnm._FilterDatabase" localSheetId="6" hidden="1">'怪物-场景-伤害'!$CY$4:$DP$310</definedName>
    <definedName name="_xlnm._FilterDatabase" localSheetId="1" hidden="1">怪物属性表!$B$1:$B$484</definedName>
  </definedNames>
  <calcPr calcId="181029"/>
</workbook>
</file>

<file path=xl/calcChain.xml><?xml version="1.0" encoding="utf-8"?>
<calcChain xmlns="http://schemas.openxmlformats.org/spreadsheetml/2006/main">
  <c r="C47" i="24" l="1"/>
  <c r="C48" i="24"/>
  <c r="C49" i="24"/>
  <c r="C50" i="24"/>
  <c r="C51" i="24"/>
  <c r="C52" i="24"/>
  <c r="C53" i="24"/>
  <c r="C54" i="24"/>
  <c r="C55" i="24"/>
  <c r="C46" i="24"/>
  <c r="U1" i="24" l="1"/>
  <c r="U33" i="24"/>
  <c r="U34" i="24"/>
  <c r="U35" i="24"/>
  <c r="U36" i="24"/>
  <c r="U37" i="24"/>
  <c r="U38" i="24"/>
  <c r="U39" i="24"/>
  <c r="U40" i="24"/>
  <c r="U41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2" i="24"/>
  <c r="CR277" i="10" l="1"/>
  <c r="M59" i="25" l="1"/>
  <c r="N59" i="25"/>
  <c r="O59" i="25"/>
  <c r="M60" i="25"/>
  <c r="N60" i="25"/>
  <c r="O60" i="25"/>
  <c r="M61" i="25"/>
  <c r="N61" i="25"/>
  <c r="O61" i="25"/>
  <c r="M62" i="25"/>
  <c r="N62" i="25"/>
  <c r="O62" i="25"/>
  <c r="M63" i="25"/>
  <c r="N63" i="25"/>
  <c r="O63" i="25"/>
  <c r="M64" i="25"/>
  <c r="N64" i="25"/>
  <c r="O64" i="25"/>
  <c r="M65" i="25"/>
  <c r="N65" i="25"/>
  <c r="O65" i="25"/>
  <c r="M66" i="25"/>
  <c r="N66" i="25"/>
  <c r="O66" i="25"/>
  <c r="M67" i="25"/>
  <c r="N67" i="25"/>
  <c r="O67" i="25"/>
  <c r="M68" i="25"/>
  <c r="N68" i="25"/>
  <c r="O68" i="25"/>
  <c r="M69" i="25"/>
  <c r="N69" i="25"/>
  <c r="O69" i="25"/>
  <c r="M70" i="25"/>
  <c r="N70" i="25"/>
  <c r="O70" i="25"/>
  <c r="M71" i="25"/>
  <c r="N71" i="25"/>
  <c r="O71" i="25"/>
  <c r="M72" i="25"/>
  <c r="N72" i="25"/>
  <c r="O72" i="25"/>
  <c r="M73" i="25"/>
  <c r="N73" i="25"/>
  <c r="O73" i="25"/>
  <c r="M74" i="25"/>
  <c r="N74" i="25"/>
  <c r="O74" i="25"/>
  <c r="M75" i="25"/>
  <c r="N75" i="25"/>
  <c r="O75" i="25"/>
  <c r="M76" i="25"/>
  <c r="N76" i="25"/>
  <c r="O76" i="25"/>
  <c r="M77" i="25"/>
  <c r="N77" i="25"/>
  <c r="O77" i="25"/>
  <c r="M78" i="25"/>
  <c r="N78" i="25"/>
  <c r="O78" i="25"/>
  <c r="M79" i="25"/>
  <c r="N79" i="25"/>
  <c r="O79" i="25"/>
  <c r="M80" i="25"/>
  <c r="N80" i="25"/>
  <c r="O80" i="25"/>
  <c r="M81" i="25"/>
  <c r="N81" i="25"/>
  <c r="O81" i="25"/>
  <c r="M82" i="25"/>
  <c r="N82" i="25"/>
  <c r="O82" i="25"/>
  <c r="M83" i="25"/>
  <c r="N83" i="25"/>
  <c r="O83" i="25"/>
  <c r="M84" i="25"/>
  <c r="N84" i="25"/>
  <c r="O84" i="25"/>
  <c r="M85" i="25"/>
  <c r="N85" i="25"/>
  <c r="O85" i="25"/>
  <c r="M86" i="25"/>
  <c r="N86" i="25"/>
  <c r="O86" i="25"/>
  <c r="M87" i="25"/>
  <c r="N87" i="25"/>
  <c r="O87" i="25"/>
  <c r="M88" i="25"/>
  <c r="N88" i="25"/>
  <c r="O88" i="25"/>
  <c r="M89" i="25"/>
  <c r="N89" i="25"/>
  <c r="O89" i="25"/>
  <c r="M90" i="25"/>
  <c r="N90" i="25"/>
  <c r="O90" i="25"/>
  <c r="M91" i="25"/>
  <c r="N91" i="25"/>
  <c r="O91" i="25"/>
  <c r="M92" i="25"/>
  <c r="N92" i="25"/>
  <c r="O92" i="25"/>
  <c r="M93" i="25"/>
  <c r="N93" i="25"/>
  <c r="O93" i="25"/>
  <c r="M94" i="25"/>
  <c r="N94" i="25"/>
  <c r="O94" i="25"/>
  <c r="M95" i="25"/>
  <c r="N95" i="25"/>
  <c r="O95" i="25"/>
  <c r="M96" i="25"/>
  <c r="N96" i="25"/>
  <c r="O96" i="25"/>
  <c r="M97" i="25"/>
  <c r="N97" i="25"/>
  <c r="O97" i="25"/>
  <c r="M98" i="25"/>
  <c r="N98" i="25"/>
  <c r="O98" i="25"/>
  <c r="M99" i="25"/>
  <c r="N99" i="25"/>
  <c r="O99" i="25"/>
  <c r="M100" i="25"/>
  <c r="N100" i="25"/>
  <c r="O100" i="25"/>
  <c r="M101" i="25"/>
  <c r="N101" i="25"/>
  <c r="O101" i="25"/>
  <c r="M102" i="25"/>
  <c r="N102" i="25"/>
  <c r="O102" i="25"/>
  <c r="M103" i="25"/>
  <c r="N103" i="25"/>
  <c r="O103" i="25"/>
  <c r="M104" i="25"/>
  <c r="N104" i="25"/>
  <c r="O104" i="25"/>
  <c r="M105" i="25"/>
  <c r="N105" i="25"/>
  <c r="O105" i="25"/>
  <c r="M106" i="25"/>
  <c r="N106" i="25"/>
  <c r="O106" i="25"/>
  <c r="M107" i="25"/>
  <c r="N107" i="25"/>
  <c r="O107" i="25"/>
  <c r="M108" i="25"/>
  <c r="N108" i="25"/>
  <c r="O108" i="25"/>
  <c r="M109" i="25"/>
  <c r="N109" i="25"/>
  <c r="O109" i="25"/>
  <c r="M110" i="25"/>
  <c r="N110" i="25"/>
  <c r="O110" i="25"/>
  <c r="M111" i="25"/>
  <c r="N111" i="25"/>
  <c r="O111" i="25"/>
  <c r="M112" i="25"/>
  <c r="N112" i="25"/>
  <c r="O112" i="25"/>
  <c r="M113" i="25"/>
  <c r="N113" i="25"/>
  <c r="O113" i="25"/>
  <c r="M114" i="25"/>
  <c r="N114" i="25"/>
  <c r="O114" i="25"/>
  <c r="M115" i="25"/>
  <c r="N115" i="25"/>
  <c r="O115" i="25"/>
  <c r="M116" i="25"/>
  <c r="N116" i="25"/>
  <c r="O116" i="25"/>
  <c r="M117" i="25"/>
  <c r="N117" i="25"/>
  <c r="O117" i="25"/>
  <c r="M118" i="25"/>
  <c r="N118" i="25"/>
  <c r="O118" i="25"/>
  <c r="M119" i="25"/>
  <c r="N119" i="25"/>
  <c r="O119" i="25"/>
  <c r="M120" i="25"/>
  <c r="N120" i="25"/>
  <c r="O120" i="25"/>
  <c r="M121" i="25"/>
  <c r="N121" i="25"/>
  <c r="O121" i="25"/>
  <c r="M122" i="25"/>
  <c r="N122" i="25"/>
  <c r="O122" i="25"/>
  <c r="M123" i="25"/>
  <c r="N123" i="25"/>
  <c r="O123" i="25"/>
  <c r="M124" i="25"/>
  <c r="N124" i="25"/>
  <c r="O124" i="25"/>
  <c r="M125" i="25"/>
  <c r="N125" i="25"/>
  <c r="O125" i="25"/>
  <c r="M126" i="25"/>
  <c r="N126" i="25"/>
  <c r="O126" i="25"/>
  <c r="M127" i="25"/>
  <c r="N127" i="25"/>
  <c r="O12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L94" i="25"/>
  <c r="L95" i="25"/>
  <c r="L96" i="25"/>
  <c r="L97" i="25"/>
  <c r="L98" i="25"/>
  <c r="L99" i="25"/>
  <c r="L100" i="25"/>
  <c r="L101" i="25"/>
  <c r="L102" i="25"/>
  <c r="L103" i="25"/>
  <c r="L104" i="25"/>
  <c r="L105" i="25"/>
  <c r="L106" i="25"/>
  <c r="L107" i="25"/>
  <c r="L108" i="25"/>
  <c r="L109" i="25"/>
  <c r="L110" i="25"/>
  <c r="L111" i="25"/>
  <c r="L112" i="25"/>
  <c r="L113" i="25"/>
  <c r="L114" i="25"/>
  <c r="L115" i="25"/>
  <c r="L116" i="25"/>
  <c r="L117" i="25"/>
  <c r="L118" i="25"/>
  <c r="L119" i="25"/>
  <c r="L120" i="25"/>
  <c r="L121" i="25"/>
  <c r="L122" i="25"/>
  <c r="L123" i="25"/>
  <c r="L124" i="25"/>
  <c r="L125" i="25"/>
  <c r="L126" i="25"/>
  <c r="L127" i="25"/>
  <c r="M58" i="25"/>
  <c r="N58" i="25" l="1"/>
  <c r="O58" i="25"/>
  <c r="P71" i="25"/>
  <c r="P73" i="25"/>
  <c r="P75" i="25"/>
  <c r="E58" i="25"/>
  <c r="F58" i="25" s="1"/>
  <c r="E59" i="25"/>
  <c r="F59" i="25" s="1"/>
  <c r="E60" i="25"/>
  <c r="F60" i="25" s="1"/>
  <c r="E61" i="25"/>
  <c r="F61" i="25" s="1"/>
  <c r="E62" i="25"/>
  <c r="F62" i="25" s="1"/>
  <c r="E63" i="25"/>
  <c r="F63" i="25" s="1"/>
  <c r="E64" i="25"/>
  <c r="F64" i="25" s="1"/>
  <c r="E65" i="25"/>
  <c r="F65" i="25" s="1"/>
  <c r="E66" i="25"/>
  <c r="F66" i="25" s="1"/>
  <c r="E67" i="25"/>
  <c r="F67" i="25" s="1"/>
  <c r="E68" i="25"/>
  <c r="F68" i="25" s="1"/>
  <c r="E69" i="25"/>
  <c r="F69" i="25" s="1"/>
  <c r="E70" i="25"/>
  <c r="F70" i="25" s="1"/>
  <c r="E71" i="25"/>
  <c r="F71" i="25" s="1"/>
  <c r="E72" i="25"/>
  <c r="F72" i="25" s="1"/>
  <c r="E73" i="25"/>
  <c r="F73" i="25" s="1"/>
  <c r="E74" i="25"/>
  <c r="F74" i="25" s="1"/>
  <c r="E75" i="25"/>
  <c r="F75" i="25" s="1"/>
  <c r="E76" i="25"/>
  <c r="F76" i="25" s="1"/>
  <c r="E77" i="25"/>
  <c r="F77" i="25" s="1"/>
  <c r="E78" i="25"/>
  <c r="F78" i="25" s="1"/>
  <c r="E79" i="25"/>
  <c r="F79" i="25" s="1"/>
  <c r="E80" i="25"/>
  <c r="F80" i="25" s="1"/>
  <c r="E81" i="25"/>
  <c r="F81" i="25" s="1"/>
  <c r="E82" i="25"/>
  <c r="F82" i="25" s="1"/>
  <c r="E83" i="25"/>
  <c r="F83" i="25" s="1"/>
  <c r="E84" i="25"/>
  <c r="F84" i="25" s="1"/>
  <c r="E85" i="25"/>
  <c r="F85" i="25" s="1"/>
  <c r="E86" i="25"/>
  <c r="F86" i="25" s="1"/>
  <c r="E87" i="25"/>
  <c r="F87" i="25" s="1"/>
  <c r="E88" i="25"/>
  <c r="F88" i="25" s="1"/>
  <c r="E89" i="25"/>
  <c r="F89" i="25" s="1"/>
  <c r="E90" i="25"/>
  <c r="F90" i="25" s="1"/>
  <c r="E91" i="25"/>
  <c r="F91" i="25" s="1"/>
  <c r="E92" i="25"/>
  <c r="F92" i="25" s="1"/>
  <c r="E93" i="25"/>
  <c r="F93" i="25" s="1"/>
  <c r="E94" i="25"/>
  <c r="F94" i="25" s="1"/>
  <c r="E95" i="25"/>
  <c r="F95" i="25" s="1"/>
  <c r="E96" i="25"/>
  <c r="F96" i="25" s="1"/>
  <c r="E97" i="25"/>
  <c r="F97" i="25" s="1"/>
  <c r="E98" i="25"/>
  <c r="F98" i="25" s="1"/>
  <c r="E99" i="25"/>
  <c r="F99" i="25" s="1"/>
  <c r="E100" i="25"/>
  <c r="F100" i="25" s="1"/>
  <c r="E101" i="25"/>
  <c r="F101" i="25" s="1"/>
  <c r="E102" i="25"/>
  <c r="F102" i="25" s="1"/>
  <c r="E103" i="25"/>
  <c r="F103" i="25" s="1"/>
  <c r="E104" i="25"/>
  <c r="F104" i="25" s="1"/>
  <c r="E105" i="25"/>
  <c r="F105" i="25" s="1"/>
  <c r="E106" i="25"/>
  <c r="F106" i="25" s="1"/>
  <c r="E107" i="25"/>
  <c r="F107" i="25" s="1"/>
  <c r="E108" i="25"/>
  <c r="F108" i="25" s="1"/>
  <c r="E109" i="25"/>
  <c r="F109" i="25" s="1"/>
  <c r="E110" i="25"/>
  <c r="F110" i="25" s="1"/>
  <c r="E111" i="25"/>
  <c r="F111" i="25" s="1"/>
  <c r="E112" i="25"/>
  <c r="F112" i="25" s="1"/>
  <c r="E113" i="25"/>
  <c r="F113" i="25" s="1"/>
  <c r="E114" i="25"/>
  <c r="F114" i="25" s="1"/>
  <c r="E115" i="25"/>
  <c r="F115" i="25" s="1"/>
  <c r="E116" i="25"/>
  <c r="F116" i="25" s="1"/>
  <c r="E117" i="25"/>
  <c r="F117" i="25" s="1"/>
  <c r="E118" i="25"/>
  <c r="F118" i="25" s="1"/>
  <c r="E119" i="25"/>
  <c r="F119" i="25" s="1"/>
  <c r="E120" i="25"/>
  <c r="F120" i="25" s="1"/>
  <c r="E121" i="25"/>
  <c r="F121" i="25" s="1"/>
  <c r="E122" i="25"/>
  <c r="F122" i="25" s="1"/>
  <c r="E123" i="25"/>
  <c r="F123" i="25" s="1"/>
  <c r="E124" i="25"/>
  <c r="F124" i="25" s="1"/>
  <c r="E125" i="25"/>
  <c r="F125" i="25" s="1"/>
  <c r="E126" i="25"/>
  <c r="F126" i="25" s="1"/>
  <c r="E127" i="25"/>
  <c r="F127" i="25" s="1"/>
  <c r="L4" i="25"/>
  <c r="M4" i="25"/>
  <c r="N4" i="25"/>
  <c r="O4" i="25"/>
  <c r="L5" i="25"/>
  <c r="M5" i="25"/>
  <c r="N5" i="25"/>
  <c r="O5" i="25"/>
  <c r="L6" i="25"/>
  <c r="M6" i="25"/>
  <c r="N6" i="25"/>
  <c r="O6" i="25"/>
  <c r="L7" i="25"/>
  <c r="M7" i="25"/>
  <c r="N7" i="25"/>
  <c r="O7" i="25"/>
  <c r="L8" i="25"/>
  <c r="M8" i="25"/>
  <c r="N8" i="25"/>
  <c r="O8" i="25"/>
  <c r="L9" i="25"/>
  <c r="M9" i="25"/>
  <c r="N9" i="25"/>
  <c r="O9" i="25"/>
  <c r="L10" i="25"/>
  <c r="M10" i="25"/>
  <c r="N10" i="25"/>
  <c r="O10" i="25"/>
  <c r="L11" i="25"/>
  <c r="M11" i="25"/>
  <c r="N11" i="25"/>
  <c r="O11" i="25"/>
  <c r="L12" i="25"/>
  <c r="M12" i="25"/>
  <c r="N12" i="25"/>
  <c r="O12" i="25"/>
  <c r="L13" i="25"/>
  <c r="M13" i="25"/>
  <c r="N13" i="25"/>
  <c r="O13" i="25"/>
  <c r="L14" i="25"/>
  <c r="M14" i="25"/>
  <c r="N14" i="25"/>
  <c r="O14" i="25"/>
  <c r="L15" i="25"/>
  <c r="M15" i="25"/>
  <c r="N15" i="25"/>
  <c r="O15" i="25"/>
  <c r="L16" i="25"/>
  <c r="M16" i="25"/>
  <c r="N16" i="25"/>
  <c r="O16" i="25"/>
  <c r="L17" i="25"/>
  <c r="M17" i="25"/>
  <c r="N17" i="25"/>
  <c r="O17" i="25"/>
  <c r="L18" i="25"/>
  <c r="M18" i="25"/>
  <c r="N18" i="25"/>
  <c r="O18" i="25"/>
  <c r="L19" i="25"/>
  <c r="M19" i="25"/>
  <c r="N19" i="25"/>
  <c r="O19" i="25"/>
  <c r="L20" i="25"/>
  <c r="M20" i="25"/>
  <c r="N20" i="25"/>
  <c r="O20" i="25"/>
  <c r="L21" i="25"/>
  <c r="M21" i="25"/>
  <c r="N21" i="25"/>
  <c r="O21" i="25"/>
  <c r="L22" i="25"/>
  <c r="M22" i="25"/>
  <c r="N22" i="25"/>
  <c r="O22" i="25"/>
  <c r="L23" i="25"/>
  <c r="M23" i="25"/>
  <c r="N23" i="25"/>
  <c r="O23" i="25"/>
  <c r="L24" i="25"/>
  <c r="M24" i="25"/>
  <c r="N24" i="25"/>
  <c r="O24" i="25"/>
  <c r="L25" i="25"/>
  <c r="M25" i="25"/>
  <c r="N25" i="25"/>
  <c r="O25" i="25"/>
  <c r="L26" i="25"/>
  <c r="M26" i="25"/>
  <c r="N26" i="25"/>
  <c r="O26" i="25"/>
  <c r="L27" i="25"/>
  <c r="M27" i="25"/>
  <c r="N27" i="25"/>
  <c r="O27" i="25"/>
  <c r="L28" i="25"/>
  <c r="M28" i="25"/>
  <c r="N28" i="25"/>
  <c r="O28" i="25"/>
  <c r="L29" i="25"/>
  <c r="M29" i="25"/>
  <c r="N29" i="25"/>
  <c r="O29" i="25"/>
  <c r="L30" i="25"/>
  <c r="M30" i="25"/>
  <c r="N30" i="25"/>
  <c r="O30" i="25"/>
  <c r="L31" i="25"/>
  <c r="M31" i="25"/>
  <c r="N31" i="25"/>
  <c r="O31" i="25"/>
  <c r="L32" i="25"/>
  <c r="M32" i="25"/>
  <c r="N32" i="25"/>
  <c r="O32" i="25"/>
  <c r="L33" i="25"/>
  <c r="M33" i="25"/>
  <c r="N33" i="25"/>
  <c r="O33" i="25"/>
  <c r="L34" i="25"/>
  <c r="M34" i="25"/>
  <c r="N34" i="25"/>
  <c r="O34" i="25"/>
  <c r="L35" i="25"/>
  <c r="M35" i="25"/>
  <c r="N35" i="25"/>
  <c r="O35" i="25"/>
  <c r="L36" i="25"/>
  <c r="M36" i="25"/>
  <c r="N36" i="25"/>
  <c r="O36" i="25"/>
  <c r="L37" i="25"/>
  <c r="M37" i="25"/>
  <c r="N37" i="25"/>
  <c r="O37" i="25"/>
  <c r="L38" i="25"/>
  <c r="M38" i="25"/>
  <c r="N38" i="25"/>
  <c r="O38" i="25"/>
  <c r="L39" i="25"/>
  <c r="M39" i="25"/>
  <c r="N39" i="25"/>
  <c r="O39" i="25"/>
  <c r="L40" i="25"/>
  <c r="M40" i="25"/>
  <c r="N40" i="25"/>
  <c r="O40" i="25"/>
  <c r="L41" i="25"/>
  <c r="M41" i="25"/>
  <c r="N41" i="25"/>
  <c r="O41" i="25"/>
  <c r="L42" i="25"/>
  <c r="M42" i="25"/>
  <c r="N42" i="25"/>
  <c r="O42" i="25"/>
  <c r="L43" i="25"/>
  <c r="M43" i="25"/>
  <c r="N43" i="25"/>
  <c r="O43" i="25"/>
  <c r="L44" i="25"/>
  <c r="M44" i="25"/>
  <c r="N44" i="25"/>
  <c r="O44" i="25"/>
  <c r="L45" i="25"/>
  <c r="M45" i="25"/>
  <c r="N45" i="25"/>
  <c r="O45" i="25"/>
  <c r="L46" i="25"/>
  <c r="M46" i="25"/>
  <c r="N46" i="25"/>
  <c r="O46" i="25"/>
  <c r="L47" i="25"/>
  <c r="M47" i="25"/>
  <c r="N47" i="25"/>
  <c r="O47" i="25"/>
  <c r="L48" i="25"/>
  <c r="M48" i="25"/>
  <c r="N48" i="25"/>
  <c r="O48" i="25"/>
  <c r="L49" i="25"/>
  <c r="M49" i="25"/>
  <c r="N49" i="25"/>
  <c r="O49" i="25"/>
  <c r="L50" i="25"/>
  <c r="M50" i="25"/>
  <c r="N50" i="25"/>
  <c r="O50" i="25"/>
  <c r="L51" i="25"/>
  <c r="M51" i="25"/>
  <c r="N51" i="25"/>
  <c r="O51" i="25"/>
  <c r="L52" i="25"/>
  <c r="M52" i="25"/>
  <c r="N52" i="25"/>
  <c r="O52" i="25"/>
  <c r="L53" i="25"/>
  <c r="M53" i="25"/>
  <c r="N53" i="25"/>
  <c r="O53" i="25"/>
  <c r="L54" i="25"/>
  <c r="M54" i="25"/>
  <c r="N54" i="25"/>
  <c r="O54" i="25"/>
  <c r="L55" i="25"/>
  <c r="M55" i="25"/>
  <c r="N55" i="25"/>
  <c r="O55" i="25"/>
  <c r="L56" i="25"/>
  <c r="M56" i="25"/>
  <c r="N56" i="25"/>
  <c r="O56" i="25"/>
  <c r="L57" i="25"/>
  <c r="M57" i="25"/>
  <c r="N57" i="25"/>
  <c r="O57" i="25"/>
  <c r="L3" i="25"/>
  <c r="P59" i="25" l="1"/>
  <c r="P112" i="25"/>
  <c r="P69" i="25"/>
  <c r="P76" i="25"/>
  <c r="P115" i="25"/>
  <c r="P94" i="25"/>
  <c r="P122" i="25"/>
  <c r="P96" i="25"/>
  <c r="P109" i="25"/>
  <c r="P105" i="25"/>
  <c r="P101" i="25"/>
  <c r="P97" i="25"/>
  <c r="P108" i="25"/>
  <c r="P104" i="25"/>
  <c r="P64" i="25"/>
  <c r="P72" i="25"/>
  <c r="P60" i="25"/>
  <c r="P127" i="25"/>
  <c r="P95" i="25"/>
  <c r="P107" i="25"/>
  <c r="P103" i="25"/>
  <c r="P99" i="25"/>
  <c r="P126" i="25"/>
  <c r="P90" i="25"/>
  <c r="P106" i="25"/>
  <c r="P102" i="25"/>
  <c r="P98" i="25"/>
  <c r="P74" i="25"/>
  <c r="P58" i="25"/>
  <c r="P100" i="25"/>
  <c r="P61" i="25"/>
  <c r="P123" i="25"/>
  <c r="P92" i="25"/>
  <c r="P80" i="25"/>
  <c r="P119" i="25"/>
  <c r="P111" i="25"/>
  <c r="P88" i="25"/>
  <c r="P84" i="25"/>
  <c r="P68" i="25"/>
  <c r="P91" i="25"/>
  <c r="P118" i="25"/>
  <c r="P114" i="25"/>
  <c r="P110" i="25"/>
  <c r="P87" i="25"/>
  <c r="P83" i="25"/>
  <c r="P79" i="25"/>
  <c r="P67" i="25"/>
  <c r="P63" i="25"/>
  <c r="P125" i="25"/>
  <c r="P121" i="25"/>
  <c r="P86" i="25"/>
  <c r="P82" i="25"/>
  <c r="P117" i="25"/>
  <c r="P113" i="25"/>
  <c r="P78" i="25"/>
  <c r="P70" i="25"/>
  <c r="P66" i="25"/>
  <c r="P62" i="25"/>
  <c r="P124" i="25"/>
  <c r="P116" i="25"/>
  <c r="P93" i="25"/>
  <c r="P81" i="25"/>
  <c r="P120" i="25"/>
  <c r="P89" i="25"/>
  <c r="P85" i="25"/>
  <c r="P77" i="25"/>
  <c r="P65" i="25"/>
  <c r="P18" i="25"/>
  <c r="P6" i="25"/>
  <c r="P34" i="25"/>
  <c r="P21" i="25"/>
  <c r="P5" i="25"/>
  <c r="P56" i="25"/>
  <c r="P35" i="25"/>
  <c r="P11" i="25"/>
  <c r="P38" i="25"/>
  <c r="P47" i="25"/>
  <c r="P43" i="25"/>
  <c r="P39" i="25"/>
  <c r="P50" i="25"/>
  <c r="P54" i="25"/>
  <c r="P27" i="25"/>
  <c r="P23" i="25"/>
  <c r="P53" i="25"/>
  <c r="P30" i="25"/>
  <c r="P26" i="25"/>
  <c r="P22" i="25"/>
  <c r="P37" i="25"/>
  <c r="P52" i="25"/>
  <c r="P20" i="25"/>
  <c r="P36" i="25"/>
  <c r="P24" i="25"/>
  <c r="P7" i="25"/>
  <c r="P41" i="25"/>
  <c r="P48" i="25"/>
  <c r="P44" i="25"/>
  <c r="P14" i="25"/>
  <c r="P10" i="25"/>
  <c r="P51" i="25"/>
  <c r="P40" i="25"/>
  <c r="P45" i="25"/>
  <c r="P55" i="25"/>
  <c r="P33" i="25"/>
  <c r="P29" i="25"/>
  <c r="P25" i="25"/>
  <c r="P17" i="25"/>
  <c r="P13" i="25"/>
  <c r="P9" i="25"/>
  <c r="P32" i="25"/>
  <c r="P28" i="25"/>
  <c r="P16" i="25"/>
  <c r="P46" i="25"/>
  <c r="P31" i="25"/>
  <c r="P12" i="25"/>
  <c r="P8" i="25"/>
  <c r="P42" i="25"/>
  <c r="P19" i="25"/>
  <c r="P4" i="25"/>
  <c r="P57" i="25"/>
  <c r="P49" i="25"/>
  <c r="P15" i="25"/>
  <c r="O3" i="25" l="1"/>
  <c r="N3" i="25"/>
  <c r="M3" i="25"/>
  <c r="E4" i="25"/>
  <c r="F4" i="25" s="1"/>
  <c r="E5" i="25"/>
  <c r="F5" i="25" s="1"/>
  <c r="E6" i="25"/>
  <c r="F6" i="25" s="1"/>
  <c r="E7" i="25"/>
  <c r="F7" i="25" s="1"/>
  <c r="E8" i="25"/>
  <c r="F8" i="25" s="1"/>
  <c r="E9" i="25"/>
  <c r="F9" i="25" s="1"/>
  <c r="E10" i="25"/>
  <c r="F10" i="25" s="1"/>
  <c r="E11" i="25"/>
  <c r="F11" i="25" s="1"/>
  <c r="E12" i="25"/>
  <c r="F12" i="25" s="1"/>
  <c r="E13" i="25"/>
  <c r="F13" i="25" s="1"/>
  <c r="E14" i="25"/>
  <c r="F14" i="25" s="1"/>
  <c r="E15" i="25"/>
  <c r="F15" i="25" s="1"/>
  <c r="E16" i="25"/>
  <c r="F16" i="25" s="1"/>
  <c r="E17" i="25"/>
  <c r="F17" i="25" s="1"/>
  <c r="E18" i="25"/>
  <c r="F18" i="25" s="1"/>
  <c r="E19" i="25"/>
  <c r="F19" i="25" s="1"/>
  <c r="E20" i="25"/>
  <c r="F20" i="25" s="1"/>
  <c r="E21" i="25"/>
  <c r="F21" i="25" s="1"/>
  <c r="E22" i="25"/>
  <c r="F22" i="25" s="1"/>
  <c r="E23" i="25"/>
  <c r="F23" i="25" s="1"/>
  <c r="E24" i="25"/>
  <c r="F24" i="25" s="1"/>
  <c r="E25" i="25"/>
  <c r="F25" i="25" s="1"/>
  <c r="E26" i="25"/>
  <c r="F26" i="25" s="1"/>
  <c r="E27" i="25"/>
  <c r="F27" i="25" s="1"/>
  <c r="E28" i="25"/>
  <c r="F28" i="25" s="1"/>
  <c r="E29" i="25"/>
  <c r="F29" i="25" s="1"/>
  <c r="E30" i="25"/>
  <c r="F30" i="25" s="1"/>
  <c r="E31" i="25"/>
  <c r="F31" i="25" s="1"/>
  <c r="E32" i="25"/>
  <c r="F32" i="25" s="1"/>
  <c r="E33" i="25"/>
  <c r="F33" i="25" s="1"/>
  <c r="E34" i="25"/>
  <c r="F34" i="25" s="1"/>
  <c r="E35" i="25"/>
  <c r="F35" i="25" s="1"/>
  <c r="E36" i="25"/>
  <c r="F36" i="25" s="1"/>
  <c r="E37" i="25"/>
  <c r="F37" i="25" s="1"/>
  <c r="E38" i="25"/>
  <c r="F38" i="25" s="1"/>
  <c r="E39" i="25"/>
  <c r="F39" i="25" s="1"/>
  <c r="E40" i="25"/>
  <c r="F40" i="25" s="1"/>
  <c r="E41" i="25"/>
  <c r="F41" i="25" s="1"/>
  <c r="E42" i="25"/>
  <c r="F42" i="25" s="1"/>
  <c r="E43" i="25"/>
  <c r="F43" i="25" s="1"/>
  <c r="E44" i="25"/>
  <c r="F44" i="25" s="1"/>
  <c r="E45" i="25"/>
  <c r="F45" i="25" s="1"/>
  <c r="E46" i="25"/>
  <c r="F46" i="25" s="1"/>
  <c r="E47" i="25"/>
  <c r="F47" i="25" s="1"/>
  <c r="E48" i="25"/>
  <c r="F48" i="25" s="1"/>
  <c r="E49" i="25"/>
  <c r="F49" i="25" s="1"/>
  <c r="E50" i="25"/>
  <c r="F50" i="25" s="1"/>
  <c r="E51" i="25"/>
  <c r="F51" i="25" s="1"/>
  <c r="E52" i="25"/>
  <c r="F52" i="25" s="1"/>
  <c r="E53" i="25"/>
  <c r="F53" i="25" s="1"/>
  <c r="E54" i="25"/>
  <c r="F54" i="25" s="1"/>
  <c r="E55" i="25"/>
  <c r="F55" i="25" s="1"/>
  <c r="E56" i="25"/>
  <c r="F56" i="25" s="1"/>
  <c r="E57" i="25"/>
  <c r="F57" i="25" s="1"/>
  <c r="E3" i="25"/>
  <c r="F3" i="25" s="1"/>
  <c r="AX93" i="21"/>
  <c r="AX94" i="21" s="1"/>
  <c r="AX95" i="21" s="1"/>
  <c r="AX96" i="21" s="1"/>
  <c r="AX97" i="21" s="1"/>
  <c r="AX98" i="21" s="1"/>
  <c r="AX99" i="21" s="1"/>
  <c r="AX100" i="21" s="1"/>
  <c r="AX101" i="21" s="1"/>
  <c r="AX88" i="21"/>
  <c r="AX89" i="21" s="1"/>
  <c r="AX90" i="21" s="1"/>
  <c r="AX91" i="21" s="1"/>
  <c r="AE86" i="21"/>
  <c r="AE87" i="21" s="1"/>
  <c r="AX83" i="21"/>
  <c r="AX84" i="21" s="1"/>
  <c r="AX85" i="21" s="1"/>
  <c r="AE78" i="21"/>
  <c r="AX73" i="21"/>
  <c r="AX74" i="21" s="1"/>
  <c r="AX75" i="21" s="1"/>
  <c r="AX76" i="21" s="1"/>
  <c r="AX77" i="21" s="1"/>
  <c r="AE70" i="21"/>
  <c r="AE71" i="21" s="1"/>
  <c r="P69" i="21"/>
  <c r="Q69" i="21" s="1"/>
  <c r="M67" i="21"/>
  <c r="M68" i="21" s="1"/>
  <c r="AX63" i="21"/>
  <c r="AX64" i="21" s="1"/>
  <c r="AX65" i="21" s="1"/>
  <c r="AX66" i="21" s="1"/>
  <c r="AX67" i="21" s="1"/>
  <c r="AX68" i="21" s="1"/>
  <c r="AX69" i="21" s="1"/>
  <c r="P63" i="21"/>
  <c r="Q63" i="21" s="1"/>
  <c r="AE59" i="21"/>
  <c r="AE60" i="21" s="1"/>
  <c r="T59" i="21"/>
  <c r="P58" i="21"/>
  <c r="Q58" i="21" s="1"/>
  <c r="AX53" i="21"/>
  <c r="AX54" i="21" s="1"/>
  <c r="AX55" i="21" s="1"/>
  <c r="AX56" i="21" s="1"/>
  <c r="AX57" i="21" s="1"/>
  <c r="AX58" i="21" s="1"/>
  <c r="P51" i="21"/>
  <c r="Q51" i="21" s="1"/>
  <c r="M49" i="21"/>
  <c r="N49" i="21" s="1"/>
  <c r="AE47" i="21"/>
  <c r="AE48" i="21" s="1"/>
  <c r="P46" i="21"/>
  <c r="Q46" i="21" s="1"/>
  <c r="M45" i="21"/>
  <c r="N45" i="21" s="1"/>
  <c r="T44" i="21"/>
  <c r="AB45" i="20" s="1"/>
  <c r="P44" i="21"/>
  <c r="Q44" i="21" s="1"/>
  <c r="M43" i="21"/>
  <c r="N43" i="21" s="1"/>
  <c r="M42" i="21"/>
  <c r="N42" i="21" s="1"/>
  <c r="M40" i="21"/>
  <c r="N40" i="21" s="1"/>
  <c r="AE39" i="21"/>
  <c r="AE40" i="21" s="1"/>
  <c r="M37" i="21"/>
  <c r="N37" i="21" s="1"/>
  <c r="M36" i="21"/>
  <c r="N36" i="21" s="1"/>
  <c r="T35" i="21"/>
  <c r="P35" i="21"/>
  <c r="Q35" i="21" s="1"/>
  <c r="M33" i="21"/>
  <c r="N33" i="21" s="1"/>
  <c r="M30" i="21"/>
  <c r="N30" i="21" s="1"/>
  <c r="AE29" i="21"/>
  <c r="T29" i="21"/>
  <c r="M29" i="21"/>
  <c r="N29" i="21" s="1"/>
  <c r="AX28" i="21"/>
  <c r="AU28" i="21"/>
  <c r="P28" i="21"/>
  <c r="Q28" i="21" s="1"/>
  <c r="M28" i="21"/>
  <c r="N28" i="21" s="1"/>
  <c r="P27" i="21"/>
  <c r="Q27" i="21" s="1"/>
  <c r="M27" i="21"/>
  <c r="N27" i="21" s="1"/>
  <c r="P26" i="21"/>
  <c r="Q26" i="21" s="1"/>
  <c r="M26" i="21"/>
  <c r="N26" i="21" s="1"/>
  <c r="M25" i="21"/>
  <c r="N25" i="21" s="1"/>
  <c r="J25" i="21"/>
  <c r="M24" i="21"/>
  <c r="N24" i="21" s="1"/>
  <c r="J24" i="21"/>
  <c r="AX23" i="21"/>
  <c r="AX24" i="21" s="1"/>
  <c r="AX25" i="21" s="1"/>
  <c r="AX26" i="21" s="1"/>
  <c r="T23" i="21"/>
  <c r="AB24" i="20" s="1"/>
  <c r="P23" i="21"/>
  <c r="Q23" i="21" s="1"/>
  <c r="M23" i="21"/>
  <c r="N23" i="21" s="1"/>
  <c r="J23" i="21"/>
  <c r="M22" i="21"/>
  <c r="N22" i="21" s="1"/>
  <c r="J22" i="21"/>
  <c r="M21" i="21"/>
  <c r="N21" i="21" s="1"/>
  <c r="J21" i="21"/>
  <c r="M41" i="21" s="1"/>
  <c r="N41" i="21" s="1"/>
  <c r="M20" i="21"/>
  <c r="N20" i="21" s="1"/>
  <c r="J20" i="21"/>
  <c r="M38" i="21" s="1"/>
  <c r="N38" i="21" s="1"/>
  <c r="J19" i="21"/>
  <c r="P18" i="21"/>
  <c r="Q18" i="21" s="1"/>
  <c r="J18" i="21"/>
  <c r="F18" i="21"/>
  <c r="AE17" i="21"/>
  <c r="AU17" i="21" s="1"/>
  <c r="T17" i="21"/>
  <c r="J17" i="21"/>
  <c r="F17" i="21"/>
  <c r="AU16" i="21"/>
  <c r="AR16" i="21"/>
  <c r="AO16" i="21"/>
  <c r="J16" i="21"/>
  <c r="F16" i="21"/>
  <c r="J15" i="21"/>
  <c r="F15" i="21"/>
  <c r="J14" i="21"/>
  <c r="F14" i="21"/>
  <c r="P13" i="21"/>
  <c r="Q13" i="21" s="1"/>
  <c r="M13" i="21"/>
  <c r="N13" i="21" s="1"/>
  <c r="J13" i="21"/>
  <c r="F13" i="21"/>
  <c r="J12" i="21"/>
  <c r="F12" i="21"/>
  <c r="AB11" i="21"/>
  <c r="T11" i="21"/>
  <c r="AB12" i="20" s="1"/>
  <c r="J11" i="21"/>
  <c r="F11" i="21"/>
  <c r="AB10" i="21"/>
  <c r="J10" i="21"/>
  <c r="F10" i="21"/>
  <c r="AB9" i="21"/>
  <c r="J9" i="21"/>
  <c r="F9" i="21"/>
  <c r="BT8" i="21"/>
  <c r="BU8" i="21" s="1"/>
  <c r="BV8" i="21" s="1"/>
  <c r="BW8" i="21" s="1"/>
  <c r="BX8" i="21" s="1"/>
  <c r="BY8" i="21" s="1"/>
  <c r="BZ8" i="21" s="1"/>
  <c r="CA8" i="21" s="1"/>
  <c r="CB8" i="21" s="1"/>
  <c r="CC8" i="21" s="1"/>
  <c r="CD8" i="21" s="1"/>
  <c r="CE8" i="21" s="1"/>
  <c r="CF8" i="21" s="1"/>
  <c r="CG8" i="21" s="1"/>
  <c r="CH8" i="21" s="1"/>
  <c r="CI8" i="21" s="1"/>
  <c r="CJ8" i="21" s="1"/>
  <c r="CK8" i="21" s="1"/>
  <c r="CL8" i="21" s="1"/>
  <c r="CM8" i="21" s="1"/>
  <c r="CN8" i="21" s="1"/>
  <c r="CO8" i="21" s="1"/>
  <c r="CP8" i="21" s="1"/>
  <c r="CQ8" i="21" s="1"/>
  <c r="CR8" i="21" s="1"/>
  <c r="CS8" i="21" s="1"/>
  <c r="CT8" i="21" s="1"/>
  <c r="CU8" i="21" s="1"/>
  <c r="CV8" i="21" s="1"/>
  <c r="CW8" i="21" s="1"/>
  <c r="CX8" i="21" s="1"/>
  <c r="CY8" i="21" s="1"/>
  <c r="CZ8" i="21" s="1"/>
  <c r="DA8" i="21" s="1"/>
  <c r="DB8" i="21" s="1"/>
  <c r="DC8" i="21" s="1"/>
  <c r="DD8" i="21" s="1"/>
  <c r="DE8" i="21" s="1"/>
  <c r="DF8" i="21" s="1"/>
  <c r="DG8" i="21" s="1"/>
  <c r="DH8" i="21" s="1"/>
  <c r="DI8" i="21" s="1"/>
  <c r="DJ8" i="21" s="1"/>
  <c r="DK8" i="21" s="1"/>
  <c r="DL8" i="21" s="1"/>
  <c r="DM8" i="21" s="1"/>
  <c r="DN8" i="21" s="1"/>
  <c r="DO8" i="21" s="1"/>
  <c r="DP8" i="21" s="1"/>
  <c r="DQ8" i="21" s="1"/>
  <c r="DR8" i="21" s="1"/>
  <c r="DS8" i="21" s="1"/>
  <c r="DT8" i="21" s="1"/>
  <c r="DU8" i="21" s="1"/>
  <c r="DV8" i="21" s="1"/>
  <c r="DW8" i="21" s="1"/>
  <c r="DX8" i="21" s="1"/>
  <c r="DY8" i="21" s="1"/>
  <c r="DZ8" i="21" s="1"/>
  <c r="EA8" i="21" s="1"/>
  <c r="EB8" i="21" s="1"/>
  <c r="EC8" i="21" s="1"/>
  <c r="ED8" i="21" s="1"/>
  <c r="EE8" i="21" s="1"/>
  <c r="EF8" i="21" s="1"/>
  <c r="EG8" i="21" s="1"/>
  <c r="EH8" i="21" s="1"/>
  <c r="EI8" i="21" s="1"/>
  <c r="EJ8" i="21" s="1"/>
  <c r="EK8" i="21" s="1"/>
  <c r="EL8" i="21" s="1"/>
  <c r="EM8" i="21" s="1"/>
  <c r="EN8" i="21" s="1"/>
  <c r="EO8" i="21" s="1"/>
  <c r="EP8" i="21" s="1"/>
  <c r="EQ8" i="21" s="1"/>
  <c r="ER8" i="21" s="1"/>
  <c r="ES8" i="21" s="1"/>
  <c r="ET8" i="21" s="1"/>
  <c r="EU8" i="21" s="1"/>
  <c r="EV8" i="21" s="1"/>
  <c r="EW8" i="21" s="1"/>
  <c r="EX8" i="21" s="1"/>
  <c r="EY8" i="21" s="1"/>
  <c r="EZ8" i="21" s="1"/>
  <c r="FA8" i="21" s="1"/>
  <c r="FB8" i="21" s="1"/>
  <c r="FC8" i="21" s="1"/>
  <c r="FD8" i="21" s="1"/>
  <c r="FE8" i="21" s="1"/>
  <c r="FF8" i="21" s="1"/>
  <c r="FG8" i="21" s="1"/>
  <c r="FH8" i="21" s="1"/>
  <c r="FI8" i="21" s="1"/>
  <c r="FJ8" i="21" s="1"/>
  <c r="FK8" i="21" s="1"/>
  <c r="FL8" i="21" s="1"/>
  <c r="FM8" i="21" s="1"/>
  <c r="FN8" i="21" s="1"/>
  <c r="AB8" i="21"/>
  <c r="T8" i="21"/>
  <c r="P8" i="21"/>
  <c r="M8" i="21"/>
  <c r="N8" i="21" s="1"/>
  <c r="J8" i="21"/>
  <c r="F8" i="21"/>
  <c r="BT7" i="21"/>
  <c r="BU7" i="21" s="1"/>
  <c r="BV7" i="21" s="1"/>
  <c r="BW7" i="21" s="1"/>
  <c r="BX7" i="21" s="1"/>
  <c r="BY7" i="21" s="1"/>
  <c r="BZ7" i="21" s="1"/>
  <c r="CA7" i="21" s="1"/>
  <c r="CB7" i="21" s="1"/>
  <c r="CC7" i="21" s="1"/>
  <c r="CD7" i="21" s="1"/>
  <c r="CE7" i="21" s="1"/>
  <c r="CF7" i="21" s="1"/>
  <c r="CG7" i="21" s="1"/>
  <c r="CH7" i="21" s="1"/>
  <c r="CI7" i="21" s="1"/>
  <c r="CJ7" i="21" s="1"/>
  <c r="CK7" i="21" s="1"/>
  <c r="CL7" i="21" s="1"/>
  <c r="CM7" i="21" s="1"/>
  <c r="CN7" i="21" s="1"/>
  <c r="CO7" i="21" s="1"/>
  <c r="CP7" i="21" s="1"/>
  <c r="CQ7" i="21" s="1"/>
  <c r="CR7" i="21" s="1"/>
  <c r="CS7" i="21" s="1"/>
  <c r="CT7" i="21" s="1"/>
  <c r="CU7" i="21" s="1"/>
  <c r="CV7" i="21" s="1"/>
  <c r="CW7" i="21" s="1"/>
  <c r="CX7" i="21" s="1"/>
  <c r="CY7" i="21" s="1"/>
  <c r="CZ7" i="21" s="1"/>
  <c r="DA7" i="21" s="1"/>
  <c r="DB7" i="21" s="1"/>
  <c r="DC7" i="21" s="1"/>
  <c r="DD7" i="21" s="1"/>
  <c r="DE7" i="21" s="1"/>
  <c r="DF7" i="21" s="1"/>
  <c r="DG7" i="21" s="1"/>
  <c r="DH7" i="21" s="1"/>
  <c r="DI7" i="21" s="1"/>
  <c r="DJ7" i="21" s="1"/>
  <c r="DK7" i="21" s="1"/>
  <c r="DL7" i="21" s="1"/>
  <c r="DM7" i="21" s="1"/>
  <c r="DN7" i="21" s="1"/>
  <c r="DO7" i="21" s="1"/>
  <c r="DP7" i="21" s="1"/>
  <c r="DQ7" i="21" s="1"/>
  <c r="DR7" i="21" s="1"/>
  <c r="DS7" i="21" s="1"/>
  <c r="DT7" i="21" s="1"/>
  <c r="DU7" i="21" s="1"/>
  <c r="DV7" i="21" s="1"/>
  <c r="DW7" i="21" s="1"/>
  <c r="DX7" i="21" s="1"/>
  <c r="DY7" i="21" s="1"/>
  <c r="DZ7" i="21" s="1"/>
  <c r="EA7" i="21" s="1"/>
  <c r="EB7" i="21" s="1"/>
  <c r="EC7" i="21" s="1"/>
  <c r="ED7" i="21" s="1"/>
  <c r="EE7" i="21" s="1"/>
  <c r="EF7" i="21" s="1"/>
  <c r="EG7" i="21" s="1"/>
  <c r="EH7" i="21" s="1"/>
  <c r="EI7" i="21" s="1"/>
  <c r="EJ7" i="21" s="1"/>
  <c r="EK7" i="21" s="1"/>
  <c r="EL7" i="21" s="1"/>
  <c r="EM7" i="21" s="1"/>
  <c r="EN7" i="21" s="1"/>
  <c r="EO7" i="21" s="1"/>
  <c r="EP7" i="21" s="1"/>
  <c r="EQ7" i="21" s="1"/>
  <c r="ER7" i="21" s="1"/>
  <c r="ES7" i="21" s="1"/>
  <c r="ET7" i="21" s="1"/>
  <c r="EU7" i="21" s="1"/>
  <c r="EV7" i="21" s="1"/>
  <c r="EW7" i="21" s="1"/>
  <c r="EX7" i="21" s="1"/>
  <c r="EY7" i="21" s="1"/>
  <c r="EZ7" i="21" s="1"/>
  <c r="FA7" i="21" s="1"/>
  <c r="FB7" i="21" s="1"/>
  <c r="FC7" i="21" s="1"/>
  <c r="FD7" i="21" s="1"/>
  <c r="FE7" i="21" s="1"/>
  <c r="FF7" i="21" s="1"/>
  <c r="FG7" i="21" s="1"/>
  <c r="FH7" i="21" s="1"/>
  <c r="FI7" i="21" s="1"/>
  <c r="FJ7" i="21" s="1"/>
  <c r="FK7" i="21" s="1"/>
  <c r="FL7" i="21" s="1"/>
  <c r="FM7" i="21" s="1"/>
  <c r="FN7" i="21" s="1"/>
  <c r="AB7" i="21"/>
  <c r="J7" i="21"/>
  <c r="F7" i="21"/>
  <c r="BT6" i="21"/>
  <c r="BU6" i="21" s="1"/>
  <c r="BV6" i="21" s="1"/>
  <c r="BW6" i="21" s="1"/>
  <c r="BX6" i="21" s="1"/>
  <c r="BY6" i="21" s="1"/>
  <c r="BZ6" i="21" s="1"/>
  <c r="CA6" i="21" s="1"/>
  <c r="CB6" i="21" s="1"/>
  <c r="CC6" i="21" s="1"/>
  <c r="CD6" i="21" s="1"/>
  <c r="CE6" i="21" s="1"/>
  <c r="CF6" i="21" s="1"/>
  <c r="CG6" i="21" s="1"/>
  <c r="CH6" i="21" s="1"/>
  <c r="CI6" i="21" s="1"/>
  <c r="CJ6" i="21" s="1"/>
  <c r="CK6" i="21" s="1"/>
  <c r="CL6" i="21" s="1"/>
  <c r="CM6" i="21" s="1"/>
  <c r="CN6" i="21" s="1"/>
  <c r="CO6" i="21" s="1"/>
  <c r="CP6" i="21" s="1"/>
  <c r="CQ6" i="21" s="1"/>
  <c r="CR6" i="21" s="1"/>
  <c r="CS6" i="21" s="1"/>
  <c r="CT6" i="21" s="1"/>
  <c r="CU6" i="21" s="1"/>
  <c r="CV6" i="21" s="1"/>
  <c r="CW6" i="21" s="1"/>
  <c r="CX6" i="21" s="1"/>
  <c r="CY6" i="21" s="1"/>
  <c r="CZ6" i="21" s="1"/>
  <c r="DA6" i="21" s="1"/>
  <c r="DB6" i="21" s="1"/>
  <c r="DC6" i="21" s="1"/>
  <c r="DD6" i="21" s="1"/>
  <c r="DE6" i="21" s="1"/>
  <c r="DF6" i="21" s="1"/>
  <c r="DG6" i="21" s="1"/>
  <c r="DH6" i="21" s="1"/>
  <c r="DI6" i="21" s="1"/>
  <c r="DJ6" i="21" s="1"/>
  <c r="DK6" i="21" s="1"/>
  <c r="DL6" i="21" s="1"/>
  <c r="DM6" i="21" s="1"/>
  <c r="DN6" i="21" s="1"/>
  <c r="DO6" i="21" s="1"/>
  <c r="DP6" i="21" s="1"/>
  <c r="DQ6" i="21" s="1"/>
  <c r="DR6" i="21" s="1"/>
  <c r="DS6" i="21" s="1"/>
  <c r="DT6" i="21" s="1"/>
  <c r="DU6" i="21" s="1"/>
  <c r="DV6" i="21" s="1"/>
  <c r="DW6" i="21" s="1"/>
  <c r="DX6" i="21" s="1"/>
  <c r="DY6" i="21" s="1"/>
  <c r="DZ6" i="21" s="1"/>
  <c r="EA6" i="21" s="1"/>
  <c r="EB6" i="21" s="1"/>
  <c r="EC6" i="21" s="1"/>
  <c r="ED6" i="21" s="1"/>
  <c r="EE6" i="21" s="1"/>
  <c r="EF6" i="21" s="1"/>
  <c r="EG6" i="21" s="1"/>
  <c r="EH6" i="21" s="1"/>
  <c r="EI6" i="21" s="1"/>
  <c r="EJ6" i="21" s="1"/>
  <c r="EK6" i="21" s="1"/>
  <c r="EL6" i="21" s="1"/>
  <c r="EM6" i="21" s="1"/>
  <c r="EN6" i="21" s="1"/>
  <c r="EO6" i="21" s="1"/>
  <c r="EP6" i="21" s="1"/>
  <c r="EQ6" i="21" s="1"/>
  <c r="ER6" i="21" s="1"/>
  <c r="ES6" i="21" s="1"/>
  <c r="ET6" i="21" s="1"/>
  <c r="EU6" i="21" s="1"/>
  <c r="EV6" i="21" s="1"/>
  <c r="EW6" i="21" s="1"/>
  <c r="EX6" i="21" s="1"/>
  <c r="EY6" i="21" s="1"/>
  <c r="EZ6" i="21" s="1"/>
  <c r="FA6" i="21" s="1"/>
  <c r="FB6" i="21" s="1"/>
  <c r="FC6" i="21" s="1"/>
  <c r="FD6" i="21" s="1"/>
  <c r="FE6" i="21" s="1"/>
  <c r="FF6" i="21" s="1"/>
  <c r="FG6" i="21" s="1"/>
  <c r="FH6" i="21" s="1"/>
  <c r="FI6" i="21" s="1"/>
  <c r="FJ6" i="21" s="1"/>
  <c r="FK6" i="21" s="1"/>
  <c r="FL6" i="21" s="1"/>
  <c r="FM6" i="21" s="1"/>
  <c r="FN6" i="21" s="1"/>
  <c r="AB6" i="21"/>
  <c r="J6" i="21"/>
  <c r="F6" i="21"/>
  <c r="BT5" i="21"/>
  <c r="BU5" i="21" s="1"/>
  <c r="BV5" i="21" s="1"/>
  <c r="BW5" i="21" s="1"/>
  <c r="BX5" i="21" s="1"/>
  <c r="BY5" i="21" s="1"/>
  <c r="BZ5" i="21" s="1"/>
  <c r="CA5" i="21" s="1"/>
  <c r="CB5" i="21" s="1"/>
  <c r="CC5" i="21" s="1"/>
  <c r="CD5" i="21" s="1"/>
  <c r="CE5" i="21" s="1"/>
  <c r="CF5" i="21" s="1"/>
  <c r="CG5" i="21" s="1"/>
  <c r="CH5" i="21" s="1"/>
  <c r="CI5" i="21" s="1"/>
  <c r="CJ5" i="21" s="1"/>
  <c r="CK5" i="21" s="1"/>
  <c r="CL5" i="21" s="1"/>
  <c r="CM5" i="21" s="1"/>
  <c r="CN5" i="21" s="1"/>
  <c r="CO5" i="21" s="1"/>
  <c r="CP5" i="21" s="1"/>
  <c r="CQ5" i="21" s="1"/>
  <c r="CR5" i="21" s="1"/>
  <c r="CS5" i="21" s="1"/>
  <c r="CT5" i="21" s="1"/>
  <c r="CU5" i="21" s="1"/>
  <c r="CV5" i="21" s="1"/>
  <c r="CW5" i="21" s="1"/>
  <c r="CX5" i="21" s="1"/>
  <c r="CY5" i="21" s="1"/>
  <c r="CZ5" i="21" s="1"/>
  <c r="DA5" i="21" s="1"/>
  <c r="DB5" i="21" s="1"/>
  <c r="DC5" i="21" s="1"/>
  <c r="DD5" i="21" s="1"/>
  <c r="DE5" i="21" s="1"/>
  <c r="DF5" i="21" s="1"/>
  <c r="DG5" i="21" s="1"/>
  <c r="DH5" i="21" s="1"/>
  <c r="DI5" i="21" s="1"/>
  <c r="DJ5" i="21" s="1"/>
  <c r="DK5" i="21" s="1"/>
  <c r="DL5" i="21" s="1"/>
  <c r="DM5" i="21" s="1"/>
  <c r="DN5" i="21" s="1"/>
  <c r="DO5" i="21" s="1"/>
  <c r="DP5" i="21" s="1"/>
  <c r="DQ5" i="21" s="1"/>
  <c r="DR5" i="21" s="1"/>
  <c r="DS5" i="21" s="1"/>
  <c r="DT5" i="21" s="1"/>
  <c r="DU5" i="21" s="1"/>
  <c r="DV5" i="21" s="1"/>
  <c r="DW5" i="21" s="1"/>
  <c r="DX5" i="21" s="1"/>
  <c r="DY5" i="21" s="1"/>
  <c r="DZ5" i="21" s="1"/>
  <c r="EA5" i="21" s="1"/>
  <c r="EB5" i="21" s="1"/>
  <c r="EC5" i="21" s="1"/>
  <c r="ED5" i="21" s="1"/>
  <c r="EE5" i="21" s="1"/>
  <c r="EF5" i="21" s="1"/>
  <c r="EG5" i="21" s="1"/>
  <c r="EH5" i="21" s="1"/>
  <c r="EI5" i="21" s="1"/>
  <c r="EJ5" i="21" s="1"/>
  <c r="EK5" i="21" s="1"/>
  <c r="EL5" i="21" s="1"/>
  <c r="EM5" i="21" s="1"/>
  <c r="EN5" i="21" s="1"/>
  <c r="EO5" i="21" s="1"/>
  <c r="EP5" i="21" s="1"/>
  <c r="EQ5" i="21" s="1"/>
  <c r="ER5" i="21" s="1"/>
  <c r="ES5" i="21" s="1"/>
  <c r="ET5" i="21" s="1"/>
  <c r="EU5" i="21" s="1"/>
  <c r="EV5" i="21" s="1"/>
  <c r="EW5" i="21" s="1"/>
  <c r="EX5" i="21" s="1"/>
  <c r="EY5" i="21" s="1"/>
  <c r="EZ5" i="21" s="1"/>
  <c r="FA5" i="21" s="1"/>
  <c r="FB5" i="21" s="1"/>
  <c r="FC5" i="21" s="1"/>
  <c r="FD5" i="21" s="1"/>
  <c r="FE5" i="21" s="1"/>
  <c r="FF5" i="21" s="1"/>
  <c r="FG5" i="21" s="1"/>
  <c r="FH5" i="21" s="1"/>
  <c r="FI5" i="21" s="1"/>
  <c r="FJ5" i="21" s="1"/>
  <c r="FK5" i="21" s="1"/>
  <c r="FL5" i="21" s="1"/>
  <c r="FM5" i="21" s="1"/>
  <c r="FN5" i="21" s="1"/>
  <c r="AE5" i="21"/>
  <c r="AU5" i="21" s="1"/>
  <c r="AB5" i="21"/>
  <c r="J5" i="21"/>
  <c r="F5" i="21"/>
  <c r="BT4" i="21"/>
  <c r="BU4" i="21" s="1"/>
  <c r="BV4" i="21" s="1"/>
  <c r="BW4" i="21" s="1"/>
  <c r="BX4" i="21" s="1"/>
  <c r="BY4" i="21" s="1"/>
  <c r="BZ4" i="21" s="1"/>
  <c r="CA4" i="21" s="1"/>
  <c r="CB4" i="21" s="1"/>
  <c r="CC4" i="21" s="1"/>
  <c r="CD4" i="21" s="1"/>
  <c r="CE4" i="21" s="1"/>
  <c r="CF4" i="21" s="1"/>
  <c r="CG4" i="21" s="1"/>
  <c r="CH4" i="21" s="1"/>
  <c r="CI4" i="21" s="1"/>
  <c r="CJ4" i="21" s="1"/>
  <c r="CK4" i="21" s="1"/>
  <c r="CL4" i="21" s="1"/>
  <c r="CM4" i="21" s="1"/>
  <c r="CN4" i="21" s="1"/>
  <c r="CO4" i="21" s="1"/>
  <c r="CP4" i="21" s="1"/>
  <c r="CQ4" i="21" s="1"/>
  <c r="CR4" i="21" s="1"/>
  <c r="CS4" i="21" s="1"/>
  <c r="CT4" i="21" s="1"/>
  <c r="CU4" i="21" s="1"/>
  <c r="CV4" i="21" s="1"/>
  <c r="CW4" i="21" s="1"/>
  <c r="CX4" i="21" s="1"/>
  <c r="CY4" i="21" s="1"/>
  <c r="CZ4" i="21" s="1"/>
  <c r="DA4" i="21" s="1"/>
  <c r="DB4" i="21" s="1"/>
  <c r="DC4" i="21" s="1"/>
  <c r="DD4" i="21" s="1"/>
  <c r="DE4" i="21" s="1"/>
  <c r="DF4" i="21" s="1"/>
  <c r="DG4" i="21" s="1"/>
  <c r="DH4" i="21" s="1"/>
  <c r="DI4" i="21" s="1"/>
  <c r="DJ4" i="21" s="1"/>
  <c r="DK4" i="21" s="1"/>
  <c r="DL4" i="21" s="1"/>
  <c r="DM4" i="21" s="1"/>
  <c r="DN4" i="21" s="1"/>
  <c r="DO4" i="21" s="1"/>
  <c r="DP4" i="21" s="1"/>
  <c r="DQ4" i="21" s="1"/>
  <c r="DR4" i="21" s="1"/>
  <c r="DS4" i="21" s="1"/>
  <c r="DT4" i="21" s="1"/>
  <c r="DU4" i="21" s="1"/>
  <c r="DV4" i="21" s="1"/>
  <c r="DW4" i="21" s="1"/>
  <c r="DX4" i="21" s="1"/>
  <c r="DY4" i="21" s="1"/>
  <c r="DZ4" i="21" s="1"/>
  <c r="EA4" i="21" s="1"/>
  <c r="EB4" i="21" s="1"/>
  <c r="EC4" i="21" s="1"/>
  <c r="ED4" i="21" s="1"/>
  <c r="EE4" i="21" s="1"/>
  <c r="EF4" i="21" s="1"/>
  <c r="EG4" i="21" s="1"/>
  <c r="EH4" i="21" s="1"/>
  <c r="EI4" i="21" s="1"/>
  <c r="EJ4" i="21" s="1"/>
  <c r="EK4" i="21" s="1"/>
  <c r="EL4" i="21" s="1"/>
  <c r="EM4" i="21" s="1"/>
  <c r="EN4" i="21" s="1"/>
  <c r="EO4" i="21" s="1"/>
  <c r="EP4" i="21" s="1"/>
  <c r="EQ4" i="21" s="1"/>
  <c r="ER4" i="21" s="1"/>
  <c r="ES4" i="21" s="1"/>
  <c r="ET4" i="21" s="1"/>
  <c r="EU4" i="21" s="1"/>
  <c r="EV4" i="21" s="1"/>
  <c r="EW4" i="21" s="1"/>
  <c r="EX4" i="21" s="1"/>
  <c r="EY4" i="21" s="1"/>
  <c r="EZ4" i="21" s="1"/>
  <c r="FA4" i="21" s="1"/>
  <c r="FB4" i="21" s="1"/>
  <c r="FC4" i="21" s="1"/>
  <c r="FD4" i="21" s="1"/>
  <c r="FE4" i="21" s="1"/>
  <c r="FF4" i="21" s="1"/>
  <c r="FG4" i="21" s="1"/>
  <c r="FH4" i="21" s="1"/>
  <c r="FI4" i="21" s="1"/>
  <c r="FJ4" i="21" s="1"/>
  <c r="FK4" i="21" s="1"/>
  <c r="FL4" i="21" s="1"/>
  <c r="FM4" i="21" s="1"/>
  <c r="FN4" i="21" s="1"/>
  <c r="AX4" i="21"/>
  <c r="AU4" i="21"/>
  <c r="AR4" i="21"/>
  <c r="AO4" i="21"/>
  <c r="AL4" i="21"/>
  <c r="AI4" i="21"/>
  <c r="AB4" i="21"/>
  <c r="T4" i="21"/>
  <c r="AB5" i="20" s="1"/>
  <c r="Q4" i="21"/>
  <c r="M4" i="21"/>
  <c r="N4" i="21" s="1"/>
  <c r="J4" i="21"/>
  <c r="F4" i="21"/>
  <c r="P5" i="21" s="1"/>
  <c r="Q5" i="21" s="1"/>
  <c r="BT3" i="21"/>
  <c r="BU3" i="21" s="1"/>
  <c r="BV3" i="21" s="1"/>
  <c r="BW3" i="21" s="1"/>
  <c r="BX3" i="21" s="1"/>
  <c r="BY3" i="21" s="1"/>
  <c r="BZ3" i="21" s="1"/>
  <c r="CA3" i="21" s="1"/>
  <c r="CB3" i="21" s="1"/>
  <c r="CC3" i="21" s="1"/>
  <c r="CD3" i="21" s="1"/>
  <c r="CE3" i="21" s="1"/>
  <c r="CF3" i="21" s="1"/>
  <c r="CG3" i="21" s="1"/>
  <c r="CH3" i="21" s="1"/>
  <c r="CI3" i="21" s="1"/>
  <c r="CJ3" i="21" s="1"/>
  <c r="CK3" i="21" s="1"/>
  <c r="CL3" i="21" s="1"/>
  <c r="CM3" i="21" s="1"/>
  <c r="CN3" i="21" s="1"/>
  <c r="CO3" i="21" s="1"/>
  <c r="CP3" i="21" s="1"/>
  <c r="CQ3" i="21" s="1"/>
  <c r="CR3" i="21" s="1"/>
  <c r="CS3" i="21" s="1"/>
  <c r="CT3" i="21" s="1"/>
  <c r="CU3" i="21" s="1"/>
  <c r="CV3" i="21" s="1"/>
  <c r="CW3" i="21" s="1"/>
  <c r="CX3" i="21" s="1"/>
  <c r="CY3" i="21" s="1"/>
  <c r="CZ3" i="21" s="1"/>
  <c r="DA3" i="21" s="1"/>
  <c r="DB3" i="21" s="1"/>
  <c r="DC3" i="21" s="1"/>
  <c r="DD3" i="21" s="1"/>
  <c r="DE3" i="21" s="1"/>
  <c r="DF3" i="21" s="1"/>
  <c r="DG3" i="21" s="1"/>
  <c r="DH3" i="21" s="1"/>
  <c r="DI3" i="21" s="1"/>
  <c r="DJ3" i="21" s="1"/>
  <c r="DK3" i="21" s="1"/>
  <c r="DL3" i="21" s="1"/>
  <c r="DM3" i="21" s="1"/>
  <c r="DN3" i="21" s="1"/>
  <c r="DO3" i="21" s="1"/>
  <c r="DP3" i="21" s="1"/>
  <c r="DQ3" i="21" s="1"/>
  <c r="DR3" i="21" s="1"/>
  <c r="DS3" i="21" s="1"/>
  <c r="DT3" i="21" s="1"/>
  <c r="DU3" i="21" s="1"/>
  <c r="DV3" i="21" s="1"/>
  <c r="DW3" i="21" s="1"/>
  <c r="DX3" i="21" s="1"/>
  <c r="DY3" i="21" s="1"/>
  <c r="DZ3" i="21" s="1"/>
  <c r="EA3" i="21" s="1"/>
  <c r="EB3" i="21" s="1"/>
  <c r="EC3" i="21" s="1"/>
  <c r="ED3" i="21" s="1"/>
  <c r="EE3" i="21" s="1"/>
  <c r="EF3" i="21" s="1"/>
  <c r="EG3" i="21" s="1"/>
  <c r="EH3" i="21" s="1"/>
  <c r="EI3" i="21" s="1"/>
  <c r="EJ3" i="21" s="1"/>
  <c r="EK3" i="21" s="1"/>
  <c r="EL3" i="21" s="1"/>
  <c r="EM3" i="21" s="1"/>
  <c r="EN3" i="21" s="1"/>
  <c r="EO3" i="21" s="1"/>
  <c r="EP3" i="21" s="1"/>
  <c r="EQ3" i="21" s="1"/>
  <c r="ER3" i="21" s="1"/>
  <c r="ES3" i="21" s="1"/>
  <c r="ET3" i="21" s="1"/>
  <c r="EU3" i="21" s="1"/>
  <c r="EV3" i="21" s="1"/>
  <c r="EW3" i="21" s="1"/>
  <c r="EX3" i="21" s="1"/>
  <c r="EY3" i="21" s="1"/>
  <c r="EZ3" i="21" s="1"/>
  <c r="FA3" i="21" s="1"/>
  <c r="FB3" i="21" s="1"/>
  <c r="FC3" i="21" s="1"/>
  <c r="FD3" i="21" s="1"/>
  <c r="FE3" i="21" s="1"/>
  <c r="FF3" i="21" s="1"/>
  <c r="FG3" i="21" s="1"/>
  <c r="FH3" i="21" s="1"/>
  <c r="FI3" i="21" s="1"/>
  <c r="FJ3" i="21" s="1"/>
  <c r="FK3" i="21" s="1"/>
  <c r="FL3" i="21" s="1"/>
  <c r="FM3" i="21" s="1"/>
  <c r="FN3" i="21" s="1"/>
  <c r="AU3" i="21"/>
  <c r="AR3" i="21"/>
  <c r="AS3" i="21" s="1"/>
  <c r="AO3" i="21"/>
  <c r="AP3" i="21" s="1"/>
  <c r="AL3" i="21"/>
  <c r="AM3" i="21" s="1"/>
  <c r="AN3" i="21" s="1"/>
  <c r="AI3" i="21"/>
  <c r="AF3" i="21"/>
  <c r="AB3" i="21"/>
  <c r="BT2" i="21"/>
  <c r="BU2" i="21" s="1"/>
  <c r="BV2" i="21" s="1"/>
  <c r="BW2" i="21" s="1"/>
  <c r="BX2" i="21" s="1"/>
  <c r="BY2" i="21" s="1"/>
  <c r="BZ2" i="21" s="1"/>
  <c r="CA2" i="21" s="1"/>
  <c r="CB2" i="21" s="1"/>
  <c r="CC2" i="21" s="1"/>
  <c r="CD2" i="21" s="1"/>
  <c r="CE2" i="21" s="1"/>
  <c r="CF2" i="21" s="1"/>
  <c r="CG2" i="21" s="1"/>
  <c r="CH2" i="21" s="1"/>
  <c r="CI2" i="21" s="1"/>
  <c r="CJ2" i="21" s="1"/>
  <c r="CK2" i="21" s="1"/>
  <c r="CL2" i="21" s="1"/>
  <c r="CM2" i="21" s="1"/>
  <c r="CN2" i="21" s="1"/>
  <c r="CO2" i="21" s="1"/>
  <c r="CP2" i="21" s="1"/>
  <c r="CQ2" i="21" s="1"/>
  <c r="CR2" i="21" s="1"/>
  <c r="CS2" i="21" s="1"/>
  <c r="CT2" i="21" s="1"/>
  <c r="CU2" i="21" s="1"/>
  <c r="CV2" i="21" s="1"/>
  <c r="CW2" i="21" s="1"/>
  <c r="CX2" i="21" s="1"/>
  <c r="CY2" i="21" s="1"/>
  <c r="CZ2" i="21" s="1"/>
  <c r="DA2" i="21" s="1"/>
  <c r="DB2" i="21" s="1"/>
  <c r="DC2" i="21" s="1"/>
  <c r="DD2" i="21" s="1"/>
  <c r="DE2" i="21" s="1"/>
  <c r="DF2" i="21" s="1"/>
  <c r="DG2" i="21" s="1"/>
  <c r="DH2" i="21" s="1"/>
  <c r="DI2" i="21" s="1"/>
  <c r="DJ2" i="21" s="1"/>
  <c r="DK2" i="21" s="1"/>
  <c r="DL2" i="21" s="1"/>
  <c r="DM2" i="21" s="1"/>
  <c r="DN2" i="21" s="1"/>
  <c r="DO2" i="21" s="1"/>
  <c r="DP2" i="21" s="1"/>
  <c r="DQ2" i="21" s="1"/>
  <c r="DR2" i="21" s="1"/>
  <c r="DS2" i="21" s="1"/>
  <c r="DT2" i="21" s="1"/>
  <c r="DU2" i="21" s="1"/>
  <c r="DV2" i="21" s="1"/>
  <c r="DW2" i="21" s="1"/>
  <c r="DX2" i="21" s="1"/>
  <c r="DY2" i="21" s="1"/>
  <c r="DZ2" i="21" s="1"/>
  <c r="EA2" i="21" s="1"/>
  <c r="EB2" i="21" s="1"/>
  <c r="EC2" i="21" s="1"/>
  <c r="ED2" i="21" s="1"/>
  <c r="EE2" i="21" s="1"/>
  <c r="EF2" i="21" s="1"/>
  <c r="EG2" i="21" s="1"/>
  <c r="EH2" i="21" s="1"/>
  <c r="EI2" i="21" s="1"/>
  <c r="EJ2" i="21" s="1"/>
  <c r="EK2" i="21" s="1"/>
  <c r="EL2" i="21" s="1"/>
  <c r="EM2" i="21" s="1"/>
  <c r="EN2" i="21" s="1"/>
  <c r="EO2" i="21" s="1"/>
  <c r="EP2" i="21" s="1"/>
  <c r="EQ2" i="21" s="1"/>
  <c r="ER2" i="21" s="1"/>
  <c r="ES2" i="21" s="1"/>
  <c r="ET2" i="21" s="1"/>
  <c r="EU2" i="21" s="1"/>
  <c r="EV2" i="21" s="1"/>
  <c r="EW2" i="21" s="1"/>
  <c r="EX2" i="21" s="1"/>
  <c r="EY2" i="21" s="1"/>
  <c r="EZ2" i="21" s="1"/>
  <c r="FA2" i="21" s="1"/>
  <c r="FB2" i="21" s="1"/>
  <c r="FC2" i="21" s="1"/>
  <c r="FD2" i="21" s="1"/>
  <c r="FE2" i="21" s="1"/>
  <c r="FF2" i="21" s="1"/>
  <c r="FG2" i="21" s="1"/>
  <c r="FH2" i="21" s="1"/>
  <c r="FI2" i="21" s="1"/>
  <c r="FJ2" i="21" s="1"/>
  <c r="FK2" i="21" s="1"/>
  <c r="FL2" i="21" s="1"/>
  <c r="FM2" i="21" s="1"/>
  <c r="FN2" i="21" s="1"/>
  <c r="DM310" i="20"/>
  <c r="DL310" i="20"/>
  <c r="CY310" i="20"/>
  <c r="DM309" i="20"/>
  <c r="DL309" i="20"/>
  <c r="CY309" i="20"/>
  <c r="DM308" i="20"/>
  <c r="DL308" i="20"/>
  <c r="CY308" i="20"/>
  <c r="DM307" i="20"/>
  <c r="DL307" i="20"/>
  <c r="CY307" i="20"/>
  <c r="DM306" i="20"/>
  <c r="DL306" i="20"/>
  <c r="CY306" i="20"/>
  <c r="DM305" i="20"/>
  <c r="DL305" i="20"/>
  <c r="CY305" i="20"/>
  <c r="DM304" i="20"/>
  <c r="DL304" i="20"/>
  <c r="CY304" i="20"/>
  <c r="DM303" i="20"/>
  <c r="DL303" i="20"/>
  <c r="CY303" i="20"/>
  <c r="DM302" i="20"/>
  <c r="DL302" i="20"/>
  <c r="CY302" i="20"/>
  <c r="DM301" i="20"/>
  <c r="DL301" i="20"/>
  <c r="CY301" i="20"/>
  <c r="DM300" i="20"/>
  <c r="DL300" i="20"/>
  <c r="CY300" i="20"/>
  <c r="DM299" i="20"/>
  <c r="DL299" i="20"/>
  <c r="CY299" i="20"/>
  <c r="DM298" i="20"/>
  <c r="DL298" i="20"/>
  <c r="CY298" i="20"/>
  <c r="DM297" i="20"/>
  <c r="DL297" i="20"/>
  <c r="CY297" i="20"/>
  <c r="DM296" i="20"/>
  <c r="DL296" i="20"/>
  <c r="CY296" i="20"/>
  <c r="DM295" i="20"/>
  <c r="DL295" i="20"/>
  <c r="CY295" i="20"/>
  <c r="DM294" i="20"/>
  <c r="DL294" i="20"/>
  <c r="CY294" i="20"/>
  <c r="DM293" i="20"/>
  <c r="DL293" i="20"/>
  <c r="CY293" i="20"/>
  <c r="DM292" i="20"/>
  <c r="DL292" i="20"/>
  <c r="CY292" i="20"/>
  <c r="DM291" i="20"/>
  <c r="DL291" i="20"/>
  <c r="DP291" i="20" s="1"/>
  <c r="CY291" i="20"/>
  <c r="DM290" i="20"/>
  <c r="DL290" i="20"/>
  <c r="CY290" i="20"/>
  <c r="DM289" i="20"/>
  <c r="DL289" i="20"/>
  <c r="CY289" i="20"/>
  <c r="DM288" i="20"/>
  <c r="DL288" i="20"/>
  <c r="CY288" i="20"/>
  <c r="DM287" i="20"/>
  <c r="DL287" i="20"/>
  <c r="CY287" i="20"/>
  <c r="DM286" i="20"/>
  <c r="DL286" i="20"/>
  <c r="CY286" i="20"/>
  <c r="DM285" i="20"/>
  <c r="DL285" i="20"/>
  <c r="CY285" i="20"/>
  <c r="DM284" i="20"/>
  <c r="DL284" i="20"/>
  <c r="CY284" i="20"/>
  <c r="DM283" i="20"/>
  <c r="DL283" i="20"/>
  <c r="CY283" i="20"/>
  <c r="DM282" i="20"/>
  <c r="DL282" i="20"/>
  <c r="CY282" i="20"/>
  <c r="DM281" i="20"/>
  <c r="DL281" i="20"/>
  <c r="CY281" i="20"/>
  <c r="DM280" i="20"/>
  <c r="DL280" i="20"/>
  <c r="CY280" i="20"/>
  <c r="DM279" i="20"/>
  <c r="DL279" i="20"/>
  <c r="CY279" i="20"/>
  <c r="DM278" i="20"/>
  <c r="DL278" i="20"/>
  <c r="CY278" i="20"/>
  <c r="DM277" i="20"/>
  <c r="DL277" i="20"/>
  <c r="CY277" i="20"/>
  <c r="DM276" i="20"/>
  <c r="DL276" i="20"/>
  <c r="CY276" i="20"/>
  <c r="DM275" i="20"/>
  <c r="DL275" i="20"/>
  <c r="CY275" i="20"/>
  <c r="DM274" i="20"/>
  <c r="DL274" i="20"/>
  <c r="CY274" i="20"/>
  <c r="DM273" i="20"/>
  <c r="DL273" i="20"/>
  <c r="CY273" i="20"/>
  <c r="DM272" i="20"/>
  <c r="DL272" i="20"/>
  <c r="CY272" i="20"/>
  <c r="DM271" i="20"/>
  <c r="DL271" i="20"/>
  <c r="CY271" i="20"/>
  <c r="DM270" i="20"/>
  <c r="DL270" i="20"/>
  <c r="CY270" i="20"/>
  <c r="DM269" i="20"/>
  <c r="DL269" i="20"/>
  <c r="CY269" i="20"/>
  <c r="DM268" i="20"/>
  <c r="DL268" i="20"/>
  <c r="CY268" i="20"/>
  <c r="DM267" i="20"/>
  <c r="DL267" i="20"/>
  <c r="CY267" i="20"/>
  <c r="DM266" i="20"/>
  <c r="DL266" i="20"/>
  <c r="CY266" i="20"/>
  <c r="DM265" i="20"/>
  <c r="DL265" i="20"/>
  <c r="CY265" i="20"/>
  <c r="DM264" i="20"/>
  <c r="DL264" i="20"/>
  <c r="CY264" i="20"/>
  <c r="DM263" i="20"/>
  <c r="DL263" i="20"/>
  <c r="CY263" i="20"/>
  <c r="DM262" i="20"/>
  <c r="DL262" i="20"/>
  <c r="CY262" i="20"/>
  <c r="DM261" i="20"/>
  <c r="DL261" i="20"/>
  <c r="CY261" i="20"/>
  <c r="DM260" i="20"/>
  <c r="DL260" i="20"/>
  <c r="CY260" i="20"/>
  <c r="DM259" i="20"/>
  <c r="DL259" i="20"/>
  <c r="CY259" i="20"/>
  <c r="DM258" i="20"/>
  <c r="DL258" i="20"/>
  <c r="CY258" i="20"/>
  <c r="DM257" i="20"/>
  <c r="DL257" i="20"/>
  <c r="CY257" i="20"/>
  <c r="DM256" i="20"/>
  <c r="DL256" i="20"/>
  <c r="CY256" i="20"/>
  <c r="DM255" i="20"/>
  <c r="DL255" i="20"/>
  <c r="CY255" i="20"/>
  <c r="DM254" i="20"/>
  <c r="DL254" i="20"/>
  <c r="CY254" i="20"/>
  <c r="DM253" i="20"/>
  <c r="DL253" i="20"/>
  <c r="CY253" i="20"/>
  <c r="DM252" i="20"/>
  <c r="DL252" i="20"/>
  <c r="CY252" i="20"/>
  <c r="DM251" i="20"/>
  <c r="DL251" i="20"/>
  <c r="CY251" i="20"/>
  <c r="DM250" i="20"/>
  <c r="DL250" i="20"/>
  <c r="CY250" i="20"/>
  <c r="DM249" i="20"/>
  <c r="DL249" i="20"/>
  <c r="CY249" i="20"/>
  <c r="DM248" i="20"/>
  <c r="DL248" i="20"/>
  <c r="CY248" i="20"/>
  <c r="DM247" i="20"/>
  <c r="DL247" i="20"/>
  <c r="CY247" i="20"/>
  <c r="DM246" i="20"/>
  <c r="DL246" i="20"/>
  <c r="CY246" i="20"/>
  <c r="DM245" i="20"/>
  <c r="DL245" i="20"/>
  <c r="CY245" i="20"/>
  <c r="DM244" i="20"/>
  <c r="DL244" i="20"/>
  <c r="CY244" i="20"/>
  <c r="DM243" i="20"/>
  <c r="DL243" i="20"/>
  <c r="DP243" i="20" s="1"/>
  <c r="CY243" i="20"/>
  <c r="DM242" i="20"/>
  <c r="DL242" i="20"/>
  <c r="CY242" i="20"/>
  <c r="DM241" i="20"/>
  <c r="DL241" i="20"/>
  <c r="CY241" i="20"/>
  <c r="DM240" i="20"/>
  <c r="DL240" i="20"/>
  <c r="CY240" i="20"/>
  <c r="DM239" i="20"/>
  <c r="DL239" i="20"/>
  <c r="CY239" i="20"/>
  <c r="DM238" i="20"/>
  <c r="DL238" i="20"/>
  <c r="CY238" i="20"/>
  <c r="DM237" i="20"/>
  <c r="DL237" i="20"/>
  <c r="CY237" i="20"/>
  <c r="DM236" i="20"/>
  <c r="DL236" i="20"/>
  <c r="CY236" i="20"/>
  <c r="DM235" i="20"/>
  <c r="DL235" i="20"/>
  <c r="CY235" i="20"/>
  <c r="DM234" i="20"/>
  <c r="DL234" i="20"/>
  <c r="CY234" i="20"/>
  <c r="DM233" i="20"/>
  <c r="DL233" i="20"/>
  <c r="CY233" i="20"/>
  <c r="DM232" i="20"/>
  <c r="DL232" i="20"/>
  <c r="CY232" i="20"/>
  <c r="DM231" i="20"/>
  <c r="DL231" i="20"/>
  <c r="CY231" i="20"/>
  <c r="DM230" i="20"/>
  <c r="DL230" i="20"/>
  <c r="CY230" i="20"/>
  <c r="DM229" i="20"/>
  <c r="DL229" i="20"/>
  <c r="CY229" i="20"/>
  <c r="DM228" i="20"/>
  <c r="DL228" i="20"/>
  <c r="CY228" i="20"/>
  <c r="DM227" i="20"/>
  <c r="DL227" i="20"/>
  <c r="CY227" i="20"/>
  <c r="DM226" i="20"/>
  <c r="DL226" i="20"/>
  <c r="CY226" i="20"/>
  <c r="DM225" i="20"/>
  <c r="DL225" i="20"/>
  <c r="CY225" i="20"/>
  <c r="DM224" i="20"/>
  <c r="DL224" i="20"/>
  <c r="CY224" i="20"/>
  <c r="DM223" i="20"/>
  <c r="DL223" i="20"/>
  <c r="CY223" i="20"/>
  <c r="DM222" i="20"/>
  <c r="DL222" i="20"/>
  <c r="CY222" i="20"/>
  <c r="DM221" i="20"/>
  <c r="DL221" i="20"/>
  <c r="CY221" i="20"/>
  <c r="DM220" i="20"/>
  <c r="DL220" i="20"/>
  <c r="CY220" i="20"/>
  <c r="DM219" i="20"/>
  <c r="DL219" i="20"/>
  <c r="CY219" i="20"/>
  <c r="DM218" i="20"/>
  <c r="DL218" i="20"/>
  <c r="CY218" i="20"/>
  <c r="DM217" i="20"/>
  <c r="DL217" i="20"/>
  <c r="CY217" i="20"/>
  <c r="DM216" i="20"/>
  <c r="DL216" i="20"/>
  <c r="CY216" i="20"/>
  <c r="DM215" i="20"/>
  <c r="DL215" i="20"/>
  <c r="CY215" i="20"/>
  <c r="DM214" i="20"/>
  <c r="DL214" i="20"/>
  <c r="CY214" i="20"/>
  <c r="DM213" i="20"/>
  <c r="DL213" i="20"/>
  <c r="CY213" i="20"/>
  <c r="DM212" i="20"/>
  <c r="DL212" i="20"/>
  <c r="CY212" i="20"/>
  <c r="DM211" i="20"/>
  <c r="DL211" i="20"/>
  <c r="CY211" i="20"/>
  <c r="DM210" i="20"/>
  <c r="DL210" i="20"/>
  <c r="CY210" i="20"/>
  <c r="DM209" i="20"/>
  <c r="DL209" i="20"/>
  <c r="CY209" i="20"/>
  <c r="DM208" i="20"/>
  <c r="DL208" i="20"/>
  <c r="CY208" i="20"/>
  <c r="DM207" i="20"/>
  <c r="DL207" i="20"/>
  <c r="CY207" i="20"/>
  <c r="DM206" i="20"/>
  <c r="DL206" i="20"/>
  <c r="CY206" i="20"/>
  <c r="DM205" i="20"/>
  <c r="DL205" i="20"/>
  <c r="CY205" i="20"/>
  <c r="DM204" i="20"/>
  <c r="DL204" i="20"/>
  <c r="CY204" i="20"/>
  <c r="DM203" i="20"/>
  <c r="DL203" i="20"/>
  <c r="CY203" i="20"/>
  <c r="DM202" i="20"/>
  <c r="DL202" i="20"/>
  <c r="CY202" i="20"/>
  <c r="DM201" i="20"/>
  <c r="DL201" i="20"/>
  <c r="CY201" i="20"/>
  <c r="DM200" i="20"/>
  <c r="DL200" i="20"/>
  <c r="CY200" i="20"/>
  <c r="DM199" i="20"/>
  <c r="DL199" i="20"/>
  <c r="CY199" i="20"/>
  <c r="DM198" i="20"/>
  <c r="DL198" i="20"/>
  <c r="CY198" i="20"/>
  <c r="DM197" i="20"/>
  <c r="DL197" i="20"/>
  <c r="CY197" i="20"/>
  <c r="DM196" i="20"/>
  <c r="DL196" i="20"/>
  <c r="CY196" i="20"/>
  <c r="DM195" i="20"/>
  <c r="DL195" i="20"/>
  <c r="CY195" i="20"/>
  <c r="DM194" i="20"/>
  <c r="DL194" i="20"/>
  <c r="CY194" i="20"/>
  <c r="DM193" i="20"/>
  <c r="DL193" i="20"/>
  <c r="CY193" i="20"/>
  <c r="DM192" i="20"/>
  <c r="DL192" i="20"/>
  <c r="CY192" i="20"/>
  <c r="DM191" i="20"/>
  <c r="DL191" i="20"/>
  <c r="CY191" i="20"/>
  <c r="DM190" i="20"/>
  <c r="DL190" i="20"/>
  <c r="CY190" i="20"/>
  <c r="DM189" i="20"/>
  <c r="DL189" i="20"/>
  <c r="CY189" i="20"/>
  <c r="DM188" i="20"/>
  <c r="DL188" i="20"/>
  <c r="CY188" i="20"/>
  <c r="DM187" i="20"/>
  <c r="DL187" i="20"/>
  <c r="CY187" i="20"/>
  <c r="DM186" i="20"/>
  <c r="DL186" i="20"/>
  <c r="CY186" i="20"/>
  <c r="DM185" i="20"/>
  <c r="DL185" i="20"/>
  <c r="CY185" i="20"/>
  <c r="DM184" i="20"/>
  <c r="DL184" i="20"/>
  <c r="CY184" i="20"/>
  <c r="DM183" i="20"/>
  <c r="DL183" i="20"/>
  <c r="CY183" i="20"/>
  <c r="DM182" i="20"/>
  <c r="DL182" i="20"/>
  <c r="CY182" i="20"/>
  <c r="DM181" i="20"/>
  <c r="DL181" i="20"/>
  <c r="CY181" i="20"/>
  <c r="DM180" i="20"/>
  <c r="DL180" i="20"/>
  <c r="CY180" i="20"/>
  <c r="DM179" i="20"/>
  <c r="DL179" i="20"/>
  <c r="CY179" i="20"/>
  <c r="DM178" i="20"/>
  <c r="DL178" i="20"/>
  <c r="CY178" i="20"/>
  <c r="DM177" i="20"/>
  <c r="DL177" i="20"/>
  <c r="CY177" i="20"/>
  <c r="DM176" i="20"/>
  <c r="DL176" i="20"/>
  <c r="CY176" i="20"/>
  <c r="DM175" i="20"/>
  <c r="DL175" i="20"/>
  <c r="CY175" i="20"/>
  <c r="DM174" i="20"/>
  <c r="DL174" i="20"/>
  <c r="CY174" i="20"/>
  <c r="DM173" i="20"/>
  <c r="DL173" i="20"/>
  <c r="CY173" i="20"/>
  <c r="DM172" i="20"/>
  <c r="DL172" i="20"/>
  <c r="CY172" i="20"/>
  <c r="DM171" i="20"/>
  <c r="DL171" i="20"/>
  <c r="CY171" i="20"/>
  <c r="DM170" i="20"/>
  <c r="DL170" i="20"/>
  <c r="CY170" i="20"/>
  <c r="DM169" i="20"/>
  <c r="DL169" i="20"/>
  <c r="CY169" i="20"/>
  <c r="DM168" i="20"/>
  <c r="DL168" i="20"/>
  <c r="CY168" i="20"/>
  <c r="DM167" i="20"/>
  <c r="DL167" i="20"/>
  <c r="CY167" i="20"/>
  <c r="DM166" i="20"/>
  <c r="DL166" i="20"/>
  <c r="CY166" i="20"/>
  <c r="DM165" i="20"/>
  <c r="DL165" i="20"/>
  <c r="CY165" i="20"/>
  <c r="DM164" i="20"/>
  <c r="DL164" i="20"/>
  <c r="CY164" i="20"/>
  <c r="DM163" i="20"/>
  <c r="DL163" i="20"/>
  <c r="CY163" i="20"/>
  <c r="DM162" i="20"/>
  <c r="DL162" i="20"/>
  <c r="CY162" i="20"/>
  <c r="DM161" i="20"/>
  <c r="DP161" i="20" s="1"/>
  <c r="DL161" i="20"/>
  <c r="CY161" i="20"/>
  <c r="DM160" i="20"/>
  <c r="DL160" i="20"/>
  <c r="CY160" i="20"/>
  <c r="DM159" i="20"/>
  <c r="DL159" i="20"/>
  <c r="CY159" i="20"/>
  <c r="DM158" i="20"/>
  <c r="DL158" i="20"/>
  <c r="CY158" i="20"/>
  <c r="DM157" i="20"/>
  <c r="DL157" i="20"/>
  <c r="CY157" i="20"/>
  <c r="DM156" i="20"/>
  <c r="DL156" i="20"/>
  <c r="CY156" i="20"/>
  <c r="DM155" i="20"/>
  <c r="DL155" i="20"/>
  <c r="CY155" i="20"/>
  <c r="DM154" i="20"/>
  <c r="DL154" i="20"/>
  <c r="CY154" i="20"/>
  <c r="DM153" i="20"/>
  <c r="DL153" i="20"/>
  <c r="CY153" i="20"/>
  <c r="DM152" i="20"/>
  <c r="DL152" i="20"/>
  <c r="CY152" i="20"/>
  <c r="DM151" i="20"/>
  <c r="DL151" i="20"/>
  <c r="CY151" i="20"/>
  <c r="DM150" i="20"/>
  <c r="DL150" i="20"/>
  <c r="CY150" i="20"/>
  <c r="DM149" i="20"/>
  <c r="DL149" i="20"/>
  <c r="CY149" i="20"/>
  <c r="DM148" i="20"/>
  <c r="DL148" i="20"/>
  <c r="CY148" i="20"/>
  <c r="DM147" i="20"/>
  <c r="DL147" i="20"/>
  <c r="CY147" i="20"/>
  <c r="DM146" i="20"/>
  <c r="DL146" i="20"/>
  <c r="CY146" i="20"/>
  <c r="DM145" i="20"/>
  <c r="DL145" i="20"/>
  <c r="CY145" i="20"/>
  <c r="DM144" i="20"/>
  <c r="DL144" i="20"/>
  <c r="CY144" i="20"/>
  <c r="DM143" i="20"/>
  <c r="DL143" i="20"/>
  <c r="CY143" i="20"/>
  <c r="DM142" i="20"/>
  <c r="DL142" i="20"/>
  <c r="CY142" i="20"/>
  <c r="DM141" i="20"/>
  <c r="DL141" i="20"/>
  <c r="CY141" i="20"/>
  <c r="DM140" i="20"/>
  <c r="DL140" i="20"/>
  <c r="CY140" i="20"/>
  <c r="DM139" i="20"/>
  <c r="DL139" i="20"/>
  <c r="CY139" i="20"/>
  <c r="DM138" i="20"/>
  <c r="DL138" i="20"/>
  <c r="CY138" i="20"/>
  <c r="DM137" i="20"/>
  <c r="DL137" i="20"/>
  <c r="CY137" i="20"/>
  <c r="DM136" i="20"/>
  <c r="DL136" i="20"/>
  <c r="CY136" i="20"/>
  <c r="DM135" i="20"/>
  <c r="DL135" i="20"/>
  <c r="CY135" i="20"/>
  <c r="DM134" i="20"/>
  <c r="DL134" i="20"/>
  <c r="CY134" i="20"/>
  <c r="DM133" i="20"/>
  <c r="DL133" i="20"/>
  <c r="CY133" i="20"/>
  <c r="DM132" i="20"/>
  <c r="DL132" i="20"/>
  <c r="CY132" i="20"/>
  <c r="DM131" i="20"/>
  <c r="DL131" i="20"/>
  <c r="CY131" i="20"/>
  <c r="DM130" i="20"/>
  <c r="DL130" i="20"/>
  <c r="CY130" i="20"/>
  <c r="DM129" i="20"/>
  <c r="DL129" i="20"/>
  <c r="CY129" i="20"/>
  <c r="DM128" i="20"/>
  <c r="DL128" i="20"/>
  <c r="CY128" i="20"/>
  <c r="DM127" i="20"/>
  <c r="DL127" i="20"/>
  <c r="CY127" i="20"/>
  <c r="DM126" i="20"/>
  <c r="DL126" i="20"/>
  <c r="CY126" i="20"/>
  <c r="DM125" i="20"/>
  <c r="DL125" i="20"/>
  <c r="CY125" i="20"/>
  <c r="DM124" i="20"/>
  <c r="DL124" i="20"/>
  <c r="CY124" i="20"/>
  <c r="DM123" i="20"/>
  <c r="DL123" i="20"/>
  <c r="CY123" i="20"/>
  <c r="DM122" i="20"/>
  <c r="DL122" i="20"/>
  <c r="CY122" i="20"/>
  <c r="DM121" i="20"/>
  <c r="DL121" i="20"/>
  <c r="CY121" i="20"/>
  <c r="DM120" i="20"/>
  <c r="DL120" i="20"/>
  <c r="CY120" i="20"/>
  <c r="DM119" i="20"/>
  <c r="DL119" i="20"/>
  <c r="CY119" i="20"/>
  <c r="DM118" i="20"/>
  <c r="DL118" i="20"/>
  <c r="CY118" i="20"/>
  <c r="DM117" i="20"/>
  <c r="DL117" i="20"/>
  <c r="CY117" i="20"/>
  <c r="BT117" i="20"/>
  <c r="CA117" i="20" s="1"/>
  <c r="BS117" i="20"/>
  <c r="DM116" i="20"/>
  <c r="DL116" i="20"/>
  <c r="CY116" i="20"/>
  <c r="BT116" i="20"/>
  <c r="BS116" i="20"/>
  <c r="DM115" i="20"/>
  <c r="DL115" i="20"/>
  <c r="CY115" i="20"/>
  <c r="BT115" i="20"/>
  <c r="BW115" i="20" s="1"/>
  <c r="BS115" i="20"/>
  <c r="DM114" i="20"/>
  <c r="DL114" i="20"/>
  <c r="CY114" i="20"/>
  <c r="BT114" i="20"/>
  <c r="CA114" i="20" s="1"/>
  <c r="BS114" i="20"/>
  <c r="DM113" i="20"/>
  <c r="DL113" i="20"/>
  <c r="CY113" i="20"/>
  <c r="BT113" i="20"/>
  <c r="BS113" i="20"/>
  <c r="DM112" i="20"/>
  <c r="DL112" i="20"/>
  <c r="CY112" i="20"/>
  <c r="BT112" i="20"/>
  <c r="CB112" i="20" s="1"/>
  <c r="BS112" i="20"/>
  <c r="DM111" i="20"/>
  <c r="DL111" i="20"/>
  <c r="CY111" i="20"/>
  <c r="BT111" i="20"/>
  <c r="CB111" i="20" s="1"/>
  <c r="BS111" i="20"/>
  <c r="DM110" i="20"/>
  <c r="DL110" i="20"/>
  <c r="CY110" i="20"/>
  <c r="BT110" i="20"/>
  <c r="BW110" i="20" s="1"/>
  <c r="BS110" i="20"/>
  <c r="DM109" i="20"/>
  <c r="DL109" i="20"/>
  <c r="CY109" i="20"/>
  <c r="BT109" i="20"/>
  <c r="BY109" i="20" s="1"/>
  <c r="BS109" i="20"/>
  <c r="DM108" i="20"/>
  <c r="DL108" i="20"/>
  <c r="CY108" i="20"/>
  <c r="BT108" i="20"/>
  <c r="CB108" i="20" s="1"/>
  <c r="BS108" i="20"/>
  <c r="DM107" i="20"/>
  <c r="DL107" i="20"/>
  <c r="CY107" i="20"/>
  <c r="BT107" i="20"/>
  <c r="CB107" i="20" s="1"/>
  <c r="BS107" i="20"/>
  <c r="DM106" i="20"/>
  <c r="DL106" i="20"/>
  <c r="CY106" i="20"/>
  <c r="BT106" i="20"/>
  <c r="CA106" i="20" s="1"/>
  <c r="BS106" i="20"/>
  <c r="DM105" i="20"/>
  <c r="DL105" i="20"/>
  <c r="CY105" i="20"/>
  <c r="BT105" i="20"/>
  <c r="BX105" i="20" s="1"/>
  <c r="BS105" i="20"/>
  <c r="DM104" i="20"/>
  <c r="DL104" i="20"/>
  <c r="CY104" i="20"/>
  <c r="BT104" i="20"/>
  <c r="CB104" i="20" s="1"/>
  <c r="BS104" i="20"/>
  <c r="DM103" i="20"/>
  <c r="DL103" i="20"/>
  <c r="CY103" i="20"/>
  <c r="BT103" i="20"/>
  <c r="CB103" i="20" s="1"/>
  <c r="BS103" i="20"/>
  <c r="AE103" i="20"/>
  <c r="DM102" i="20"/>
  <c r="DL102" i="20"/>
  <c r="CY102" i="20"/>
  <c r="BT102" i="20"/>
  <c r="BX102" i="20" s="1"/>
  <c r="BS102" i="20"/>
  <c r="AE102" i="20"/>
  <c r="DM101" i="20"/>
  <c r="DL101" i="20"/>
  <c r="CY101" i="20"/>
  <c r="BT101" i="20"/>
  <c r="BS101" i="20"/>
  <c r="AE101" i="20"/>
  <c r="DM100" i="20"/>
  <c r="DL100" i="20"/>
  <c r="CY100" i="20"/>
  <c r="BT100" i="20"/>
  <c r="CA100" i="20" s="1"/>
  <c r="BS100" i="20"/>
  <c r="AE100" i="20"/>
  <c r="DM99" i="20"/>
  <c r="DL99" i="20"/>
  <c r="CY99" i="20"/>
  <c r="BT99" i="20"/>
  <c r="BZ99" i="20" s="1"/>
  <c r="BS99" i="20"/>
  <c r="AE99" i="20"/>
  <c r="DM98" i="20"/>
  <c r="DL98" i="20"/>
  <c r="CY98" i="20"/>
  <c r="BT98" i="20"/>
  <c r="CB98" i="20" s="1"/>
  <c r="BS98" i="20"/>
  <c r="AE98" i="20"/>
  <c r="DM97" i="20"/>
  <c r="DL97" i="20"/>
  <c r="CY97" i="20"/>
  <c r="BT97" i="20"/>
  <c r="BX97" i="20" s="1"/>
  <c r="BS97" i="20"/>
  <c r="AE97" i="20"/>
  <c r="DM96" i="20"/>
  <c r="DL96" i="20"/>
  <c r="CY96" i="20"/>
  <c r="BT96" i="20"/>
  <c r="BV96" i="20" s="1"/>
  <c r="BS96" i="20"/>
  <c r="AE96" i="20"/>
  <c r="DM95" i="20"/>
  <c r="DL95" i="20"/>
  <c r="CY95" i="20"/>
  <c r="BT95" i="20"/>
  <c r="CB95" i="20" s="1"/>
  <c r="BS95" i="20"/>
  <c r="AE95" i="20"/>
  <c r="DM94" i="20"/>
  <c r="DL94" i="20"/>
  <c r="CY94" i="20"/>
  <c r="BT94" i="20"/>
  <c r="BX94" i="20" s="1"/>
  <c r="BS94" i="20"/>
  <c r="AE94" i="20"/>
  <c r="DM93" i="20"/>
  <c r="DL93" i="20"/>
  <c r="CY93" i="20"/>
  <c r="BT93" i="20"/>
  <c r="CB93" i="20" s="1"/>
  <c r="BS93" i="20"/>
  <c r="AE93" i="20"/>
  <c r="DM92" i="20"/>
  <c r="DL92" i="20"/>
  <c r="CY92" i="20"/>
  <c r="BT92" i="20"/>
  <c r="BV92" i="20" s="1"/>
  <c r="BS92" i="20"/>
  <c r="AE92" i="20"/>
  <c r="DM91" i="20"/>
  <c r="DL91" i="20"/>
  <c r="CY91" i="20"/>
  <c r="BT91" i="20"/>
  <c r="BV91" i="20" s="1"/>
  <c r="BS91" i="20"/>
  <c r="AE91" i="20"/>
  <c r="DM90" i="20"/>
  <c r="DL90" i="20"/>
  <c r="CY90" i="20"/>
  <c r="BT90" i="20"/>
  <c r="CB90" i="20" s="1"/>
  <c r="BS90" i="20"/>
  <c r="AE90" i="20"/>
  <c r="DM89" i="20"/>
  <c r="DL89" i="20"/>
  <c r="CY89" i="20"/>
  <c r="BT89" i="20"/>
  <c r="BX89" i="20" s="1"/>
  <c r="BS89" i="20"/>
  <c r="AE89" i="20"/>
  <c r="DM88" i="20"/>
  <c r="DL88" i="20"/>
  <c r="CY88" i="20"/>
  <c r="BT88" i="20"/>
  <c r="CB88" i="20" s="1"/>
  <c r="BS88" i="20"/>
  <c r="AE88" i="20"/>
  <c r="DM87" i="20"/>
  <c r="DL87" i="20"/>
  <c r="CY87" i="20"/>
  <c r="BT87" i="20"/>
  <c r="CB87" i="20" s="1"/>
  <c r="BS87" i="20"/>
  <c r="AE87" i="20"/>
  <c r="DM86" i="20"/>
  <c r="DL86" i="20"/>
  <c r="CY86" i="20"/>
  <c r="BT86" i="20"/>
  <c r="BX86" i="20" s="1"/>
  <c r="BS86" i="20"/>
  <c r="AE86" i="20"/>
  <c r="DM85" i="20"/>
  <c r="DL85" i="20"/>
  <c r="CY85" i="20"/>
  <c r="BT85" i="20"/>
  <c r="CB85" i="20" s="1"/>
  <c r="BS85" i="20"/>
  <c r="AE85" i="20"/>
  <c r="DM84" i="20"/>
  <c r="DL84" i="20"/>
  <c r="CY84" i="20"/>
  <c r="BT84" i="20"/>
  <c r="BW84" i="20" s="1"/>
  <c r="BS84" i="20"/>
  <c r="AE84" i="20"/>
  <c r="DM83" i="20"/>
  <c r="DL83" i="20"/>
  <c r="CY83" i="20"/>
  <c r="BT83" i="20"/>
  <c r="BZ83" i="20" s="1"/>
  <c r="BS83" i="20"/>
  <c r="AE83" i="20"/>
  <c r="DM82" i="20"/>
  <c r="DL82" i="20"/>
  <c r="CY82" i="20"/>
  <c r="BT82" i="20"/>
  <c r="CB82" i="20" s="1"/>
  <c r="BS82" i="20"/>
  <c r="AE82" i="20"/>
  <c r="DM81" i="20"/>
  <c r="DL81" i="20"/>
  <c r="CY81" i="20"/>
  <c r="BT81" i="20"/>
  <c r="BX81" i="20" s="1"/>
  <c r="BS81" i="20"/>
  <c r="AE81" i="20"/>
  <c r="DM80" i="20"/>
  <c r="DL80" i="20"/>
  <c r="CY80" i="20"/>
  <c r="BT80" i="20"/>
  <c r="BV80" i="20" s="1"/>
  <c r="BS80" i="20"/>
  <c r="AE80" i="20"/>
  <c r="DM79" i="20"/>
  <c r="DL79" i="20"/>
  <c r="CY79" i="20"/>
  <c r="BT79" i="20"/>
  <c r="CB79" i="20" s="1"/>
  <c r="BS79" i="20"/>
  <c r="AE79" i="20"/>
  <c r="DM78" i="20"/>
  <c r="DL78" i="20"/>
  <c r="CY78" i="20"/>
  <c r="BT78" i="20"/>
  <c r="BX78" i="20" s="1"/>
  <c r="BS78" i="20"/>
  <c r="AE78" i="20"/>
  <c r="DM77" i="20"/>
  <c r="DL77" i="20"/>
  <c r="CY77" i="20"/>
  <c r="BT77" i="20"/>
  <c r="BS77" i="20"/>
  <c r="AE77" i="20"/>
  <c r="DM76" i="20"/>
  <c r="DL76" i="20"/>
  <c r="CY76" i="20"/>
  <c r="BT76" i="20"/>
  <c r="BV76" i="20" s="1"/>
  <c r="BS76" i="20"/>
  <c r="AE76" i="20"/>
  <c r="DM75" i="20"/>
  <c r="DL75" i="20"/>
  <c r="CY75" i="20"/>
  <c r="BT75" i="20"/>
  <c r="CB75" i="20" s="1"/>
  <c r="BS75" i="20"/>
  <c r="AE75" i="20"/>
  <c r="DM74" i="20"/>
  <c r="DL74" i="20"/>
  <c r="CY74" i="20"/>
  <c r="BT74" i="20"/>
  <c r="CB74" i="20" s="1"/>
  <c r="BS74" i="20"/>
  <c r="AE74" i="20"/>
  <c r="DM73" i="20"/>
  <c r="DL73" i="20"/>
  <c r="CY73" i="20"/>
  <c r="BT73" i="20"/>
  <c r="BY73" i="20" s="1"/>
  <c r="BS73" i="20"/>
  <c r="AE73" i="20"/>
  <c r="DM72" i="20"/>
  <c r="DL72" i="20"/>
  <c r="CY72" i="20"/>
  <c r="BT72" i="20"/>
  <c r="BZ72" i="20" s="1"/>
  <c r="BS72" i="20"/>
  <c r="AE72" i="20"/>
  <c r="DM71" i="20"/>
  <c r="DL71" i="20"/>
  <c r="CY71" i="20"/>
  <c r="BT71" i="20"/>
  <c r="CB71" i="20" s="1"/>
  <c r="BS71" i="20"/>
  <c r="AE71" i="20"/>
  <c r="DM70" i="20"/>
  <c r="DL70" i="20"/>
  <c r="CY70" i="20"/>
  <c r="BT70" i="20"/>
  <c r="BX70" i="20" s="1"/>
  <c r="BS70" i="20"/>
  <c r="AE70" i="20"/>
  <c r="DM69" i="20"/>
  <c r="DL69" i="20"/>
  <c r="CY69" i="20"/>
  <c r="BT69" i="20"/>
  <c r="CB69" i="20" s="1"/>
  <c r="BS69" i="20"/>
  <c r="AE69" i="20"/>
  <c r="DM68" i="20"/>
  <c r="DL68" i="20"/>
  <c r="CY68" i="20"/>
  <c r="BT68" i="20"/>
  <c r="BS68" i="20"/>
  <c r="AE68" i="20"/>
  <c r="DM67" i="20"/>
  <c r="DL67" i="20"/>
  <c r="CY67" i="20"/>
  <c r="BT67" i="20"/>
  <c r="CB67" i="20" s="1"/>
  <c r="BS67" i="20"/>
  <c r="AE67" i="20"/>
  <c r="DM66" i="20"/>
  <c r="DL66" i="20"/>
  <c r="CY66" i="20"/>
  <c r="BT66" i="20"/>
  <c r="CB66" i="20" s="1"/>
  <c r="BS66" i="20"/>
  <c r="AE66" i="20"/>
  <c r="DM65" i="20"/>
  <c r="DL65" i="20"/>
  <c r="CY65" i="20"/>
  <c r="BT65" i="20"/>
  <c r="BX65" i="20" s="1"/>
  <c r="BS65" i="20"/>
  <c r="AE65" i="20"/>
  <c r="DM64" i="20"/>
  <c r="DL64" i="20"/>
  <c r="CY64" i="20"/>
  <c r="BT64" i="20"/>
  <c r="BW64" i="20" s="1"/>
  <c r="BS64" i="20"/>
  <c r="AE64" i="20"/>
  <c r="DM63" i="20"/>
  <c r="DL63" i="20"/>
  <c r="CY63" i="20"/>
  <c r="BT63" i="20"/>
  <c r="CB63" i="20" s="1"/>
  <c r="BS63" i="20"/>
  <c r="AE63" i="20"/>
  <c r="DM62" i="20"/>
  <c r="DL62" i="20"/>
  <c r="CY62" i="20"/>
  <c r="BT62" i="20"/>
  <c r="BY62" i="20" s="1"/>
  <c r="BS62" i="20"/>
  <c r="AE62" i="20"/>
  <c r="DM61" i="20"/>
  <c r="DL61" i="20"/>
  <c r="CY61" i="20"/>
  <c r="BT61" i="20"/>
  <c r="CB61" i="20" s="1"/>
  <c r="BS61" i="20"/>
  <c r="AE61" i="20"/>
  <c r="DM60" i="20"/>
  <c r="DL60" i="20"/>
  <c r="CY60" i="20"/>
  <c r="BT60" i="20"/>
  <c r="BV60" i="20" s="1"/>
  <c r="BS60" i="20"/>
  <c r="AE60" i="20"/>
  <c r="AB60" i="20"/>
  <c r="DM59" i="20"/>
  <c r="DL59" i="20"/>
  <c r="CY59" i="20"/>
  <c r="BT59" i="20"/>
  <c r="CB59" i="20" s="1"/>
  <c r="BS59" i="20"/>
  <c r="AE59" i="20"/>
  <c r="DM58" i="20"/>
  <c r="DL58" i="20"/>
  <c r="CY58" i="20"/>
  <c r="BT58" i="20"/>
  <c r="CB58" i="20" s="1"/>
  <c r="BS58" i="20"/>
  <c r="AE58" i="20"/>
  <c r="DM57" i="20"/>
  <c r="DL57" i="20"/>
  <c r="CY57" i="20"/>
  <c r="BT57" i="20"/>
  <c r="BX57" i="20" s="1"/>
  <c r="BS57" i="20"/>
  <c r="AE57" i="20"/>
  <c r="DM56" i="20"/>
  <c r="DL56" i="20"/>
  <c r="CY56" i="20"/>
  <c r="BT56" i="20"/>
  <c r="CB56" i="20" s="1"/>
  <c r="BS56" i="20"/>
  <c r="AE56" i="20"/>
  <c r="DM55" i="20"/>
  <c r="DL55" i="20"/>
  <c r="CY55" i="20"/>
  <c r="BT55" i="20"/>
  <c r="CB55" i="20" s="1"/>
  <c r="BS55" i="20"/>
  <c r="AE55" i="20"/>
  <c r="DM54" i="20"/>
  <c r="DL54" i="20"/>
  <c r="CY54" i="20"/>
  <c r="BT54" i="20"/>
  <c r="BX54" i="20" s="1"/>
  <c r="BS54" i="20"/>
  <c r="AE54" i="20"/>
  <c r="DM53" i="20"/>
  <c r="DL53" i="20"/>
  <c r="CY53" i="20"/>
  <c r="BT53" i="20"/>
  <c r="BV53" i="20" s="1"/>
  <c r="BS53" i="20"/>
  <c r="AE53" i="20"/>
  <c r="DM52" i="20"/>
  <c r="DL52" i="20"/>
  <c r="CY52" i="20"/>
  <c r="BT52" i="20"/>
  <c r="BV52" i="20" s="1"/>
  <c r="BS52" i="20"/>
  <c r="AE52" i="20"/>
  <c r="DM51" i="20"/>
  <c r="DL51" i="20"/>
  <c r="CY51" i="20"/>
  <c r="BT51" i="20"/>
  <c r="CB51" i="20" s="1"/>
  <c r="BS51" i="20"/>
  <c r="AE51" i="20"/>
  <c r="DM50" i="20"/>
  <c r="DL50" i="20"/>
  <c r="CY50" i="20"/>
  <c r="BT50" i="20"/>
  <c r="CB50" i="20" s="1"/>
  <c r="BS50" i="20"/>
  <c r="AE50" i="20"/>
  <c r="DM49" i="20"/>
  <c r="DL49" i="20"/>
  <c r="CY49" i="20"/>
  <c r="BT49" i="20"/>
  <c r="BS49" i="20"/>
  <c r="AE49" i="20"/>
  <c r="DM48" i="20"/>
  <c r="DL48" i="20"/>
  <c r="CY48" i="20"/>
  <c r="BT48" i="20"/>
  <c r="CB48" i="20" s="1"/>
  <c r="BS48" i="20"/>
  <c r="AE48" i="20"/>
  <c r="DM47" i="20"/>
  <c r="DL47" i="20"/>
  <c r="CY47" i="20"/>
  <c r="BT47" i="20"/>
  <c r="CB47" i="20" s="1"/>
  <c r="BS47" i="20"/>
  <c r="AE47" i="20"/>
  <c r="DM46" i="20"/>
  <c r="DL46" i="20"/>
  <c r="CY46" i="20"/>
  <c r="BT46" i="20"/>
  <c r="BX46" i="20" s="1"/>
  <c r="BS46" i="20"/>
  <c r="AE46" i="20"/>
  <c r="DM45" i="20"/>
  <c r="DL45" i="20"/>
  <c r="CY45" i="20"/>
  <c r="BT45" i="20"/>
  <c r="CB45" i="20" s="1"/>
  <c r="BS45" i="20"/>
  <c r="AE45" i="20"/>
  <c r="DM44" i="20"/>
  <c r="DL44" i="20"/>
  <c r="CY44" i="20"/>
  <c r="BT44" i="20"/>
  <c r="BV44" i="20" s="1"/>
  <c r="BS44" i="20"/>
  <c r="AE44" i="20"/>
  <c r="DM43" i="20"/>
  <c r="DL43" i="20"/>
  <c r="CY43" i="20"/>
  <c r="BT43" i="20"/>
  <c r="CB43" i="20" s="1"/>
  <c r="BS43" i="20"/>
  <c r="AE43" i="20"/>
  <c r="DM42" i="20"/>
  <c r="DL42" i="20"/>
  <c r="CY42" i="20"/>
  <c r="BT42" i="20"/>
  <c r="CB42" i="20" s="1"/>
  <c r="BS42" i="20"/>
  <c r="AE42" i="20"/>
  <c r="DM41" i="20"/>
  <c r="DL41" i="20"/>
  <c r="CY41" i="20"/>
  <c r="BT41" i="20"/>
  <c r="BY41" i="20" s="1"/>
  <c r="BS41" i="20"/>
  <c r="AE41" i="20"/>
  <c r="DM40" i="20"/>
  <c r="DL40" i="20"/>
  <c r="CY40" i="20"/>
  <c r="BT40" i="20"/>
  <c r="CB40" i="20" s="1"/>
  <c r="BS40" i="20"/>
  <c r="AE40" i="20"/>
  <c r="DM39" i="20"/>
  <c r="DL39" i="20"/>
  <c r="CY39" i="20"/>
  <c r="BT39" i="20"/>
  <c r="CB39" i="20" s="1"/>
  <c r="BS39" i="20"/>
  <c r="AE39" i="20"/>
  <c r="DM38" i="20"/>
  <c r="DL38" i="20"/>
  <c r="CY38" i="20"/>
  <c r="CK38" i="20"/>
  <c r="CJ38" i="20"/>
  <c r="CI38" i="20"/>
  <c r="BT38" i="20"/>
  <c r="BV38" i="20" s="1"/>
  <c r="BS38" i="20"/>
  <c r="BJ38" i="20"/>
  <c r="BI38" i="20"/>
  <c r="BN38" i="20" s="1"/>
  <c r="BD38" i="20"/>
  <c r="BC38" i="20"/>
  <c r="BH38" i="20" s="1"/>
  <c r="AX38" i="20"/>
  <c r="AW38" i="20"/>
  <c r="AR38" i="20"/>
  <c r="AQ38" i="20"/>
  <c r="AL38" i="20"/>
  <c r="AK38" i="20"/>
  <c r="AE38" i="20"/>
  <c r="DM37" i="20"/>
  <c r="DL37" i="20"/>
  <c r="CY37" i="20"/>
  <c r="CK37" i="20"/>
  <c r="CJ37" i="20"/>
  <c r="CI37" i="20"/>
  <c r="BT37" i="20"/>
  <c r="CB37" i="20" s="1"/>
  <c r="BS37" i="20"/>
  <c r="BJ37" i="20"/>
  <c r="BI37" i="20"/>
  <c r="BN37" i="20" s="1"/>
  <c r="BD37" i="20"/>
  <c r="BC37" i="20"/>
  <c r="BH37" i="20" s="1"/>
  <c r="AX37" i="20"/>
  <c r="AW37" i="20"/>
  <c r="AR37" i="20"/>
  <c r="AQ37" i="20"/>
  <c r="AL37" i="20"/>
  <c r="AK37" i="20"/>
  <c r="AE37" i="20"/>
  <c r="DM36" i="20"/>
  <c r="DL36" i="20"/>
  <c r="CY36" i="20"/>
  <c r="CK36" i="20"/>
  <c r="CJ36" i="20"/>
  <c r="CI36" i="20"/>
  <c r="BT36" i="20"/>
  <c r="CB36" i="20" s="1"/>
  <c r="BS36" i="20"/>
  <c r="BJ36" i="20"/>
  <c r="BI36" i="20"/>
  <c r="BN36" i="20" s="1"/>
  <c r="BD36" i="20"/>
  <c r="BC36" i="20"/>
  <c r="BH36" i="20" s="1"/>
  <c r="AX36" i="20"/>
  <c r="AW36" i="20"/>
  <c r="AR36" i="20"/>
  <c r="AQ36" i="20"/>
  <c r="AL36" i="20"/>
  <c r="AK36" i="20"/>
  <c r="AE36" i="20"/>
  <c r="AB36" i="20"/>
  <c r="AA36" i="20" s="1"/>
  <c r="DM35" i="20"/>
  <c r="DL35" i="20"/>
  <c r="CY35" i="20"/>
  <c r="CK35" i="20"/>
  <c r="CJ35" i="20"/>
  <c r="CI35" i="20"/>
  <c r="BT35" i="20"/>
  <c r="BS35" i="20"/>
  <c r="BJ35" i="20"/>
  <c r="BI35" i="20"/>
  <c r="BN35" i="20" s="1"/>
  <c r="BD35" i="20"/>
  <c r="BC35" i="20"/>
  <c r="BH35" i="20" s="1"/>
  <c r="AX35" i="20"/>
  <c r="AW35" i="20"/>
  <c r="AR35" i="20"/>
  <c r="AQ35" i="20"/>
  <c r="AL35" i="20"/>
  <c r="AK35" i="20"/>
  <c r="AE35" i="20"/>
  <c r="DM34" i="20"/>
  <c r="DL34" i="20"/>
  <c r="CY34" i="20"/>
  <c r="CK34" i="20"/>
  <c r="CJ34" i="20"/>
  <c r="CI34" i="20"/>
  <c r="BT34" i="20"/>
  <c r="CB34" i="20" s="1"/>
  <c r="BS34" i="20"/>
  <c r="BJ34" i="20"/>
  <c r="BI34" i="20"/>
  <c r="BN34" i="20" s="1"/>
  <c r="BD34" i="20"/>
  <c r="BC34" i="20"/>
  <c r="BH34" i="20" s="1"/>
  <c r="AX34" i="20"/>
  <c r="AW34" i="20"/>
  <c r="AR34" i="20"/>
  <c r="AQ34" i="20"/>
  <c r="AL34" i="20"/>
  <c r="AK34" i="20"/>
  <c r="AE34" i="20"/>
  <c r="DM33" i="20"/>
  <c r="DL33" i="20"/>
  <c r="CY33" i="20"/>
  <c r="CK33" i="20"/>
  <c r="CJ33" i="20"/>
  <c r="CI33" i="20"/>
  <c r="BT33" i="20"/>
  <c r="BS33" i="20"/>
  <c r="BJ33" i="20"/>
  <c r="BI33" i="20"/>
  <c r="BD33" i="20"/>
  <c r="BC33" i="20"/>
  <c r="BH33" i="20" s="1"/>
  <c r="AX33" i="20"/>
  <c r="AW33" i="20"/>
  <c r="AR33" i="20"/>
  <c r="AQ33" i="20"/>
  <c r="AL33" i="20"/>
  <c r="AK33" i="20"/>
  <c r="AE33" i="20"/>
  <c r="DM32" i="20"/>
  <c r="DL32" i="20"/>
  <c r="CY32" i="20"/>
  <c r="CK32" i="20"/>
  <c r="CJ32" i="20"/>
  <c r="CI32" i="20"/>
  <c r="BT32" i="20"/>
  <c r="CB32" i="20" s="1"/>
  <c r="BS32" i="20"/>
  <c r="BJ32" i="20"/>
  <c r="BI32" i="20"/>
  <c r="BN32" i="20" s="1"/>
  <c r="BD32" i="20"/>
  <c r="BC32" i="20"/>
  <c r="BH32" i="20" s="1"/>
  <c r="AX32" i="20"/>
  <c r="AW32" i="20"/>
  <c r="AR32" i="20"/>
  <c r="AQ32" i="20"/>
  <c r="AL32" i="20"/>
  <c r="AK32" i="20"/>
  <c r="AE32" i="20"/>
  <c r="DM31" i="20"/>
  <c r="DL31" i="20"/>
  <c r="CY31" i="20"/>
  <c r="CK31" i="20"/>
  <c r="CJ31" i="20"/>
  <c r="CI31" i="20"/>
  <c r="BT31" i="20"/>
  <c r="BX31" i="20" s="1"/>
  <c r="BS31" i="20"/>
  <c r="BJ31" i="20"/>
  <c r="BI31" i="20"/>
  <c r="BN31" i="20" s="1"/>
  <c r="BD31" i="20"/>
  <c r="BC31" i="20"/>
  <c r="BH31" i="20" s="1"/>
  <c r="AX31" i="20"/>
  <c r="AW31" i="20"/>
  <c r="AR31" i="20"/>
  <c r="AQ31" i="20"/>
  <c r="AL31" i="20"/>
  <c r="AK31" i="20"/>
  <c r="AE31" i="20"/>
  <c r="DM30" i="20"/>
  <c r="DL30" i="20"/>
  <c r="CY30" i="20"/>
  <c r="CK30" i="20"/>
  <c r="CJ30" i="20"/>
  <c r="CI30" i="20"/>
  <c r="BT30" i="20"/>
  <c r="BX30" i="20" s="1"/>
  <c r="BS30" i="20"/>
  <c r="BJ30" i="20"/>
  <c r="BI30" i="20"/>
  <c r="BN30" i="20" s="1"/>
  <c r="BD30" i="20"/>
  <c r="BC30" i="20"/>
  <c r="BH30" i="20" s="1"/>
  <c r="AX30" i="20"/>
  <c r="AW30" i="20"/>
  <c r="AR30" i="20"/>
  <c r="AQ30" i="20"/>
  <c r="AL30" i="20"/>
  <c r="AK30" i="20"/>
  <c r="AE30" i="20"/>
  <c r="AB30" i="20"/>
  <c r="DM29" i="20"/>
  <c r="DL29" i="20"/>
  <c r="CY29" i="20"/>
  <c r="CK29" i="20"/>
  <c r="CJ29" i="20"/>
  <c r="CI29" i="20"/>
  <c r="BT29" i="20"/>
  <c r="CB29" i="20" s="1"/>
  <c r="BS29" i="20"/>
  <c r="BJ29" i="20"/>
  <c r="BI29" i="20"/>
  <c r="BN29" i="20" s="1"/>
  <c r="BD29" i="20"/>
  <c r="BC29" i="20"/>
  <c r="BH29" i="20" s="1"/>
  <c r="AX29" i="20"/>
  <c r="AW29" i="20"/>
  <c r="AR29" i="20"/>
  <c r="AQ29" i="20"/>
  <c r="AL29" i="20"/>
  <c r="AK29" i="20"/>
  <c r="AE29" i="20"/>
  <c r="DM28" i="20"/>
  <c r="DL28" i="20"/>
  <c r="CY28" i="20"/>
  <c r="CK28" i="20"/>
  <c r="CJ28" i="20"/>
  <c r="CI28" i="20"/>
  <c r="BT28" i="20"/>
  <c r="BS28" i="20"/>
  <c r="BJ28" i="20"/>
  <c r="BI28" i="20"/>
  <c r="BN28" i="20" s="1"/>
  <c r="BD28" i="20"/>
  <c r="BC28" i="20"/>
  <c r="BH28" i="20" s="1"/>
  <c r="AX28" i="20"/>
  <c r="AW28" i="20"/>
  <c r="AR28" i="20"/>
  <c r="AQ28" i="20"/>
  <c r="AL28" i="20"/>
  <c r="AK28" i="20"/>
  <c r="AE28" i="20"/>
  <c r="DM27" i="20"/>
  <c r="DL27" i="20"/>
  <c r="CY27" i="20"/>
  <c r="CK27" i="20"/>
  <c r="CJ27" i="20"/>
  <c r="CI27" i="20"/>
  <c r="BT27" i="20"/>
  <c r="BX27" i="20" s="1"/>
  <c r="BS27" i="20"/>
  <c r="BJ27" i="20"/>
  <c r="BI27" i="20"/>
  <c r="BN27" i="20" s="1"/>
  <c r="BD27" i="20"/>
  <c r="BC27" i="20"/>
  <c r="BH27" i="20" s="1"/>
  <c r="AX27" i="20"/>
  <c r="AW27" i="20"/>
  <c r="AR27" i="20"/>
  <c r="AQ27" i="20"/>
  <c r="AL27" i="20"/>
  <c r="AK27" i="20"/>
  <c r="AE27" i="20"/>
  <c r="DM26" i="20"/>
  <c r="DL26" i="20"/>
  <c r="CY26" i="20"/>
  <c r="CK26" i="20"/>
  <c r="CJ26" i="20"/>
  <c r="CI26" i="20"/>
  <c r="BT26" i="20"/>
  <c r="BX26" i="20" s="1"/>
  <c r="BS26" i="20"/>
  <c r="BJ26" i="20"/>
  <c r="BI26" i="20"/>
  <c r="BD26" i="20"/>
  <c r="BC26" i="20"/>
  <c r="BH26" i="20" s="1"/>
  <c r="AX26" i="20"/>
  <c r="AW26" i="20"/>
  <c r="AR26" i="20"/>
  <c r="AQ26" i="20"/>
  <c r="AL26" i="20"/>
  <c r="AK26" i="20"/>
  <c r="AE26" i="20"/>
  <c r="DM25" i="20"/>
  <c r="DL25" i="20"/>
  <c r="CY25" i="20"/>
  <c r="CK25" i="20"/>
  <c r="CJ25" i="20"/>
  <c r="CI25" i="20"/>
  <c r="BT25" i="20"/>
  <c r="CA25" i="20" s="1"/>
  <c r="BS25" i="20"/>
  <c r="BJ25" i="20"/>
  <c r="BI25" i="20"/>
  <c r="BN25" i="20" s="1"/>
  <c r="BD25" i="20"/>
  <c r="BC25" i="20"/>
  <c r="BH25" i="20" s="1"/>
  <c r="AX25" i="20"/>
  <c r="AW25" i="20"/>
  <c r="AR25" i="20"/>
  <c r="AQ25" i="20"/>
  <c r="AL25" i="20"/>
  <c r="AK25" i="20"/>
  <c r="AE25" i="20"/>
  <c r="DM24" i="20"/>
  <c r="DL24" i="20"/>
  <c r="CY24" i="20"/>
  <c r="CK24" i="20"/>
  <c r="CJ24" i="20"/>
  <c r="CI24" i="20"/>
  <c r="BT24" i="20"/>
  <c r="BW24" i="20" s="1"/>
  <c r="BS24" i="20"/>
  <c r="BJ24" i="20"/>
  <c r="BI24" i="20"/>
  <c r="BN24" i="20" s="1"/>
  <c r="BD24" i="20"/>
  <c r="BC24" i="20"/>
  <c r="BH24" i="20" s="1"/>
  <c r="AX24" i="20"/>
  <c r="AW24" i="20"/>
  <c r="AR24" i="20"/>
  <c r="AQ24" i="20"/>
  <c r="AL24" i="20"/>
  <c r="AK24" i="20"/>
  <c r="AE24" i="20"/>
  <c r="DM23" i="20"/>
  <c r="DL23" i="20"/>
  <c r="CY23" i="20"/>
  <c r="CK23" i="20"/>
  <c r="CJ23" i="20"/>
  <c r="CI23" i="20"/>
  <c r="BT23" i="20"/>
  <c r="BS23" i="20"/>
  <c r="BJ23" i="20"/>
  <c r="BI23" i="20"/>
  <c r="BN23" i="20" s="1"/>
  <c r="BD23" i="20"/>
  <c r="BC23" i="20"/>
  <c r="BH23" i="20" s="1"/>
  <c r="AX23" i="20"/>
  <c r="AW23" i="20"/>
  <c r="AR23" i="20"/>
  <c r="AQ23" i="20"/>
  <c r="AL23" i="20"/>
  <c r="AK23" i="20"/>
  <c r="AE23" i="20"/>
  <c r="DM22" i="20"/>
  <c r="DL22" i="20"/>
  <c r="CY22" i="20"/>
  <c r="CK22" i="20"/>
  <c r="CJ22" i="20"/>
  <c r="CI22" i="20"/>
  <c r="BT22" i="20"/>
  <c r="BV22" i="20" s="1"/>
  <c r="BS22" i="20"/>
  <c r="BJ22" i="20"/>
  <c r="BI22" i="20"/>
  <c r="BD22" i="20"/>
  <c r="BC22" i="20"/>
  <c r="BH22" i="20" s="1"/>
  <c r="AX22" i="20"/>
  <c r="AW22" i="20"/>
  <c r="AR22" i="20"/>
  <c r="AQ22" i="20"/>
  <c r="AL22" i="20"/>
  <c r="AK22" i="20"/>
  <c r="AE22" i="20"/>
  <c r="DM21" i="20"/>
  <c r="DL21" i="20"/>
  <c r="CY21" i="20"/>
  <c r="CK21" i="20"/>
  <c r="CJ21" i="20"/>
  <c r="CI21" i="20"/>
  <c r="BT21" i="20"/>
  <c r="BV21" i="20" s="1"/>
  <c r="BS21" i="20"/>
  <c r="BJ21" i="20"/>
  <c r="BI21" i="20"/>
  <c r="BN21" i="20" s="1"/>
  <c r="BD21" i="20"/>
  <c r="BC21" i="20"/>
  <c r="BH21" i="20" s="1"/>
  <c r="AX21" i="20"/>
  <c r="AW21" i="20"/>
  <c r="AR21" i="20"/>
  <c r="AQ21" i="20"/>
  <c r="AL21" i="20"/>
  <c r="AK21" i="20"/>
  <c r="AE21" i="20"/>
  <c r="DM20" i="20"/>
  <c r="DL20" i="20"/>
  <c r="CY20" i="20"/>
  <c r="CK20" i="20"/>
  <c r="CJ20" i="20"/>
  <c r="CI20" i="20"/>
  <c r="BT20" i="20"/>
  <c r="CB20" i="20" s="1"/>
  <c r="BS20" i="20"/>
  <c r="BJ20" i="20"/>
  <c r="BI20" i="20"/>
  <c r="BN20" i="20" s="1"/>
  <c r="BD20" i="20"/>
  <c r="BC20" i="20"/>
  <c r="AX20" i="20"/>
  <c r="AW20" i="20"/>
  <c r="AR20" i="20"/>
  <c r="AQ20" i="20"/>
  <c r="AL20" i="20"/>
  <c r="AK20" i="20"/>
  <c r="AE20" i="20"/>
  <c r="DM19" i="20"/>
  <c r="DL19" i="20"/>
  <c r="CY19" i="20"/>
  <c r="CK19" i="20"/>
  <c r="CJ19" i="20"/>
  <c r="CI19" i="20"/>
  <c r="BT19" i="20"/>
  <c r="BX19" i="20" s="1"/>
  <c r="BS19" i="20"/>
  <c r="BJ19" i="20"/>
  <c r="BI19" i="20"/>
  <c r="BN19" i="20" s="1"/>
  <c r="BD19" i="20"/>
  <c r="BC19" i="20"/>
  <c r="BH19" i="20" s="1"/>
  <c r="AX19" i="20"/>
  <c r="AW19" i="20"/>
  <c r="AR19" i="20"/>
  <c r="AQ19" i="20"/>
  <c r="AL19" i="20"/>
  <c r="AK19" i="20"/>
  <c r="AE19" i="20"/>
  <c r="DM18" i="20"/>
  <c r="DL18" i="20"/>
  <c r="CY18" i="20"/>
  <c r="CK18" i="20"/>
  <c r="CJ18" i="20"/>
  <c r="CI18" i="20"/>
  <c r="BT18" i="20"/>
  <c r="CA18" i="20" s="1"/>
  <c r="BS18" i="20"/>
  <c r="BJ18" i="20"/>
  <c r="BI18" i="20"/>
  <c r="BN18" i="20" s="1"/>
  <c r="BD18" i="20"/>
  <c r="BC18" i="20"/>
  <c r="AX18" i="20"/>
  <c r="AW18" i="20"/>
  <c r="AR18" i="20"/>
  <c r="AQ18" i="20"/>
  <c r="AL18" i="20"/>
  <c r="AK18" i="20"/>
  <c r="AE18" i="20"/>
  <c r="AB18" i="20"/>
  <c r="DM17" i="20"/>
  <c r="DL17" i="20"/>
  <c r="CY17" i="20"/>
  <c r="CK17" i="20"/>
  <c r="CJ17" i="20"/>
  <c r="CI17" i="20"/>
  <c r="BT17" i="20"/>
  <c r="BW17" i="20" s="1"/>
  <c r="BS17" i="20"/>
  <c r="BJ17" i="20"/>
  <c r="BI17" i="20"/>
  <c r="BN17" i="20" s="1"/>
  <c r="BD17" i="20"/>
  <c r="BC17" i="20"/>
  <c r="BH17" i="20" s="1"/>
  <c r="AX17" i="20"/>
  <c r="AW17" i="20"/>
  <c r="AR17" i="20"/>
  <c r="AQ17" i="20"/>
  <c r="AL17" i="20"/>
  <c r="AK17" i="20"/>
  <c r="AE17" i="20"/>
  <c r="DM16" i="20"/>
  <c r="DL16" i="20"/>
  <c r="CY16" i="20"/>
  <c r="CK16" i="20"/>
  <c r="CJ16" i="20"/>
  <c r="CI16" i="20"/>
  <c r="BT16" i="20"/>
  <c r="CA16" i="20" s="1"/>
  <c r="BS16" i="20"/>
  <c r="BJ16" i="20"/>
  <c r="BI16" i="20"/>
  <c r="BN16" i="20" s="1"/>
  <c r="BD16" i="20"/>
  <c r="BC16" i="20"/>
  <c r="BH16" i="20" s="1"/>
  <c r="AX16" i="20"/>
  <c r="AW16" i="20"/>
  <c r="AR16" i="20"/>
  <c r="AQ16" i="20"/>
  <c r="AL16" i="20"/>
  <c r="AK16" i="20"/>
  <c r="AE16" i="20"/>
  <c r="DM15" i="20"/>
  <c r="DL15" i="20"/>
  <c r="CY15" i="20"/>
  <c r="CK15" i="20"/>
  <c r="CJ15" i="20"/>
  <c r="CI15" i="20"/>
  <c r="BT15" i="20"/>
  <c r="BZ15" i="20" s="1"/>
  <c r="BS15" i="20"/>
  <c r="BJ15" i="20"/>
  <c r="BI15" i="20"/>
  <c r="BN15" i="20" s="1"/>
  <c r="BD15" i="20"/>
  <c r="BC15" i="20"/>
  <c r="BH15" i="20" s="1"/>
  <c r="AX15" i="20"/>
  <c r="AW15" i="20"/>
  <c r="AR15" i="20"/>
  <c r="AQ15" i="20"/>
  <c r="AL15" i="20"/>
  <c r="AK15" i="20"/>
  <c r="AE15" i="20"/>
  <c r="DM14" i="20"/>
  <c r="DL14" i="20"/>
  <c r="CY14" i="20"/>
  <c r="CK14" i="20"/>
  <c r="CJ14" i="20"/>
  <c r="CI14" i="20"/>
  <c r="BT14" i="20"/>
  <c r="BV14" i="20" s="1"/>
  <c r="BS14" i="20"/>
  <c r="BJ14" i="20"/>
  <c r="BI14" i="20"/>
  <c r="BN14" i="20" s="1"/>
  <c r="BD14" i="20"/>
  <c r="BC14" i="20"/>
  <c r="BH14" i="20" s="1"/>
  <c r="AX14" i="20"/>
  <c r="AW14" i="20"/>
  <c r="AR14" i="20"/>
  <c r="AQ14" i="20"/>
  <c r="AL14" i="20"/>
  <c r="AK14" i="20"/>
  <c r="AE14" i="20"/>
  <c r="DM13" i="20"/>
  <c r="DL13" i="20"/>
  <c r="CY13" i="20"/>
  <c r="CK13" i="20"/>
  <c r="CJ13" i="20"/>
  <c r="CI13" i="20"/>
  <c r="BT13" i="20"/>
  <c r="BX13" i="20" s="1"/>
  <c r="BS13" i="20"/>
  <c r="BJ13" i="20"/>
  <c r="BI13" i="20"/>
  <c r="BN13" i="20" s="1"/>
  <c r="BD13" i="20"/>
  <c r="BC13" i="20"/>
  <c r="BH13" i="20" s="1"/>
  <c r="AX13" i="20"/>
  <c r="AW13" i="20"/>
  <c r="AR13" i="20"/>
  <c r="AQ13" i="20"/>
  <c r="AL13" i="20"/>
  <c r="AK13" i="20"/>
  <c r="AE13" i="20"/>
  <c r="DM12" i="20"/>
  <c r="DL12" i="20"/>
  <c r="CY12" i="20"/>
  <c r="CK12" i="20"/>
  <c r="CJ12" i="20"/>
  <c r="CI12" i="20"/>
  <c r="BT12" i="20"/>
  <c r="BS12" i="20"/>
  <c r="BJ12" i="20"/>
  <c r="BI12" i="20"/>
  <c r="BN12" i="20" s="1"/>
  <c r="BD12" i="20"/>
  <c r="BC12" i="20"/>
  <c r="BH12" i="20" s="1"/>
  <c r="AX12" i="20"/>
  <c r="AW12" i="20"/>
  <c r="AR12" i="20"/>
  <c r="AQ12" i="20"/>
  <c r="AL12" i="20"/>
  <c r="AK12" i="20"/>
  <c r="AE12" i="20"/>
  <c r="DM11" i="20"/>
  <c r="DL11" i="20"/>
  <c r="CY11" i="20"/>
  <c r="CK11" i="20"/>
  <c r="CJ11" i="20"/>
  <c r="CI11" i="20"/>
  <c r="BT11" i="20"/>
  <c r="BW11" i="20" s="1"/>
  <c r="BS11" i="20"/>
  <c r="BJ11" i="20"/>
  <c r="BI11" i="20"/>
  <c r="BD11" i="20"/>
  <c r="BC11" i="20"/>
  <c r="BH11" i="20" s="1"/>
  <c r="AX11" i="20"/>
  <c r="AW11" i="20"/>
  <c r="AR11" i="20"/>
  <c r="AQ11" i="20"/>
  <c r="AL11" i="20"/>
  <c r="AK11" i="20"/>
  <c r="AE11" i="20"/>
  <c r="DM10" i="20"/>
  <c r="DL10" i="20"/>
  <c r="CY10" i="20"/>
  <c r="CK10" i="20"/>
  <c r="CJ10" i="20"/>
  <c r="CI10" i="20"/>
  <c r="BT10" i="20"/>
  <c r="BS10" i="20"/>
  <c r="BJ10" i="20"/>
  <c r="BI10" i="20"/>
  <c r="BN10" i="20" s="1"/>
  <c r="BD10" i="20"/>
  <c r="BC10" i="20"/>
  <c r="BH10" i="20" s="1"/>
  <c r="AX10" i="20"/>
  <c r="AW10" i="20"/>
  <c r="AR10" i="20"/>
  <c r="AQ10" i="20"/>
  <c r="AL10" i="20"/>
  <c r="AK10" i="20"/>
  <c r="AE10" i="20"/>
  <c r="F10" i="20"/>
  <c r="E10" i="20"/>
  <c r="E8" i="20" s="1"/>
  <c r="D10" i="20"/>
  <c r="C10" i="20"/>
  <c r="DM9" i="20"/>
  <c r="DL9" i="20"/>
  <c r="CY9" i="20"/>
  <c r="CK9" i="20"/>
  <c r="CJ9" i="20"/>
  <c r="CI9" i="20"/>
  <c r="BT9" i="20"/>
  <c r="CA9" i="20" s="1"/>
  <c r="BS9" i="20"/>
  <c r="BJ9" i="20"/>
  <c r="BI9" i="20"/>
  <c r="BN9" i="20" s="1"/>
  <c r="BD9" i="20"/>
  <c r="BC9" i="20"/>
  <c r="BH9" i="20" s="1"/>
  <c r="AX9" i="20"/>
  <c r="AW9" i="20"/>
  <c r="AR9" i="20"/>
  <c r="AQ9" i="20"/>
  <c r="AL9" i="20"/>
  <c r="AK9" i="20"/>
  <c r="AE9" i="20"/>
  <c r="AB9" i="20"/>
  <c r="DM8" i="20"/>
  <c r="DL8" i="20"/>
  <c r="CY8" i="20"/>
  <c r="CK8" i="20"/>
  <c r="CJ8" i="20"/>
  <c r="CI8" i="20"/>
  <c r="BT8" i="20"/>
  <c r="BZ8" i="20" s="1"/>
  <c r="BS8" i="20"/>
  <c r="BJ8" i="20"/>
  <c r="BI8" i="20"/>
  <c r="BN8" i="20" s="1"/>
  <c r="BD8" i="20"/>
  <c r="BC8" i="20"/>
  <c r="BH8" i="20" s="1"/>
  <c r="AX8" i="20"/>
  <c r="AW8" i="20"/>
  <c r="AR8" i="20"/>
  <c r="AQ8" i="20"/>
  <c r="AL8" i="20"/>
  <c r="AK8" i="20"/>
  <c r="AE8" i="20"/>
  <c r="D8" i="20"/>
  <c r="DM7" i="20"/>
  <c r="DL7" i="20"/>
  <c r="CY7" i="20"/>
  <c r="CK7" i="20"/>
  <c r="CJ7" i="20"/>
  <c r="CI7" i="20"/>
  <c r="BT7" i="20"/>
  <c r="BY7" i="20" s="1"/>
  <c r="BS7" i="20"/>
  <c r="BJ7" i="20"/>
  <c r="BI7" i="20"/>
  <c r="BN7" i="20" s="1"/>
  <c r="BD7" i="20"/>
  <c r="BC7" i="20"/>
  <c r="BH7" i="20" s="1"/>
  <c r="AX7" i="20"/>
  <c r="AW7" i="20"/>
  <c r="AR7" i="20"/>
  <c r="AQ7" i="20"/>
  <c r="AL7" i="20"/>
  <c r="AK7" i="20"/>
  <c r="AE7" i="20"/>
  <c r="DM6" i="20"/>
  <c r="DL6" i="20"/>
  <c r="CY6" i="20"/>
  <c r="CK6" i="20"/>
  <c r="CJ6" i="20"/>
  <c r="CI6" i="20"/>
  <c r="BT6" i="20"/>
  <c r="BW6" i="20" s="1"/>
  <c r="BS6" i="20"/>
  <c r="BJ6" i="20"/>
  <c r="BI6" i="20"/>
  <c r="BN6" i="20" s="1"/>
  <c r="BD6" i="20"/>
  <c r="BC6" i="20"/>
  <c r="BH6" i="20" s="1"/>
  <c r="AX6" i="20"/>
  <c r="AW6" i="20"/>
  <c r="AR6" i="20"/>
  <c r="AQ6" i="20"/>
  <c r="AL6" i="20"/>
  <c r="AK6" i="20"/>
  <c r="AE6" i="20"/>
  <c r="DM5" i="20"/>
  <c r="DL5" i="20"/>
  <c r="CY5" i="20"/>
  <c r="CK5" i="20"/>
  <c r="CJ5" i="20"/>
  <c r="CI5" i="20"/>
  <c r="BT5" i="20"/>
  <c r="BY5" i="20" s="1"/>
  <c r="BS5" i="20"/>
  <c r="BJ5" i="20"/>
  <c r="BI5" i="20"/>
  <c r="BD5" i="20"/>
  <c r="BC5" i="20"/>
  <c r="BH5" i="20" s="1"/>
  <c r="AX5" i="20"/>
  <c r="AW5" i="20"/>
  <c r="AR5" i="20"/>
  <c r="AQ5" i="20"/>
  <c r="AL5" i="20"/>
  <c r="AK5" i="20"/>
  <c r="AE5" i="20"/>
  <c r="W908" i="13"/>
  <c r="X908" i="13" s="1"/>
  <c r="Y908" i="13" s="1"/>
  <c r="W907" i="13"/>
  <c r="X907" i="13" s="1"/>
  <c r="Y907" i="13" s="1"/>
  <c r="W906" i="13"/>
  <c r="X906" i="13" s="1"/>
  <c r="Y906" i="13" s="1"/>
  <c r="W905" i="13"/>
  <c r="X905" i="13" s="1"/>
  <c r="Y905" i="13" s="1"/>
  <c r="W904" i="13"/>
  <c r="X904" i="13" s="1"/>
  <c r="Y904" i="13" s="1"/>
  <c r="W903" i="13"/>
  <c r="X903" i="13" s="1"/>
  <c r="Y903" i="13" s="1"/>
  <c r="W902" i="13"/>
  <c r="X902" i="13" s="1"/>
  <c r="Y902" i="13" s="1"/>
  <c r="W901" i="13"/>
  <c r="X901" i="13" s="1"/>
  <c r="Y901" i="13" s="1"/>
  <c r="W900" i="13"/>
  <c r="X900" i="13" s="1"/>
  <c r="Y900" i="13" s="1"/>
  <c r="W899" i="13"/>
  <c r="X899" i="13" s="1"/>
  <c r="Y899" i="13" s="1"/>
  <c r="W898" i="13"/>
  <c r="X898" i="13" s="1"/>
  <c r="Y898" i="13" s="1"/>
  <c r="W897" i="13"/>
  <c r="X897" i="13" s="1"/>
  <c r="Y897" i="13" s="1"/>
  <c r="W896" i="13"/>
  <c r="X896" i="13" s="1"/>
  <c r="Y896" i="13" s="1"/>
  <c r="W895" i="13"/>
  <c r="X895" i="13" s="1"/>
  <c r="Y895" i="13" s="1"/>
  <c r="W894" i="13"/>
  <c r="X894" i="13" s="1"/>
  <c r="Y894" i="13" s="1"/>
  <c r="W893" i="13"/>
  <c r="X893" i="13" s="1"/>
  <c r="Y893" i="13" s="1"/>
  <c r="W892" i="13"/>
  <c r="X892" i="13" s="1"/>
  <c r="Y892" i="13" s="1"/>
  <c r="W891" i="13"/>
  <c r="X891" i="13" s="1"/>
  <c r="Y891" i="13" s="1"/>
  <c r="W890" i="13"/>
  <c r="X890" i="13" s="1"/>
  <c r="Y890" i="13" s="1"/>
  <c r="W889" i="13"/>
  <c r="X889" i="13" s="1"/>
  <c r="Y889" i="13" s="1"/>
  <c r="W888" i="13"/>
  <c r="X888" i="13" s="1"/>
  <c r="Y888" i="13" s="1"/>
  <c r="W887" i="13"/>
  <c r="X887" i="13" s="1"/>
  <c r="Y887" i="13" s="1"/>
  <c r="W886" i="13"/>
  <c r="X886" i="13" s="1"/>
  <c r="Y886" i="13" s="1"/>
  <c r="W885" i="13"/>
  <c r="X885" i="13" s="1"/>
  <c r="Y885" i="13" s="1"/>
  <c r="W884" i="13"/>
  <c r="X884" i="13" s="1"/>
  <c r="Y884" i="13" s="1"/>
  <c r="W883" i="13"/>
  <c r="X883" i="13" s="1"/>
  <c r="Y883" i="13" s="1"/>
  <c r="W882" i="13"/>
  <c r="X882" i="13" s="1"/>
  <c r="Y882" i="13" s="1"/>
  <c r="W881" i="13"/>
  <c r="X881" i="13" s="1"/>
  <c r="Y881" i="13" s="1"/>
  <c r="W880" i="13"/>
  <c r="X880" i="13" s="1"/>
  <c r="Y880" i="13" s="1"/>
  <c r="W879" i="13"/>
  <c r="X879" i="13" s="1"/>
  <c r="Y879" i="13" s="1"/>
  <c r="W878" i="13"/>
  <c r="X878" i="13" s="1"/>
  <c r="Y878" i="13" s="1"/>
  <c r="W877" i="13"/>
  <c r="X877" i="13" s="1"/>
  <c r="Y877" i="13" s="1"/>
  <c r="W876" i="13"/>
  <c r="X876" i="13" s="1"/>
  <c r="Y876" i="13" s="1"/>
  <c r="W875" i="13"/>
  <c r="X875" i="13" s="1"/>
  <c r="Y875" i="13" s="1"/>
  <c r="W874" i="13"/>
  <c r="X874" i="13" s="1"/>
  <c r="Y874" i="13" s="1"/>
  <c r="W873" i="13"/>
  <c r="X873" i="13" s="1"/>
  <c r="Y873" i="13" s="1"/>
  <c r="W872" i="13"/>
  <c r="X872" i="13" s="1"/>
  <c r="Y872" i="13" s="1"/>
  <c r="W871" i="13"/>
  <c r="X871" i="13" s="1"/>
  <c r="Y871" i="13" s="1"/>
  <c r="W870" i="13"/>
  <c r="X870" i="13" s="1"/>
  <c r="Y870" i="13" s="1"/>
  <c r="W869" i="13"/>
  <c r="X869" i="13" s="1"/>
  <c r="Y869" i="13" s="1"/>
  <c r="W868" i="13"/>
  <c r="X868" i="13" s="1"/>
  <c r="Y868" i="13" s="1"/>
  <c r="W867" i="13"/>
  <c r="X867" i="13" s="1"/>
  <c r="Y867" i="13" s="1"/>
  <c r="W866" i="13"/>
  <c r="X866" i="13" s="1"/>
  <c r="Y866" i="13" s="1"/>
  <c r="W865" i="13"/>
  <c r="X865" i="13" s="1"/>
  <c r="Y865" i="13" s="1"/>
  <c r="W864" i="13"/>
  <c r="X864" i="13" s="1"/>
  <c r="Y864" i="13" s="1"/>
  <c r="W863" i="13"/>
  <c r="X863" i="13" s="1"/>
  <c r="Y863" i="13" s="1"/>
  <c r="W862" i="13"/>
  <c r="X862" i="13" s="1"/>
  <c r="Y862" i="13" s="1"/>
  <c r="W861" i="13"/>
  <c r="X861" i="13" s="1"/>
  <c r="Y861" i="13" s="1"/>
  <c r="W860" i="13"/>
  <c r="X860" i="13" s="1"/>
  <c r="Y860" i="13" s="1"/>
  <c r="W859" i="13"/>
  <c r="X859" i="13" s="1"/>
  <c r="Y859" i="13" s="1"/>
  <c r="W858" i="13"/>
  <c r="X858" i="13" s="1"/>
  <c r="Y858" i="13" s="1"/>
  <c r="W857" i="13"/>
  <c r="X857" i="13" s="1"/>
  <c r="Y857" i="13" s="1"/>
  <c r="W856" i="13"/>
  <c r="X856" i="13" s="1"/>
  <c r="Y856" i="13" s="1"/>
  <c r="W855" i="13"/>
  <c r="X855" i="13" s="1"/>
  <c r="Y855" i="13" s="1"/>
  <c r="W854" i="13"/>
  <c r="X854" i="13" s="1"/>
  <c r="Y854" i="13" s="1"/>
  <c r="W853" i="13"/>
  <c r="X853" i="13" s="1"/>
  <c r="Y853" i="13" s="1"/>
  <c r="W852" i="13"/>
  <c r="X852" i="13" s="1"/>
  <c r="Y852" i="13" s="1"/>
  <c r="W851" i="13"/>
  <c r="X851" i="13" s="1"/>
  <c r="Y851" i="13" s="1"/>
  <c r="W850" i="13"/>
  <c r="X850" i="13" s="1"/>
  <c r="Y850" i="13" s="1"/>
  <c r="W849" i="13"/>
  <c r="X849" i="13" s="1"/>
  <c r="Y849" i="13" s="1"/>
  <c r="W848" i="13"/>
  <c r="X848" i="13" s="1"/>
  <c r="Y848" i="13" s="1"/>
  <c r="W847" i="13"/>
  <c r="X847" i="13" s="1"/>
  <c r="Y847" i="13" s="1"/>
  <c r="W846" i="13"/>
  <c r="X846" i="13" s="1"/>
  <c r="Y846" i="13" s="1"/>
  <c r="W845" i="13"/>
  <c r="X845" i="13" s="1"/>
  <c r="Y845" i="13" s="1"/>
  <c r="W844" i="13"/>
  <c r="X844" i="13" s="1"/>
  <c r="Y844" i="13" s="1"/>
  <c r="W843" i="13"/>
  <c r="X843" i="13" s="1"/>
  <c r="Y843" i="13" s="1"/>
  <c r="W842" i="13"/>
  <c r="X842" i="13" s="1"/>
  <c r="Y842" i="13" s="1"/>
  <c r="W841" i="13"/>
  <c r="X841" i="13" s="1"/>
  <c r="Y841" i="13" s="1"/>
  <c r="W840" i="13"/>
  <c r="X840" i="13" s="1"/>
  <c r="Y840" i="13" s="1"/>
  <c r="W839" i="13"/>
  <c r="X839" i="13" s="1"/>
  <c r="Y839" i="13" s="1"/>
  <c r="W838" i="13"/>
  <c r="X838" i="13" s="1"/>
  <c r="Y838" i="13" s="1"/>
  <c r="W837" i="13"/>
  <c r="X837" i="13" s="1"/>
  <c r="Y837" i="13" s="1"/>
  <c r="W836" i="13"/>
  <c r="X836" i="13" s="1"/>
  <c r="Y836" i="13" s="1"/>
  <c r="W835" i="13"/>
  <c r="X835" i="13" s="1"/>
  <c r="Y835" i="13" s="1"/>
  <c r="W834" i="13"/>
  <c r="X834" i="13" s="1"/>
  <c r="Y834" i="13" s="1"/>
  <c r="W833" i="13"/>
  <c r="X833" i="13" s="1"/>
  <c r="Y833" i="13" s="1"/>
  <c r="W832" i="13"/>
  <c r="X832" i="13" s="1"/>
  <c r="Y832" i="13" s="1"/>
  <c r="W831" i="13"/>
  <c r="X831" i="13" s="1"/>
  <c r="Y831" i="13" s="1"/>
  <c r="W830" i="13"/>
  <c r="X830" i="13" s="1"/>
  <c r="Y830" i="13" s="1"/>
  <c r="W829" i="13"/>
  <c r="X829" i="13" s="1"/>
  <c r="Y829" i="13" s="1"/>
  <c r="W828" i="13"/>
  <c r="X828" i="13" s="1"/>
  <c r="Y828" i="13" s="1"/>
  <c r="W827" i="13"/>
  <c r="X827" i="13" s="1"/>
  <c r="Y827" i="13" s="1"/>
  <c r="W826" i="13"/>
  <c r="X826" i="13" s="1"/>
  <c r="Y826" i="13" s="1"/>
  <c r="W825" i="13"/>
  <c r="X825" i="13" s="1"/>
  <c r="Y825" i="13" s="1"/>
  <c r="W824" i="13"/>
  <c r="X824" i="13" s="1"/>
  <c r="Y824" i="13" s="1"/>
  <c r="W823" i="13"/>
  <c r="X823" i="13" s="1"/>
  <c r="Y823" i="13" s="1"/>
  <c r="W822" i="13"/>
  <c r="X822" i="13" s="1"/>
  <c r="Y822" i="13" s="1"/>
  <c r="W821" i="13"/>
  <c r="X821" i="13" s="1"/>
  <c r="Y821" i="13" s="1"/>
  <c r="W820" i="13"/>
  <c r="X820" i="13" s="1"/>
  <c r="Y820" i="13" s="1"/>
  <c r="W819" i="13"/>
  <c r="X819" i="13" s="1"/>
  <c r="Y819" i="13" s="1"/>
  <c r="W818" i="13"/>
  <c r="X818" i="13" s="1"/>
  <c r="Y818" i="13" s="1"/>
  <c r="W817" i="13"/>
  <c r="X817" i="13" s="1"/>
  <c r="Y817" i="13" s="1"/>
  <c r="W816" i="13"/>
  <c r="X816" i="13" s="1"/>
  <c r="Y816" i="13" s="1"/>
  <c r="W815" i="13"/>
  <c r="X815" i="13" s="1"/>
  <c r="Y815" i="13" s="1"/>
  <c r="W814" i="13"/>
  <c r="X814" i="13" s="1"/>
  <c r="Y814" i="13" s="1"/>
  <c r="W813" i="13"/>
  <c r="X813" i="13" s="1"/>
  <c r="Y813" i="13" s="1"/>
  <c r="K813" i="13"/>
  <c r="W812" i="13"/>
  <c r="X812" i="13" s="1"/>
  <c r="Y812" i="13" s="1"/>
  <c r="K812" i="13"/>
  <c r="W811" i="13"/>
  <c r="X811" i="13" s="1"/>
  <c r="Y811" i="13" s="1"/>
  <c r="K811" i="13"/>
  <c r="W810" i="13"/>
  <c r="X810" i="13" s="1"/>
  <c r="Y810" i="13" s="1"/>
  <c r="K810" i="13"/>
  <c r="W809" i="13"/>
  <c r="X809" i="13" s="1"/>
  <c r="Y809" i="13" s="1"/>
  <c r="K809" i="13"/>
  <c r="W808" i="13"/>
  <c r="X808" i="13" s="1"/>
  <c r="Y808" i="13" s="1"/>
  <c r="K808" i="13"/>
  <c r="W807" i="13"/>
  <c r="X807" i="13" s="1"/>
  <c r="Y807" i="13" s="1"/>
  <c r="K807" i="13"/>
  <c r="W806" i="13"/>
  <c r="X806" i="13" s="1"/>
  <c r="Y806" i="13" s="1"/>
  <c r="K806" i="13"/>
  <c r="W805" i="13"/>
  <c r="X805" i="13" s="1"/>
  <c r="Y805" i="13" s="1"/>
  <c r="K805" i="13"/>
  <c r="W804" i="13"/>
  <c r="X804" i="13" s="1"/>
  <c r="Y804" i="13" s="1"/>
  <c r="K804" i="13"/>
  <c r="W803" i="13"/>
  <c r="X803" i="13" s="1"/>
  <c r="Y803" i="13" s="1"/>
  <c r="K803" i="13"/>
  <c r="W802" i="13"/>
  <c r="X802" i="13" s="1"/>
  <c r="Y802" i="13" s="1"/>
  <c r="W801" i="13"/>
  <c r="X801" i="13" s="1"/>
  <c r="Y801" i="13" s="1"/>
  <c r="W800" i="13"/>
  <c r="X800" i="13" s="1"/>
  <c r="Y800" i="13" s="1"/>
  <c r="W799" i="13"/>
  <c r="X799" i="13" s="1"/>
  <c r="Y799" i="13" s="1"/>
  <c r="W798" i="13"/>
  <c r="X798" i="13" s="1"/>
  <c r="Y798" i="13" s="1"/>
  <c r="W797" i="13"/>
  <c r="X797" i="13" s="1"/>
  <c r="Y797" i="13" s="1"/>
  <c r="W796" i="13"/>
  <c r="X796" i="13" s="1"/>
  <c r="Y796" i="13" s="1"/>
  <c r="W795" i="13"/>
  <c r="X795" i="13" s="1"/>
  <c r="Y795" i="13" s="1"/>
  <c r="W794" i="13"/>
  <c r="X794" i="13" s="1"/>
  <c r="Y794" i="13" s="1"/>
  <c r="W793" i="13"/>
  <c r="X793" i="13" s="1"/>
  <c r="Y793" i="13" s="1"/>
  <c r="W792" i="13"/>
  <c r="X792" i="13" s="1"/>
  <c r="Y792" i="13" s="1"/>
  <c r="W791" i="13"/>
  <c r="X791" i="13" s="1"/>
  <c r="Y791" i="13" s="1"/>
  <c r="W790" i="13"/>
  <c r="X790" i="13" s="1"/>
  <c r="Y790" i="13" s="1"/>
  <c r="W789" i="13"/>
  <c r="X789" i="13" s="1"/>
  <c r="Y789" i="13" s="1"/>
  <c r="W788" i="13"/>
  <c r="X788" i="13" s="1"/>
  <c r="Y788" i="13" s="1"/>
  <c r="W787" i="13"/>
  <c r="X787" i="13" s="1"/>
  <c r="Y787" i="13" s="1"/>
  <c r="W786" i="13"/>
  <c r="X786" i="13" s="1"/>
  <c r="Y786" i="13" s="1"/>
  <c r="W785" i="13"/>
  <c r="X785" i="13" s="1"/>
  <c r="Y785" i="13" s="1"/>
  <c r="W784" i="13"/>
  <c r="X784" i="13" s="1"/>
  <c r="Y784" i="13" s="1"/>
  <c r="W783" i="13"/>
  <c r="X783" i="13" s="1"/>
  <c r="Y783" i="13" s="1"/>
  <c r="W782" i="13"/>
  <c r="X782" i="13" s="1"/>
  <c r="Y782" i="13" s="1"/>
  <c r="W781" i="13"/>
  <c r="X781" i="13" s="1"/>
  <c r="Y781" i="13" s="1"/>
  <c r="W780" i="13"/>
  <c r="X780" i="13" s="1"/>
  <c r="Y780" i="13" s="1"/>
  <c r="W779" i="13"/>
  <c r="X779" i="13" s="1"/>
  <c r="Y779" i="13" s="1"/>
  <c r="W778" i="13"/>
  <c r="X778" i="13" s="1"/>
  <c r="Y778" i="13" s="1"/>
  <c r="W777" i="13"/>
  <c r="X777" i="13" s="1"/>
  <c r="Y777" i="13" s="1"/>
  <c r="W776" i="13"/>
  <c r="X776" i="13" s="1"/>
  <c r="Y776" i="13" s="1"/>
  <c r="W775" i="13"/>
  <c r="X775" i="13" s="1"/>
  <c r="Y775" i="13" s="1"/>
  <c r="W774" i="13"/>
  <c r="X774" i="13" s="1"/>
  <c r="Y774" i="13" s="1"/>
  <c r="W773" i="13"/>
  <c r="X773" i="13" s="1"/>
  <c r="Y773" i="13" s="1"/>
  <c r="W772" i="13"/>
  <c r="X772" i="13" s="1"/>
  <c r="Y772" i="13" s="1"/>
  <c r="W771" i="13"/>
  <c r="X771" i="13" s="1"/>
  <c r="Y771" i="13" s="1"/>
  <c r="W770" i="13"/>
  <c r="X770" i="13" s="1"/>
  <c r="Y770" i="13" s="1"/>
  <c r="W769" i="13"/>
  <c r="X769" i="13" s="1"/>
  <c r="Y769" i="13" s="1"/>
  <c r="W768" i="13"/>
  <c r="X768" i="13" s="1"/>
  <c r="Y768" i="13" s="1"/>
  <c r="W767" i="13"/>
  <c r="X767" i="13" s="1"/>
  <c r="Y767" i="13" s="1"/>
  <c r="W766" i="13"/>
  <c r="X766" i="13" s="1"/>
  <c r="Y766" i="13" s="1"/>
  <c r="W765" i="13"/>
  <c r="X765" i="13" s="1"/>
  <c r="Y765" i="13" s="1"/>
  <c r="W764" i="13"/>
  <c r="X764" i="13" s="1"/>
  <c r="Y764" i="13" s="1"/>
  <c r="W763" i="13"/>
  <c r="X763" i="13" s="1"/>
  <c r="Y763" i="13" s="1"/>
  <c r="W762" i="13"/>
  <c r="X762" i="13" s="1"/>
  <c r="Y762" i="13" s="1"/>
  <c r="W761" i="13"/>
  <c r="X761" i="13" s="1"/>
  <c r="Y761" i="13" s="1"/>
  <c r="W760" i="13"/>
  <c r="X760" i="13" s="1"/>
  <c r="Y760" i="13" s="1"/>
  <c r="W759" i="13"/>
  <c r="X759" i="13" s="1"/>
  <c r="Y759" i="13" s="1"/>
  <c r="W758" i="13"/>
  <c r="X758" i="13" s="1"/>
  <c r="Y758" i="13" s="1"/>
  <c r="W757" i="13"/>
  <c r="X757" i="13" s="1"/>
  <c r="Y757" i="13" s="1"/>
  <c r="W756" i="13"/>
  <c r="X756" i="13" s="1"/>
  <c r="Y756" i="13" s="1"/>
  <c r="W755" i="13"/>
  <c r="X755" i="13" s="1"/>
  <c r="Y755" i="13" s="1"/>
  <c r="W754" i="13"/>
  <c r="X754" i="13" s="1"/>
  <c r="Y754" i="13" s="1"/>
  <c r="W753" i="13"/>
  <c r="X753" i="13" s="1"/>
  <c r="Y753" i="13" s="1"/>
  <c r="W752" i="13"/>
  <c r="X752" i="13" s="1"/>
  <c r="Y752" i="13" s="1"/>
  <c r="W751" i="13"/>
  <c r="X751" i="13" s="1"/>
  <c r="Y751" i="13" s="1"/>
  <c r="W750" i="13"/>
  <c r="X750" i="13" s="1"/>
  <c r="Y750" i="13" s="1"/>
  <c r="W749" i="13"/>
  <c r="X749" i="13" s="1"/>
  <c r="Y749" i="13" s="1"/>
  <c r="W748" i="13"/>
  <c r="X748" i="13" s="1"/>
  <c r="Y748" i="13" s="1"/>
  <c r="W747" i="13"/>
  <c r="X747" i="13" s="1"/>
  <c r="Y747" i="13" s="1"/>
  <c r="W746" i="13"/>
  <c r="X746" i="13" s="1"/>
  <c r="Y746" i="13" s="1"/>
  <c r="W745" i="13"/>
  <c r="X745" i="13" s="1"/>
  <c r="Y745" i="13" s="1"/>
  <c r="W744" i="13"/>
  <c r="X744" i="13" s="1"/>
  <c r="Y744" i="13" s="1"/>
  <c r="W743" i="13"/>
  <c r="X743" i="13" s="1"/>
  <c r="Y743" i="13" s="1"/>
  <c r="W742" i="13"/>
  <c r="X742" i="13" s="1"/>
  <c r="Y742" i="13" s="1"/>
  <c r="W741" i="13"/>
  <c r="X741" i="13" s="1"/>
  <c r="Y741" i="13" s="1"/>
  <c r="W740" i="13"/>
  <c r="X740" i="13" s="1"/>
  <c r="Y740" i="13" s="1"/>
  <c r="W739" i="13"/>
  <c r="X739" i="13" s="1"/>
  <c r="Y739" i="13" s="1"/>
  <c r="W738" i="13"/>
  <c r="X738" i="13" s="1"/>
  <c r="Y738" i="13" s="1"/>
  <c r="W737" i="13"/>
  <c r="X737" i="13" s="1"/>
  <c r="Y737" i="13" s="1"/>
  <c r="W736" i="13"/>
  <c r="X736" i="13" s="1"/>
  <c r="Y736" i="13" s="1"/>
  <c r="W735" i="13"/>
  <c r="X735" i="13" s="1"/>
  <c r="Y735" i="13" s="1"/>
  <c r="W734" i="13"/>
  <c r="X734" i="13" s="1"/>
  <c r="Y734" i="13" s="1"/>
  <c r="W733" i="13"/>
  <c r="X733" i="13" s="1"/>
  <c r="Y733" i="13" s="1"/>
  <c r="W732" i="13"/>
  <c r="X732" i="13" s="1"/>
  <c r="Y732" i="13" s="1"/>
  <c r="W731" i="13"/>
  <c r="X731" i="13" s="1"/>
  <c r="Y731" i="13" s="1"/>
  <c r="W730" i="13"/>
  <c r="X730" i="13" s="1"/>
  <c r="Y730" i="13" s="1"/>
  <c r="W729" i="13"/>
  <c r="X729" i="13" s="1"/>
  <c r="Y729" i="13" s="1"/>
  <c r="W728" i="13"/>
  <c r="X728" i="13" s="1"/>
  <c r="Y728" i="13" s="1"/>
  <c r="W727" i="13"/>
  <c r="X727" i="13" s="1"/>
  <c r="Y727" i="13" s="1"/>
  <c r="W726" i="13"/>
  <c r="X726" i="13" s="1"/>
  <c r="Y726" i="13" s="1"/>
  <c r="W725" i="13"/>
  <c r="X725" i="13" s="1"/>
  <c r="Y725" i="13" s="1"/>
  <c r="W724" i="13"/>
  <c r="X724" i="13" s="1"/>
  <c r="Y724" i="13" s="1"/>
  <c r="W723" i="13"/>
  <c r="X723" i="13" s="1"/>
  <c r="Y723" i="13" s="1"/>
  <c r="W722" i="13"/>
  <c r="X722" i="13" s="1"/>
  <c r="Y722" i="13" s="1"/>
  <c r="W721" i="13"/>
  <c r="X721" i="13" s="1"/>
  <c r="Y721" i="13" s="1"/>
  <c r="W720" i="13"/>
  <c r="X720" i="13" s="1"/>
  <c r="Y720" i="13" s="1"/>
  <c r="W719" i="13"/>
  <c r="X719" i="13" s="1"/>
  <c r="Y719" i="13" s="1"/>
  <c r="W718" i="13"/>
  <c r="X718" i="13" s="1"/>
  <c r="Y718" i="13" s="1"/>
  <c r="W717" i="13"/>
  <c r="X717" i="13" s="1"/>
  <c r="Y717" i="13" s="1"/>
  <c r="W716" i="13"/>
  <c r="X716" i="13" s="1"/>
  <c r="Y716" i="13" s="1"/>
  <c r="W715" i="13"/>
  <c r="X715" i="13" s="1"/>
  <c r="Y715" i="13" s="1"/>
  <c r="W714" i="13"/>
  <c r="X714" i="13" s="1"/>
  <c r="Y714" i="13" s="1"/>
  <c r="W713" i="13"/>
  <c r="X713" i="13" s="1"/>
  <c r="Y713" i="13" s="1"/>
  <c r="W712" i="13"/>
  <c r="X712" i="13" s="1"/>
  <c r="Y712" i="13" s="1"/>
  <c r="W711" i="13"/>
  <c r="X711" i="13" s="1"/>
  <c r="Y711" i="13" s="1"/>
  <c r="W710" i="13"/>
  <c r="X710" i="13" s="1"/>
  <c r="Y710" i="13" s="1"/>
  <c r="W709" i="13"/>
  <c r="X709" i="13" s="1"/>
  <c r="Y709" i="13" s="1"/>
  <c r="W708" i="13"/>
  <c r="X708" i="13" s="1"/>
  <c r="Y708" i="13" s="1"/>
  <c r="W707" i="13"/>
  <c r="X707" i="13" s="1"/>
  <c r="Y707" i="13" s="1"/>
  <c r="W706" i="13"/>
  <c r="X706" i="13" s="1"/>
  <c r="Y706" i="13" s="1"/>
  <c r="W705" i="13"/>
  <c r="X705" i="13" s="1"/>
  <c r="Y705" i="13" s="1"/>
  <c r="W704" i="13"/>
  <c r="X704" i="13" s="1"/>
  <c r="Y704" i="13" s="1"/>
  <c r="W703" i="13"/>
  <c r="X703" i="13" s="1"/>
  <c r="Y703" i="13" s="1"/>
  <c r="W702" i="13"/>
  <c r="X702" i="13" s="1"/>
  <c r="Y702" i="13" s="1"/>
  <c r="W701" i="13"/>
  <c r="X701" i="13" s="1"/>
  <c r="Y701" i="13" s="1"/>
  <c r="W700" i="13"/>
  <c r="X700" i="13" s="1"/>
  <c r="Y700" i="13" s="1"/>
  <c r="W699" i="13"/>
  <c r="X699" i="13" s="1"/>
  <c r="Y699" i="13" s="1"/>
  <c r="W698" i="13"/>
  <c r="X698" i="13" s="1"/>
  <c r="Y698" i="13" s="1"/>
  <c r="W697" i="13"/>
  <c r="X697" i="13" s="1"/>
  <c r="Y697" i="13" s="1"/>
  <c r="W696" i="13"/>
  <c r="X696" i="13" s="1"/>
  <c r="Y696" i="13" s="1"/>
  <c r="W695" i="13"/>
  <c r="X695" i="13" s="1"/>
  <c r="Y695" i="13" s="1"/>
  <c r="W694" i="13"/>
  <c r="X694" i="13" s="1"/>
  <c r="Y694" i="13" s="1"/>
  <c r="W693" i="13"/>
  <c r="X693" i="13" s="1"/>
  <c r="Y693" i="13" s="1"/>
  <c r="W692" i="13"/>
  <c r="X692" i="13" s="1"/>
  <c r="Y692" i="13" s="1"/>
  <c r="W691" i="13"/>
  <c r="X691" i="13" s="1"/>
  <c r="Y691" i="13" s="1"/>
  <c r="W690" i="13"/>
  <c r="X690" i="13" s="1"/>
  <c r="Y690" i="13" s="1"/>
  <c r="W689" i="13"/>
  <c r="X689" i="13" s="1"/>
  <c r="Y689" i="13" s="1"/>
  <c r="W688" i="13"/>
  <c r="X688" i="13" s="1"/>
  <c r="Y688" i="13" s="1"/>
  <c r="W687" i="13"/>
  <c r="X687" i="13" s="1"/>
  <c r="Y687" i="13" s="1"/>
  <c r="W686" i="13"/>
  <c r="X686" i="13" s="1"/>
  <c r="Y686" i="13" s="1"/>
  <c r="W685" i="13"/>
  <c r="X685" i="13" s="1"/>
  <c r="Y685" i="13" s="1"/>
  <c r="W684" i="13"/>
  <c r="X684" i="13" s="1"/>
  <c r="Y684" i="13" s="1"/>
  <c r="W683" i="13"/>
  <c r="X683" i="13" s="1"/>
  <c r="Y683" i="13" s="1"/>
  <c r="W682" i="13"/>
  <c r="X682" i="13" s="1"/>
  <c r="Y682" i="13" s="1"/>
  <c r="W681" i="13"/>
  <c r="X681" i="13" s="1"/>
  <c r="Y681" i="13" s="1"/>
  <c r="W680" i="13"/>
  <c r="X680" i="13" s="1"/>
  <c r="Y680" i="13" s="1"/>
  <c r="W679" i="13"/>
  <c r="X679" i="13" s="1"/>
  <c r="Y679" i="13" s="1"/>
  <c r="W678" i="13"/>
  <c r="X678" i="13" s="1"/>
  <c r="Y678" i="13" s="1"/>
  <c r="W677" i="13"/>
  <c r="X677" i="13" s="1"/>
  <c r="Y677" i="13" s="1"/>
  <c r="W676" i="13"/>
  <c r="X676" i="13" s="1"/>
  <c r="Y676" i="13" s="1"/>
  <c r="W675" i="13"/>
  <c r="X675" i="13" s="1"/>
  <c r="Y675" i="13" s="1"/>
  <c r="W674" i="13"/>
  <c r="X674" i="13" s="1"/>
  <c r="Y674" i="13" s="1"/>
  <c r="W673" i="13"/>
  <c r="X673" i="13" s="1"/>
  <c r="Y673" i="13" s="1"/>
  <c r="W672" i="13"/>
  <c r="X672" i="13" s="1"/>
  <c r="Y672" i="13" s="1"/>
  <c r="W671" i="13"/>
  <c r="X671" i="13" s="1"/>
  <c r="Y671" i="13" s="1"/>
  <c r="W670" i="13"/>
  <c r="X670" i="13" s="1"/>
  <c r="Y670" i="13" s="1"/>
  <c r="W669" i="13"/>
  <c r="X669" i="13" s="1"/>
  <c r="Y669" i="13" s="1"/>
  <c r="W668" i="13"/>
  <c r="X668" i="13" s="1"/>
  <c r="Y668" i="13" s="1"/>
  <c r="W667" i="13"/>
  <c r="X667" i="13" s="1"/>
  <c r="Y667" i="13" s="1"/>
  <c r="W666" i="13"/>
  <c r="X666" i="13" s="1"/>
  <c r="Y666" i="13" s="1"/>
  <c r="W665" i="13"/>
  <c r="X665" i="13" s="1"/>
  <c r="Y665" i="13" s="1"/>
  <c r="W664" i="13"/>
  <c r="X664" i="13" s="1"/>
  <c r="Y664" i="13" s="1"/>
  <c r="W663" i="13"/>
  <c r="X663" i="13" s="1"/>
  <c r="Y663" i="13" s="1"/>
  <c r="W662" i="13"/>
  <c r="X662" i="13" s="1"/>
  <c r="Y662" i="13" s="1"/>
  <c r="W661" i="13"/>
  <c r="X661" i="13" s="1"/>
  <c r="Y661" i="13" s="1"/>
  <c r="W660" i="13"/>
  <c r="X660" i="13" s="1"/>
  <c r="Y660" i="13" s="1"/>
  <c r="W659" i="13"/>
  <c r="X659" i="13" s="1"/>
  <c r="Y659" i="13" s="1"/>
  <c r="W658" i="13"/>
  <c r="X658" i="13" s="1"/>
  <c r="Y658" i="13" s="1"/>
  <c r="W657" i="13"/>
  <c r="X657" i="13" s="1"/>
  <c r="Y657" i="13" s="1"/>
  <c r="W656" i="13"/>
  <c r="X656" i="13" s="1"/>
  <c r="Y656" i="13" s="1"/>
  <c r="W655" i="13"/>
  <c r="X655" i="13" s="1"/>
  <c r="Y655" i="13" s="1"/>
  <c r="W654" i="13"/>
  <c r="X654" i="13" s="1"/>
  <c r="Y654" i="13" s="1"/>
  <c r="W653" i="13"/>
  <c r="X653" i="13" s="1"/>
  <c r="Y653" i="13" s="1"/>
  <c r="W652" i="13"/>
  <c r="X652" i="13" s="1"/>
  <c r="Y652" i="13" s="1"/>
  <c r="W651" i="13"/>
  <c r="X651" i="13" s="1"/>
  <c r="Y651" i="13" s="1"/>
  <c r="W650" i="13"/>
  <c r="X650" i="13" s="1"/>
  <c r="Y650" i="13" s="1"/>
  <c r="W649" i="13"/>
  <c r="X649" i="13" s="1"/>
  <c r="Y649" i="13" s="1"/>
  <c r="W648" i="13"/>
  <c r="X648" i="13" s="1"/>
  <c r="Y648" i="13" s="1"/>
  <c r="W647" i="13"/>
  <c r="X647" i="13" s="1"/>
  <c r="Y647" i="13" s="1"/>
  <c r="W646" i="13"/>
  <c r="X646" i="13" s="1"/>
  <c r="Y646" i="13" s="1"/>
  <c r="W645" i="13"/>
  <c r="X645" i="13" s="1"/>
  <c r="Y645" i="13" s="1"/>
  <c r="W644" i="13"/>
  <c r="X644" i="13" s="1"/>
  <c r="Y644" i="13" s="1"/>
  <c r="W643" i="13"/>
  <c r="X643" i="13" s="1"/>
  <c r="Y643" i="13" s="1"/>
  <c r="W642" i="13"/>
  <c r="X642" i="13" s="1"/>
  <c r="Y642" i="13" s="1"/>
  <c r="W641" i="13"/>
  <c r="X641" i="13" s="1"/>
  <c r="Y641" i="13" s="1"/>
  <c r="W640" i="13"/>
  <c r="X640" i="13" s="1"/>
  <c r="Y640" i="13" s="1"/>
  <c r="W639" i="13"/>
  <c r="X639" i="13" s="1"/>
  <c r="Y639" i="13" s="1"/>
  <c r="W638" i="13"/>
  <c r="X638" i="13" s="1"/>
  <c r="Y638" i="13" s="1"/>
  <c r="W637" i="13"/>
  <c r="X637" i="13" s="1"/>
  <c r="Y637" i="13" s="1"/>
  <c r="W636" i="13"/>
  <c r="X636" i="13" s="1"/>
  <c r="Y636" i="13" s="1"/>
  <c r="W635" i="13"/>
  <c r="X635" i="13" s="1"/>
  <c r="Y635" i="13" s="1"/>
  <c r="W634" i="13"/>
  <c r="X634" i="13" s="1"/>
  <c r="Y634" i="13" s="1"/>
  <c r="W633" i="13"/>
  <c r="X633" i="13" s="1"/>
  <c r="Y633" i="13" s="1"/>
  <c r="W632" i="13"/>
  <c r="X632" i="13" s="1"/>
  <c r="Y632" i="13" s="1"/>
  <c r="W631" i="13"/>
  <c r="X631" i="13" s="1"/>
  <c r="Y631" i="13" s="1"/>
  <c r="W630" i="13"/>
  <c r="X630" i="13" s="1"/>
  <c r="Y630" i="13" s="1"/>
  <c r="W629" i="13"/>
  <c r="X629" i="13" s="1"/>
  <c r="Y629" i="13" s="1"/>
  <c r="W628" i="13"/>
  <c r="X628" i="13" s="1"/>
  <c r="Y628" i="13" s="1"/>
  <c r="W627" i="13"/>
  <c r="X627" i="13" s="1"/>
  <c r="Y627" i="13" s="1"/>
  <c r="W626" i="13"/>
  <c r="X626" i="13" s="1"/>
  <c r="Y626" i="13" s="1"/>
  <c r="W625" i="13"/>
  <c r="X625" i="13" s="1"/>
  <c r="Y625" i="13" s="1"/>
  <c r="W624" i="13"/>
  <c r="X624" i="13" s="1"/>
  <c r="Y624" i="13" s="1"/>
  <c r="W623" i="13"/>
  <c r="X623" i="13" s="1"/>
  <c r="Y623" i="13" s="1"/>
  <c r="W622" i="13"/>
  <c r="X622" i="13" s="1"/>
  <c r="Y622" i="13" s="1"/>
  <c r="W621" i="13"/>
  <c r="X621" i="13" s="1"/>
  <c r="Y621" i="13" s="1"/>
  <c r="W620" i="13"/>
  <c r="X620" i="13" s="1"/>
  <c r="Y620" i="13" s="1"/>
  <c r="W619" i="13"/>
  <c r="X619" i="13" s="1"/>
  <c r="Y619" i="13" s="1"/>
  <c r="W618" i="13"/>
  <c r="X618" i="13" s="1"/>
  <c r="Y618" i="13" s="1"/>
  <c r="W617" i="13"/>
  <c r="X617" i="13" s="1"/>
  <c r="Y617" i="13" s="1"/>
  <c r="W616" i="13"/>
  <c r="X616" i="13" s="1"/>
  <c r="Y616" i="13" s="1"/>
  <c r="W615" i="13"/>
  <c r="X615" i="13" s="1"/>
  <c r="Y615" i="13" s="1"/>
  <c r="W614" i="13"/>
  <c r="X614" i="13" s="1"/>
  <c r="Y614" i="13" s="1"/>
  <c r="W613" i="13"/>
  <c r="X613" i="13" s="1"/>
  <c r="Y613" i="13" s="1"/>
  <c r="W612" i="13"/>
  <c r="X612" i="13" s="1"/>
  <c r="Y612" i="13" s="1"/>
  <c r="W611" i="13"/>
  <c r="X611" i="13" s="1"/>
  <c r="Y611" i="13" s="1"/>
  <c r="W610" i="13"/>
  <c r="X610" i="13" s="1"/>
  <c r="Y610" i="13" s="1"/>
  <c r="W609" i="13"/>
  <c r="X609" i="13" s="1"/>
  <c r="Y609" i="13" s="1"/>
  <c r="W608" i="13"/>
  <c r="X608" i="13" s="1"/>
  <c r="Y608" i="13" s="1"/>
  <c r="W607" i="13"/>
  <c r="X607" i="13" s="1"/>
  <c r="Y607" i="13" s="1"/>
  <c r="W606" i="13"/>
  <c r="X606" i="13" s="1"/>
  <c r="Y606" i="13" s="1"/>
  <c r="W605" i="13"/>
  <c r="X605" i="13" s="1"/>
  <c r="Y605" i="13" s="1"/>
  <c r="W604" i="13"/>
  <c r="X604" i="13" s="1"/>
  <c r="Y604" i="13" s="1"/>
  <c r="W603" i="13"/>
  <c r="X603" i="13" s="1"/>
  <c r="Y603" i="13" s="1"/>
  <c r="W602" i="13"/>
  <c r="X602" i="13" s="1"/>
  <c r="Y602" i="13" s="1"/>
  <c r="W601" i="13"/>
  <c r="X601" i="13" s="1"/>
  <c r="Y601" i="13" s="1"/>
  <c r="W600" i="13"/>
  <c r="X600" i="13" s="1"/>
  <c r="Y600" i="13" s="1"/>
  <c r="W599" i="13"/>
  <c r="X599" i="13" s="1"/>
  <c r="Y599" i="13" s="1"/>
  <c r="W598" i="13"/>
  <c r="X598" i="13" s="1"/>
  <c r="Y598" i="13" s="1"/>
  <c r="W597" i="13"/>
  <c r="X597" i="13" s="1"/>
  <c r="Y597" i="13" s="1"/>
  <c r="W596" i="13"/>
  <c r="X596" i="13" s="1"/>
  <c r="Y596" i="13" s="1"/>
  <c r="W595" i="13"/>
  <c r="X595" i="13" s="1"/>
  <c r="Y595" i="13" s="1"/>
  <c r="W594" i="13"/>
  <c r="X594" i="13" s="1"/>
  <c r="Y594" i="13" s="1"/>
  <c r="W593" i="13"/>
  <c r="X593" i="13" s="1"/>
  <c r="Y593" i="13" s="1"/>
  <c r="W592" i="13"/>
  <c r="X592" i="13" s="1"/>
  <c r="Y592" i="13" s="1"/>
  <c r="W591" i="13"/>
  <c r="X591" i="13" s="1"/>
  <c r="Y591" i="13" s="1"/>
  <c r="W590" i="13"/>
  <c r="X590" i="13" s="1"/>
  <c r="Y590" i="13" s="1"/>
  <c r="W589" i="13"/>
  <c r="X589" i="13" s="1"/>
  <c r="Y589" i="13" s="1"/>
  <c r="W588" i="13"/>
  <c r="X588" i="13" s="1"/>
  <c r="Y588" i="13" s="1"/>
  <c r="W587" i="13"/>
  <c r="X587" i="13" s="1"/>
  <c r="Y587" i="13" s="1"/>
  <c r="W586" i="13"/>
  <c r="X586" i="13" s="1"/>
  <c r="Y586" i="13" s="1"/>
  <c r="W585" i="13"/>
  <c r="X585" i="13" s="1"/>
  <c r="Y585" i="13" s="1"/>
  <c r="W584" i="13"/>
  <c r="X584" i="13" s="1"/>
  <c r="Y584" i="13" s="1"/>
  <c r="W583" i="13"/>
  <c r="X583" i="13" s="1"/>
  <c r="Y583" i="13" s="1"/>
  <c r="W582" i="13"/>
  <c r="X582" i="13" s="1"/>
  <c r="Y582" i="13" s="1"/>
  <c r="W581" i="13"/>
  <c r="X581" i="13" s="1"/>
  <c r="Y581" i="13" s="1"/>
  <c r="W580" i="13"/>
  <c r="X580" i="13" s="1"/>
  <c r="Y580" i="13" s="1"/>
  <c r="W579" i="13"/>
  <c r="X579" i="13" s="1"/>
  <c r="Y579" i="13" s="1"/>
  <c r="W578" i="13"/>
  <c r="X578" i="13" s="1"/>
  <c r="Y578" i="13" s="1"/>
  <c r="W577" i="13"/>
  <c r="X577" i="13" s="1"/>
  <c r="Y577" i="13" s="1"/>
  <c r="W576" i="13"/>
  <c r="X576" i="13" s="1"/>
  <c r="Y576" i="13" s="1"/>
  <c r="W575" i="13"/>
  <c r="X575" i="13" s="1"/>
  <c r="Y575" i="13" s="1"/>
  <c r="W574" i="13"/>
  <c r="X574" i="13" s="1"/>
  <c r="Y574" i="13" s="1"/>
  <c r="W573" i="13"/>
  <c r="X573" i="13" s="1"/>
  <c r="Y573" i="13" s="1"/>
  <c r="W572" i="13"/>
  <c r="X572" i="13" s="1"/>
  <c r="Y572" i="13" s="1"/>
  <c r="W571" i="13"/>
  <c r="X571" i="13" s="1"/>
  <c r="Y571" i="13" s="1"/>
  <c r="W570" i="13"/>
  <c r="X570" i="13" s="1"/>
  <c r="Y570" i="13" s="1"/>
  <c r="W569" i="13"/>
  <c r="X569" i="13" s="1"/>
  <c r="Y569" i="13" s="1"/>
  <c r="W568" i="13"/>
  <c r="X568" i="13" s="1"/>
  <c r="Y568" i="13" s="1"/>
  <c r="W567" i="13"/>
  <c r="X567" i="13" s="1"/>
  <c r="Y567" i="13" s="1"/>
  <c r="W566" i="13"/>
  <c r="X566" i="13" s="1"/>
  <c r="Y566" i="13" s="1"/>
  <c r="W565" i="13"/>
  <c r="X565" i="13" s="1"/>
  <c r="Y565" i="13" s="1"/>
  <c r="W564" i="13"/>
  <c r="X564" i="13" s="1"/>
  <c r="Y564" i="13" s="1"/>
  <c r="W563" i="13"/>
  <c r="X563" i="13" s="1"/>
  <c r="Y563" i="13" s="1"/>
  <c r="W562" i="13"/>
  <c r="X562" i="13" s="1"/>
  <c r="Y562" i="13" s="1"/>
  <c r="W561" i="13"/>
  <c r="X561" i="13" s="1"/>
  <c r="Y561" i="13" s="1"/>
  <c r="W560" i="13"/>
  <c r="X560" i="13" s="1"/>
  <c r="Y560" i="13" s="1"/>
  <c r="W559" i="13"/>
  <c r="X559" i="13" s="1"/>
  <c r="Y559" i="13" s="1"/>
  <c r="W558" i="13"/>
  <c r="X558" i="13" s="1"/>
  <c r="Y558" i="13" s="1"/>
  <c r="W557" i="13"/>
  <c r="X557" i="13" s="1"/>
  <c r="Y557" i="13" s="1"/>
  <c r="W556" i="13"/>
  <c r="X556" i="13" s="1"/>
  <c r="Y556" i="13" s="1"/>
  <c r="W555" i="13"/>
  <c r="X555" i="13" s="1"/>
  <c r="Y555" i="13" s="1"/>
  <c r="W554" i="13"/>
  <c r="X554" i="13" s="1"/>
  <c r="Y554" i="13" s="1"/>
  <c r="W553" i="13"/>
  <c r="X553" i="13" s="1"/>
  <c r="Y553" i="13" s="1"/>
  <c r="W552" i="13"/>
  <c r="X552" i="13" s="1"/>
  <c r="Y552" i="13" s="1"/>
  <c r="W551" i="13"/>
  <c r="X551" i="13" s="1"/>
  <c r="Y551" i="13" s="1"/>
  <c r="W550" i="13"/>
  <c r="X550" i="13" s="1"/>
  <c r="Y550" i="13" s="1"/>
  <c r="W549" i="13"/>
  <c r="X549" i="13" s="1"/>
  <c r="Y549" i="13" s="1"/>
  <c r="W548" i="13"/>
  <c r="X548" i="13" s="1"/>
  <c r="Y548" i="13" s="1"/>
  <c r="W547" i="13"/>
  <c r="X547" i="13" s="1"/>
  <c r="Y547" i="13" s="1"/>
  <c r="W546" i="13"/>
  <c r="X546" i="13" s="1"/>
  <c r="Y546" i="13" s="1"/>
  <c r="W545" i="13"/>
  <c r="X545" i="13" s="1"/>
  <c r="Y545" i="13" s="1"/>
  <c r="W544" i="13"/>
  <c r="X544" i="13" s="1"/>
  <c r="Y544" i="13" s="1"/>
  <c r="W543" i="13"/>
  <c r="X543" i="13" s="1"/>
  <c r="Y543" i="13" s="1"/>
  <c r="W542" i="13"/>
  <c r="X542" i="13" s="1"/>
  <c r="Y542" i="13" s="1"/>
  <c r="W541" i="13"/>
  <c r="X541" i="13" s="1"/>
  <c r="Y541" i="13" s="1"/>
  <c r="W540" i="13"/>
  <c r="X540" i="13" s="1"/>
  <c r="Y540" i="13" s="1"/>
  <c r="W539" i="13"/>
  <c r="X539" i="13" s="1"/>
  <c r="Y539" i="13" s="1"/>
  <c r="W538" i="13"/>
  <c r="X538" i="13" s="1"/>
  <c r="Y538" i="13" s="1"/>
  <c r="W537" i="13"/>
  <c r="X537" i="13" s="1"/>
  <c r="Y537" i="13" s="1"/>
  <c r="W536" i="13"/>
  <c r="X536" i="13" s="1"/>
  <c r="Y536" i="13" s="1"/>
  <c r="W535" i="13"/>
  <c r="X535" i="13" s="1"/>
  <c r="Y535" i="13" s="1"/>
  <c r="W534" i="13"/>
  <c r="X534" i="13" s="1"/>
  <c r="Y534" i="13" s="1"/>
  <c r="W533" i="13"/>
  <c r="X533" i="13" s="1"/>
  <c r="Y533" i="13" s="1"/>
  <c r="W532" i="13"/>
  <c r="X532" i="13" s="1"/>
  <c r="Y532" i="13" s="1"/>
  <c r="W531" i="13"/>
  <c r="X531" i="13" s="1"/>
  <c r="Y531" i="13" s="1"/>
  <c r="W530" i="13"/>
  <c r="X530" i="13" s="1"/>
  <c r="Y530" i="13" s="1"/>
  <c r="W529" i="13"/>
  <c r="X529" i="13" s="1"/>
  <c r="Y529" i="13" s="1"/>
  <c r="W528" i="13"/>
  <c r="X528" i="13" s="1"/>
  <c r="Y528" i="13" s="1"/>
  <c r="W527" i="13"/>
  <c r="X527" i="13" s="1"/>
  <c r="Y527" i="13" s="1"/>
  <c r="W526" i="13"/>
  <c r="X526" i="13" s="1"/>
  <c r="Y526" i="13" s="1"/>
  <c r="W525" i="13"/>
  <c r="X525" i="13" s="1"/>
  <c r="Y525" i="13" s="1"/>
  <c r="W524" i="13"/>
  <c r="X524" i="13" s="1"/>
  <c r="Y524" i="13" s="1"/>
  <c r="W523" i="13"/>
  <c r="X523" i="13" s="1"/>
  <c r="Y523" i="13" s="1"/>
  <c r="W522" i="13"/>
  <c r="X522" i="13" s="1"/>
  <c r="Y522" i="13" s="1"/>
  <c r="W521" i="13"/>
  <c r="X521" i="13" s="1"/>
  <c r="Y521" i="13" s="1"/>
  <c r="W520" i="13"/>
  <c r="X520" i="13" s="1"/>
  <c r="Y520" i="13" s="1"/>
  <c r="W519" i="13"/>
  <c r="X519" i="13" s="1"/>
  <c r="Y519" i="13" s="1"/>
  <c r="W518" i="13"/>
  <c r="X518" i="13" s="1"/>
  <c r="Y518" i="13" s="1"/>
  <c r="W517" i="13"/>
  <c r="X517" i="13" s="1"/>
  <c r="Y517" i="13" s="1"/>
  <c r="W516" i="13"/>
  <c r="X516" i="13" s="1"/>
  <c r="Y516" i="13" s="1"/>
  <c r="W515" i="13"/>
  <c r="X515" i="13" s="1"/>
  <c r="Y515" i="13" s="1"/>
  <c r="W514" i="13"/>
  <c r="X514" i="13" s="1"/>
  <c r="Y514" i="13" s="1"/>
  <c r="W513" i="13"/>
  <c r="X513" i="13" s="1"/>
  <c r="Y513" i="13" s="1"/>
  <c r="W512" i="13"/>
  <c r="X512" i="13" s="1"/>
  <c r="Y512" i="13" s="1"/>
  <c r="W511" i="13"/>
  <c r="X511" i="13" s="1"/>
  <c r="Y511" i="13" s="1"/>
  <c r="W510" i="13"/>
  <c r="X510" i="13" s="1"/>
  <c r="Y510" i="13" s="1"/>
  <c r="W509" i="13"/>
  <c r="X509" i="13" s="1"/>
  <c r="Y509" i="13" s="1"/>
  <c r="W508" i="13"/>
  <c r="X508" i="13" s="1"/>
  <c r="Y508" i="13" s="1"/>
  <c r="W507" i="13"/>
  <c r="X507" i="13" s="1"/>
  <c r="Y507" i="13" s="1"/>
  <c r="W506" i="13"/>
  <c r="X506" i="13" s="1"/>
  <c r="Y506" i="13" s="1"/>
  <c r="W505" i="13"/>
  <c r="X505" i="13" s="1"/>
  <c r="Y505" i="13" s="1"/>
  <c r="W504" i="13"/>
  <c r="X504" i="13" s="1"/>
  <c r="Y504" i="13" s="1"/>
  <c r="X503" i="13"/>
  <c r="Y503" i="13" s="1"/>
  <c r="W503" i="13"/>
  <c r="W502" i="13"/>
  <c r="X502" i="13" s="1"/>
  <c r="Y502" i="13" s="1"/>
  <c r="W501" i="13"/>
  <c r="X501" i="13" s="1"/>
  <c r="Y501" i="13" s="1"/>
  <c r="W500" i="13"/>
  <c r="X500" i="13" s="1"/>
  <c r="Y500" i="13" s="1"/>
  <c r="W499" i="13"/>
  <c r="X499" i="13" s="1"/>
  <c r="Y499" i="13" s="1"/>
  <c r="W498" i="13"/>
  <c r="X498" i="13" s="1"/>
  <c r="Y498" i="13" s="1"/>
  <c r="W497" i="13"/>
  <c r="X497" i="13" s="1"/>
  <c r="Y497" i="13" s="1"/>
  <c r="W496" i="13"/>
  <c r="X496" i="13" s="1"/>
  <c r="Y496" i="13" s="1"/>
  <c r="W495" i="13"/>
  <c r="X495" i="13" s="1"/>
  <c r="Y495" i="13" s="1"/>
  <c r="W494" i="13"/>
  <c r="X494" i="13" s="1"/>
  <c r="Y494" i="13" s="1"/>
  <c r="W493" i="13"/>
  <c r="X493" i="13" s="1"/>
  <c r="Y493" i="13" s="1"/>
  <c r="W492" i="13"/>
  <c r="X492" i="13" s="1"/>
  <c r="Y492" i="13" s="1"/>
  <c r="W491" i="13"/>
  <c r="X491" i="13" s="1"/>
  <c r="Y491" i="13" s="1"/>
  <c r="W490" i="13"/>
  <c r="X490" i="13" s="1"/>
  <c r="Y490" i="13" s="1"/>
  <c r="W489" i="13"/>
  <c r="X489" i="13" s="1"/>
  <c r="Y489" i="13" s="1"/>
  <c r="W488" i="13"/>
  <c r="X488" i="13" s="1"/>
  <c r="Y488" i="13" s="1"/>
  <c r="W487" i="13"/>
  <c r="X487" i="13" s="1"/>
  <c r="Y487" i="13" s="1"/>
  <c r="W486" i="13"/>
  <c r="X486" i="13" s="1"/>
  <c r="Y486" i="13" s="1"/>
  <c r="W485" i="13"/>
  <c r="X485" i="13" s="1"/>
  <c r="Y485" i="13" s="1"/>
  <c r="W484" i="13"/>
  <c r="X484" i="13" s="1"/>
  <c r="Y484" i="13" s="1"/>
  <c r="W483" i="13"/>
  <c r="X483" i="13" s="1"/>
  <c r="Y483" i="13" s="1"/>
  <c r="W482" i="13"/>
  <c r="X482" i="13" s="1"/>
  <c r="Y482" i="13" s="1"/>
  <c r="W481" i="13"/>
  <c r="X481" i="13" s="1"/>
  <c r="Y481" i="13" s="1"/>
  <c r="W480" i="13"/>
  <c r="X480" i="13" s="1"/>
  <c r="Y480" i="13" s="1"/>
  <c r="W479" i="13"/>
  <c r="X479" i="13" s="1"/>
  <c r="Y479" i="13" s="1"/>
  <c r="W478" i="13"/>
  <c r="X478" i="13" s="1"/>
  <c r="Y478" i="13" s="1"/>
  <c r="W477" i="13"/>
  <c r="X477" i="13" s="1"/>
  <c r="Y477" i="13" s="1"/>
  <c r="W476" i="13"/>
  <c r="X476" i="13" s="1"/>
  <c r="Y476" i="13" s="1"/>
  <c r="W475" i="13"/>
  <c r="X475" i="13" s="1"/>
  <c r="Y475" i="13" s="1"/>
  <c r="W474" i="13"/>
  <c r="X474" i="13" s="1"/>
  <c r="Y474" i="13" s="1"/>
  <c r="W473" i="13"/>
  <c r="X473" i="13" s="1"/>
  <c r="Y473" i="13" s="1"/>
  <c r="W472" i="13"/>
  <c r="X472" i="13" s="1"/>
  <c r="Y472" i="13" s="1"/>
  <c r="W471" i="13"/>
  <c r="X471" i="13" s="1"/>
  <c r="Y471" i="13" s="1"/>
  <c r="W470" i="13"/>
  <c r="X470" i="13" s="1"/>
  <c r="Y470" i="13" s="1"/>
  <c r="W469" i="13"/>
  <c r="X469" i="13" s="1"/>
  <c r="Y469" i="13" s="1"/>
  <c r="W468" i="13"/>
  <c r="X468" i="13" s="1"/>
  <c r="Y468" i="13" s="1"/>
  <c r="W467" i="13"/>
  <c r="X467" i="13" s="1"/>
  <c r="Y467" i="13" s="1"/>
  <c r="W466" i="13"/>
  <c r="X466" i="13" s="1"/>
  <c r="Y466" i="13" s="1"/>
  <c r="W465" i="13"/>
  <c r="X465" i="13" s="1"/>
  <c r="Y465" i="13" s="1"/>
  <c r="W464" i="13"/>
  <c r="X464" i="13" s="1"/>
  <c r="Y464" i="13" s="1"/>
  <c r="W463" i="13"/>
  <c r="X463" i="13" s="1"/>
  <c r="Y463" i="13" s="1"/>
  <c r="W462" i="13"/>
  <c r="X462" i="13" s="1"/>
  <c r="Y462" i="13" s="1"/>
  <c r="W461" i="13"/>
  <c r="X461" i="13" s="1"/>
  <c r="Y461" i="13" s="1"/>
  <c r="W460" i="13"/>
  <c r="X460" i="13" s="1"/>
  <c r="Y460" i="13" s="1"/>
  <c r="W459" i="13"/>
  <c r="X459" i="13" s="1"/>
  <c r="Y459" i="13" s="1"/>
  <c r="W458" i="13"/>
  <c r="X458" i="13" s="1"/>
  <c r="Y458" i="13" s="1"/>
  <c r="W457" i="13"/>
  <c r="X457" i="13" s="1"/>
  <c r="Y457" i="13" s="1"/>
  <c r="W456" i="13"/>
  <c r="X456" i="13" s="1"/>
  <c r="Y456" i="13" s="1"/>
  <c r="W455" i="13"/>
  <c r="X455" i="13" s="1"/>
  <c r="Y455" i="13" s="1"/>
  <c r="W454" i="13"/>
  <c r="X454" i="13" s="1"/>
  <c r="Y454" i="13" s="1"/>
  <c r="W453" i="13"/>
  <c r="X453" i="13" s="1"/>
  <c r="Y453" i="13" s="1"/>
  <c r="W452" i="13"/>
  <c r="X452" i="13" s="1"/>
  <c r="Y452" i="13" s="1"/>
  <c r="W451" i="13"/>
  <c r="X451" i="13" s="1"/>
  <c r="Y451" i="13" s="1"/>
  <c r="W450" i="13"/>
  <c r="X450" i="13" s="1"/>
  <c r="Y450" i="13" s="1"/>
  <c r="W449" i="13"/>
  <c r="X449" i="13" s="1"/>
  <c r="Y449" i="13" s="1"/>
  <c r="W448" i="13"/>
  <c r="X448" i="13" s="1"/>
  <c r="Y448" i="13" s="1"/>
  <c r="W447" i="13"/>
  <c r="X447" i="13" s="1"/>
  <c r="Y447" i="13" s="1"/>
  <c r="W446" i="13"/>
  <c r="X446" i="13" s="1"/>
  <c r="Y446" i="13" s="1"/>
  <c r="W445" i="13"/>
  <c r="X445" i="13" s="1"/>
  <c r="Y445" i="13" s="1"/>
  <c r="W444" i="13"/>
  <c r="X444" i="13" s="1"/>
  <c r="Y444" i="13" s="1"/>
  <c r="W443" i="13"/>
  <c r="X443" i="13" s="1"/>
  <c r="Y443" i="13" s="1"/>
  <c r="W442" i="13"/>
  <c r="X442" i="13" s="1"/>
  <c r="Y442" i="13" s="1"/>
  <c r="W441" i="13"/>
  <c r="X441" i="13" s="1"/>
  <c r="Y441" i="13" s="1"/>
  <c r="W440" i="13"/>
  <c r="X440" i="13" s="1"/>
  <c r="Y440" i="13" s="1"/>
  <c r="W439" i="13"/>
  <c r="X439" i="13" s="1"/>
  <c r="Y439" i="13" s="1"/>
  <c r="W438" i="13"/>
  <c r="X438" i="13" s="1"/>
  <c r="Y438" i="13" s="1"/>
  <c r="W437" i="13"/>
  <c r="X437" i="13" s="1"/>
  <c r="Y437" i="13" s="1"/>
  <c r="W436" i="13"/>
  <c r="X436" i="13" s="1"/>
  <c r="Y436" i="13" s="1"/>
  <c r="W435" i="13"/>
  <c r="X435" i="13" s="1"/>
  <c r="Y435" i="13" s="1"/>
  <c r="W434" i="13"/>
  <c r="X434" i="13" s="1"/>
  <c r="Y434" i="13" s="1"/>
  <c r="W433" i="13"/>
  <c r="X433" i="13" s="1"/>
  <c r="Y433" i="13" s="1"/>
  <c r="W432" i="13"/>
  <c r="X432" i="13" s="1"/>
  <c r="Y432" i="13" s="1"/>
  <c r="W431" i="13"/>
  <c r="X431" i="13" s="1"/>
  <c r="Y431" i="13" s="1"/>
  <c r="W430" i="13"/>
  <c r="X430" i="13" s="1"/>
  <c r="Y430" i="13" s="1"/>
  <c r="W429" i="13"/>
  <c r="X429" i="13" s="1"/>
  <c r="Y429" i="13" s="1"/>
  <c r="W428" i="13"/>
  <c r="X428" i="13" s="1"/>
  <c r="Y428" i="13" s="1"/>
  <c r="W427" i="13"/>
  <c r="X427" i="13" s="1"/>
  <c r="Y427" i="13" s="1"/>
  <c r="W426" i="13"/>
  <c r="X426" i="13" s="1"/>
  <c r="Y426" i="13" s="1"/>
  <c r="W425" i="13"/>
  <c r="X425" i="13" s="1"/>
  <c r="Y425" i="13" s="1"/>
  <c r="W424" i="13"/>
  <c r="X424" i="13" s="1"/>
  <c r="Y424" i="13" s="1"/>
  <c r="W423" i="13"/>
  <c r="X423" i="13" s="1"/>
  <c r="Y423" i="13" s="1"/>
  <c r="W422" i="13"/>
  <c r="X422" i="13" s="1"/>
  <c r="Y422" i="13" s="1"/>
  <c r="W421" i="13"/>
  <c r="X421" i="13" s="1"/>
  <c r="Y421" i="13" s="1"/>
  <c r="W420" i="13"/>
  <c r="X420" i="13" s="1"/>
  <c r="Y420" i="13" s="1"/>
  <c r="W419" i="13"/>
  <c r="X419" i="13" s="1"/>
  <c r="Y419" i="13" s="1"/>
  <c r="W418" i="13"/>
  <c r="X418" i="13" s="1"/>
  <c r="Y418" i="13" s="1"/>
  <c r="W417" i="13"/>
  <c r="X417" i="13" s="1"/>
  <c r="Y417" i="13" s="1"/>
  <c r="W416" i="13"/>
  <c r="X416" i="13" s="1"/>
  <c r="Y416" i="13" s="1"/>
  <c r="W415" i="13"/>
  <c r="X415" i="13" s="1"/>
  <c r="Y415" i="13" s="1"/>
  <c r="W414" i="13"/>
  <c r="X414" i="13" s="1"/>
  <c r="Y414" i="13" s="1"/>
  <c r="W413" i="13"/>
  <c r="X413" i="13" s="1"/>
  <c r="Y413" i="13" s="1"/>
  <c r="W412" i="13"/>
  <c r="X412" i="13" s="1"/>
  <c r="Y412" i="13" s="1"/>
  <c r="W411" i="13"/>
  <c r="X411" i="13" s="1"/>
  <c r="Y411" i="13" s="1"/>
  <c r="W410" i="13"/>
  <c r="X410" i="13" s="1"/>
  <c r="Y410" i="13" s="1"/>
  <c r="W409" i="13"/>
  <c r="X409" i="13" s="1"/>
  <c r="Y409" i="13" s="1"/>
  <c r="W408" i="13"/>
  <c r="X408" i="13" s="1"/>
  <c r="Y408" i="13" s="1"/>
  <c r="W407" i="13"/>
  <c r="X407" i="13" s="1"/>
  <c r="Y407" i="13" s="1"/>
  <c r="W406" i="13"/>
  <c r="X406" i="13" s="1"/>
  <c r="Y406" i="13" s="1"/>
  <c r="W405" i="13"/>
  <c r="X405" i="13" s="1"/>
  <c r="Y405" i="13" s="1"/>
  <c r="W404" i="13"/>
  <c r="X404" i="13" s="1"/>
  <c r="Y404" i="13" s="1"/>
  <c r="W403" i="13"/>
  <c r="X403" i="13" s="1"/>
  <c r="Y403" i="13" s="1"/>
  <c r="W402" i="13"/>
  <c r="X402" i="13" s="1"/>
  <c r="Y402" i="13" s="1"/>
  <c r="W401" i="13"/>
  <c r="X401" i="13" s="1"/>
  <c r="Y401" i="13" s="1"/>
  <c r="W400" i="13"/>
  <c r="X400" i="13" s="1"/>
  <c r="Y400" i="13" s="1"/>
  <c r="W399" i="13"/>
  <c r="X399" i="13" s="1"/>
  <c r="Y399" i="13" s="1"/>
  <c r="W398" i="13"/>
  <c r="X398" i="13" s="1"/>
  <c r="Y398" i="13" s="1"/>
  <c r="W397" i="13"/>
  <c r="X397" i="13" s="1"/>
  <c r="Y397" i="13" s="1"/>
  <c r="W396" i="13"/>
  <c r="X396" i="13" s="1"/>
  <c r="Y396" i="13" s="1"/>
  <c r="W395" i="13"/>
  <c r="X395" i="13" s="1"/>
  <c r="Y395" i="13" s="1"/>
  <c r="W394" i="13"/>
  <c r="X394" i="13" s="1"/>
  <c r="Y394" i="13" s="1"/>
  <c r="W393" i="13"/>
  <c r="X393" i="13" s="1"/>
  <c r="Y393" i="13" s="1"/>
  <c r="W392" i="13"/>
  <c r="X392" i="13" s="1"/>
  <c r="Y392" i="13" s="1"/>
  <c r="W391" i="13"/>
  <c r="X391" i="13" s="1"/>
  <c r="Y391" i="13" s="1"/>
  <c r="W390" i="13"/>
  <c r="X390" i="13" s="1"/>
  <c r="Y390" i="13" s="1"/>
  <c r="W389" i="13"/>
  <c r="X389" i="13" s="1"/>
  <c r="Y389" i="13" s="1"/>
  <c r="W388" i="13"/>
  <c r="X388" i="13" s="1"/>
  <c r="Y388" i="13" s="1"/>
  <c r="W387" i="13"/>
  <c r="X387" i="13" s="1"/>
  <c r="Y387" i="13" s="1"/>
  <c r="W386" i="13"/>
  <c r="X386" i="13" s="1"/>
  <c r="Y386" i="13" s="1"/>
  <c r="W385" i="13"/>
  <c r="X385" i="13" s="1"/>
  <c r="Y385" i="13" s="1"/>
  <c r="W384" i="13"/>
  <c r="X384" i="13" s="1"/>
  <c r="Y384" i="13" s="1"/>
  <c r="W383" i="13"/>
  <c r="X383" i="13" s="1"/>
  <c r="Y383" i="13" s="1"/>
  <c r="W382" i="13"/>
  <c r="X382" i="13" s="1"/>
  <c r="Y382" i="13" s="1"/>
  <c r="W381" i="13"/>
  <c r="X381" i="13" s="1"/>
  <c r="Y381" i="13" s="1"/>
  <c r="W380" i="13"/>
  <c r="X380" i="13" s="1"/>
  <c r="Y380" i="13" s="1"/>
  <c r="W379" i="13"/>
  <c r="X379" i="13" s="1"/>
  <c r="Y379" i="13" s="1"/>
  <c r="W378" i="13"/>
  <c r="X378" i="13" s="1"/>
  <c r="Y378" i="13" s="1"/>
  <c r="W377" i="13"/>
  <c r="X377" i="13" s="1"/>
  <c r="Y377" i="13" s="1"/>
  <c r="W376" i="13"/>
  <c r="X376" i="13" s="1"/>
  <c r="Y376" i="13" s="1"/>
  <c r="W375" i="13"/>
  <c r="X375" i="13" s="1"/>
  <c r="Y375" i="13" s="1"/>
  <c r="W374" i="13"/>
  <c r="X374" i="13" s="1"/>
  <c r="Y374" i="13" s="1"/>
  <c r="W373" i="13"/>
  <c r="X373" i="13" s="1"/>
  <c r="Y373" i="13" s="1"/>
  <c r="W372" i="13"/>
  <c r="X372" i="13" s="1"/>
  <c r="Y372" i="13" s="1"/>
  <c r="W371" i="13"/>
  <c r="X371" i="13" s="1"/>
  <c r="Y371" i="13" s="1"/>
  <c r="W370" i="13"/>
  <c r="X370" i="13" s="1"/>
  <c r="Y370" i="13" s="1"/>
  <c r="W369" i="13"/>
  <c r="X369" i="13" s="1"/>
  <c r="Y369" i="13" s="1"/>
  <c r="W368" i="13"/>
  <c r="X368" i="13" s="1"/>
  <c r="Y368" i="13" s="1"/>
  <c r="W367" i="13"/>
  <c r="X367" i="13" s="1"/>
  <c r="Y367" i="13" s="1"/>
  <c r="W366" i="13"/>
  <c r="X366" i="13" s="1"/>
  <c r="Y366" i="13" s="1"/>
  <c r="W365" i="13"/>
  <c r="X365" i="13" s="1"/>
  <c r="Y365" i="13" s="1"/>
  <c r="W364" i="13"/>
  <c r="X364" i="13" s="1"/>
  <c r="Y364" i="13" s="1"/>
  <c r="W363" i="13"/>
  <c r="X363" i="13" s="1"/>
  <c r="Y363" i="13" s="1"/>
  <c r="W362" i="13"/>
  <c r="X362" i="13" s="1"/>
  <c r="Y362" i="13" s="1"/>
  <c r="W361" i="13"/>
  <c r="X361" i="13" s="1"/>
  <c r="Y361" i="13" s="1"/>
  <c r="W360" i="13"/>
  <c r="X360" i="13" s="1"/>
  <c r="Y360" i="13" s="1"/>
  <c r="W359" i="13"/>
  <c r="X359" i="13" s="1"/>
  <c r="Y359" i="13" s="1"/>
  <c r="W358" i="13"/>
  <c r="X358" i="13" s="1"/>
  <c r="Y358" i="13" s="1"/>
  <c r="W357" i="13"/>
  <c r="X357" i="13" s="1"/>
  <c r="Y357" i="13" s="1"/>
  <c r="W356" i="13"/>
  <c r="X356" i="13" s="1"/>
  <c r="Y356" i="13" s="1"/>
  <c r="W355" i="13"/>
  <c r="X355" i="13" s="1"/>
  <c r="Y355" i="13" s="1"/>
  <c r="W354" i="13"/>
  <c r="X354" i="13" s="1"/>
  <c r="Y354" i="13" s="1"/>
  <c r="W353" i="13"/>
  <c r="X353" i="13" s="1"/>
  <c r="Y353" i="13" s="1"/>
  <c r="W352" i="13"/>
  <c r="X352" i="13" s="1"/>
  <c r="Y352" i="13" s="1"/>
  <c r="W351" i="13"/>
  <c r="X351" i="13" s="1"/>
  <c r="Y351" i="13" s="1"/>
  <c r="W350" i="13"/>
  <c r="X350" i="13" s="1"/>
  <c r="Y350" i="13" s="1"/>
  <c r="W349" i="13"/>
  <c r="X349" i="13" s="1"/>
  <c r="Y349" i="13" s="1"/>
  <c r="W348" i="13"/>
  <c r="X348" i="13" s="1"/>
  <c r="Y348" i="13" s="1"/>
  <c r="W347" i="13"/>
  <c r="X347" i="13" s="1"/>
  <c r="Y347" i="13" s="1"/>
  <c r="W346" i="13"/>
  <c r="X346" i="13" s="1"/>
  <c r="Y346" i="13" s="1"/>
  <c r="W345" i="13"/>
  <c r="X345" i="13" s="1"/>
  <c r="Y345" i="13" s="1"/>
  <c r="W344" i="13"/>
  <c r="X344" i="13" s="1"/>
  <c r="Y344" i="13" s="1"/>
  <c r="W343" i="13"/>
  <c r="X343" i="13" s="1"/>
  <c r="Y343" i="13" s="1"/>
  <c r="W342" i="13"/>
  <c r="X342" i="13" s="1"/>
  <c r="Y342" i="13" s="1"/>
  <c r="W341" i="13"/>
  <c r="X341" i="13" s="1"/>
  <c r="Y341" i="13" s="1"/>
  <c r="W340" i="13"/>
  <c r="X340" i="13" s="1"/>
  <c r="Y340" i="13" s="1"/>
  <c r="W339" i="13"/>
  <c r="X339" i="13" s="1"/>
  <c r="Y339" i="13" s="1"/>
  <c r="W338" i="13"/>
  <c r="X338" i="13" s="1"/>
  <c r="Y338" i="13" s="1"/>
  <c r="W337" i="13"/>
  <c r="X337" i="13" s="1"/>
  <c r="Y337" i="13" s="1"/>
  <c r="W336" i="13"/>
  <c r="X336" i="13" s="1"/>
  <c r="Y336" i="13" s="1"/>
  <c r="W335" i="13"/>
  <c r="X335" i="13" s="1"/>
  <c r="Y335" i="13" s="1"/>
  <c r="W334" i="13"/>
  <c r="X334" i="13" s="1"/>
  <c r="Y334" i="13" s="1"/>
  <c r="W333" i="13"/>
  <c r="X333" i="13" s="1"/>
  <c r="Y333" i="13" s="1"/>
  <c r="W332" i="13"/>
  <c r="X332" i="13" s="1"/>
  <c r="Y332" i="13" s="1"/>
  <c r="W331" i="13"/>
  <c r="X331" i="13" s="1"/>
  <c r="Y331" i="13" s="1"/>
  <c r="W330" i="13"/>
  <c r="X330" i="13" s="1"/>
  <c r="Y330" i="13" s="1"/>
  <c r="W329" i="13"/>
  <c r="X329" i="13" s="1"/>
  <c r="Y329" i="13" s="1"/>
  <c r="W328" i="13"/>
  <c r="X328" i="13" s="1"/>
  <c r="Y328" i="13" s="1"/>
  <c r="W327" i="13"/>
  <c r="X327" i="13" s="1"/>
  <c r="Y327" i="13" s="1"/>
  <c r="W326" i="13"/>
  <c r="X326" i="13" s="1"/>
  <c r="Y326" i="13" s="1"/>
  <c r="W325" i="13"/>
  <c r="X325" i="13" s="1"/>
  <c r="Y325" i="13" s="1"/>
  <c r="W324" i="13"/>
  <c r="X324" i="13" s="1"/>
  <c r="Y324" i="13" s="1"/>
  <c r="W323" i="13"/>
  <c r="X323" i="13" s="1"/>
  <c r="Y323" i="13" s="1"/>
  <c r="W322" i="13"/>
  <c r="X322" i="13" s="1"/>
  <c r="Y322" i="13" s="1"/>
  <c r="W321" i="13"/>
  <c r="X321" i="13" s="1"/>
  <c r="Y321" i="13" s="1"/>
  <c r="W320" i="13"/>
  <c r="X320" i="13" s="1"/>
  <c r="Y320" i="13" s="1"/>
  <c r="W319" i="13"/>
  <c r="X319" i="13" s="1"/>
  <c r="Y319" i="13" s="1"/>
  <c r="W318" i="13"/>
  <c r="X318" i="13" s="1"/>
  <c r="Y318" i="13" s="1"/>
  <c r="W317" i="13"/>
  <c r="X317" i="13" s="1"/>
  <c r="Y317" i="13" s="1"/>
  <c r="W316" i="13"/>
  <c r="X316" i="13" s="1"/>
  <c r="Y316" i="13" s="1"/>
  <c r="W315" i="13"/>
  <c r="X315" i="13" s="1"/>
  <c r="Y315" i="13" s="1"/>
  <c r="W314" i="13"/>
  <c r="X314" i="13" s="1"/>
  <c r="Y314" i="13" s="1"/>
  <c r="W313" i="13"/>
  <c r="X313" i="13" s="1"/>
  <c r="Y313" i="13" s="1"/>
  <c r="W312" i="13"/>
  <c r="X312" i="13" s="1"/>
  <c r="Y312" i="13" s="1"/>
  <c r="W311" i="13"/>
  <c r="X311" i="13" s="1"/>
  <c r="Y311" i="13" s="1"/>
  <c r="W310" i="13"/>
  <c r="X310" i="13" s="1"/>
  <c r="Y310" i="13" s="1"/>
  <c r="W309" i="13"/>
  <c r="X309" i="13" s="1"/>
  <c r="Y309" i="13" s="1"/>
  <c r="W308" i="13"/>
  <c r="X308" i="13" s="1"/>
  <c r="Y308" i="13" s="1"/>
  <c r="W307" i="13"/>
  <c r="X307" i="13" s="1"/>
  <c r="Y307" i="13" s="1"/>
  <c r="W306" i="13"/>
  <c r="X306" i="13" s="1"/>
  <c r="Y306" i="13" s="1"/>
  <c r="W305" i="13"/>
  <c r="X305" i="13" s="1"/>
  <c r="Y305" i="13" s="1"/>
  <c r="W304" i="13"/>
  <c r="X304" i="13" s="1"/>
  <c r="Y304" i="13" s="1"/>
  <c r="W303" i="13"/>
  <c r="X303" i="13" s="1"/>
  <c r="Y303" i="13" s="1"/>
  <c r="W302" i="13"/>
  <c r="X302" i="13" s="1"/>
  <c r="Y302" i="13" s="1"/>
  <c r="W301" i="13"/>
  <c r="X301" i="13" s="1"/>
  <c r="Y301" i="13" s="1"/>
  <c r="W300" i="13"/>
  <c r="X300" i="13" s="1"/>
  <c r="Y300" i="13" s="1"/>
  <c r="W299" i="13"/>
  <c r="X299" i="13" s="1"/>
  <c r="Y299" i="13" s="1"/>
  <c r="W298" i="13"/>
  <c r="X298" i="13" s="1"/>
  <c r="Y298" i="13" s="1"/>
  <c r="W297" i="13"/>
  <c r="X297" i="13" s="1"/>
  <c r="Y297" i="13" s="1"/>
  <c r="W296" i="13"/>
  <c r="X296" i="13" s="1"/>
  <c r="Y296" i="13" s="1"/>
  <c r="W295" i="13"/>
  <c r="X295" i="13" s="1"/>
  <c r="Y295" i="13" s="1"/>
  <c r="W294" i="13"/>
  <c r="X294" i="13" s="1"/>
  <c r="Y294" i="13" s="1"/>
  <c r="W293" i="13"/>
  <c r="X293" i="13" s="1"/>
  <c r="Y293" i="13" s="1"/>
  <c r="W292" i="13"/>
  <c r="X292" i="13" s="1"/>
  <c r="Y292" i="13" s="1"/>
  <c r="W291" i="13"/>
  <c r="X291" i="13" s="1"/>
  <c r="Y291" i="13" s="1"/>
  <c r="W290" i="13"/>
  <c r="X290" i="13" s="1"/>
  <c r="Y290" i="13" s="1"/>
  <c r="W289" i="13"/>
  <c r="X289" i="13" s="1"/>
  <c r="Y289" i="13" s="1"/>
  <c r="W288" i="13"/>
  <c r="X288" i="13" s="1"/>
  <c r="Y288" i="13" s="1"/>
  <c r="W287" i="13"/>
  <c r="X287" i="13" s="1"/>
  <c r="Y287" i="13" s="1"/>
  <c r="W286" i="13"/>
  <c r="X286" i="13" s="1"/>
  <c r="Y286" i="13" s="1"/>
  <c r="W285" i="13"/>
  <c r="X285" i="13" s="1"/>
  <c r="Y285" i="13" s="1"/>
  <c r="W284" i="13"/>
  <c r="X284" i="13" s="1"/>
  <c r="Y284" i="13" s="1"/>
  <c r="W283" i="13"/>
  <c r="X283" i="13" s="1"/>
  <c r="Y283" i="13" s="1"/>
  <c r="W282" i="13"/>
  <c r="X282" i="13" s="1"/>
  <c r="Y282" i="13" s="1"/>
  <c r="W281" i="13"/>
  <c r="X281" i="13" s="1"/>
  <c r="Y281" i="13" s="1"/>
  <c r="W280" i="13"/>
  <c r="X280" i="13" s="1"/>
  <c r="Y280" i="13" s="1"/>
  <c r="W279" i="13"/>
  <c r="X279" i="13" s="1"/>
  <c r="Y279" i="13" s="1"/>
  <c r="W278" i="13"/>
  <c r="X278" i="13" s="1"/>
  <c r="Y278" i="13" s="1"/>
  <c r="W277" i="13"/>
  <c r="X277" i="13" s="1"/>
  <c r="Y277" i="13" s="1"/>
  <c r="W276" i="13"/>
  <c r="X276" i="13" s="1"/>
  <c r="Y276" i="13" s="1"/>
  <c r="W275" i="13"/>
  <c r="X275" i="13" s="1"/>
  <c r="Y275" i="13" s="1"/>
  <c r="W274" i="13"/>
  <c r="X274" i="13" s="1"/>
  <c r="Y274" i="13" s="1"/>
  <c r="W273" i="13"/>
  <c r="X273" i="13" s="1"/>
  <c r="Y273" i="13" s="1"/>
  <c r="W272" i="13"/>
  <c r="X272" i="13" s="1"/>
  <c r="Y272" i="13" s="1"/>
  <c r="W271" i="13"/>
  <c r="X271" i="13" s="1"/>
  <c r="Y271" i="13" s="1"/>
  <c r="W270" i="13"/>
  <c r="X270" i="13" s="1"/>
  <c r="Y270" i="13" s="1"/>
  <c r="W269" i="13"/>
  <c r="X269" i="13" s="1"/>
  <c r="Y269" i="13" s="1"/>
  <c r="W268" i="13"/>
  <c r="X268" i="13" s="1"/>
  <c r="Y268" i="13" s="1"/>
  <c r="W267" i="13"/>
  <c r="X267" i="13" s="1"/>
  <c r="Y267" i="13" s="1"/>
  <c r="W266" i="13"/>
  <c r="X266" i="13" s="1"/>
  <c r="Y266" i="13" s="1"/>
  <c r="W265" i="13"/>
  <c r="X265" i="13" s="1"/>
  <c r="Y265" i="13" s="1"/>
  <c r="W264" i="13"/>
  <c r="X264" i="13" s="1"/>
  <c r="Y264" i="13" s="1"/>
  <c r="W263" i="13"/>
  <c r="X263" i="13" s="1"/>
  <c r="Y263" i="13" s="1"/>
  <c r="W262" i="13"/>
  <c r="X262" i="13" s="1"/>
  <c r="Y262" i="13" s="1"/>
  <c r="W261" i="13"/>
  <c r="X261" i="13" s="1"/>
  <c r="Y261" i="13" s="1"/>
  <c r="W260" i="13"/>
  <c r="X260" i="13" s="1"/>
  <c r="Y260" i="13" s="1"/>
  <c r="W259" i="13"/>
  <c r="X259" i="13" s="1"/>
  <c r="Y259" i="13" s="1"/>
  <c r="W258" i="13"/>
  <c r="X258" i="13" s="1"/>
  <c r="Y258" i="13" s="1"/>
  <c r="W257" i="13"/>
  <c r="X257" i="13" s="1"/>
  <c r="Y257" i="13" s="1"/>
  <c r="W256" i="13"/>
  <c r="X256" i="13" s="1"/>
  <c r="Y256" i="13" s="1"/>
  <c r="W255" i="13"/>
  <c r="X255" i="13" s="1"/>
  <c r="Y255" i="13" s="1"/>
  <c r="W254" i="13"/>
  <c r="X254" i="13" s="1"/>
  <c r="Y254" i="13" s="1"/>
  <c r="W253" i="13"/>
  <c r="X253" i="13" s="1"/>
  <c r="Y253" i="13" s="1"/>
  <c r="W252" i="13"/>
  <c r="X252" i="13" s="1"/>
  <c r="Y252" i="13" s="1"/>
  <c r="W251" i="13"/>
  <c r="X251" i="13" s="1"/>
  <c r="Y251" i="13" s="1"/>
  <c r="W250" i="13"/>
  <c r="X250" i="13" s="1"/>
  <c r="Y250" i="13" s="1"/>
  <c r="W249" i="13"/>
  <c r="X249" i="13" s="1"/>
  <c r="Y249" i="13" s="1"/>
  <c r="W248" i="13"/>
  <c r="X248" i="13" s="1"/>
  <c r="Y248" i="13" s="1"/>
  <c r="W247" i="13"/>
  <c r="X247" i="13" s="1"/>
  <c r="Y247" i="13" s="1"/>
  <c r="W246" i="13"/>
  <c r="X246" i="13" s="1"/>
  <c r="Y246" i="13" s="1"/>
  <c r="W245" i="13"/>
  <c r="X245" i="13" s="1"/>
  <c r="Y245" i="13" s="1"/>
  <c r="W244" i="13"/>
  <c r="X244" i="13" s="1"/>
  <c r="Y244" i="13" s="1"/>
  <c r="W243" i="13"/>
  <c r="X243" i="13" s="1"/>
  <c r="Y243" i="13" s="1"/>
  <c r="W242" i="13"/>
  <c r="X242" i="13" s="1"/>
  <c r="Y242" i="13" s="1"/>
  <c r="W241" i="13"/>
  <c r="X241" i="13" s="1"/>
  <c r="Y241" i="13" s="1"/>
  <c r="W240" i="13"/>
  <c r="X240" i="13" s="1"/>
  <c r="Y240" i="13" s="1"/>
  <c r="W239" i="13"/>
  <c r="X239" i="13" s="1"/>
  <c r="Y239" i="13" s="1"/>
  <c r="W238" i="13"/>
  <c r="X238" i="13" s="1"/>
  <c r="Y238" i="13" s="1"/>
  <c r="W237" i="13"/>
  <c r="X237" i="13" s="1"/>
  <c r="Y237" i="13" s="1"/>
  <c r="W236" i="13"/>
  <c r="X236" i="13" s="1"/>
  <c r="Y236" i="13" s="1"/>
  <c r="W235" i="13"/>
  <c r="X235" i="13" s="1"/>
  <c r="Y235" i="13" s="1"/>
  <c r="W234" i="13"/>
  <c r="X234" i="13" s="1"/>
  <c r="Y234" i="13" s="1"/>
  <c r="W233" i="13"/>
  <c r="X233" i="13" s="1"/>
  <c r="Y233" i="13" s="1"/>
  <c r="W232" i="13"/>
  <c r="X232" i="13" s="1"/>
  <c r="Y232" i="13" s="1"/>
  <c r="W231" i="13"/>
  <c r="X231" i="13" s="1"/>
  <c r="Y231" i="13" s="1"/>
  <c r="W230" i="13"/>
  <c r="X230" i="13" s="1"/>
  <c r="Y230" i="13" s="1"/>
  <c r="W229" i="13"/>
  <c r="X229" i="13" s="1"/>
  <c r="Y229" i="13" s="1"/>
  <c r="W228" i="13"/>
  <c r="X228" i="13" s="1"/>
  <c r="Y228" i="13" s="1"/>
  <c r="W227" i="13"/>
  <c r="X227" i="13" s="1"/>
  <c r="Y227" i="13" s="1"/>
  <c r="W226" i="13"/>
  <c r="X226" i="13" s="1"/>
  <c r="Y226" i="13" s="1"/>
  <c r="W225" i="13"/>
  <c r="X225" i="13" s="1"/>
  <c r="Y225" i="13" s="1"/>
  <c r="W224" i="13"/>
  <c r="X224" i="13" s="1"/>
  <c r="Y224" i="13" s="1"/>
  <c r="W223" i="13"/>
  <c r="X223" i="13" s="1"/>
  <c r="Y223" i="13" s="1"/>
  <c r="W222" i="13"/>
  <c r="X222" i="13" s="1"/>
  <c r="Y222" i="13" s="1"/>
  <c r="W221" i="13"/>
  <c r="X221" i="13" s="1"/>
  <c r="Y221" i="13" s="1"/>
  <c r="W220" i="13"/>
  <c r="X220" i="13" s="1"/>
  <c r="Y220" i="13" s="1"/>
  <c r="W219" i="13"/>
  <c r="X219" i="13" s="1"/>
  <c r="Y219" i="13" s="1"/>
  <c r="W218" i="13"/>
  <c r="X218" i="13" s="1"/>
  <c r="Y218" i="13" s="1"/>
  <c r="W217" i="13"/>
  <c r="X217" i="13" s="1"/>
  <c r="Y217" i="13" s="1"/>
  <c r="W216" i="13"/>
  <c r="X216" i="13" s="1"/>
  <c r="Y216" i="13" s="1"/>
  <c r="W215" i="13"/>
  <c r="X215" i="13" s="1"/>
  <c r="Y215" i="13" s="1"/>
  <c r="W214" i="13"/>
  <c r="X214" i="13" s="1"/>
  <c r="Y214" i="13" s="1"/>
  <c r="W213" i="13"/>
  <c r="X213" i="13" s="1"/>
  <c r="Y213" i="13" s="1"/>
  <c r="W212" i="13"/>
  <c r="X212" i="13" s="1"/>
  <c r="Y212" i="13" s="1"/>
  <c r="W211" i="13"/>
  <c r="X211" i="13" s="1"/>
  <c r="Y211" i="13" s="1"/>
  <c r="W210" i="13"/>
  <c r="X210" i="13" s="1"/>
  <c r="Y210" i="13" s="1"/>
  <c r="W209" i="13"/>
  <c r="X209" i="13" s="1"/>
  <c r="Y209" i="13" s="1"/>
  <c r="W208" i="13"/>
  <c r="X208" i="13" s="1"/>
  <c r="Y208" i="13" s="1"/>
  <c r="W207" i="13"/>
  <c r="X207" i="13" s="1"/>
  <c r="Y207" i="13" s="1"/>
  <c r="W206" i="13"/>
  <c r="X206" i="13" s="1"/>
  <c r="Y206" i="13" s="1"/>
  <c r="W205" i="13"/>
  <c r="X205" i="13" s="1"/>
  <c r="Y205" i="13" s="1"/>
  <c r="W204" i="13"/>
  <c r="X204" i="13" s="1"/>
  <c r="Y204" i="13" s="1"/>
  <c r="W203" i="13"/>
  <c r="X203" i="13" s="1"/>
  <c r="Y203" i="13" s="1"/>
  <c r="W202" i="13"/>
  <c r="X202" i="13" s="1"/>
  <c r="Y202" i="13" s="1"/>
  <c r="W201" i="13"/>
  <c r="X201" i="13" s="1"/>
  <c r="Y201" i="13" s="1"/>
  <c r="W200" i="13"/>
  <c r="X200" i="13" s="1"/>
  <c r="Y200" i="13" s="1"/>
  <c r="W199" i="13"/>
  <c r="X199" i="13" s="1"/>
  <c r="Y199" i="13" s="1"/>
  <c r="W198" i="13"/>
  <c r="X198" i="13" s="1"/>
  <c r="Y198" i="13" s="1"/>
  <c r="W197" i="13"/>
  <c r="X197" i="13" s="1"/>
  <c r="Y197" i="13" s="1"/>
  <c r="W196" i="13"/>
  <c r="X196" i="13" s="1"/>
  <c r="Y196" i="13" s="1"/>
  <c r="W195" i="13"/>
  <c r="X195" i="13" s="1"/>
  <c r="Y195" i="13" s="1"/>
  <c r="W194" i="13"/>
  <c r="X194" i="13" s="1"/>
  <c r="Y194" i="13" s="1"/>
  <c r="W193" i="13"/>
  <c r="X193" i="13" s="1"/>
  <c r="Y193" i="13" s="1"/>
  <c r="W192" i="13"/>
  <c r="X192" i="13" s="1"/>
  <c r="Y192" i="13" s="1"/>
  <c r="W191" i="13"/>
  <c r="X191" i="13" s="1"/>
  <c r="Y191" i="13" s="1"/>
  <c r="W190" i="13"/>
  <c r="X190" i="13" s="1"/>
  <c r="Y190" i="13" s="1"/>
  <c r="W189" i="13"/>
  <c r="X189" i="13" s="1"/>
  <c r="Y189" i="13" s="1"/>
  <c r="W188" i="13"/>
  <c r="X188" i="13" s="1"/>
  <c r="Y188" i="13" s="1"/>
  <c r="W187" i="13"/>
  <c r="X187" i="13" s="1"/>
  <c r="Y187" i="13" s="1"/>
  <c r="W186" i="13"/>
  <c r="X186" i="13" s="1"/>
  <c r="Y186" i="13" s="1"/>
  <c r="W185" i="13"/>
  <c r="X185" i="13" s="1"/>
  <c r="Y185" i="13" s="1"/>
  <c r="W184" i="13"/>
  <c r="X184" i="13" s="1"/>
  <c r="Y184" i="13" s="1"/>
  <c r="W183" i="13"/>
  <c r="X183" i="13" s="1"/>
  <c r="Y183" i="13" s="1"/>
  <c r="W182" i="13"/>
  <c r="X182" i="13" s="1"/>
  <c r="Y182" i="13" s="1"/>
  <c r="W181" i="13"/>
  <c r="X181" i="13" s="1"/>
  <c r="Y181" i="13" s="1"/>
  <c r="W180" i="13"/>
  <c r="X180" i="13" s="1"/>
  <c r="Y180" i="13" s="1"/>
  <c r="W179" i="13"/>
  <c r="X179" i="13" s="1"/>
  <c r="Y179" i="13" s="1"/>
  <c r="W178" i="13"/>
  <c r="X178" i="13" s="1"/>
  <c r="Y178" i="13" s="1"/>
  <c r="W177" i="13"/>
  <c r="X177" i="13" s="1"/>
  <c r="Y177" i="13" s="1"/>
  <c r="W176" i="13"/>
  <c r="X176" i="13" s="1"/>
  <c r="Y176" i="13" s="1"/>
  <c r="W175" i="13"/>
  <c r="X175" i="13" s="1"/>
  <c r="Y175" i="13" s="1"/>
  <c r="W174" i="13"/>
  <c r="X174" i="13" s="1"/>
  <c r="Y174" i="13" s="1"/>
  <c r="W173" i="13"/>
  <c r="X173" i="13" s="1"/>
  <c r="Y173" i="13" s="1"/>
  <c r="W172" i="13"/>
  <c r="X172" i="13" s="1"/>
  <c r="Y172" i="13" s="1"/>
  <c r="W171" i="13"/>
  <c r="X171" i="13" s="1"/>
  <c r="Y171" i="13" s="1"/>
  <c r="W170" i="13"/>
  <c r="X170" i="13" s="1"/>
  <c r="Y170" i="13" s="1"/>
  <c r="W169" i="13"/>
  <c r="X169" i="13" s="1"/>
  <c r="Y169" i="13" s="1"/>
  <c r="W168" i="13"/>
  <c r="X168" i="13" s="1"/>
  <c r="Y168" i="13" s="1"/>
  <c r="W167" i="13"/>
  <c r="X167" i="13" s="1"/>
  <c r="Y167" i="13" s="1"/>
  <c r="W166" i="13"/>
  <c r="X166" i="13" s="1"/>
  <c r="Y166" i="13" s="1"/>
  <c r="W165" i="13"/>
  <c r="X165" i="13" s="1"/>
  <c r="Y165" i="13" s="1"/>
  <c r="W164" i="13"/>
  <c r="X164" i="13" s="1"/>
  <c r="Y164" i="13" s="1"/>
  <c r="W163" i="13"/>
  <c r="X163" i="13" s="1"/>
  <c r="Y163" i="13" s="1"/>
  <c r="W162" i="13"/>
  <c r="X162" i="13" s="1"/>
  <c r="Y162" i="13" s="1"/>
  <c r="W161" i="13"/>
  <c r="X161" i="13" s="1"/>
  <c r="Y161" i="13" s="1"/>
  <c r="W160" i="13"/>
  <c r="X160" i="13" s="1"/>
  <c r="Y160" i="13" s="1"/>
  <c r="W159" i="13"/>
  <c r="X159" i="13" s="1"/>
  <c r="Y159" i="13" s="1"/>
  <c r="W158" i="13"/>
  <c r="X158" i="13" s="1"/>
  <c r="Y158" i="13" s="1"/>
  <c r="W157" i="13"/>
  <c r="X157" i="13" s="1"/>
  <c r="Y157" i="13" s="1"/>
  <c r="W156" i="13"/>
  <c r="X156" i="13" s="1"/>
  <c r="Y156" i="13" s="1"/>
  <c r="W155" i="13"/>
  <c r="X155" i="13" s="1"/>
  <c r="Y155" i="13" s="1"/>
  <c r="W154" i="13"/>
  <c r="X154" i="13" s="1"/>
  <c r="Y154" i="13" s="1"/>
  <c r="W153" i="13"/>
  <c r="X153" i="13" s="1"/>
  <c r="Y153" i="13" s="1"/>
  <c r="W152" i="13"/>
  <c r="X152" i="13" s="1"/>
  <c r="Y152" i="13" s="1"/>
  <c r="W151" i="13"/>
  <c r="X151" i="13" s="1"/>
  <c r="Y151" i="13" s="1"/>
  <c r="W150" i="13"/>
  <c r="X150" i="13" s="1"/>
  <c r="Y150" i="13" s="1"/>
  <c r="W149" i="13"/>
  <c r="X149" i="13" s="1"/>
  <c r="Y149" i="13" s="1"/>
  <c r="W148" i="13"/>
  <c r="X148" i="13" s="1"/>
  <c r="Y148" i="13" s="1"/>
  <c r="W147" i="13"/>
  <c r="X147" i="13" s="1"/>
  <c r="Y147" i="13" s="1"/>
  <c r="W146" i="13"/>
  <c r="X146" i="13" s="1"/>
  <c r="Y146" i="13" s="1"/>
  <c r="W145" i="13"/>
  <c r="X145" i="13" s="1"/>
  <c r="Y145" i="13" s="1"/>
  <c r="W144" i="13"/>
  <c r="X144" i="13" s="1"/>
  <c r="Y144" i="13" s="1"/>
  <c r="W143" i="13"/>
  <c r="X143" i="13" s="1"/>
  <c r="Y143" i="13" s="1"/>
  <c r="W142" i="13"/>
  <c r="X142" i="13" s="1"/>
  <c r="Y142" i="13" s="1"/>
  <c r="W141" i="13"/>
  <c r="X141" i="13" s="1"/>
  <c r="Y141" i="13" s="1"/>
  <c r="W140" i="13"/>
  <c r="X140" i="13" s="1"/>
  <c r="Y140" i="13" s="1"/>
  <c r="W139" i="13"/>
  <c r="X139" i="13" s="1"/>
  <c r="Y139" i="13" s="1"/>
  <c r="W138" i="13"/>
  <c r="X138" i="13" s="1"/>
  <c r="Y138" i="13" s="1"/>
  <c r="W137" i="13"/>
  <c r="X137" i="13" s="1"/>
  <c r="Y137" i="13" s="1"/>
  <c r="W136" i="13"/>
  <c r="X136" i="13" s="1"/>
  <c r="Y136" i="13" s="1"/>
  <c r="W135" i="13"/>
  <c r="X135" i="13" s="1"/>
  <c r="Y135" i="13" s="1"/>
  <c r="W134" i="13"/>
  <c r="X134" i="13" s="1"/>
  <c r="Y134" i="13" s="1"/>
  <c r="W133" i="13"/>
  <c r="X133" i="13" s="1"/>
  <c r="Y133" i="13" s="1"/>
  <c r="W132" i="13"/>
  <c r="X132" i="13" s="1"/>
  <c r="Y132" i="13" s="1"/>
  <c r="W131" i="13"/>
  <c r="X131" i="13" s="1"/>
  <c r="Y131" i="13" s="1"/>
  <c r="W130" i="13"/>
  <c r="X130" i="13" s="1"/>
  <c r="Y130" i="13" s="1"/>
  <c r="W129" i="13"/>
  <c r="X129" i="13" s="1"/>
  <c r="Y129" i="13" s="1"/>
  <c r="W128" i="13"/>
  <c r="X128" i="13" s="1"/>
  <c r="Y128" i="13" s="1"/>
  <c r="W127" i="13"/>
  <c r="X127" i="13" s="1"/>
  <c r="Y127" i="13" s="1"/>
  <c r="W126" i="13"/>
  <c r="X126" i="13" s="1"/>
  <c r="Y126" i="13" s="1"/>
  <c r="W125" i="13"/>
  <c r="X125" i="13" s="1"/>
  <c r="Y125" i="13" s="1"/>
  <c r="W124" i="13"/>
  <c r="X124" i="13" s="1"/>
  <c r="Y124" i="13" s="1"/>
  <c r="W123" i="13"/>
  <c r="X123" i="13" s="1"/>
  <c r="Y123" i="13" s="1"/>
  <c r="W122" i="13"/>
  <c r="X122" i="13" s="1"/>
  <c r="Y122" i="13" s="1"/>
  <c r="W121" i="13"/>
  <c r="X121" i="13" s="1"/>
  <c r="Y121" i="13" s="1"/>
  <c r="W120" i="13"/>
  <c r="X120" i="13" s="1"/>
  <c r="Y120" i="13" s="1"/>
  <c r="W119" i="13"/>
  <c r="X119" i="13" s="1"/>
  <c r="Y119" i="13" s="1"/>
  <c r="W118" i="13"/>
  <c r="X118" i="13" s="1"/>
  <c r="Y118" i="13" s="1"/>
  <c r="W117" i="13"/>
  <c r="X117" i="13" s="1"/>
  <c r="Y117" i="13" s="1"/>
  <c r="W116" i="13"/>
  <c r="X116" i="13" s="1"/>
  <c r="Y116" i="13" s="1"/>
  <c r="W115" i="13"/>
  <c r="X115" i="13" s="1"/>
  <c r="Y115" i="13" s="1"/>
  <c r="W114" i="13"/>
  <c r="X114" i="13" s="1"/>
  <c r="Y114" i="13" s="1"/>
  <c r="W113" i="13"/>
  <c r="X113" i="13" s="1"/>
  <c r="Y113" i="13" s="1"/>
  <c r="W112" i="13"/>
  <c r="X112" i="13" s="1"/>
  <c r="Y112" i="13" s="1"/>
  <c r="W111" i="13"/>
  <c r="X111" i="13" s="1"/>
  <c r="Y111" i="13" s="1"/>
  <c r="W110" i="13"/>
  <c r="X110" i="13" s="1"/>
  <c r="Y110" i="13" s="1"/>
  <c r="W109" i="13"/>
  <c r="X109" i="13" s="1"/>
  <c r="Y109" i="13" s="1"/>
  <c r="W108" i="13"/>
  <c r="X108" i="13" s="1"/>
  <c r="Y108" i="13" s="1"/>
  <c r="W107" i="13"/>
  <c r="X107" i="13" s="1"/>
  <c r="Y107" i="13" s="1"/>
  <c r="W106" i="13"/>
  <c r="X106" i="13" s="1"/>
  <c r="Y106" i="13" s="1"/>
  <c r="W105" i="13"/>
  <c r="X105" i="13" s="1"/>
  <c r="Y105" i="13" s="1"/>
  <c r="W104" i="13"/>
  <c r="X104" i="13" s="1"/>
  <c r="Y104" i="13" s="1"/>
  <c r="W103" i="13"/>
  <c r="X103" i="13" s="1"/>
  <c r="Y103" i="13" s="1"/>
  <c r="W102" i="13"/>
  <c r="X102" i="13" s="1"/>
  <c r="Y102" i="13" s="1"/>
  <c r="W101" i="13"/>
  <c r="X101" i="13" s="1"/>
  <c r="Y101" i="13" s="1"/>
  <c r="W100" i="13"/>
  <c r="X100" i="13" s="1"/>
  <c r="Y100" i="13" s="1"/>
  <c r="W99" i="13"/>
  <c r="X99" i="13" s="1"/>
  <c r="Y99" i="13" s="1"/>
  <c r="W98" i="13"/>
  <c r="X98" i="13" s="1"/>
  <c r="Y98" i="13" s="1"/>
  <c r="W97" i="13"/>
  <c r="X97" i="13" s="1"/>
  <c r="Y97" i="13" s="1"/>
  <c r="W96" i="13"/>
  <c r="X96" i="13" s="1"/>
  <c r="Y96" i="13" s="1"/>
  <c r="W95" i="13"/>
  <c r="X95" i="13" s="1"/>
  <c r="Y95" i="13" s="1"/>
  <c r="W94" i="13"/>
  <c r="X94" i="13" s="1"/>
  <c r="Y94" i="13" s="1"/>
  <c r="W93" i="13"/>
  <c r="X93" i="13" s="1"/>
  <c r="Y93" i="13" s="1"/>
  <c r="W92" i="13"/>
  <c r="X92" i="13" s="1"/>
  <c r="Y92" i="13" s="1"/>
  <c r="W91" i="13"/>
  <c r="X91" i="13" s="1"/>
  <c r="Y91" i="13" s="1"/>
  <c r="W90" i="13"/>
  <c r="X90" i="13" s="1"/>
  <c r="Y90" i="13" s="1"/>
  <c r="W89" i="13"/>
  <c r="X89" i="13" s="1"/>
  <c r="Y89" i="13" s="1"/>
  <c r="W88" i="13"/>
  <c r="X88" i="13" s="1"/>
  <c r="Y88" i="13" s="1"/>
  <c r="W87" i="13"/>
  <c r="X87" i="13" s="1"/>
  <c r="Y87" i="13" s="1"/>
  <c r="W86" i="13"/>
  <c r="X86" i="13" s="1"/>
  <c r="Y86" i="13" s="1"/>
  <c r="W85" i="13"/>
  <c r="X85" i="13" s="1"/>
  <c r="Y85" i="13" s="1"/>
  <c r="W84" i="13"/>
  <c r="X84" i="13" s="1"/>
  <c r="Y84" i="13" s="1"/>
  <c r="W83" i="13"/>
  <c r="X83" i="13" s="1"/>
  <c r="Y83" i="13" s="1"/>
  <c r="W82" i="13"/>
  <c r="X82" i="13" s="1"/>
  <c r="Y82" i="13" s="1"/>
  <c r="W81" i="13"/>
  <c r="X81" i="13" s="1"/>
  <c r="Y81" i="13" s="1"/>
  <c r="W80" i="13"/>
  <c r="X80" i="13" s="1"/>
  <c r="Y80" i="13" s="1"/>
  <c r="W79" i="13"/>
  <c r="X79" i="13" s="1"/>
  <c r="Y79" i="13" s="1"/>
  <c r="W78" i="13"/>
  <c r="X78" i="13" s="1"/>
  <c r="Y78" i="13" s="1"/>
  <c r="W77" i="13"/>
  <c r="X77" i="13" s="1"/>
  <c r="Y77" i="13" s="1"/>
  <c r="W76" i="13"/>
  <c r="X76" i="13" s="1"/>
  <c r="Y76" i="13" s="1"/>
  <c r="W75" i="13"/>
  <c r="X75" i="13" s="1"/>
  <c r="Y75" i="13" s="1"/>
  <c r="W74" i="13"/>
  <c r="X74" i="13" s="1"/>
  <c r="Y74" i="13" s="1"/>
  <c r="W73" i="13"/>
  <c r="X73" i="13" s="1"/>
  <c r="Y73" i="13" s="1"/>
  <c r="W72" i="13"/>
  <c r="X72" i="13" s="1"/>
  <c r="Y72" i="13" s="1"/>
  <c r="W71" i="13"/>
  <c r="X71" i="13" s="1"/>
  <c r="Y71" i="13" s="1"/>
  <c r="W70" i="13"/>
  <c r="X70" i="13" s="1"/>
  <c r="Y70" i="13" s="1"/>
  <c r="W69" i="13"/>
  <c r="X69" i="13" s="1"/>
  <c r="Y69" i="13" s="1"/>
  <c r="W68" i="13"/>
  <c r="X68" i="13" s="1"/>
  <c r="Y68" i="13" s="1"/>
  <c r="W67" i="13"/>
  <c r="X67" i="13" s="1"/>
  <c r="Y67" i="13" s="1"/>
  <c r="W66" i="13"/>
  <c r="X66" i="13" s="1"/>
  <c r="Y66" i="13" s="1"/>
  <c r="W65" i="13"/>
  <c r="X65" i="13" s="1"/>
  <c r="Y65" i="13" s="1"/>
  <c r="W64" i="13"/>
  <c r="X64" i="13" s="1"/>
  <c r="Y64" i="13" s="1"/>
  <c r="W63" i="13"/>
  <c r="X63" i="13" s="1"/>
  <c r="Y63" i="13" s="1"/>
  <c r="W62" i="13"/>
  <c r="X62" i="13" s="1"/>
  <c r="Y62" i="13" s="1"/>
  <c r="W61" i="13"/>
  <c r="X61" i="13" s="1"/>
  <c r="Y61" i="13" s="1"/>
  <c r="W60" i="13"/>
  <c r="X60" i="13" s="1"/>
  <c r="Y60" i="13" s="1"/>
  <c r="W59" i="13"/>
  <c r="X59" i="13" s="1"/>
  <c r="Y59" i="13" s="1"/>
  <c r="W58" i="13"/>
  <c r="X58" i="13" s="1"/>
  <c r="Y58" i="13" s="1"/>
  <c r="W57" i="13"/>
  <c r="X57" i="13" s="1"/>
  <c r="Y57" i="13" s="1"/>
  <c r="W56" i="13"/>
  <c r="X56" i="13" s="1"/>
  <c r="Y56" i="13" s="1"/>
  <c r="W55" i="13"/>
  <c r="X55" i="13" s="1"/>
  <c r="Y55" i="13" s="1"/>
  <c r="W54" i="13"/>
  <c r="X54" i="13" s="1"/>
  <c r="Y54" i="13" s="1"/>
  <c r="W53" i="13"/>
  <c r="X53" i="13" s="1"/>
  <c r="Y53" i="13" s="1"/>
  <c r="W52" i="13"/>
  <c r="X52" i="13" s="1"/>
  <c r="Y52" i="13" s="1"/>
  <c r="W51" i="13"/>
  <c r="X51" i="13" s="1"/>
  <c r="Y51" i="13" s="1"/>
  <c r="W50" i="13"/>
  <c r="X50" i="13" s="1"/>
  <c r="Y50" i="13" s="1"/>
  <c r="W49" i="13"/>
  <c r="X49" i="13" s="1"/>
  <c r="Y49" i="13" s="1"/>
  <c r="W48" i="13"/>
  <c r="X48" i="13" s="1"/>
  <c r="Y48" i="13" s="1"/>
  <c r="W47" i="13"/>
  <c r="X47" i="13" s="1"/>
  <c r="Y47" i="13" s="1"/>
  <c r="W46" i="13"/>
  <c r="X46" i="13" s="1"/>
  <c r="Y46" i="13" s="1"/>
  <c r="W45" i="13"/>
  <c r="X45" i="13" s="1"/>
  <c r="Y45" i="13" s="1"/>
  <c r="W44" i="13"/>
  <c r="X44" i="13" s="1"/>
  <c r="Y44" i="13" s="1"/>
  <c r="W43" i="13"/>
  <c r="X43" i="13" s="1"/>
  <c r="Y43" i="13" s="1"/>
  <c r="W42" i="13"/>
  <c r="X42" i="13" s="1"/>
  <c r="Y42" i="13" s="1"/>
  <c r="W41" i="13"/>
  <c r="X41" i="13" s="1"/>
  <c r="Y41" i="13" s="1"/>
  <c r="W40" i="13"/>
  <c r="X40" i="13" s="1"/>
  <c r="Y40" i="13" s="1"/>
  <c r="W39" i="13"/>
  <c r="X39" i="13" s="1"/>
  <c r="Y39" i="13" s="1"/>
  <c r="W38" i="13"/>
  <c r="X38" i="13" s="1"/>
  <c r="Y38" i="13" s="1"/>
  <c r="W37" i="13"/>
  <c r="X37" i="13" s="1"/>
  <c r="Y37" i="13" s="1"/>
  <c r="W36" i="13"/>
  <c r="X36" i="13" s="1"/>
  <c r="Y36" i="13" s="1"/>
  <c r="W35" i="13"/>
  <c r="X35" i="13" s="1"/>
  <c r="Y35" i="13" s="1"/>
  <c r="W34" i="13"/>
  <c r="X34" i="13" s="1"/>
  <c r="Y34" i="13" s="1"/>
  <c r="W33" i="13"/>
  <c r="X33" i="13" s="1"/>
  <c r="Y33" i="13" s="1"/>
  <c r="W32" i="13"/>
  <c r="X32" i="13" s="1"/>
  <c r="Y32" i="13" s="1"/>
  <c r="W31" i="13"/>
  <c r="X31" i="13" s="1"/>
  <c r="Y31" i="13" s="1"/>
  <c r="W30" i="13"/>
  <c r="X30" i="13" s="1"/>
  <c r="Y30" i="13" s="1"/>
  <c r="W29" i="13"/>
  <c r="X29" i="13" s="1"/>
  <c r="Y29" i="13" s="1"/>
  <c r="W28" i="13"/>
  <c r="X28" i="13" s="1"/>
  <c r="Y28" i="13" s="1"/>
  <c r="W27" i="13"/>
  <c r="X27" i="13" s="1"/>
  <c r="Y27" i="13" s="1"/>
  <c r="W26" i="13"/>
  <c r="X26" i="13" s="1"/>
  <c r="Y26" i="13" s="1"/>
  <c r="W25" i="13"/>
  <c r="X25" i="13" s="1"/>
  <c r="Y25" i="13" s="1"/>
  <c r="W24" i="13"/>
  <c r="X24" i="13" s="1"/>
  <c r="Y24" i="13" s="1"/>
  <c r="W23" i="13"/>
  <c r="X23" i="13" s="1"/>
  <c r="Y23" i="13" s="1"/>
  <c r="W22" i="13"/>
  <c r="X22" i="13" s="1"/>
  <c r="Y22" i="13" s="1"/>
  <c r="W21" i="13"/>
  <c r="X21" i="13" s="1"/>
  <c r="Y21" i="13" s="1"/>
  <c r="W20" i="13"/>
  <c r="X20" i="13" s="1"/>
  <c r="Y20" i="13" s="1"/>
  <c r="W19" i="13"/>
  <c r="X19" i="13" s="1"/>
  <c r="Y19" i="13" s="1"/>
  <c r="W18" i="13"/>
  <c r="X18" i="13" s="1"/>
  <c r="Y18" i="13" s="1"/>
  <c r="W17" i="13"/>
  <c r="X17" i="13" s="1"/>
  <c r="Y17" i="13" s="1"/>
  <c r="W16" i="13"/>
  <c r="X16" i="13" s="1"/>
  <c r="Y16" i="13" s="1"/>
  <c r="W15" i="13"/>
  <c r="X15" i="13" s="1"/>
  <c r="Y15" i="13" s="1"/>
  <c r="W14" i="13"/>
  <c r="X14" i="13" s="1"/>
  <c r="Y14" i="13" s="1"/>
  <c r="W13" i="13"/>
  <c r="X13" i="13" s="1"/>
  <c r="Y13" i="13" s="1"/>
  <c r="W12" i="13"/>
  <c r="X12" i="13" s="1"/>
  <c r="Y12" i="13" s="1"/>
  <c r="W11" i="13"/>
  <c r="X11" i="13" s="1"/>
  <c r="Y11" i="13" s="1"/>
  <c r="W10" i="13"/>
  <c r="X10" i="13" s="1"/>
  <c r="Y10" i="13" s="1"/>
  <c r="W9" i="13"/>
  <c r="X9" i="13" s="1"/>
  <c r="Y9" i="13" s="1"/>
  <c r="W8" i="13"/>
  <c r="X8" i="13" s="1"/>
  <c r="Y8" i="13" s="1"/>
  <c r="W7" i="13"/>
  <c r="X7" i="13" s="1"/>
  <c r="Y7" i="13" s="1"/>
  <c r="W6" i="13"/>
  <c r="X6" i="13" s="1"/>
  <c r="Y6" i="13" s="1"/>
  <c r="W5" i="13"/>
  <c r="X5" i="13" s="1"/>
  <c r="Y5" i="13" s="1"/>
  <c r="W4" i="13"/>
  <c r="X4" i="13" s="1"/>
  <c r="Y4" i="13" s="1"/>
  <c r="W3" i="13"/>
  <c r="X3" i="13" s="1"/>
  <c r="Y3" i="13" s="1"/>
  <c r="W2" i="13"/>
  <c r="X2" i="13" s="1"/>
  <c r="Y2" i="13" s="1"/>
  <c r="DP62" i="20" l="1"/>
  <c r="DP156" i="20"/>
  <c r="DP37" i="20"/>
  <c r="DP261" i="20"/>
  <c r="DP241" i="20"/>
  <c r="DP257" i="20"/>
  <c r="DP63" i="20"/>
  <c r="AG36" i="20"/>
  <c r="DP26" i="20"/>
  <c r="DP159" i="20"/>
  <c r="DP228" i="20"/>
  <c r="BX24" i="20"/>
  <c r="DP255" i="20"/>
  <c r="DP271" i="20"/>
  <c r="CB24" i="20"/>
  <c r="DP141" i="20"/>
  <c r="BX37" i="20"/>
  <c r="DP109" i="20"/>
  <c r="BZ45" i="20"/>
  <c r="DP216" i="20"/>
  <c r="DP32" i="20"/>
  <c r="DP169" i="20"/>
  <c r="DP217" i="20"/>
  <c r="DP9" i="20"/>
  <c r="DP244" i="20"/>
  <c r="DP303" i="20"/>
  <c r="BZ70" i="20"/>
  <c r="DP165" i="20"/>
  <c r="CA21" i="20"/>
  <c r="BY11" i="20"/>
  <c r="DP33" i="20"/>
  <c r="DP221" i="20"/>
  <c r="DP253" i="20"/>
  <c r="DP264" i="20"/>
  <c r="DP280" i="20"/>
  <c r="BX40" i="20"/>
  <c r="DP268" i="20"/>
  <c r="DP137" i="20"/>
  <c r="P45" i="21"/>
  <c r="Q45" i="21" s="1"/>
  <c r="DP149" i="20"/>
  <c r="M34" i="21"/>
  <c r="N34" i="21" s="1"/>
  <c r="DP284" i="20"/>
  <c r="BY38" i="20"/>
  <c r="BZ34" i="20"/>
  <c r="DP152" i="20"/>
  <c r="DP52" i="20"/>
  <c r="BY60" i="20"/>
  <c r="BY115" i="20"/>
  <c r="AA45" i="20"/>
  <c r="BZ115" i="20"/>
  <c r="BV24" i="20"/>
  <c r="DP92" i="20"/>
  <c r="DP273" i="20"/>
  <c r="DP289" i="20"/>
  <c r="DP71" i="20"/>
  <c r="BW92" i="20"/>
  <c r="DP121" i="20"/>
  <c r="DP269" i="20"/>
  <c r="DP285" i="20"/>
  <c r="AV28" i="21"/>
  <c r="CA54" i="20"/>
  <c r="DP127" i="20"/>
  <c r="DP296" i="20"/>
  <c r="BV19" i="20"/>
  <c r="BW44" i="20"/>
  <c r="BW106" i="20"/>
  <c r="BW19" i="20"/>
  <c r="DP31" i="20"/>
  <c r="BY67" i="20"/>
  <c r="BZ106" i="20"/>
  <c r="BV115" i="20"/>
  <c r="DP175" i="20"/>
  <c r="DP191" i="20"/>
  <c r="DP111" i="20"/>
  <c r="DP163" i="20"/>
  <c r="CA80" i="20"/>
  <c r="BX115" i="20"/>
  <c r="DP292" i="20"/>
  <c r="M46" i="21"/>
  <c r="N46" i="21" s="1"/>
  <c r="CA11" i="20"/>
  <c r="DP85" i="20"/>
  <c r="BW78" i="20"/>
  <c r="BV104" i="20"/>
  <c r="DP288" i="20"/>
  <c r="DP293" i="20"/>
  <c r="BX9" i="20"/>
  <c r="BW34" i="20"/>
  <c r="DP55" i="20"/>
  <c r="DP78" i="20"/>
  <c r="DP104" i="20"/>
  <c r="DP177" i="20"/>
  <c r="DP193" i="20"/>
  <c r="CA59" i="20"/>
  <c r="DP84" i="20"/>
  <c r="BY30" i="20"/>
  <c r="BW94" i="20"/>
  <c r="DP204" i="20"/>
  <c r="DP305" i="20"/>
  <c r="CA111" i="20"/>
  <c r="BZ114" i="20"/>
  <c r="DP131" i="20"/>
  <c r="DP157" i="20"/>
  <c r="DP263" i="20"/>
  <c r="DP279" i="20"/>
  <c r="P3" i="25"/>
  <c r="DP60" i="20"/>
  <c r="DP87" i="20"/>
  <c r="BZ94" i="20"/>
  <c r="CB99" i="20"/>
  <c r="BY104" i="20"/>
  <c r="DP106" i="20"/>
  <c r="DP148" i="20"/>
  <c r="DP299" i="20"/>
  <c r="BV18" i="20"/>
  <c r="BY25" i="20"/>
  <c r="BV29" i="20"/>
  <c r="DP232" i="20"/>
  <c r="BY18" i="20"/>
  <c r="DP24" i="20"/>
  <c r="DP28" i="20"/>
  <c r="BX29" i="20"/>
  <c r="BY56" i="20"/>
  <c r="BV110" i="20"/>
  <c r="DP227" i="20"/>
  <c r="AE18" i="21"/>
  <c r="M50" i="21"/>
  <c r="N50" i="21" s="1"/>
  <c r="BY29" i="20"/>
  <c r="BZ110" i="20"/>
  <c r="DP201" i="20"/>
  <c r="DP56" i="20"/>
  <c r="DP76" i="20"/>
  <c r="BY81" i="20"/>
  <c r="BV86" i="20"/>
  <c r="CA88" i="20"/>
  <c r="CA115" i="20"/>
  <c r="DP144" i="20"/>
  <c r="DP180" i="20"/>
  <c r="BW16" i="20"/>
  <c r="CA26" i="20"/>
  <c r="BZ86" i="20"/>
  <c r="BY105" i="20"/>
  <c r="CB115" i="20"/>
  <c r="DP139" i="20"/>
  <c r="DP207" i="20"/>
  <c r="DP265" i="20"/>
  <c r="Z9" i="20"/>
  <c r="DP11" i="20"/>
  <c r="BX16" i="20"/>
  <c r="BY37" i="20"/>
  <c r="DP46" i="20"/>
  <c r="CA86" i="20"/>
  <c r="CB105" i="20"/>
  <c r="DP113" i="20"/>
  <c r="DP181" i="20"/>
  <c r="DP197" i="20"/>
  <c r="DP276" i="20"/>
  <c r="DP281" i="20"/>
  <c r="BZ6" i="20"/>
  <c r="CB16" i="20"/>
  <c r="DP44" i="20"/>
  <c r="CB86" i="20"/>
  <c r="DP100" i="20"/>
  <c r="DP140" i="20"/>
  <c r="DP208" i="20"/>
  <c r="DP245" i="20"/>
  <c r="DP29" i="20"/>
  <c r="DP108" i="20"/>
  <c r="BV111" i="20"/>
  <c r="DP224" i="20"/>
  <c r="DP235" i="20"/>
  <c r="DP307" i="20"/>
  <c r="BK10" i="20"/>
  <c r="CA7" i="20"/>
  <c r="BV17" i="20"/>
  <c r="BW20" i="20"/>
  <c r="BY24" i="20"/>
  <c r="CA40" i="20"/>
  <c r="DP287" i="20"/>
  <c r="M31" i="21"/>
  <c r="N31" i="21" s="1"/>
  <c r="DP19" i="20"/>
  <c r="CA24" i="20"/>
  <c r="BW31" i="20"/>
  <c r="DP67" i="20"/>
  <c r="BY70" i="20"/>
  <c r="CA75" i="20"/>
  <c r="BX80" i="20"/>
  <c r="BV94" i="20"/>
  <c r="DP236" i="20"/>
  <c r="DP252" i="20"/>
  <c r="DP267" i="20"/>
  <c r="DP27" i="20"/>
  <c r="DP34" i="20"/>
  <c r="BV43" i="20"/>
  <c r="CA45" i="20"/>
  <c r="BY92" i="20"/>
  <c r="BY94" i="20"/>
  <c r="CA99" i="20"/>
  <c r="BX104" i="20"/>
  <c r="DP231" i="20"/>
  <c r="AO17" i="21"/>
  <c r="CB7" i="20"/>
  <c r="DP13" i="20"/>
  <c r="BZ24" i="20"/>
  <c r="CB26" i="20"/>
  <c r="BW29" i="20"/>
  <c r="BY31" i="20"/>
  <c r="CA34" i="20"/>
  <c r="BY43" i="20"/>
  <c r="BY45" i="20"/>
  <c r="DP47" i="20"/>
  <c r="BY59" i="20"/>
  <c r="DP72" i="20"/>
  <c r="DP83" i="20"/>
  <c r="BZ92" i="20"/>
  <c r="CB106" i="20"/>
  <c r="BW109" i="20"/>
  <c r="DP128" i="20"/>
  <c r="DP133" i="20"/>
  <c r="DP164" i="20"/>
  <c r="DP185" i="20"/>
  <c r="DP206" i="20"/>
  <c r="DP286" i="20"/>
  <c r="DP301" i="20"/>
  <c r="DP98" i="20"/>
  <c r="DP196" i="20"/>
  <c r="DP211" i="20"/>
  <c r="DP272" i="20"/>
  <c r="DP16" i="20"/>
  <c r="BV75" i="20"/>
  <c r="CA22" i="20"/>
  <c r="DP68" i="20"/>
  <c r="BY75" i="20"/>
  <c r="BY86" i="20"/>
  <c r="DP96" i="20"/>
  <c r="BW105" i="20"/>
  <c r="BY111" i="20"/>
  <c r="DP115" i="20"/>
  <c r="DP124" i="20"/>
  <c r="DP222" i="20"/>
  <c r="DP237" i="20"/>
  <c r="DP248" i="20"/>
  <c r="BV8" i="20"/>
  <c r="CA27" i="20"/>
  <c r="DP45" i="20"/>
  <c r="BY48" i="20"/>
  <c r="DP50" i="20"/>
  <c r="BW55" i="20"/>
  <c r="BZ105" i="20"/>
  <c r="DP135" i="20"/>
  <c r="DP151" i="20"/>
  <c r="DP192" i="20"/>
  <c r="DP212" i="20"/>
  <c r="DP297" i="20"/>
  <c r="BY6" i="20"/>
  <c r="BW8" i="20"/>
  <c r="DP12" i="20"/>
  <c r="DP14" i="20"/>
  <c r="BV20" i="20"/>
  <c r="BV25" i="20"/>
  <c r="BX38" i="20"/>
  <c r="CA48" i="20"/>
  <c r="DP64" i="20"/>
  <c r="BW80" i="20"/>
  <c r="DP88" i="20"/>
  <c r="DP94" i="20"/>
  <c r="CA105" i="20"/>
  <c r="DP120" i="20"/>
  <c r="DP125" i="20"/>
  <c r="DP130" i="20"/>
  <c r="DP223" i="20"/>
  <c r="DP249" i="20"/>
  <c r="BX8" i="20"/>
  <c r="DP5" i="20"/>
  <c r="CA6" i="20"/>
  <c r="CA8" i="20"/>
  <c r="BY13" i="20"/>
  <c r="BW18" i="20"/>
  <c r="BY20" i="20"/>
  <c r="BZ25" i="20"/>
  <c r="BZ38" i="20"/>
  <c r="BY44" i="20"/>
  <c r="BV69" i="20"/>
  <c r="CA78" i="20"/>
  <c r="BY80" i="20"/>
  <c r="BV93" i="20"/>
  <c r="BY97" i="20"/>
  <c r="BX110" i="20"/>
  <c r="T12" i="21"/>
  <c r="AB13" i="20" s="1"/>
  <c r="CB6" i="20"/>
  <c r="CB8" i="20"/>
  <c r="BZ13" i="20"/>
  <c r="BX18" i="20"/>
  <c r="BZ20" i="20"/>
  <c r="CB25" i="20"/>
  <c r="BW30" i="20"/>
  <c r="DP35" i="20"/>
  <c r="CA38" i="20"/>
  <c r="BW40" i="20"/>
  <c r="CA51" i="20"/>
  <c r="BW60" i="20"/>
  <c r="BV67" i="20"/>
  <c r="BY69" i="20"/>
  <c r="CB78" i="20"/>
  <c r="BZ80" i="20"/>
  <c r="BY93" i="20"/>
  <c r="CA97" i="20"/>
  <c r="DP105" i="20"/>
  <c r="BY110" i="20"/>
  <c r="DP188" i="20"/>
  <c r="DP304" i="20"/>
  <c r="DP309" i="20"/>
  <c r="CA13" i="20"/>
  <c r="BZ69" i="20"/>
  <c r="BZ93" i="20"/>
  <c r="DP10" i="20"/>
  <c r="BZ11" i="20"/>
  <c r="CB13" i="20"/>
  <c r="BY16" i="20"/>
  <c r="BZ18" i="20"/>
  <c r="BY36" i="20"/>
  <c r="BY40" i="20"/>
  <c r="DP58" i="20"/>
  <c r="BY65" i="20"/>
  <c r="CA67" i="20"/>
  <c r="BY85" i="20"/>
  <c r="BY89" i="20"/>
  <c r="DP97" i="20"/>
  <c r="BY102" i="20"/>
  <c r="BW104" i="20"/>
  <c r="CA110" i="20"/>
  <c r="CB117" i="20"/>
  <c r="DP199" i="20"/>
  <c r="DP209" i="20"/>
  <c r="DP240" i="20"/>
  <c r="DP270" i="20"/>
  <c r="Z30" i="20"/>
  <c r="BE5" i="20"/>
  <c r="AS13" i="20"/>
  <c r="CB18" i="20"/>
  <c r="CA36" i="20"/>
  <c r="CA65" i="20"/>
  <c r="BZ102" i="20"/>
  <c r="CB110" i="20"/>
  <c r="AR17" i="21"/>
  <c r="BW7" i="20"/>
  <c r="CB11" i="20"/>
  <c r="BY26" i="20"/>
  <c r="BW54" i="20"/>
  <c r="CA56" i="20"/>
  <c r="BW63" i="20"/>
  <c r="DP69" i="20"/>
  <c r="BW87" i="20"/>
  <c r="DP89" i="20"/>
  <c r="CA102" i="20"/>
  <c r="BV106" i="20"/>
  <c r="DP143" i="20"/>
  <c r="DP168" i="20"/>
  <c r="DP184" i="20"/>
  <c r="DP215" i="20"/>
  <c r="DP220" i="20"/>
  <c r="DP230" i="20"/>
  <c r="DP256" i="20"/>
  <c r="DP266" i="20"/>
  <c r="DP6" i="20"/>
  <c r="BZ7" i="20"/>
  <c r="DP8" i="20"/>
  <c r="BK19" i="20"/>
  <c r="BZ26" i="20"/>
  <c r="DP38" i="20"/>
  <c r="CB102" i="20"/>
  <c r="DP110" i="20"/>
  <c r="DP138" i="20"/>
  <c r="DP179" i="20"/>
  <c r="BL12" i="20"/>
  <c r="AM20" i="20"/>
  <c r="BY51" i="20"/>
  <c r="DP234" i="20"/>
  <c r="CB10" i="20"/>
  <c r="AM11" i="20"/>
  <c r="AM8" i="20"/>
  <c r="BV10" i="20"/>
  <c r="CB17" i="20"/>
  <c r="BY17" i="20"/>
  <c r="BX17" i="20"/>
  <c r="BW47" i="20"/>
  <c r="BY107" i="20"/>
  <c r="DP225" i="20"/>
  <c r="CA12" i="20"/>
  <c r="CB12" i="20"/>
  <c r="BZ12" i="20"/>
  <c r="BX12" i="20"/>
  <c r="BZ91" i="20"/>
  <c r="CB91" i="20"/>
  <c r="CA91" i="20"/>
  <c r="BY91" i="20"/>
  <c r="AM6" i="20"/>
  <c r="BW10" i="20"/>
  <c r="BZ107" i="20"/>
  <c r="CA101" i="20"/>
  <c r="CB101" i="20"/>
  <c r="BZ101" i="20"/>
  <c r="BY101" i="20"/>
  <c r="BV101" i="20"/>
  <c r="AS11" i="20"/>
  <c r="DP229" i="20"/>
  <c r="BW12" i="20"/>
  <c r="CA10" i="20"/>
  <c r="DP114" i="20"/>
  <c r="BX116" i="20"/>
  <c r="CA116" i="20"/>
  <c r="BW116" i="20"/>
  <c r="BV116" i="20"/>
  <c r="DP186" i="20"/>
  <c r="DP123" i="20"/>
  <c r="AZ9" i="20"/>
  <c r="BW71" i="20"/>
  <c r="BV107" i="20"/>
  <c r="AZ5" i="20"/>
  <c r="BN5" i="20"/>
  <c r="BK5" i="20"/>
  <c r="AZ8" i="20"/>
  <c r="AM10" i="20"/>
  <c r="BL18" i="20"/>
  <c r="AS26" i="20"/>
  <c r="DP43" i="20"/>
  <c r="DP54" i="20"/>
  <c r="DP65" i="20"/>
  <c r="DP176" i="20"/>
  <c r="CB35" i="20"/>
  <c r="CA35" i="20"/>
  <c r="BZ35" i="20"/>
  <c r="BW35" i="20"/>
  <c r="DP39" i="20"/>
  <c r="DP41" i="20"/>
  <c r="DP171" i="20"/>
  <c r="DP295" i="20"/>
  <c r="BF8" i="20"/>
  <c r="AA24" i="20"/>
  <c r="AG24" i="20" s="1"/>
  <c r="Z24" i="20"/>
  <c r="BL7" i="20"/>
  <c r="AZ26" i="20"/>
  <c r="BL28" i="20"/>
  <c r="AY34" i="20"/>
  <c r="BV68" i="20"/>
  <c r="BY68" i="20"/>
  <c r="BW68" i="20"/>
  <c r="CB77" i="20"/>
  <c r="BZ77" i="20"/>
  <c r="BY77" i="20"/>
  <c r="BY49" i="20"/>
  <c r="CA49" i="20"/>
  <c r="BV77" i="20"/>
  <c r="DP112" i="20"/>
  <c r="DP147" i="20"/>
  <c r="DP167" i="20"/>
  <c r="DP258" i="20"/>
  <c r="DP277" i="20"/>
  <c r="BE14" i="20"/>
  <c r="DP22" i="20"/>
  <c r="CB33" i="20"/>
  <c r="BV33" i="20"/>
  <c r="CB53" i="20"/>
  <c r="CA53" i="20"/>
  <c r="BZ53" i="20"/>
  <c r="BY53" i="20"/>
  <c r="CB64" i="20"/>
  <c r="CA64" i="20"/>
  <c r="BY64" i="20"/>
  <c r="BX64" i="20"/>
  <c r="CB96" i="20"/>
  <c r="CA96" i="20"/>
  <c r="BZ96" i="20"/>
  <c r="BY96" i="20"/>
  <c r="BX96" i="20"/>
  <c r="BW96" i="20"/>
  <c r="DP142" i="20"/>
  <c r="CB28" i="20"/>
  <c r="CA28" i="20"/>
  <c r="BZ28" i="20"/>
  <c r="BY28" i="20"/>
  <c r="BX28" i="20"/>
  <c r="BW28" i="20"/>
  <c r="BV28" i="20"/>
  <c r="BX62" i="20"/>
  <c r="CA62" i="20"/>
  <c r="BZ62" i="20"/>
  <c r="CA113" i="20"/>
  <c r="CB113" i="20"/>
  <c r="BY113" i="20"/>
  <c r="BW113" i="20"/>
  <c r="BV113" i="20"/>
  <c r="DP7" i="20"/>
  <c r="BV51" i="20"/>
  <c r="BW62" i="20"/>
  <c r="BX73" i="20"/>
  <c r="CA73" i="20"/>
  <c r="BV84" i="20"/>
  <c r="BY84" i="20"/>
  <c r="BV109" i="20"/>
  <c r="BZ109" i="20"/>
  <c r="DP239" i="20"/>
  <c r="AM4" i="21"/>
  <c r="AN4" i="21" s="1"/>
  <c r="AF4" i="21"/>
  <c r="AG4" i="21" s="1"/>
  <c r="AH4" i="21" s="1"/>
  <c r="AX5" i="21"/>
  <c r="AX6" i="21" s="1"/>
  <c r="AX7" i="21" s="1"/>
  <c r="AX8" i="21" s="1"/>
  <c r="AX9" i="21" s="1"/>
  <c r="AX10" i="21" s="1"/>
  <c r="AX11" i="21" s="1"/>
  <c r="AX12" i="21" s="1"/>
  <c r="AX13" i="21" s="1"/>
  <c r="AX14" i="21" s="1"/>
  <c r="AX15" i="21" s="1"/>
  <c r="AX16" i="21" s="1"/>
  <c r="AY7" i="20"/>
  <c r="BW13" i="20"/>
  <c r="BX20" i="20"/>
  <c r="BW26" i="20"/>
  <c r="BV30" i="20"/>
  <c r="BX36" i="20"/>
  <c r="BW38" i="20"/>
  <c r="CA41" i="20"/>
  <c r="BV45" i="20"/>
  <c r="DP48" i="20"/>
  <c r="BZ54" i="20"/>
  <c r="BX56" i="20"/>
  <c r="BZ78" i="20"/>
  <c r="BY99" i="20"/>
  <c r="BW102" i="20"/>
  <c r="BY114" i="20"/>
  <c r="DP122" i="20"/>
  <c r="DP166" i="20"/>
  <c r="DP205" i="20"/>
  <c r="DP294" i="20"/>
  <c r="DP308" i="20"/>
  <c r="BL5" i="20"/>
  <c r="BZ29" i="20"/>
  <c r="AT36" i="20"/>
  <c r="AT38" i="20"/>
  <c r="CB38" i="20"/>
  <c r="CB80" i="20"/>
  <c r="DP82" i="20"/>
  <c r="CA94" i="20"/>
  <c r="DP99" i="20"/>
  <c r="BZ104" i="20"/>
  <c r="DP119" i="20"/>
  <c r="DP172" i="20"/>
  <c r="DP259" i="20"/>
  <c r="AS6" i="20"/>
  <c r="DP15" i="20"/>
  <c r="BV16" i="20"/>
  <c r="CA29" i="20"/>
  <c r="CB94" i="20"/>
  <c r="DP102" i="20"/>
  <c r="CA104" i="20"/>
  <c r="DP129" i="20"/>
  <c r="DP153" i="20"/>
  <c r="DP158" i="20"/>
  <c r="DP187" i="20"/>
  <c r="DP202" i="20"/>
  <c r="DP250" i="20"/>
  <c r="DP300" i="20"/>
  <c r="AT10" i="20"/>
  <c r="BW21" i="20"/>
  <c r="DP30" i="20"/>
  <c r="BV31" i="20"/>
  <c r="DP36" i="20"/>
  <c r="BW37" i="20"/>
  <c r="DP49" i="20"/>
  <c r="DP51" i="20"/>
  <c r="BV59" i="20"/>
  <c r="DP66" i="20"/>
  <c r="BW70" i="20"/>
  <c r="DP73" i="20"/>
  <c r="DP75" i="20"/>
  <c r="DP80" i="20"/>
  <c r="BW86" i="20"/>
  <c r="CA89" i="20"/>
  <c r="DP107" i="20"/>
  <c r="DP178" i="20"/>
  <c r="DP183" i="20"/>
  <c r="DP260" i="20"/>
  <c r="BK30" i="20"/>
  <c r="AY6" i="20"/>
  <c r="AT15" i="20"/>
  <c r="D25" i="20"/>
  <c r="BV5" i="20"/>
  <c r="AM9" i="20"/>
  <c r="DP23" i="20"/>
  <c r="DP42" i="20"/>
  <c r="BY57" i="20"/>
  <c r="BW72" i="20"/>
  <c r="DP77" i="20"/>
  <c r="BW79" i="20"/>
  <c r="BV88" i="20"/>
  <c r="BV100" i="20"/>
  <c r="DP173" i="20"/>
  <c r="P24" i="21"/>
  <c r="AM5" i="20"/>
  <c r="BE6" i="20"/>
  <c r="BY8" i="20"/>
  <c r="BV11" i="20"/>
  <c r="BZ16" i="20"/>
  <c r="BY19" i="20"/>
  <c r="BV27" i="20"/>
  <c r="CA37" i="20"/>
  <c r="BW46" i="20"/>
  <c r="DP53" i="20"/>
  <c r="CA57" i="20"/>
  <c r="BV61" i="20"/>
  <c r="CA70" i="20"/>
  <c r="BX72" i="20"/>
  <c r="BV83" i="20"/>
  <c r="BW88" i="20"/>
  <c r="DP91" i="20"/>
  <c r="BW100" i="20"/>
  <c r="BV108" i="20"/>
  <c r="DP116" i="20"/>
  <c r="DP203" i="20"/>
  <c r="DP251" i="20"/>
  <c r="DP283" i="20"/>
  <c r="CA5" i="20"/>
  <c r="BF6" i="20"/>
  <c r="BX11" i="20"/>
  <c r="BL13" i="20"/>
  <c r="DP17" i="20"/>
  <c r="AZ23" i="20"/>
  <c r="BW27" i="20"/>
  <c r="DP40" i="20"/>
  <c r="BY46" i="20"/>
  <c r="BW48" i="20"/>
  <c r="BW52" i="20"/>
  <c r="BY61" i="20"/>
  <c r="CB70" i="20"/>
  <c r="BY72" i="20"/>
  <c r="BW76" i="20"/>
  <c r="DP79" i="20"/>
  <c r="BY83" i="20"/>
  <c r="BX88" i="20"/>
  <c r="BY100" i="20"/>
  <c r="DP101" i="20"/>
  <c r="BW103" i="20"/>
  <c r="BW108" i="20"/>
  <c r="DP145" i="20"/>
  <c r="DP189" i="20"/>
  <c r="DP194" i="20"/>
  <c r="DP213" i="20"/>
  <c r="DP242" i="20"/>
  <c r="DP247" i="20"/>
  <c r="AN7" i="20"/>
  <c r="AT8" i="20"/>
  <c r="AT9" i="20"/>
  <c r="BE17" i="20"/>
  <c r="BY27" i="20"/>
  <c r="BZ46" i="20"/>
  <c r="BX48" i="20"/>
  <c r="BY52" i="20"/>
  <c r="DP57" i="20"/>
  <c r="DP59" i="20"/>
  <c r="BZ61" i="20"/>
  <c r="CA72" i="20"/>
  <c r="BY76" i="20"/>
  <c r="CA83" i="20"/>
  <c r="BY88" i="20"/>
  <c r="BZ100" i="20"/>
  <c r="BY108" i="20"/>
  <c r="DP155" i="20"/>
  <c r="DP160" i="20"/>
  <c r="T9" i="21"/>
  <c r="AB10" i="20" s="1"/>
  <c r="AY8" i="20"/>
  <c r="F12" i="20"/>
  <c r="AY12" i="20"/>
  <c r="AY16" i="20"/>
  <c r="DP21" i="20"/>
  <c r="BW22" i="20"/>
  <c r="BZ27" i="20"/>
  <c r="CA46" i="20"/>
  <c r="DP70" i="20"/>
  <c r="CB72" i="20"/>
  <c r="DP74" i="20"/>
  <c r="BV78" i="20"/>
  <c r="CA81" i="20"/>
  <c r="CB83" i="20"/>
  <c r="BV85" i="20"/>
  <c r="DP86" i="20"/>
  <c r="BZ88" i="20"/>
  <c r="DP93" i="20"/>
  <c r="BW95" i="20"/>
  <c r="CB100" i="20"/>
  <c r="DP103" i="20"/>
  <c r="DP136" i="20"/>
  <c r="DP275" i="20"/>
  <c r="AS7" i="20"/>
  <c r="E12" i="20"/>
  <c r="AT7" i="20"/>
  <c r="BV13" i="20"/>
  <c r="BL17" i="20"/>
  <c r="AY21" i="20"/>
  <c r="BV26" i="20"/>
  <c r="CB27" i="20"/>
  <c r="BV32" i="20"/>
  <c r="BW36" i="20"/>
  <c r="BW39" i="20"/>
  <c r="CA43" i="20"/>
  <c r="BY54" i="20"/>
  <c r="BW56" i="20"/>
  <c r="DP61" i="20"/>
  <c r="BY78" i="20"/>
  <c r="DP81" i="20"/>
  <c r="BZ85" i="20"/>
  <c r="DP90" i="20"/>
  <c r="DP95" i="20"/>
  <c r="BV99" i="20"/>
  <c r="BV102" i="20"/>
  <c r="BY112" i="20"/>
  <c r="BW114" i="20"/>
  <c r="DP117" i="20"/>
  <c r="DP132" i="20"/>
  <c r="DP170" i="20"/>
  <c r="DP195" i="20"/>
  <c r="DP200" i="20"/>
  <c r="DP219" i="20"/>
  <c r="DP233" i="20"/>
  <c r="DP298" i="20"/>
  <c r="M44" i="21"/>
  <c r="N44" i="21" s="1"/>
  <c r="Z5" i="20"/>
  <c r="AF5" i="20" s="1"/>
  <c r="AA5" i="20"/>
  <c r="AG5" i="20" s="1"/>
  <c r="BK7" i="20"/>
  <c r="BF38" i="20"/>
  <c r="BL35" i="20"/>
  <c r="AT33" i="20"/>
  <c r="AZ30" i="20"/>
  <c r="BF26" i="20"/>
  <c r="AN26" i="20"/>
  <c r="AN25" i="20"/>
  <c r="BL24" i="20"/>
  <c r="AT22" i="20"/>
  <c r="BF13" i="20"/>
  <c r="AN12" i="20"/>
  <c r="BF36" i="20"/>
  <c r="AN36" i="20"/>
  <c r="AN35" i="20"/>
  <c r="BF27" i="20"/>
  <c r="AT23" i="20"/>
  <c r="BF37" i="20"/>
  <c r="BL33" i="20"/>
  <c r="AT31" i="20"/>
  <c r="AZ28" i="20"/>
  <c r="AN24" i="20"/>
  <c r="BL22" i="20"/>
  <c r="E21" i="20"/>
  <c r="AT20" i="20"/>
  <c r="AT18" i="20"/>
  <c r="AZ16" i="20"/>
  <c r="BF12" i="20"/>
  <c r="BL10" i="20"/>
  <c r="AZ7" i="20"/>
  <c r="E17" i="20"/>
  <c r="AZ37" i="20"/>
  <c r="AZ36" i="20"/>
  <c r="BF32" i="20"/>
  <c r="AN32" i="20"/>
  <c r="AN31" i="20"/>
  <c r="AN20" i="20"/>
  <c r="AN18" i="20"/>
  <c r="AT16" i="20"/>
  <c r="BL29" i="20"/>
  <c r="BL16" i="20"/>
  <c r="BL15" i="20"/>
  <c r="AT14" i="20"/>
  <c r="AT13" i="20"/>
  <c r="AN8" i="20"/>
  <c r="BL6" i="20"/>
  <c r="AT37" i="20"/>
  <c r="AZ34" i="20"/>
  <c r="BF30" i="20"/>
  <c r="AN30" i="20"/>
  <c r="AN29" i="20"/>
  <c r="BF21" i="20"/>
  <c r="BF19" i="20"/>
  <c r="BF17" i="20"/>
  <c r="BL14" i="20"/>
  <c r="BL26" i="20"/>
  <c r="AT26" i="20"/>
  <c r="BF20" i="20"/>
  <c r="BF18" i="20"/>
  <c r="AN16" i="20"/>
  <c r="E25" i="20"/>
  <c r="BW9" i="20"/>
  <c r="BL11" i="20"/>
  <c r="BE13" i="20"/>
  <c r="BF14" i="20"/>
  <c r="AS16" i="20"/>
  <c r="AT17" i="20"/>
  <c r="AS17" i="20"/>
  <c r="DP18" i="20"/>
  <c r="BL19" i="20"/>
  <c r="AS23" i="20"/>
  <c r="BE24" i="20"/>
  <c r="AT27" i="20"/>
  <c r="AZ29" i="20"/>
  <c r="BL31" i="20"/>
  <c r="BF5" i="20"/>
  <c r="AT6" i="20"/>
  <c r="AM7" i="20"/>
  <c r="AS9" i="20"/>
  <c r="AN11" i="20"/>
  <c r="BK12" i="20"/>
  <c r="BK13" i="20"/>
  <c r="CB15" i="20"/>
  <c r="CA15" i="20"/>
  <c r="BY15" i="20"/>
  <c r="BX15" i="20"/>
  <c r="BW15" i="20"/>
  <c r="BV15" i="20"/>
  <c r="AZ17" i="20"/>
  <c r="AY17" i="20"/>
  <c r="AS20" i="20"/>
  <c r="AZ21" i="20"/>
  <c r="AZ27" i="20"/>
  <c r="BF28" i="20"/>
  <c r="BE29" i="20"/>
  <c r="AT32" i="20"/>
  <c r="AY27" i="20"/>
  <c r="BE28" i="20"/>
  <c r="BF29" i="20"/>
  <c r="BF34" i="20"/>
  <c r="BE34" i="20"/>
  <c r="AM36" i="20"/>
  <c r="AM38" i="20"/>
  <c r="BX7" i="20"/>
  <c r="BV7" i="20"/>
  <c r="BE8" i="20"/>
  <c r="AN10" i="20"/>
  <c r="BK14" i="20"/>
  <c r="BF16" i="20"/>
  <c r="BE16" i="20"/>
  <c r="BE21" i="20"/>
  <c r="AY23" i="20"/>
  <c r="BE30" i="20"/>
  <c r="AZ32" i="20"/>
  <c r="BL37" i="20"/>
  <c r="AN15" i="20"/>
  <c r="AM15" i="20"/>
  <c r="AZ20" i="20"/>
  <c r="AY20" i="20"/>
  <c r="AZ6" i="20"/>
  <c r="BL8" i="20"/>
  <c r="BK8" i="20"/>
  <c r="AY9" i="20"/>
  <c r="AT11" i="20"/>
  <c r="AM12" i="20"/>
  <c r="AM13" i="20"/>
  <c r="AN19" i="20"/>
  <c r="BH20" i="20"/>
  <c r="BE20" i="20"/>
  <c r="DP20" i="20"/>
  <c r="AN22" i="20"/>
  <c r="BF23" i="20"/>
  <c r="BE32" i="20"/>
  <c r="BL34" i="20"/>
  <c r="AN13" i="20"/>
  <c r="CB14" i="20"/>
  <c r="BZ14" i="20"/>
  <c r="BY14" i="20"/>
  <c r="BX14" i="20"/>
  <c r="BW14" i="20"/>
  <c r="AS15" i="20"/>
  <c r="BL21" i="20"/>
  <c r="BK21" i="20"/>
  <c r="AM22" i="20"/>
  <c r="AM24" i="20"/>
  <c r="BL27" i="20"/>
  <c r="BK27" i="20"/>
  <c r="BL30" i="20"/>
  <c r="AM31" i="20"/>
  <c r="AN33" i="20"/>
  <c r="AM33" i="20"/>
  <c r="AY36" i="20"/>
  <c r="AZ38" i="20"/>
  <c r="AT12" i="20"/>
  <c r="AS12" i="20"/>
  <c r="AT19" i="20"/>
  <c r="AS19" i="20"/>
  <c r="AS31" i="20"/>
  <c r="AS35" i="20"/>
  <c r="BE38" i="20"/>
  <c r="AN5" i="20"/>
  <c r="BK35" i="20"/>
  <c r="AS33" i="20"/>
  <c r="AY30" i="20"/>
  <c r="BE26" i="20"/>
  <c r="AM26" i="20"/>
  <c r="AM25" i="20"/>
  <c r="BK24" i="20"/>
  <c r="AS22" i="20"/>
  <c r="AM35" i="20"/>
  <c r="BE37" i="20"/>
  <c r="D21" i="20"/>
  <c r="BW5" i="20"/>
  <c r="AY37" i="20"/>
  <c r="BK31" i="20"/>
  <c r="AS29" i="20"/>
  <c r="AY26" i="20"/>
  <c r="AM21" i="20"/>
  <c r="BK20" i="20"/>
  <c r="BK18" i="20"/>
  <c r="AS38" i="20"/>
  <c r="AY35" i="20"/>
  <c r="BK29" i="20"/>
  <c r="AS27" i="20"/>
  <c r="AY24" i="20"/>
  <c r="BK16" i="20"/>
  <c r="BK15" i="20"/>
  <c r="AS14" i="20"/>
  <c r="AM29" i="20"/>
  <c r="AY32" i="20"/>
  <c r="BF9" i="20"/>
  <c r="BE9" i="20"/>
  <c r="AS10" i="20"/>
  <c r="AZ11" i="20"/>
  <c r="AY11" i="20"/>
  <c r="AN14" i="20"/>
  <c r="CA14" i="20"/>
  <c r="D17" i="20"/>
  <c r="BK17" i="20"/>
  <c r="BL23" i="20"/>
  <c r="AT25" i="20"/>
  <c r="AS25" i="20"/>
  <c r="BN26" i="20"/>
  <c r="BK26" i="20"/>
  <c r="BL32" i="20"/>
  <c r="AT35" i="20"/>
  <c r="BE36" i="20"/>
  <c r="BG36" i="20" s="1"/>
  <c r="AM14" i="20"/>
  <c r="AM18" i="20"/>
  <c r="AO18" i="20" s="1"/>
  <c r="AP18" i="20" s="1"/>
  <c r="AZ19" i="20"/>
  <c r="AY19" i="20"/>
  <c r="BL20" i="20"/>
  <c r="AT24" i="20"/>
  <c r="AT5" i="20"/>
  <c r="AS5" i="20"/>
  <c r="BX5" i="20"/>
  <c r="AF9" i="20"/>
  <c r="BK9" i="20"/>
  <c r="AZ10" i="20"/>
  <c r="AY10" i="20"/>
  <c r="BE11" i="20"/>
  <c r="AZ12" i="20"/>
  <c r="BA12" i="20" s="1"/>
  <c r="BB12" i="20" s="1"/>
  <c r="AZ15" i="20"/>
  <c r="AS18" i="20"/>
  <c r="AZ22" i="20"/>
  <c r="AY22" i="20"/>
  <c r="AS24" i="20"/>
  <c r="AZ25" i="20"/>
  <c r="DP25" i="20"/>
  <c r="AN28" i="20"/>
  <c r="AZ31" i="20"/>
  <c r="AZ33" i="20"/>
  <c r="AZ35" i="20"/>
  <c r="AM37" i="20"/>
  <c r="BE7" i="20"/>
  <c r="BL9" i="20"/>
  <c r="BF11" i="20"/>
  <c r="AY13" i="20"/>
  <c r="CB23" i="20"/>
  <c r="CA23" i="20"/>
  <c r="BZ23" i="20"/>
  <c r="BY23" i="20"/>
  <c r="BX23" i="20"/>
  <c r="BW23" i="20"/>
  <c r="BV23" i="20"/>
  <c r="AM28" i="20"/>
  <c r="AM30" i="20"/>
  <c r="AO30" i="20" s="1"/>
  <c r="AP30" i="20" s="1"/>
  <c r="BL36" i="20"/>
  <c r="BL38" i="20"/>
  <c r="AY5" i="20"/>
  <c r="BA5" i="20" s="1"/>
  <c r="BB5" i="20" s="1"/>
  <c r="BZ5" i="20"/>
  <c r="BK6" i="20"/>
  <c r="BM6" i="20" s="1"/>
  <c r="BF7" i="20"/>
  <c r="AS8" i="20"/>
  <c r="AU8" i="20" s="1"/>
  <c r="AV8" i="20" s="1"/>
  <c r="BF10" i="20"/>
  <c r="BE10" i="20"/>
  <c r="AZ13" i="20"/>
  <c r="BE15" i="20"/>
  <c r="AM16" i="20"/>
  <c r="AO16" i="20" s="1"/>
  <c r="AP16" i="20" s="1"/>
  <c r="BE19" i="20"/>
  <c r="BG19" i="20" s="1"/>
  <c r="AN21" i="20"/>
  <c r="BF22" i="20"/>
  <c r="AZ24" i="20"/>
  <c r="BF25" i="20"/>
  <c r="BE25" i="20"/>
  <c r="AN27" i="20"/>
  <c r="BF31" i="20"/>
  <c r="BF33" i="20"/>
  <c r="AN34" i="20"/>
  <c r="AM34" i="20"/>
  <c r="BF35" i="20"/>
  <c r="AS37" i="20"/>
  <c r="AU37" i="20" s="1"/>
  <c r="AV37" i="20" s="1"/>
  <c r="AG45" i="20"/>
  <c r="BN11" i="20"/>
  <c r="BK11" i="20"/>
  <c r="BM11" i="20" s="1"/>
  <c r="BE12" i="20"/>
  <c r="BG12" i="20" s="1"/>
  <c r="AZ14" i="20"/>
  <c r="AY14" i="20"/>
  <c r="BF15" i="20"/>
  <c r="AN17" i="20"/>
  <c r="AZ18" i="20"/>
  <c r="AY18" i="20"/>
  <c r="AN23" i="20"/>
  <c r="AM27" i="20"/>
  <c r="AT28" i="20"/>
  <c r="AT29" i="20"/>
  <c r="AT30" i="20"/>
  <c r="BE35" i="20"/>
  <c r="CB5" i="20"/>
  <c r="AN6" i="20"/>
  <c r="AO6" i="20" s="1"/>
  <c r="AP6" i="20" s="1"/>
  <c r="BX6" i="20"/>
  <c r="BV6" i="20"/>
  <c r="AN9" i="20"/>
  <c r="AO9" i="20" s="1"/>
  <c r="AP9" i="20" s="1"/>
  <c r="BZ9" i="20"/>
  <c r="BY9" i="20"/>
  <c r="BV9" i="20"/>
  <c r="CB9" i="20"/>
  <c r="BH18" i="20"/>
  <c r="BE18" i="20"/>
  <c r="BG18" i="20" s="1"/>
  <c r="AT21" i="20"/>
  <c r="BN22" i="20"/>
  <c r="BK22" i="20"/>
  <c r="BM22" i="20" s="1"/>
  <c r="AM23" i="20"/>
  <c r="BF24" i="20"/>
  <c r="BL25" i="20"/>
  <c r="AY28" i="20"/>
  <c r="BA28" i="20" s="1"/>
  <c r="BB28" i="20" s="1"/>
  <c r="AS30" i="20"/>
  <c r="AM32" i="20"/>
  <c r="AO32" i="20" s="1"/>
  <c r="AP32" i="20" s="1"/>
  <c r="BN33" i="20"/>
  <c r="BK33" i="20"/>
  <c r="BM33" i="20" s="1"/>
  <c r="AT34" i="20"/>
  <c r="AN37" i="20"/>
  <c r="BK37" i="20"/>
  <c r="BM37" i="20" s="1"/>
  <c r="AN38" i="20"/>
  <c r="BV39" i="20"/>
  <c r="BZ41" i="20"/>
  <c r="BX44" i="20"/>
  <c r="CB46" i="20"/>
  <c r="BV47" i="20"/>
  <c r="BZ49" i="20"/>
  <c r="BX52" i="20"/>
  <c r="CB54" i="20"/>
  <c r="BV55" i="20"/>
  <c r="BZ57" i="20"/>
  <c r="BX60" i="20"/>
  <c r="CB62" i="20"/>
  <c r="BV63" i="20"/>
  <c r="BZ65" i="20"/>
  <c r="BX68" i="20"/>
  <c r="BV71" i="20"/>
  <c r="BZ73" i="20"/>
  <c r="BX76" i="20"/>
  <c r="BV79" i="20"/>
  <c r="BZ81" i="20"/>
  <c r="BX84" i="20"/>
  <c r="BV87" i="20"/>
  <c r="BZ89" i="20"/>
  <c r="BX92" i="20"/>
  <c r="BV95" i="20"/>
  <c r="BZ97" i="20"/>
  <c r="BX100" i="20"/>
  <c r="BV103" i="20"/>
  <c r="BX109" i="20"/>
  <c r="BX114" i="20"/>
  <c r="DP174" i="20"/>
  <c r="DP238" i="20"/>
  <c r="DP302" i="20"/>
  <c r="AQ3" i="21"/>
  <c r="BX10" i="20"/>
  <c r="BZ17" i="20"/>
  <c r="BZ19" i="20"/>
  <c r="CA20" i="20"/>
  <c r="BX21" i="20"/>
  <c r="BX22" i="20"/>
  <c r="BZ30" i="20"/>
  <c r="BZ31" i="20"/>
  <c r="BW32" i="20"/>
  <c r="AY33" i="20"/>
  <c r="BW33" i="20"/>
  <c r="AS36" i="20"/>
  <c r="AU36" i="20" s="1"/>
  <c r="AV36" i="20" s="1"/>
  <c r="BK36" i="20"/>
  <c r="AE41" i="21"/>
  <c r="BY10" i="20"/>
  <c r="CA17" i="20"/>
  <c r="CA19" i="20"/>
  <c r="BY21" i="20"/>
  <c r="BY22" i="20"/>
  <c r="CA30" i="20"/>
  <c r="BE31" i="20"/>
  <c r="CA31" i="20"/>
  <c r="BX32" i="20"/>
  <c r="BX33" i="20"/>
  <c r="BK38" i="20"/>
  <c r="BX39" i="20"/>
  <c r="CB41" i="20"/>
  <c r="BV42" i="20"/>
  <c r="BZ44" i="20"/>
  <c r="BX47" i="20"/>
  <c r="CB49" i="20"/>
  <c r="BV50" i="20"/>
  <c r="BZ52" i="20"/>
  <c r="BX55" i="20"/>
  <c r="CB57" i="20"/>
  <c r="BV58" i="20"/>
  <c r="BZ60" i="20"/>
  <c r="BX63" i="20"/>
  <c r="CB65" i="20"/>
  <c r="BV66" i="20"/>
  <c r="BZ68" i="20"/>
  <c r="BX71" i="20"/>
  <c r="CB73" i="20"/>
  <c r="BV74" i="20"/>
  <c r="BZ76" i="20"/>
  <c r="BX79" i="20"/>
  <c r="CB81" i="20"/>
  <c r="BV82" i="20"/>
  <c r="BZ84" i="20"/>
  <c r="BX87" i="20"/>
  <c r="CB89" i="20"/>
  <c r="BV90" i="20"/>
  <c r="BX95" i="20"/>
  <c r="CB97" i="20"/>
  <c r="BV98" i="20"/>
  <c r="BX103" i="20"/>
  <c r="AF28" i="21"/>
  <c r="AX29" i="21"/>
  <c r="AR29" i="21" s="1"/>
  <c r="AR28" i="21"/>
  <c r="AO28" i="21"/>
  <c r="AL28" i="21"/>
  <c r="AI28" i="21"/>
  <c r="BZ10" i="20"/>
  <c r="CB19" i="20"/>
  <c r="BZ21" i="20"/>
  <c r="BZ22" i="20"/>
  <c r="CB30" i="20"/>
  <c r="CB31" i="20"/>
  <c r="BY32" i="20"/>
  <c r="BY33" i="20"/>
  <c r="BV34" i="20"/>
  <c r="BV35" i="20"/>
  <c r="BY39" i="20"/>
  <c r="BW42" i="20"/>
  <c r="CA44" i="20"/>
  <c r="BY47" i="20"/>
  <c r="BW50" i="20"/>
  <c r="CA52" i="20"/>
  <c r="BY55" i="20"/>
  <c r="BW58" i="20"/>
  <c r="CA60" i="20"/>
  <c r="BY63" i="20"/>
  <c r="BW66" i="20"/>
  <c r="CA68" i="20"/>
  <c r="BY71" i="20"/>
  <c r="BW74" i="20"/>
  <c r="CA76" i="20"/>
  <c r="BY79" i="20"/>
  <c r="BW82" i="20"/>
  <c r="CA84" i="20"/>
  <c r="BY87" i="20"/>
  <c r="BW90" i="20"/>
  <c r="CA92" i="20"/>
  <c r="BY95" i="20"/>
  <c r="BW98" i="20"/>
  <c r="BY103" i="20"/>
  <c r="BX108" i="20"/>
  <c r="CA109" i="20"/>
  <c r="BX113" i="20"/>
  <c r="CB114" i="20"/>
  <c r="BV117" i="20"/>
  <c r="DP162" i="20"/>
  <c r="DP226" i="20"/>
  <c r="DP290" i="20"/>
  <c r="AT3" i="21"/>
  <c r="AR5" i="21"/>
  <c r="AS5" i="21" s="1"/>
  <c r="AO5" i="21"/>
  <c r="AP5" i="21" s="1"/>
  <c r="AL5" i="21"/>
  <c r="AM5" i="21" s="1"/>
  <c r="AI5" i="21"/>
  <c r="AJ5" i="21" s="1"/>
  <c r="BZ32" i="20"/>
  <c r="BZ33" i="20"/>
  <c r="BZ39" i="20"/>
  <c r="BX42" i="20"/>
  <c r="CB44" i="20"/>
  <c r="BZ47" i="20"/>
  <c r="BX50" i="20"/>
  <c r="CB52" i="20"/>
  <c r="BZ55" i="20"/>
  <c r="BX58" i="20"/>
  <c r="CB60" i="20"/>
  <c r="BZ63" i="20"/>
  <c r="BX66" i="20"/>
  <c r="CB68" i="20"/>
  <c r="BZ71" i="20"/>
  <c r="BX74" i="20"/>
  <c r="CB76" i="20"/>
  <c r="BZ79" i="20"/>
  <c r="BX82" i="20"/>
  <c r="CB84" i="20"/>
  <c r="BZ87" i="20"/>
  <c r="BX90" i="20"/>
  <c r="CB92" i="20"/>
  <c r="BZ95" i="20"/>
  <c r="BX98" i="20"/>
  <c r="BZ103" i="20"/>
  <c r="CB109" i="20"/>
  <c r="BW117" i="20"/>
  <c r="AF5" i="21"/>
  <c r="AG5" i="21" s="1"/>
  <c r="AM17" i="20"/>
  <c r="AM19" i="20"/>
  <c r="AO19" i="20" s="1"/>
  <c r="AP19" i="20" s="1"/>
  <c r="CB21" i="20"/>
  <c r="BE22" i="20"/>
  <c r="CB22" i="20"/>
  <c r="BE23" i="20"/>
  <c r="BG23" i="20" s="1"/>
  <c r="AF24" i="20"/>
  <c r="AY25" i="20"/>
  <c r="BW25" i="20"/>
  <c r="AS28" i="20"/>
  <c r="BK28" i="20"/>
  <c r="BM28" i="20" s="1"/>
  <c r="CA32" i="20"/>
  <c r="BE33" i="20"/>
  <c r="CA33" i="20"/>
  <c r="BX34" i="20"/>
  <c r="BX35" i="20"/>
  <c r="CA39" i="20"/>
  <c r="BY42" i="20"/>
  <c r="BW45" i="20"/>
  <c r="CA47" i="20"/>
  <c r="BY50" i="20"/>
  <c r="BW53" i="20"/>
  <c r="CA55" i="20"/>
  <c r="BY58" i="20"/>
  <c r="BW61" i="20"/>
  <c r="CA63" i="20"/>
  <c r="BY66" i="20"/>
  <c r="BW69" i="20"/>
  <c r="CA71" i="20"/>
  <c r="BY74" i="20"/>
  <c r="BW77" i="20"/>
  <c r="CA79" i="20"/>
  <c r="BY82" i="20"/>
  <c r="BW85" i="20"/>
  <c r="CA87" i="20"/>
  <c r="BY90" i="20"/>
  <c r="BW93" i="20"/>
  <c r="CA95" i="20"/>
  <c r="BY98" i="20"/>
  <c r="BW101" i="20"/>
  <c r="CA103" i="20"/>
  <c r="BW107" i="20"/>
  <c r="BZ108" i="20"/>
  <c r="BV112" i="20"/>
  <c r="BZ113" i="20"/>
  <c r="BX117" i="20"/>
  <c r="DP154" i="20"/>
  <c r="DP218" i="20"/>
  <c r="DP282" i="20"/>
  <c r="AV3" i="21"/>
  <c r="AW3" i="21" s="1"/>
  <c r="BV12" i="20"/>
  <c r="BX25" i="20"/>
  <c r="BY34" i="20"/>
  <c r="BY35" i="20"/>
  <c r="BV36" i="20"/>
  <c r="BV37" i="20"/>
  <c r="BV40" i="20"/>
  <c r="BZ42" i="20"/>
  <c r="BX45" i="20"/>
  <c r="BV48" i="20"/>
  <c r="BZ50" i="20"/>
  <c r="BX53" i="20"/>
  <c r="BV56" i="20"/>
  <c r="BZ58" i="20"/>
  <c r="BX61" i="20"/>
  <c r="BV64" i="20"/>
  <c r="BZ66" i="20"/>
  <c r="BX69" i="20"/>
  <c r="BV72" i="20"/>
  <c r="BZ74" i="20"/>
  <c r="BX77" i="20"/>
  <c r="BZ82" i="20"/>
  <c r="BX85" i="20"/>
  <c r="BZ90" i="20"/>
  <c r="BX93" i="20"/>
  <c r="BZ98" i="20"/>
  <c r="BX101" i="20"/>
  <c r="BX107" i="20"/>
  <c r="CA108" i="20"/>
  <c r="BW112" i="20"/>
  <c r="BY117" i="20"/>
  <c r="DP150" i="20"/>
  <c r="DP214" i="20"/>
  <c r="DP278" i="20"/>
  <c r="CA42" i="20"/>
  <c r="CA50" i="20"/>
  <c r="CA58" i="20"/>
  <c r="CA66" i="20"/>
  <c r="CA74" i="20"/>
  <c r="CA82" i="20"/>
  <c r="CA90" i="20"/>
  <c r="CA98" i="20"/>
  <c r="BX112" i="20"/>
  <c r="BZ117" i="20"/>
  <c r="DP146" i="20"/>
  <c r="DP210" i="20"/>
  <c r="DP274" i="20"/>
  <c r="AJ4" i="21"/>
  <c r="AK4" i="21" s="1"/>
  <c r="BY12" i="20"/>
  <c r="AY38" i="20"/>
  <c r="BA38" i="20" s="1"/>
  <c r="BB38" i="20" s="1"/>
  <c r="BW43" i="20"/>
  <c r="Z45" i="20"/>
  <c r="AF45" i="20" s="1"/>
  <c r="BW51" i="20"/>
  <c r="BW59" i="20"/>
  <c r="CA61" i="20"/>
  <c r="BW67" i="20"/>
  <c r="CA69" i="20"/>
  <c r="BW75" i="20"/>
  <c r="CA77" i="20"/>
  <c r="BW83" i="20"/>
  <c r="CA85" i="20"/>
  <c r="BW91" i="20"/>
  <c r="CA93" i="20"/>
  <c r="BW99" i="20"/>
  <c r="BX106" i="20"/>
  <c r="CA107" i="20"/>
  <c r="BW111" i="20"/>
  <c r="BZ112" i="20"/>
  <c r="BY116" i="20"/>
  <c r="AV5" i="21"/>
  <c r="AW5" i="21" s="1"/>
  <c r="BZ36" i="20"/>
  <c r="BZ37" i="20"/>
  <c r="BZ40" i="20"/>
  <c r="BX43" i="20"/>
  <c r="BV46" i="20"/>
  <c r="BZ48" i="20"/>
  <c r="BX51" i="20"/>
  <c r="BV54" i="20"/>
  <c r="BZ56" i="20"/>
  <c r="BX59" i="20"/>
  <c r="BV62" i="20"/>
  <c r="BZ64" i="20"/>
  <c r="BX67" i="20"/>
  <c r="BV70" i="20"/>
  <c r="BX75" i="20"/>
  <c r="BX83" i="20"/>
  <c r="BX91" i="20"/>
  <c r="BX99" i="20"/>
  <c r="BV105" i="20"/>
  <c r="BY106" i="20"/>
  <c r="BX111" i="20"/>
  <c r="CA112" i="20"/>
  <c r="BZ116" i="20"/>
  <c r="DP134" i="20"/>
  <c r="DP198" i="20"/>
  <c r="DP262" i="20"/>
  <c r="T5" i="21"/>
  <c r="AB6" i="20" s="1"/>
  <c r="AS4" i="21"/>
  <c r="AT4" i="21" s="1"/>
  <c r="AY15" i="20"/>
  <c r="AS21" i="20"/>
  <c r="BK23" i="20"/>
  <c r="AY29" i="20"/>
  <c r="BA29" i="20" s="1"/>
  <c r="BB29" i="20" s="1"/>
  <c r="AS32" i="20"/>
  <c r="AU32" i="20" s="1"/>
  <c r="AV32" i="20" s="1"/>
  <c r="BK32" i="20"/>
  <c r="AL16" i="21"/>
  <c r="AI16" i="21"/>
  <c r="AF16" i="21"/>
  <c r="AX17" i="21"/>
  <c r="AP17" i="21" s="1"/>
  <c r="AQ17" i="21" s="1"/>
  <c r="AS16" i="21"/>
  <c r="AT16" i="21" s="1"/>
  <c r="T18" i="21"/>
  <c r="AB19" i="20" s="1"/>
  <c r="BE27" i="20"/>
  <c r="BG27" i="20" s="1"/>
  <c r="BV41" i="20"/>
  <c r="BZ43" i="20"/>
  <c r="BV49" i="20"/>
  <c r="BZ51" i="20"/>
  <c r="BV57" i="20"/>
  <c r="BZ59" i="20"/>
  <c r="BV65" i="20"/>
  <c r="BZ67" i="20"/>
  <c r="BV73" i="20"/>
  <c r="BZ75" i="20"/>
  <c r="BV81" i="20"/>
  <c r="BV89" i="20"/>
  <c r="BV97" i="20"/>
  <c r="BZ111" i="20"/>
  <c r="CB116" i="20"/>
  <c r="DP126" i="20"/>
  <c r="DP190" i="20"/>
  <c r="DP254" i="20"/>
  <c r="DP310" i="20"/>
  <c r="AG3" i="21"/>
  <c r="AH3" i="21" s="1"/>
  <c r="AV4" i="21"/>
  <c r="AW4" i="21" s="1"/>
  <c r="AE6" i="21"/>
  <c r="P9" i="21"/>
  <c r="Q8" i="21"/>
  <c r="AA9" i="20" s="1"/>
  <c r="AG9" i="20" s="1"/>
  <c r="BW41" i="20"/>
  <c r="BW49" i="20"/>
  <c r="BW57" i="20"/>
  <c r="BW65" i="20"/>
  <c r="BW73" i="20"/>
  <c r="BW81" i="20"/>
  <c r="BW89" i="20"/>
  <c r="BW97" i="20"/>
  <c r="P6" i="21"/>
  <c r="Q6" i="21" s="1"/>
  <c r="M39" i="21"/>
  <c r="N39" i="21" s="1"/>
  <c r="BK25" i="20"/>
  <c r="AF30" i="20"/>
  <c r="AY31" i="20"/>
  <c r="AS34" i="20"/>
  <c r="BK34" i="20"/>
  <c r="BM34" i="20" s="1"/>
  <c r="BX41" i="20"/>
  <c r="BX49" i="20"/>
  <c r="BV114" i="20"/>
  <c r="DP118" i="20"/>
  <c r="DP182" i="20"/>
  <c r="DP246" i="20"/>
  <c r="DP306" i="20"/>
  <c r="T60" i="21"/>
  <c r="AB61" i="20" s="1"/>
  <c r="M9" i="21"/>
  <c r="N9" i="21" s="1"/>
  <c r="Z10" i="20" s="1"/>
  <c r="AF10" i="20" s="1"/>
  <c r="AW28" i="21"/>
  <c r="T10" i="21"/>
  <c r="AB11" i="20" s="1"/>
  <c r="T24" i="21"/>
  <c r="AB25" i="20" s="1"/>
  <c r="AV16" i="21"/>
  <c r="AW16" i="21" s="1"/>
  <c r="T30" i="21"/>
  <c r="AB31" i="20" s="1"/>
  <c r="P36" i="21"/>
  <c r="Q36" i="21" s="1"/>
  <c r="AE49" i="21"/>
  <c r="M14" i="21"/>
  <c r="AE30" i="21"/>
  <c r="AI69" i="21"/>
  <c r="AF69" i="21"/>
  <c r="AU69" i="21"/>
  <c r="AX70" i="21"/>
  <c r="AU70" i="21" s="1"/>
  <c r="AR69" i="21"/>
  <c r="AO69" i="21"/>
  <c r="AL69" i="21"/>
  <c r="P70" i="21"/>
  <c r="Q70" i="21" s="1"/>
  <c r="P19" i="21"/>
  <c r="M32" i="21"/>
  <c r="N32" i="21" s="1"/>
  <c r="T36" i="21"/>
  <c r="AB37" i="20" s="1"/>
  <c r="N68" i="21"/>
  <c r="M69" i="21"/>
  <c r="AJ3" i="21"/>
  <c r="AK3" i="21" s="1"/>
  <c r="P14" i="21"/>
  <c r="Q14" i="21" s="1"/>
  <c r="AO18" i="21"/>
  <c r="P29" i="21"/>
  <c r="M35" i="21"/>
  <c r="N35" i="21" s="1"/>
  <c r="Z36" i="20" s="1"/>
  <c r="AF36" i="20" s="1"/>
  <c r="T45" i="21"/>
  <c r="AB46" i="20" s="1"/>
  <c r="P64" i="21"/>
  <c r="Q64" i="21" s="1"/>
  <c r="AE19" i="21"/>
  <c r="M47" i="21"/>
  <c r="N47" i="21" s="1"/>
  <c r="AR18" i="21"/>
  <c r="AU29" i="21"/>
  <c r="AX78" i="21"/>
  <c r="AL78" i="21" s="1"/>
  <c r="AM78" i="21" s="1"/>
  <c r="AR77" i="21"/>
  <c r="AO77" i="21"/>
  <c r="AL77" i="21"/>
  <c r="AI77" i="21"/>
  <c r="AF77" i="21"/>
  <c r="AU77" i="21"/>
  <c r="AP4" i="21"/>
  <c r="AQ4" i="21" s="1"/>
  <c r="M5" i="21"/>
  <c r="N5" i="21" s="1"/>
  <c r="P47" i="21"/>
  <c r="Q47" i="21" s="1"/>
  <c r="M51" i="21"/>
  <c r="N51" i="21" s="1"/>
  <c r="T13" i="21"/>
  <c r="AB14" i="20" s="1"/>
  <c r="AL85" i="21"/>
  <c r="AI85" i="21"/>
  <c r="AF85" i="21"/>
  <c r="AU85" i="21"/>
  <c r="AX86" i="21"/>
  <c r="AR86" i="21" s="1"/>
  <c r="AR85" i="21"/>
  <c r="AO85" i="21"/>
  <c r="P59" i="21"/>
  <c r="Q59" i="21" s="1"/>
  <c r="AA60" i="20" s="1"/>
  <c r="AG60" i="20" s="1"/>
  <c r="AU18" i="21"/>
  <c r="AP16" i="21"/>
  <c r="AQ16" i="21" s="1"/>
  <c r="AO58" i="21"/>
  <c r="AL58" i="21"/>
  <c r="AI58" i="21"/>
  <c r="AF58" i="21"/>
  <c r="AU58" i="21"/>
  <c r="AX59" i="21"/>
  <c r="AU59" i="21" s="1"/>
  <c r="AR58" i="21"/>
  <c r="P52" i="21"/>
  <c r="Q52" i="21" s="1"/>
  <c r="AI87" i="21"/>
  <c r="N67" i="21"/>
  <c r="AL87" i="21"/>
  <c r="AM87" i="21" s="1"/>
  <c r="AE61" i="21"/>
  <c r="AE79" i="21"/>
  <c r="AO87" i="21"/>
  <c r="AP87" i="21" s="1"/>
  <c r="AE88" i="21"/>
  <c r="AR87" i="21"/>
  <c r="AE72" i="21"/>
  <c r="AU87" i="21"/>
  <c r="AV87" i="21" s="1"/>
  <c r="AF87" i="21"/>
  <c r="AG87" i="21" s="1"/>
  <c r="BA31" i="20" l="1"/>
  <c r="BB31" i="20" s="1"/>
  <c r="BA32" i="20"/>
  <c r="BB32" i="20" s="1"/>
  <c r="T46" i="21"/>
  <c r="AB47" i="20" s="1"/>
  <c r="AR70" i="21"/>
  <c r="BM25" i="20"/>
  <c r="BM36" i="20"/>
  <c r="BM17" i="20"/>
  <c r="AU38" i="20"/>
  <c r="AV38" i="20" s="1"/>
  <c r="BG26" i="20"/>
  <c r="AO31" i="20"/>
  <c r="AP31" i="20" s="1"/>
  <c r="BG32" i="20"/>
  <c r="BM19" i="20"/>
  <c r="BG17" i="20"/>
  <c r="AU33" i="20"/>
  <c r="AV33" i="20" s="1"/>
  <c r="AO23" i="20"/>
  <c r="AP23" i="20" s="1"/>
  <c r="BM31" i="20"/>
  <c r="AU7" i="20"/>
  <c r="AV7" i="20" s="1"/>
  <c r="AO70" i="21"/>
  <c r="AP70" i="21" s="1"/>
  <c r="AQ70" i="21" s="1"/>
  <c r="BM38" i="20"/>
  <c r="AU78" i="21"/>
  <c r="F25" i="20"/>
  <c r="G25" i="20" s="1"/>
  <c r="BG34" i="20"/>
  <c r="BA22" i="20"/>
  <c r="BB22" i="20" s="1"/>
  <c r="AU34" i="20"/>
  <c r="AV34" i="20" s="1"/>
  <c r="BM26" i="20"/>
  <c r="BA15" i="20"/>
  <c r="BB15" i="20" s="1"/>
  <c r="AI78" i="21"/>
  <c r="AJ78" i="21" s="1"/>
  <c r="AK78" i="21" s="1"/>
  <c r="F17" i="20"/>
  <c r="G17" i="20" s="1"/>
  <c r="AO26" i="20"/>
  <c r="AP26" i="20" s="1"/>
  <c r="AU26" i="20"/>
  <c r="AV26" i="20" s="1"/>
  <c r="M48" i="21"/>
  <c r="N48" i="21" s="1"/>
  <c r="BM18" i="20"/>
  <c r="BA30" i="20"/>
  <c r="BB30" i="20" s="1"/>
  <c r="BM30" i="20"/>
  <c r="AO36" i="20"/>
  <c r="AP36" i="20" s="1"/>
  <c r="AU18" i="20"/>
  <c r="AV18" i="20" s="1"/>
  <c r="AO20" i="20"/>
  <c r="AP20" i="20" s="1"/>
  <c r="BA8" i="20"/>
  <c r="BB8" i="20" s="1"/>
  <c r="BM5" i="20"/>
  <c r="AU13" i="20"/>
  <c r="AV13" i="20" s="1"/>
  <c r="AU10" i="20"/>
  <c r="AV10" i="20" s="1"/>
  <c r="BA26" i="20"/>
  <c r="BB26" i="20" s="1"/>
  <c r="AO5" i="20"/>
  <c r="AP5" i="20" s="1"/>
  <c r="AO24" i="20"/>
  <c r="AP24" i="20" s="1"/>
  <c r="BG20" i="20"/>
  <c r="AR78" i="21"/>
  <c r="AS78" i="21" s="1"/>
  <c r="BA13" i="20"/>
  <c r="BB13" i="20" s="1"/>
  <c r="AO8" i="20"/>
  <c r="AP8" i="20" s="1"/>
  <c r="BG38" i="20"/>
  <c r="AO22" i="20"/>
  <c r="AP22" i="20" s="1"/>
  <c r="BG30" i="20"/>
  <c r="BG7" i="20"/>
  <c r="BA23" i="20"/>
  <c r="BB23" i="20" s="1"/>
  <c r="BA27" i="20"/>
  <c r="BB27" i="20" s="1"/>
  <c r="BM13" i="20"/>
  <c r="AU16" i="20"/>
  <c r="AV16" i="20" s="1"/>
  <c r="BA37" i="20"/>
  <c r="BB37" i="20" s="1"/>
  <c r="AU31" i="20"/>
  <c r="AV31" i="20" s="1"/>
  <c r="BG21" i="20"/>
  <c r="BM12" i="20"/>
  <c r="BG14" i="20"/>
  <c r="BM7" i="20"/>
  <c r="AO29" i="20"/>
  <c r="AP29" i="20" s="1"/>
  <c r="AU19" i="20"/>
  <c r="AV19" i="20" s="1"/>
  <c r="AU15" i="20"/>
  <c r="AV15" i="20" s="1"/>
  <c r="AO12" i="20"/>
  <c r="AP12" i="20" s="1"/>
  <c r="AO11" i="20"/>
  <c r="AP11" i="20" s="1"/>
  <c r="BA34" i="20"/>
  <c r="BB34" i="20" s="1"/>
  <c r="AU14" i="20"/>
  <c r="AV14" i="20" s="1"/>
  <c r="F21" i="20"/>
  <c r="G21" i="20" s="1"/>
  <c r="BG29" i="20"/>
  <c r="BG25" i="20"/>
  <c r="BM15" i="20"/>
  <c r="BG37" i="20"/>
  <c r="AU12" i="20"/>
  <c r="AV12" i="20" s="1"/>
  <c r="BA9" i="20"/>
  <c r="BB9" i="20" s="1"/>
  <c r="BM14" i="20"/>
  <c r="AO7" i="20"/>
  <c r="AP7" i="20" s="1"/>
  <c r="BA7" i="20"/>
  <c r="BB7" i="20" s="1"/>
  <c r="BM16" i="20"/>
  <c r="AO35" i="20"/>
  <c r="AP35" i="20" s="1"/>
  <c r="AO10" i="20"/>
  <c r="AP10" i="20" s="1"/>
  <c r="AU6" i="20"/>
  <c r="AV6" i="20" s="1"/>
  <c r="BM10" i="20"/>
  <c r="AU22" i="20"/>
  <c r="AV22" i="20" s="1"/>
  <c r="BM8" i="20"/>
  <c r="BG8" i="20"/>
  <c r="BA21" i="20"/>
  <c r="BB21" i="20" s="1"/>
  <c r="BG5" i="20"/>
  <c r="T25" i="21"/>
  <c r="AB26" i="20" s="1"/>
  <c r="AA26" i="20" s="1"/>
  <c r="AG26" i="20" s="1"/>
  <c r="AF86" i="21"/>
  <c r="AG86" i="21" s="1"/>
  <c r="AH86" i="21" s="1"/>
  <c r="AS17" i="21"/>
  <c r="AT17" i="21" s="1"/>
  <c r="AU27" i="20"/>
  <c r="AV27" i="20" s="1"/>
  <c r="BM24" i="20"/>
  <c r="BA6" i="20"/>
  <c r="BB6" i="20" s="1"/>
  <c r="AU20" i="20"/>
  <c r="AV20" i="20" s="1"/>
  <c r="BA16" i="20"/>
  <c r="BB16" i="20" s="1"/>
  <c r="V16" i="20" s="1"/>
  <c r="BM29" i="20"/>
  <c r="AO25" i="20"/>
  <c r="AP25" i="20" s="1"/>
  <c r="AO33" i="20"/>
  <c r="AP33" i="20" s="1"/>
  <c r="BA20" i="20"/>
  <c r="BB20" i="20" s="1"/>
  <c r="BA17" i="20"/>
  <c r="BB17" i="20" s="1"/>
  <c r="P71" i="21"/>
  <c r="Q71" i="21" s="1"/>
  <c r="AU35" i="20"/>
  <c r="AV35" i="20" s="1"/>
  <c r="AU11" i="20"/>
  <c r="AV11" i="20" s="1"/>
  <c r="BG16" i="20"/>
  <c r="BG13" i="20"/>
  <c r="BM32" i="20"/>
  <c r="AU9" i="20"/>
  <c r="AV9" i="20" s="1"/>
  <c r="P48" i="21"/>
  <c r="Q48" i="21" s="1"/>
  <c r="BM9" i="20"/>
  <c r="AY4" i="21"/>
  <c r="AZ4" i="21" s="1"/>
  <c r="AD6" i="20" s="1"/>
  <c r="BG33" i="20"/>
  <c r="AU5" i="20"/>
  <c r="AV5" i="20" s="1"/>
  <c r="BA24" i="20"/>
  <c r="BB24" i="20" s="1"/>
  <c r="BG6" i="20"/>
  <c r="BA36" i="20"/>
  <c r="BB36" i="20" s="1"/>
  <c r="P25" i="21"/>
  <c r="Q25" i="21" s="1"/>
  <c r="Q24" i="21"/>
  <c r="AA25" i="20" s="1"/>
  <c r="AG25" i="20" s="1"/>
  <c r="AU28" i="20"/>
  <c r="AV28" i="20" s="1"/>
  <c r="AU24" i="20"/>
  <c r="AV24" i="20" s="1"/>
  <c r="AO15" i="20"/>
  <c r="AP15" i="20" s="1"/>
  <c r="AU86" i="21"/>
  <c r="AV86" i="21" s="1"/>
  <c r="P7" i="21"/>
  <c r="Q7" i="21" s="1"/>
  <c r="T6" i="21"/>
  <c r="AB7" i="20" s="1"/>
  <c r="BM20" i="20"/>
  <c r="AU23" i="20"/>
  <c r="AV23" i="20" s="1"/>
  <c r="T14" i="21"/>
  <c r="AB15" i="20" s="1"/>
  <c r="AA15" i="20" s="1"/>
  <c r="AG15" i="20" s="1"/>
  <c r="T47" i="21"/>
  <c r="BG10" i="20"/>
  <c r="AO21" i="20"/>
  <c r="AP21" i="20" s="1"/>
  <c r="BM35" i="20"/>
  <c r="AV70" i="21"/>
  <c r="AW70" i="21" s="1"/>
  <c r="AV59" i="21"/>
  <c r="AW59" i="21" s="1"/>
  <c r="T61" i="21"/>
  <c r="AM69" i="21"/>
  <c r="AN69" i="21" s="1"/>
  <c r="AE80" i="21"/>
  <c r="AF59" i="21"/>
  <c r="T31" i="21"/>
  <c r="P60" i="21"/>
  <c r="AF78" i="21"/>
  <c r="AX79" i="21"/>
  <c r="AX80" i="21" s="1"/>
  <c r="AX81" i="21" s="1"/>
  <c r="AO78" i="21"/>
  <c r="P65" i="21"/>
  <c r="AL17" i="21"/>
  <c r="AV69" i="21"/>
  <c r="AW69" i="21" s="1"/>
  <c r="BG9" i="20"/>
  <c r="AU29" i="20"/>
  <c r="AV29" i="20" s="1"/>
  <c r="AO38" i="20"/>
  <c r="AP38" i="20" s="1"/>
  <c r="V38" i="20" s="1"/>
  <c r="V32" i="20"/>
  <c r="BM23" i="20"/>
  <c r="BG31" i="20"/>
  <c r="AE42" i="21"/>
  <c r="AF70" i="21"/>
  <c r="AP85" i="21"/>
  <c r="AQ85" i="21" s="1"/>
  <c r="N69" i="21"/>
  <c r="M70" i="21"/>
  <c r="T19" i="21"/>
  <c r="AU21" i="20"/>
  <c r="AV21" i="20" s="1"/>
  <c r="AU30" i="20"/>
  <c r="AV30" i="20" s="1"/>
  <c r="AO27" i="20"/>
  <c r="AP27" i="20" s="1"/>
  <c r="AO28" i="20"/>
  <c r="AP28" i="20" s="1"/>
  <c r="AA19" i="20"/>
  <c r="AG19" i="20" s="1"/>
  <c r="AO17" i="20"/>
  <c r="AP17" i="20" s="1"/>
  <c r="AO37" i="20"/>
  <c r="AP37" i="20" s="1"/>
  <c r="AI70" i="21"/>
  <c r="AJ87" i="21"/>
  <c r="AK87" i="21" s="1"/>
  <c r="P53" i="21"/>
  <c r="AO86" i="21"/>
  <c r="AL86" i="21"/>
  <c r="AI86" i="21"/>
  <c r="M52" i="21"/>
  <c r="Z46" i="20"/>
  <c r="AF46" i="20" s="1"/>
  <c r="AA46" i="20"/>
  <c r="AG46" i="20" s="1"/>
  <c r="P49" i="21"/>
  <c r="M10" i="21"/>
  <c r="BA18" i="20"/>
  <c r="BB18" i="20" s="1"/>
  <c r="AO34" i="20"/>
  <c r="AP34" i="20" s="1"/>
  <c r="V34" i="20" s="1"/>
  <c r="BG15" i="20"/>
  <c r="BG11" i="20"/>
  <c r="AS85" i="21"/>
  <c r="AT85" i="21" s="1"/>
  <c r="AH87" i="21"/>
  <c r="AV85" i="21"/>
  <c r="AW85" i="21" s="1"/>
  <c r="AV29" i="21"/>
  <c r="AW29" i="21" s="1"/>
  <c r="AE31" i="21"/>
  <c r="AU30" i="21"/>
  <c r="P15" i="21"/>
  <c r="BA10" i="20"/>
  <c r="BB10" i="20" s="1"/>
  <c r="BA19" i="20"/>
  <c r="BB19" i="20" s="1"/>
  <c r="AU25" i="20"/>
  <c r="AV25" i="20" s="1"/>
  <c r="AG69" i="21"/>
  <c r="AH69" i="21" s="1"/>
  <c r="BG28" i="20"/>
  <c r="BG24" i="20"/>
  <c r="Z25" i="20"/>
  <c r="AF25" i="20" s="1"/>
  <c r="BG22" i="20"/>
  <c r="AN78" i="21"/>
  <c r="Z31" i="20"/>
  <c r="AF31" i="20" s="1"/>
  <c r="T37" i="21"/>
  <c r="AX18" i="21"/>
  <c r="AI17" i="21"/>
  <c r="AF17" i="21"/>
  <c r="AA7" i="20"/>
  <c r="AG7" i="20" s="1"/>
  <c r="AM28" i="21"/>
  <c r="AN28" i="21" s="1"/>
  <c r="BA33" i="20"/>
  <c r="BB33" i="20" s="1"/>
  <c r="AJ28" i="21"/>
  <c r="AK28" i="21" s="1"/>
  <c r="AJ85" i="21"/>
  <c r="AK85" i="21" s="1"/>
  <c r="AW87" i="21"/>
  <c r="AV58" i="21"/>
  <c r="AW58" i="21" s="1"/>
  <c r="AM85" i="21"/>
  <c r="AN85" i="21" s="1"/>
  <c r="Q19" i="21"/>
  <c r="P20" i="21"/>
  <c r="Q9" i="21"/>
  <c r="AA10" i="20" s="1"/>
  <c r="AG10" i="20" s="1"/>
  <c r="P10" i="21"/>
  <c r="AG16" i="21"/>
  <c r="AH16" i="21" s="1"/>
  <c r="T7" i="21"/>
  <c r="AB8" i="20" s="1"/>
  <c r="AK5" i="21"/>
  <c r="AP28" i="21"/>
  <c r="AQ28" i="21" s="1"/>
  <c r="BA14" i="20"/>
  <c r="BB14" i="20" s="1"/>
  <c r="AO14" i="20"/>
  <c r="AP14" i="20" s="1"/>
  <c r="AO13" i="20"/>
  <c r="AP13" i="20" s="1"/>
  <c r="BM27" i="20"/>
  <c r="AR6" i="21"/>
  <c r="AS6" i="21" s="1"/>
  <c r="AL6" i="21"/>
  <c r="AM6" i="21" s="1"/>
  <c r="AI6" i="21"/>
  <c r="AJ6" i="21" s="1"/>
  <c r="AE7" i="21"/>
  <c r="AF6" i="21"/>
  <c r="AU6" i="21"/>
  <c r="AV6" i="21" s="1"/>
  <c r="AO6" i="21"/>
  <c r="AP6" i="21" s="1"/>
  <c r="AJ16" i="21"/>
  <c r="AK16" i="21" s="1"/>
  <c r="Z6" i="20"/>
  <c r="AF6" i="20" s="1"/>
  <c r="AA6" i="20"/>
  <c r="AG6" i="20" s="1"/>
  <c r="AS28" i="21"/>
  <c r="AT28" i="21" s="1"/>
  <c r="AF72" i="21"/>
  <c r="AU72" i="21"/>
  <c r="AV72" i="21" s="1"/>
  <c r="AR72" i="21"/>
  <c r="AE73" i="21"/>
  <c r="AO72" i="21"/>
  <c r="AP72" i="21" s="1"/>
  <c r="AL72" i="21"/>
  <c r="AI72" i="21"/>
  <c r="AJ58" i="21"/>
  <c r="AK58" i="21" s="1"/>
  <c r="AG77" i="21"/>
  <c r="AH77" i="21" s="1"/>
  <c r="N14" i="21"/>
  <c r="M15" i="21"/>
  <c r="AM16" i="21"/>
  <c r="AN16" i="21" s="1"/>
  <c r="AN5" i="21"/>
  <c r="AF29" i="21"/>
  <c r="AX30" i="21"/>
  <c r="AX31" i="21" s="1"/>
  <c r="AX32" i="21" s="1"/>
  <c r="AX33" i="21" s="1"/>
  <c r="AX34" i="21" s="1"/>
  <c r="AX35" i="21" s="1"/>
  <c r="AX36" i="21" s="1"/>
  <c r="AX37" i="21" s="1"/>
  <c r="AX38" i="21" s="1"/>
  <c r="AO29" i="21"/>
  <c r="AL29" i="21"/>
  <c r="BA35" i="20"/>
  <c r="BB35" i="20" s="1"/>
  <c r="AU17" i="20"/>
  <c r="AV17" i="20" s="1"/>
  <c r="AJ69" i="21"/>
  <c r="AK69" i="21" s="1"/>
  <c r="AS58" i="21"/>
  <c r="AT58" i="21" s="1"/>
  <c r="AA37" i="20"/>
  <c r="AG37" i="20" s="1"/>
  <c r="Z37" i="20"/>
  <c r="AF37" i="20" s="1"/>
  <c r="AE62" i="21"/>
  <c r="AG58" i="21"/>
  <c r="AH58" i="21" s="1"/>
  <c r="AS86" i="21"/>
  <c r="AT86" i="21" s="1"/>
  <c r="AJ77" i="21"/>
  <c r="AK77" i="21" s="1"/>
  <c r="AU19" i="21"/>
  <c r="AR19" i="21"/>
  <c r="AE20" i="21"/>
  <c r="AO19" i="21"/>
  <c r="AE50" i="21"/>
  <c r="AV17" i="21"/>
  <c r="AW17" i="21" s="1"/>
  <c r="AG85" i="21"/>
  <c r="AH85" i="21" s="1"/>
  <c r="AV78" i="21"/>
  <c r="AW78" i="21" s="1"/>
  <c r="AY3" i="21"/>
  <c r="AL88" i="21"/>
  <c r="AM88" i="21" s="1"/>
  <c r="AI88" i="21"/>
  <c r="AJ88" i="21" s="1"/>
  <c r="AF88" i="21"/>
  <c r="AG88" i="21" s="1"/>
  <c r="AU88" i="21"/>
  <c r="AR88" i="21"/>
  <c r="AS88" i="21" s="1"/>
  <c r="AE89" i="21"/>
  <c r="AO88" i="21"/>
  <c r="AP88" i="21" s="1"/>
  <c r="AM77" i="21"/>
  <c r="AN77" i="21" s="1"/>
  <c r="AS29" i="21"/>
  <c r="AT29" i="21" s="1"/>
  <c r="AP69" i="21"/>
  <c r="AQ69" i="21" s="1"/>
  <c r="BA25" i="20"/>
  <c r="BB25" i="20" s="1"/>
  <c r="AQ5" i="21"/>
  <c r="BA11" i="20"/>
  <c r="BB11" i="20" s="1"/>
  <c r="AH5" i="21"/>
  <c r="AX60" i="21"/>
  <c r="AR59" i="21"/>
  <c r="AO59" i="21"/>
  <c r="AL59" i="21"/>
  <c r="AI59" i="21"/>
  <c r="AN87" i="21"/>
  <c r="AV77" i="21"/>
  <c r="AW77" i="21" s="1"/>
  <c r="AS87" i="21"/>
  <c r="AT87" i="21" s="1"/>
  <c r="AS70" i="21"/>
  <c r="AT70" i="21" s="1"/>
  <c r="AA14" i="20"/>
  <c r="AG14" i="20" s="1"/>
  <c r="Z14" i="20"/>
  <c r="AF14" i="20" s="1"/>
  <c r="Q29" i="21"/>
  <c r="AA30" i="20" s="1"/>
  <c r="AG30" i="20" s="1"/>
  <c r="P30" i="21"/>
  <c r="AS69" i="21"/>
  <c r="AT69" i="21" s="1"/>
  <c r="AM58" i="21"/>
  <c r="AN58" i="21" s="1"/>
  <c r="AG28" i="21"/>
  <c r="AH28" i="21" s="1"/>
  <c r="AP58" i="21"/>
  <c r="AQ58" i="21" s="1"/>
  <c r="AQ87" i="21"/>
  <c r="AP77" i="21"/>
  <c r="AQ77" i="21" s="1"/>
  <c r="P37" i="21"/>
  <c r="M6" i="21"/>
  <c r="AS77" i="21"/>
  <c r="AT77" i="21" s="1"/>
  <c r="AL70" i="21"/>
  <c r="AX71" i="21"/>
  <c r="AA47" i="20"/>
  <c r="AG47" i="20" s="1"/>
  <c r="Z47" i="20"/>
  <c r="AF47" i="20" s="1"/>
  <c r="AI29" i="21"/>
  <c r="AT5" i="21"/>
  <c r="BG35" i="20"/>
  <c r="BM21" i="20"/>
  <c r="V13" i="20" l="1"/>
  <c r="V31" i="20"/>
  <c r="AT78" i="21"/>
  <c r="V29" i="20"/>
  <c r="T26" i="21"/>
  <c r="V12" i="20"/>
  <c r="V20" i="20"/>
  <c r="V7" i="20"/>
  <c r="AR79" i="21"/>
  <c r="AF79" i="21"/>
  <c r="V26" i="20"/>
  <c r="P72" i="21"/>
  <c r="Q72" i="21" s="1"/>
  <c r="V30" i="20"/>
  <c r="V6" i="20"/>
  <c r="V36" i="20"/>
  <c r="V22" i="20"/>
  <c r="AC6" i="20"/>
  <c r="AH6" i="20" s="1"/>
  <c r="V19" i="20"/>
  <c r="V14" i="20"/>
  <c r="AV30" i="21"/>
  <c r="AW30" i="21" s="1"/>
  <c r="V24" i="20"/>
  <c r="V9" i="20"/>
  <c r="V18" i="20"/>
  <c r="V27" i="20"/>
  <c r="AI79" i="21"/>
  <c r="V23" i="20"/>
  <c r="V28" i="20"/>
  <c r="V15" i="20"/>
  <c r="V33" i="20"/>
  <c r="AO79" i="21"/>
  <c r="AP79" i="21" s="1"/>
  <c r="AU79" i="21"/>
  <c r="AV79" i="21" s="1"/>
  <c r="AW79" i="21" s="1"/>
  <c r="V5" i="20"/>
  <c r="V35" i="20"/>
  <c r="Z26" i="20"/>
  <c r="AF26" i="20" s="1"/>
  <c r="V37" i="20"/>
  <c r="V8" i="20"/>
  <c r="V11" i="20"/>
  <c r="V21" i="20"/>
  <c r="V10" i="20"/>
  <c r="AY58" i="21"/>
  <c r="AZ58" i="21" s="1"/>
  <c r="AD60" i="20" s="1"/>
  <c r="Z15" i="20"/>
  <c r="AF15" i="20" s="1"/>
  <c r="AW86" i="21"/>
  <c r="T15" i="21"/>
  <c r="AB16" i="20" s="1"/>
  <c r="V25" i="20"/>
  <c r="AY16" i="21"/>
  <c r="AZ16" i="21" s="1"/>
  <c r="AD18" i="20" s="1"/>
  <c r="AR30" i="21"/>
  <c r="AS30" i="21" s="1"/>
  <c r="AB48" i="20"/>
  <c r="T48" i="21"/>
  <c r="AY69" i="21"/>
  <c r="AB32" i="20"/>
  <c r="T32" i="21"/>
  <c r="AM86" i="21"/>
  <c r="AN86" i="21" s="1"/>
  <c r="M71" i="21"/>
  <c r="N70" i="21"/>
  <c r="Q10" i="21"/>
  <c r="AA11" i="20" s="1"/>
  <c r="AG11" i="20" s="1"/>
  <c r="P11" i="21"/>
  <c r="AY87" i="21"/>
  <c r="AP86" i="21"/>
  <c r="AQ86" i="21" s="1"/>
  <c r="AG59" i="21"/>
  <c r="AH59" i="21" s="1"/>
  <c r="AJ86" i="21"/>
  <c r="AK86" i="21" s="1"/>
  <c r="AN88" i="21"/>
  <c r="AY77" i="21"/>
  <c r="AG72" i="21"/>
  <c r="AH72" i="21" s="1"/>
  <c r="AN6" i="21"/>
  <c r="AF30" i="21"/>
  <c r="Q53" i="21"/>
  <c r="P54" i="21"/>
  <c r="AB62" i="20"/>
  <c r="T62" i="21"/>
  <c r="AZ3" i="21"/>
  <c r="AD5" i="20" s="1"/>
  <c r="AC5" i="20"/>
  <c r="AH5" i="20" s="1"/>
  <c r="Q20" i="21"/>
  <c r="P21" i="21"/>
  <c r="AJ70" i="21"/>
  <c r="AK70" i="21" s="1"/>
  <c r="AG70" i="21"/>
  <c r="AH70" i="21" s="1"/>
  <c r="AR80" i="21"/>
  <c r="AE81" i="21"/>
  <c r="AO80" i="21"/>
  <c r="AP80" i="21" s="1"/>
  <c r="AL80" i="21"/>
  <c r="AI80" i="21"/>
  <c r="AF80" i="21"/>
  <c r="AU80" i="21"/>
  <c r="AK6" i="21"/>
  <c r="AT6" i="21"/>
  <c r="AG17" i="21"/>
  <c r="AH17" i="21" s="1"/>
  <c r="AI30" i="21"/>
  <c r="AJ17" i="21"/>
  <c r="AK17" i="21" s="1"/>
  <c r="V17" i="20"/>
  <c r="AS79" i="21"/>
  <c r="AT79" i="21" s="1"/>
  <c r="AY28" i="21"/>
  <c r="AQ88" i="21"/>
  <c r="AM29" i="21"/>
  <c r="AN29" i="21" s="1"/>
  <c r="AJ72" i="21"/>
  <c r="AK72" i="21" s="1"/>
  <c r="AX19" i="21"/>
  <c r="AS19" i="21" s="1"/>
  <c r="AT19" i="21" s="1"/>
  <c r="AP18" i="21"/>
  <c r="AQ18" i="21" s="1"/>
  <c r="AI18" i="21"/>
  <c r="AF18" i="21"/>
  <c r="AL18" i="21"/>
  <c r="AS18" i="21"/>
  <c r="AT18" i="21" s="1"/>
  <c r="AL30" i="21"/>
  <c r="AO71" i="21"/>
  <c r="AF71" i="21"/>
  <c r="AL71" i="21"/>
  <c r="AU71" i="21"/>
  <c r="AI71" i="21"/>
  <c r="AR71" i="21"/>
  <c r="AJ59" i="21"/>
  <c r="AK59" i="21" s="1"/>
  <c r="AE51" i="21"/>
  <c r="AP29" i="21"/>
  <c r="AQ29" i="21" s="1"/>
  <c r="AO7" i="21"/>
  <c r="AP7" i="21" s="1"/>
  <c r="AL7" i="21"/>
  <c r="AM7" i="21" s="1"/>
  <c r="AI7" i="21"/>
  <c r="AJ7" i="21" s="1"/>
  <c r="AE8" i="21"/>
  <c r="AF7" i="21"/>
  <c r="AG7" i="21" s="1"/>
  <c r="AU7" i="21"/>
  <c r="AR7" i="21"/>
  <c r="AK88" i="21"/>
  <c r="AM70" i="21"/>
  <c r="AN70" i="21" s="1"/>
  <c r="AM59" i="21"/>
  <c r="AN59" i="21" s="1"/>
  <c r="AR89" i="21"/>
  <c r="AS89" i="21" s="1"/>
  <c r="AE90" i="21"/>
  <c r="AO89" i="21"/>
  <c r="AP89" i="21" s="1"/>
  <c r="AL89" i="21"/>
  <c r="AM89" i="21" s="1"/>
  <c r="AI89" i="21"/>
  <c r="AJ89" i="21" s="1"/>
  <c r="AF89" i="21"/>
  <c r="AU89" i="21"/>
  <c r="AB27" i="20"/>
  <c r="T27" i="21"/>
  <c r="AI38" i="21"/>
  <c r="AF38" i="21"/>
  <c r="AU38" i="21"/>
  <c r="AX39" i="21"/>
  <c r="AR38" i="21"/>
  <c r="AO38" i="21"/>
  <c r="AL38" i="21"/>
  <c r="AM72" i="21"/>
  <c r="AN72" i="21" s="1"/>
  <c r="AQ6" i="21"/>
  <c r="AO30" i="21"/>
  <c r="AJ29" i="21"/>
  <c r="AK29" i="21" s="1"/>
  <c r="AP59" i="21"/>
  <c r="AQ59" i="21" s="1"/>
  <c r="AT88" i="21"/>
  <c r="AG29" i="21"/>
  <c r="AH29" i="21" s="1"/>
  <c r="AQ72" i="21"/>
  <c r="AW6" i="21"/>
  <c r="AB38" i="20"/>
  <c r="T38" i="21"/>
  <c r="N10" i="21"/>
  <c r="Z11" i="20" s="1"/>
  <c r="AF11" i="20" s="1"/>
  <c r="M11" i="21"/>
  <c r="AM17" i="21"/>
  <c r="AN17" i="21" s="1"/>
  <c r="AG79" i="21"/>
  <c r="AH79" i="21" s="1"/>
  <c r="AU31" i="21"/>
  <c r="AV31" i="21" s="1"/>
  <c r="AR31" i="21"/>
  <c r="AS31" i="21" s="1"/>
  <c r="AE32" i="21"/>
  <c r="AO31" i="21"/>
  <c r="AP31" i="21" s="1"/>
  <c r="AL31" i="21"/>
  <c r="AM31" i="21" s="1"/>
  <c r="AI31" i="21"/>
  <c r="AF31" i="21"/>
  <c r="AG31" i="21" s="1"/>
  <c r="Q49" i="21"/>
  <c r="P50" i="21"/>
  <c r="Q50" i="21" s="1"/>
  <c r="AE43" i="21"/>
  <c r="Q65" i="21"/>
  <c r="P66" i="21"/>
  <c r="AW72" i="21"/>
  <c r="AS59" i="21"/>
  <c r="AT59" i="21" s="1"/>
  <c r="AX61" i="21"/>
  <c r="AR60" i="21"/>
  <c r="AL60" i="21"/>
  <c r="AO60" i="21"/>
  <c r="AI60" i="21"/>
  <c r="AF60" i="21"/>
  <c r="AU60" i="21"/>
  <c r="AP78" i="21"/>
  <c r="AQ78" i="21" s="1"/>
  <c r="AJ79" i="21"/>
  <c r="AK79" i="21" s="1"/>
  <c r="AV18" i="21"/>
  <c r="AW18" i="21" s="1"/>
  <c r="AY85" i="21"/>
  <c r="AL73" i="21"/>
  <c r="AM73" i="21" s="1"/>
  <c r="AI73" i="21"/>
  <c r="AF73" i="21"/>
  <c r="AU73" i="21"/>
  <c r="AV73" i="21" s="1"/>
  <c r="AR73" i="21"/>
  <c r="AS73" i="21" s="1"/>
  <c r="AE74" i="21"/>
  <c r="AO73" i="21"/>
  <c r="AP73" i="21" s="1"/>
  <c r="N6" i="21"/>
  <c r="Z7" i="20" s="1"/>
  <c r="AF7" i="20" s="1"/>
  <c r="M7" i="21"/>
  <c r="N7" i="21" s="1"/>
  <c r="Z8" i="20" s="1"/>
  <c r="AF8" i="20" s="1"/>
  <c r="AY5" i="21"/>
  <c r="AH88" i="21"/>
  <c r="AB20" i="20"/>
  <c r="T20" i="21"/>
  <c r="AL79" i="21"/>
  <c r="Q37" i="21"/>
  <c r="P38" i="21"/>
  <c r="Q30" i="21"/>
  <c r="AA31" i="20" s="1"/>
  <c r="AG31" i="20" s="1"/>
  <c r="P31" i="21"/>
  <c r="AV88" i="21"/>
  <c r="AW88" i="21" s="1"/>
  <c r="AU20" i="21"/>
  <c r="AE21" i="21"/>
  <c r="AR20" i="21"/>
  <c r="AR62" i="21"/>
  <c r="AS62" i="21" s="1"/>
  <c r="AE63" i="21"/>
  <c r="AO62" i="21"/>
  <c r="AL62" i="21"/>
  <c r="AI62" i="21"/>
  <c r="AJ62" i="21" s="1"/>
  <c r="AF62" i="21"/>
  <c r="AG62" i="21" s="1"/>
  <c r="AU62" i="21"/>
  <c r="N15" i="21"/>
  <c r="M16" i="21"/>
  <c r="AS72" i="21"/>
  <c r="AT72" i="21" s="1"/>
  <c r="AG6" i="21"/>
  <c r="AH6" i="21" s="1"/>
  <c r="AA8" i="20"/>
  <c r="AG8" i="20" s="1"/>
  <c r="Q15" i="21"/>
  <c r="P16" i="21"/>
  <c r="N52" i="21"/>
  <c r="M53" i="21"/>
  <c r="AG78" i="21"/>
  <c r="AH78" i="21" s="1"/>
  <c r="Q60" i="21"/>
  <c r="AA61" i="20" s="1"/>
  <c r="AG61" i="20" s="1"/>
  <c r="P61" i="21"/>
  <c r="AP19" i="21" l="1"/>
  <c r="AQ19" i="21" s="1"/>
  <c r="P73" i="21"/>
  <c r="AQ79" i="21"/>
  <c r="AC60" i="20"/>
  <c r="AH60" i="20" s="1"/>
  <c r="T16" i="21"/>
  <c r="AB17" i="20" s="1"/>
  <c r="AY6" i="21"/>
  <c r="AC8" i="20" s="1"/>
  <c r="AH8" i="20" s="1"/>
  <c r="AT30" i="21"/>
  <c r="AC18" i="20"/>
  <c r="AH18" i="20" s="1"/>
  <c r="AY78" i="21"/>
  <c r="AZ78" i="21" s="1"/>
  <c r="AD80" i="20" s="1"/>
  <c r="AY70" i="21"/>
  <c r="AZ70" i="21" s="1"/>
  <c r="AD72" i="20" s="1"/>
  <c r="AY17" i="21"/>
  <c r="AZ17" i="21" s="1"/>
  <c r="AD19" i="20" s="1"/>
  <c r="AB49" i="20"/>
  <c r="T49" i="21"/>
  <c r="AY29" i="21"/>
  <c r="AZ29" i="21" s="1"/>
  <c r="AD31" i="20" s="1"/>
  <c r="AA48" i="20"/>
  <c r="AG48" i="20" s="1"/>
  <c r="Z48" i="20"/>
  <c r="AF48" i="20" s="1"/>
  <c r="AC72" i="20"/>
  <c r="AH72" i="20" s="1"/>
  <c r="AY72" i="21"/>
  <c r="AY86" i="21"/>
  <c r="AE44" i="21"/>
  <c r="AN73" i="21"/>
  <c r="AO61" i="21"/>
  <c r="AL61" i="21"/>
  <c r="AI61" i="21"/>
  <c r="AR61" i="21"/>
  <c r="AF61" i="21"/>
  <c r="AU61" i="21"/>
  <c r="AT31" i="21"/>
  <c r="AQ7" i="21"/>
  <c r="AG18" i="21"/>
  <c r="AH18" i="21" s="1"/>
  <c r="AQ80" i="21"/>
  <c r="Q11" i="21"/>
  <c r="AA12" i="20" s="1"/>
  <c r="AG12" i="20" s="1"/>
  <c r="P12" i="21"/>
  <c r="Q12" i="21" s="1"/>
  <c r="AA13" i="20" s="1"/>
  <c r="AG13" i="20" s="1"/>
  <c r="AG38" i="21"/>
  <c r="AH38" i="21" s="1"/>
  <c r="AY88" i="21"/>
  <c r="Q73" i="21"/>
  <c r="P74" i="21"/>
  <c r="AZ5" i="21"/>
  <c r="AD7" i="20" s="1"/>
  <c r="AC7" i="20"/>
  <c r="AH7" i="20" s="1"/>
  <c r="AZ85" i="21"/>
  <c r="AD87" i="20" s="1"/>
  <c r="AC87" i="20"/>
  <c r="AH87" i="20" s="1"/>
  <c r="AW31" i="21"/>
  <c r="AJ30" i="21"/>
  <c r="AK30" i="21" s="1"/>
  <c r="AF81" i="21"/>
  <c r="AG81" i="21" s="1"/>
  <c r="AU81" i="21"/>
  <c r="AV81" i="21" s="1"/>
  <c r="AR81" i="21"/>
  <c r="AS81" i="21" s="1"/>
  <c r="AE82" i="21"/>
  <c r="AO81" i="21"/>
  <c r="AP81" i="21" s="1"/>
  <c r="AL81" i="21"/>
  <c r="AM81" i="21" s="1"/>
  <c r="AI81" i="21"/>
  <c r="AV89" i="21"/>
  <c r="AW89" i="21" s="1"/>
  <c r="AE52" i="21"/>
  <c r="AX20" i="21"/>
  <c r="AV19" i="21"/>
  <c r="AW19" i="21" s="1"/>
  <c r="AL19" i="21"/>
  <c r="AI19" i="21"/>
  <c r="AF19" i="21"/>
  <c r="AG30" i="21"/>
  <c r="AH30" i="21" s="1"/>
  <c r="Q54" i="21"/>
  <c r="P55" i="21"/>
  <c r="N53" i="21"/>
  <c r="M54" i="21"/>
  <c r="AM62" i="21"/>
  <c r="AN62" i="21" s="1"/>
  <c r="AP30" i="21"/>
  <c r="AQ30" i="21" s="1"/>
  <c r="AG89" i="21"/>
  <c r="AH89" i="21" s="1"/>
  <c r="N71" i="21"/>
  <c r="M72" i="21"/>
  <c r="AT89" i="21"/>
  <c r="AJ18" i="21"/>
  <c r="AK18" i="21" s="1"/>
  <c r="AQ73" i="21"/>
  <c r="Q66" i="21"/>
  <c r="P67" i="21"/>
  <c r="AK89" i="21"/>
  <c r="AK62" i="21"/>
  <c r="Q16" i="21"/>
  <c r="P17" i="21"/>
  <c r="Q17" i="21" s="1"/>
  <c r="AA18" i="20" s="1"/>
  <c r="AG18" i="20" s="1"/>
  <c r="AI63" i="21"/>
  <c r="AF63" i="21"/>
  <c r="AU63" i="21"/>
  <c r="AR63" i="21"/>
  <c r="AS63" i="21" s="1"/>
  <c r="AE64" i="21"/>
  <c r="AO63" i="21"/>
  <c r="AP63" i="21" s="1"/>
  <c r="AL63" i="21"/>
  <c r="N11" i="21"/>
  <c r="Z12" i="20" s="1"/>
  <c r="AF12" i="20" s="1"/>
  <c r="O6" i="21"/>
  <c r="O7" i="21" s="1"/>
  <c r="M12" i="21"/>
  <c r="N12" i="21" s="1"/>
  <c r="Z13" i="20" s="1"/>
  <c r="AF13" i="20" s="1"/>
  <c r="AS71" i="21"/>
  <c r="AT71" i="21" s="1"/>
  <c r="AZ77" i="21"/>
  <c r="AD79" i="20" s="1"/>
  <c r="AC79" i="20"/>
  <c r="AH79" i="20" s="1"/>
  <c r="AM79" i="21"/>
  <c r="AN79" i="21" s="1"/>
  <c r="AP62" i="21"/>
  <c r="AQ62" i="21" s="1"/>
  <c r="AR74" i="21"/>
  <c r="AE75" i="21"/>
  <c r="AO74" i="21"/>
  <c r="AL74" i="21"/>
  <c r="AI74" i="21"/>
  <c r="AJ74" i="21" s="1"/>
  <c r="AF74" i="21"/>
  <c r="AG74" i="21" s="1"/>
  <c r="AU74" i="21"/>
  <c r="AH31" i="21"/>
  <c r="AM38" i="21"/>
  <c r="AN38" i="21" s="1"/>
  <c r="AN89" i="21"/>
  <c r="AS7" i="21"/>
  <c r="AT7" i="21" s="1"/>
  <c r="AJ71" i="21"/>
  <c r="AK71" i="21" s="1"/>
  <c r="AS80" i="21"/>
  <c r="AT80" i="21" s="1"/>
  <c r="AT62" i="21"/>
  <c r="Q31" i="21"/>
  <c r="AA32" i="20" s="1"/>
  <c r="AG32" i="20" s="1"/>
  <c r="P32" i="21"/>
  <c r="AT73" i="21"/>
  <c r="AB39" i="20"/>
  <c r="T39" i="21"/>
  <c r="AP38" i="21"/>
  <c r="AQ38" i="21" s="1"/>
  <c r="AV71" i="21"/>
  <c r="AW71" i="21" s="1"/>
  <c r="AZ28" i="21"/>
  <c r="AD30" i="20" s="1"/>
  <c r="AC30" i="20"/>
  <c r="AH30" i="20" s="1"/>
  <c r="Q21" i="21"/>
  <c r="P22" i="21"/>
  <c r="Q22" i="21" s="1"/>
  <c r="AB33" i="20"/>
  <c r="T33" i="21"/>
  <c r="Z32" i="20"/>
  <c r="AF32" i="20" s="1"/>
  <c r="AS38" i="21"/>
  <c r="AT38" i="21" s="1"/>
  <c r="AH7" i="21"/>
  <c r="AM71" i="21"/>
  <c r="AN71" i="21" s="1"/>
  <c r="Q38" i="21"/>
  <c r="P39" i="21"/>
  <c r="AW73" i="21"/>
  <c r="AV60" i="21"/>
  <c r="AW60" i="21" s="1"/>
  <c r="AJ31" i="21"/>
  <c r="AK31" i="21" s="1"/>
  <c r="AI39" i="21"/>
  <c r="AF39" i="21"/>
  <c r="AX40" i="21"/>
  <c r="AR39" i="21"/>
  <c r="AL39" i="21"/>
  <c r="AU39" i="21"/>
  <c r="AO39" i="21"/>
  <c r="AV7" i="21"/>
  <c r="AW7" i="21" s="1"/>
  <c r="AG71" i="21"/>
  <c r="AH71" i="21" s="1"/>
  <c r="Z16" i="20"/>
  <c r="AF16" i="20" s="1"/>
  <c r="AA16" i="20"/>
  <c r="AG16" i="20" s="1"/>
  <c r="AV80" i="21"/>
  <c r="AW80" i="21" s="1"/>
  <c r="AA38" i="20"/>
  <c r="AG38" i="20" s="1"/>
  <c r="Z38" i="20"/>
  <c r="AF38" i="20" s="1"/>
  <c r="AQ89" i="21"/>
  <c r="N16" i="21"/>
  <c r="M17" i="21"/>
  <c r="AR21" i="21"/>
  <c r="AE22" i="21"/>
  <c r="AU21" i="21"/>
  <c r="AG60" i="21"/>
  <c r="AH60" i="21" s="1"/>
  <c r="AN31" i="21"/>
  <c r="AV38" i="21"/>
  <c r="AW38" i="21" s="1"/>
  <c r="AF90" i="21"/>
  <c r="AG90" i="21" s="1"/>
  <c r="AU90" i="21"/>
  <c r="AR90" i="21"/>
  <c r="AE91" i="21"/>
  <c r="AO90" i="21"/>
  <c r="AP90" i="21" s="1"/>
  <c r="AL90" i="21"/>
  <c r="AI90" i="21"/>
  <c r="AJ90" i="21" s="1"/>
  <c r="AO8" i="21"/>
  <c r="AP8" i="21" s="1"/>
  <c r="AI8" i="21"/>
  <c r="AJ8" i="21" s="1"/>
  <c r="AE9" i="21"/>
  <c r="AF8" i="21"/>
  <c r="AG8" i="21" s="1"/>
  <c r="AU8" i="21"/>
  <c r="AR8" i="21"/>
  <c r="AL8" i="21"/>
  <c r="AP71" i="21"/>
  <c r="AQ71" i="21" s="1"/>
  <c r="AG80" i="21"/>
  <c r="AH80" i="21" s="1"/>
  <c r="AY59" i="21"/>
  <c r="AJ60" i="21"/>
  <c r="AK60" i="21" s="1"/>
  <c r="AB21" i="20"/>
  <c r="T21" i="21"/>
  <c r="AG73" i="21"/>
  <c r="AH73" i="21" s="1"/>
  <c r="AP60" i="21"/>
  <c r="AQ60" i="21" s="1"/>
  <c r="AQ31" i="21"/>
  <c r="AJ38" i="21"/>
  <c r="AK38" i="21" s="1"/>
  <c r="AK7" i="21"/>
  <c r="AM30" i="21"/>
  <c r="AN30" i="21" s="1"/>
  <c r="AJ80" i="21"/>
  <c r="AK80" i="21" s="1"/>
  <c r="AH62" i="21"/>
  <c r="AM60" i="21"/>
  <c r="AN60" i="21" s="1"/>
  <c r="AB28" i="20"/>
  <c r="T28" i="21"/>
  <c r="AB29" i="20" s="1"/>
  <c r="AB63" i="20"/>
  <c r="T63" i="21"/>
  <c r="AZ87" i="21"/>
  <c r="AD89" i="20" s="1"/>
  <c r="AC89" i="20"/>
  <c r="AH89" i="20" s="1"/>
  <c r="AA20" i="20"/>
  <c r="AG20" i="20" s="1"/>
  <c r="Q61" i="21"/>
  <c r="AA62" i="20" s="1"/>
  <c r="AG62" i="20" s="1"/>
  <c r="P62" i="21"/>
  <c r="Q62" i="21" s="1"/>
  <c r="AV62" i="21"/>
  <c r="AW62" i="21" s="1"/>
  <c r="AV20" i="21"/>
  <c r="AW20" i="21" s="1"/>
  <c r="AJ73" i="21"/>
  <c r="AK73" i="21" s="1"/>
  <c r="AS60" i="21"/>
  <c r="AT60" i="21" s="1"/>
  <c r="AI32" i="21"/>
  <c r="AF32" i="21"/>
  <c r="AU32" i="21"/>
  <c r="AV32" i="21" s="1"/>
  <c r="AR32" i="21"/>
  <c r="AE33" i="21"/>
  <c r="AO32" i="21"/>
  <c r="AL32" i="21"/>
  <c r="AM32" i="21" s="1"/>
  <c r="AA27" i="20"/>
  <c r="AG27" i="20" s="1"/>
  <c r="Z27" i="20"/>
  <c r="AF27" i="20" s="1"/>
  <c r="AN7" i="21"/>
  <c r="AM18" i="21"/>
  <c r="AN18" i="21" s="1"/>
  <c r="AM80" i="21"/>
  <c r="AN80" i="21" s="1"/>
  <c r="AZ69" i="21"/>
  <c r="AD71" i="20" s="1"/>
  <c r="AC71" i="20"/>
  <c r="AH71" i="20" s="1"/>
  <c r="AZ6" i="21" l="1"/>
  <c r="AD8" i="20" s="1"/>
  <c r="AA17" i="20"/>
  <c r="AG17" i="20" s="1"/>
  <c r="AC80" i="20"/>
  <c r="AH80" i="20" s="1"/>
  <c r="Z17" i="20"/>
  <c r="AF17" i="20" s="1"/>
  <c r="AY79" i="21"/>
  <c r="AC81" i="20" s="1"/>
  <c r="AH81" i="20" s="1"/>
  <c r="AC19" i="20"/>
  <c r="AH19" i="20" s="1"/>
  <c r="AC31" i="20"/>
  <c r="AH31" i="20" s="1"/>
  <c r="AY18" i="21"/>
  <c r="AZ18" i="21" s="1"/>
  <c r="AD20" i="20" s="1"/>
  <c r="AY89" i="21"/>
  <c r="AZ89" i="21" s="1"/>
  <c r="AD91" i="20" s="1"/>
  <c r="AB50" i="20"/>
  <c r="T50" i="21"/>
  <c r="AA49" i="20"/>
  <c r="AG49" i="20" s="1"/>
  <c r="Z49" i="20"/>
  <c r="AF49" i="20" s="1"/>
  <c r="AY38" i="21"/>
  <c r="AY30" i="21"/>
  <c r="AA63" i="20"/>
  <c r="AG63" i="20" s="1"/>
  <c r="AM90" i="21"/>
  <c r="AN90" i="21" s="1"/>
  <c r="Q32" i="21"/>
  <c r="AA33" i="20" s="1"/>
  <c r="AG33" i="20" s="1"/>
  <c r="P33" i="21"/>
  <c r="AN81" i="21"/>
  <c r="AG61" i="21"/>
  <c r="AH61" i="21" s="1"/>
  <c r="AY60" i="21"/>
  <c r="AB34" i="20"/>
  <c r="T34" i="21"/>
  <c r="AB35" i="20" s="1"/>
  <c r="N54" i="21"/>
  <c r="M55" i="21"/>
  <c r="AS61" i="21"/>
  <c r="AT61" i="21" s="1"/>
  <c r="AE45" i="21"/>
  <c r="Z33" i="20"/>
  <c r="AF33" i="20" s="1"/>
  <c r="AM74" i="21"/>
  <c r="AN74" i="21" s="1"/>
  <c r="AQ81" i="21"/>
  <c r="AJ61" i="21"/>
  <c r="AK61" i="21" s="1"/>
  <c r="AJ32" i="21"/>
  <c r="AK32" i="21" s="1"/>
  <c r="AL91" i="21"/>
  <c r="AM91" i="21" s="1"/>
  <c r="AI91" i="21"/>
  <c r="AF91" i="21"/>
  <c r="AG91" i="21" s="1"/>
  <c r="AU91" i="21"/>
  <c r="AV91" i="21" s="1"/>
  <c r="AR91" i="21"/>
  <c r="AS91" i="21" s="1"/>
  <c r="AE92" i="21"/>
  <c r="AO91" i="21"/>
  <c r="Q55" i="21"/>
  <c r="P56" i="21"/>
  <c r="AE53" i="21"/>
  <c r="AO52" i="21"/>
  <c r="AL52" i="21"/>
  <c r="AM52" i="21" s="1"/>
  <c r="AI52" i="21"/>
  <c r="AF52" i="21"/>
  <c r="AU52" i="21"/>
  <c r="AR52" i="21"/>
  <c r="AS52" i="21" s="1"/>
  <c r="Q74" i="21"/>
  <c r="P75" i="21"/>
  <c r="AM61" i="21"/>
  <c r="AN61" i="21" s="1"/>
  <c r="AZ86" i="21"/>
  <c r="AD88" i="20" s="1"/>
  <c r="AC88" i="20"/>
  <c r="AH88" i="20" s="1"/>
  <c r="AS8" i="21"/>
  <c r="AT8" i="21" s="1"/>
  <c r="Q67" i="21"/>
  <c r="P68" i="21"/>
  <c r="Q68" i="21" s="1"/>
  <c r="AP61" i="21"/>
  <c r="AQ61" i="21" s="1"/>
  <c r="AA29" i="20"/>
  <c r="AG29" i="20" s="1"/>
  <c r="Z29" i="20"/>
  <c r="AF29" i="20" s="1"/>
  <c r="Q39" i="21"/>
  <c r="P40" i="21"/>
  <c r="AB22" i="20"/>
  <c r="T22" i="21"/>
  <c r="AB23" i="20" s="1"/>
  <c r="AP74" i="21"/>
  <c r="AQ74" i="21" s="1"/>
  <c r="AM63" i="21"/>
  <c r="AN63" i="21" s="1"/>
  <c r="AL82" i="21"/>
  <c r="AI82" i="21"/>
  <c r="AJ82" i="21" s="1"/>
  <c r="AF82" i="21"/>
  <c r="AU82" i="21"/>
  <c r="AV82" i="21" s="1"/>
  <c r="AR82" i="21"/>
  <c r="AE83" i="21"/>
  <c r="AO82" i="21"/>
  <c r="AP82" i="21" s="1"/>
  <c r="Z21" i="20"/>
  <c r="AF21" i="20" s="1"/>
  <c r="AA21" i="20"/>
  <c r="AG21" i="20" s="1"/>
  <c r="AH8" i="21"/>
  <c r="AS90" i="21"/>
  <c r="AT90" i="21" s="1"/>
  <c r="AF75" i="21"/>
  <c r="AG75" i="21" s="1"/>
  <c r="AU75" i="21"/>
  <c r="AR75" i="21"/>
  <c r="AE76" i="21"/>
  <c r="AO75" i="21"/>
  <c r="AP75" i="21" s="1"/>
  <c r="AL75" i="21"/>
  <c r="AI75" i="21"/>
  <c r="AJ75" i="21" s="1"/>
  <c r="AQ63" i="21"/>
  <c r="AT81" i="21"/>
  <c r="AZ88" i="21"/>
  <c r="AD90" i="20" s="1"/>
  <c r="AC90" i="20"/>
  <c r="AH90" i="20" s="1"/>
  <c r="AY71" i="21"/>
  <c r="AZ72" i="21"/>
  <c r="AD74" i="20" s="1"/>
  <c r="AC74" i="20"/>
  <c r="AH74" i="20" s="1"/>
  <c r="AJ39" i="21"/>
  <c r="AK39" i="21" s="1"/>
  <c r="AA28" i="20"/>
  <c r="AG28" i="20" s="1"/>
  <c r="Z28" i="20"/>
  <c r="AF28" i="20" s="1"/>
  <c r="AV8" i="21"/>
  <c r="AW8" i="21" s="1"/>
  <c r="AN32" i="21"/>
  <c r="AY62" i="21"/>
  <c r="AL9" i="21"/>
  <c r="AI9" i="21"/>
  <c r="AJ9" i="21" s="1"/>
  <c r="AF9" i="21"/>
  <c r="AG9" i="21" s="1"/>
  <c r="AU9" i="21"/>
  <c r="AE10" i="21"/>
  <c r="AR9" i="21"/>
  <c r="AO9" i="21"/>
  <c r="AP9" i="21" s="1"/>
  <c r="AH90" i="21"/>
  <c r="AS74" i="21"/>
  <c r="AT74" i="21" s="1"/>
  <c r="AO64" i="21"/>
  <c r="AP64" i="21" s="1"/>
  <c r="AL64" i="21"/>
  <c r="AI64" i="21"/>
  <c r="AF64" i="21"/>
  <c r="AG64" i="21" s="1"/>
  <c r="AU64" i="21"/>
  <c r="AR64" i="21"/>
  <c r="AE65" i="21"/>
  <c r="AW81" i="21"/>
  <c r="AV90" i="21"/>
  <c r="AW90" i="21" s="1"/>
  <c r="AP39" i="21"/>
  <c r="AQ39" i="21" s="1"/>
  <c r="AY7" i="21"/>
  <c r="AT63" i="21"/>
  <c r="AH81" i="21"/>
  <c r="AG19" i="21"/>
  <c r="AH19" i="21" s="1"/>
  <c r="AQ90" i="21"/>
  <c r="AM39" i="21"/>
  <c r="AN39" i="21" s="1"/>
  <c r="AY31" i="21"/>
  <c r="AJ19" i="21"/>
  <c r="AK19" i="21" s="1"/>
  <c r="AW32" i="21"/>
  <c r="AV39" i="21"/>
  <c r="AW39" i="21" s="1"/>
  <c r="AS39" i="21"/>
  <c r="AT39" i="21" s="1"/>
  <c r="AG32" i="21"/>
  <c r="AH32" i="21" s="1"/>
  <c r="AK8" i="21"/>
  <c r="N72" i="21"/>
  <c r="M73" i="21"/>
  <c r="AZ59" i="21"/>
  <c r="AD61" i="20" s="1"/>
  <c r="AC61" i="20"/>
  <c r="AH61" i="20" s="1"/>
  <c r="AQ8" i="21"/>
  <c r="AX41" i="21"/>
  <c r="AL40" i="21"/>
  <c r="AI40" i="21"/>
  <c r="AF40" i="21"/>
  <c r="AU40" i="21"/>
  <c r="AR40" i="21"/>
  <c r="AO40" i="21"/>
  <c r="AH74" i="21"/>
  <c r="AV63" i="21"/>
  <c r="AW63" i="21" s="1"/>
  <c r="AY73" i="21"/>
  <c r="AP32" i="21"/>
  <c r="AQ32" i="21" s="1"/>
  <c r="AF22" i="21"/>
  <c r="AG22" i="21" s="1"/>
  <c r="AU22" i="21"/>
  <c r="AR22" i="21"/>
  <c r="AS22" i="21" s="1"/>
  <c r="AE23" i="21"/>
  <c r="AO22" i="21"/>
  <c r="AL22" i="21"/>
  <c r="AM22" i="21" s="1"/>
  <c r="AI22" i="21"/>
  <c r="AJ22" i="21" s="1"/>
  <c r="AO33" i="21"/>
  <c r="AP33" i="21" s="1"/>
  <c r="AL33" i="21"/>
  <c r="AI33" i="21"/>
  <c r="AF33" i="21"/>
  <c r="AG33" i="21" s="1"/>
  <c r="AU33" i="21"/>
  <c r="AV33" i="21" s="1"/>
  <c r="AR33" i="21"/>
  <c r="AE34" i="21"/>
  <c r="AM8" i="21"/>
  <c r="AN8" i="21" s="1"/>
  <c r="AM19" i="21"/>
  <c r="AN19" i="21" s="1"/>
  <c r="AS32" i="21"/>
  <c r="AT32" i="21" s="1"/>
  <c r="AK90" i="21"/>
  <c r="N17" i="21"/>
  <c r="Z18" i="20" s="1"/>
  <c r="AF18" i="20" s="1"/>
  <c r="M18" i="21"/>
  <c r="AG39" i="21"/>
  <c r="AH39" i="21" s="1"/>
  <c r="AB40" i="20"/>
  <c r="T40" i="21"/>
  <c r="AV74" i="21"/>
  <c r="AW74" i="21" s="1"/>
  <c r="AG63" i="21"/>
  <c r="AH63" i="21" s="1"/>
  <c r="AX21" i="21"/>
  <c r="AS21" i="21" s="1"/>
  <c r="AT21" i="21" s="1"/>
  <c r="AF20" i="21"/>
  <c r="AS20" i="21"/>
  <c r="AT20" i="21" s="1"/>
  <c r="AO20" i="21"/>
  <c r="AI20" i="21"/>
  <c r="AL20" i="21"/>
  <c r="AY80" i="21"/>
  <c r="AA39" i="20"/>
  <c r="AG39" i="20" s="1"/>
  <c r="Z39" i="20"/>
  <c r="AF39" i="20" s="1"/>
  <c r="AB64" i="20"/>
  <c r="T64" i="21"/>
  <c r="AK74" i="21"/>
  <c r="AJ63" i="21"/>
  <c r="AK63" i="21" s="1"/>
  <c r="AJ81" i="21"/>
  <c r="AK81" i="21" s="1"/>
  <c r="AV61" i="21"/>
  <c r="AW61" i="21" s="1"/>
  <c r="AZ79" i="21" l="1"/>
  <c r="AD81" i="20" s="1"/>
  <c r="AC20" i="20"/>
  <c r="AH20" i="20" s="1"/>
  <c r="AC91" i="20"/>
  <c r="AH91" i="20" s="1"/>
  <c r="AY63" i="21"/>
  <c r="AB51" i="20"/>
  <c r="T51" i="21"/>
  <c r="Z50" i="20"/>
  <c r="AF50" i="20" s="1"/>
  <c r="AA50" i="20"/>
  <c r="AG50" i="20" s="1"/>
  <c r="AZ63" i="21"/>
  <c r="AD65" i="20" s="1"/>
  <c r="AC65" i="20"/>
  <c r="AH65" i="20" s="1"/>
  <c r="AY32" i="21"/>
  <c r="AA22" i="20"/>
  <c r="AG22" i="20" s="1"/>
  <c r="Z22" i="20"/>
  <c r="AF22" i="20" s="1"/>
  <c r="AY61" i="21"/>
  <c r="AH22" i="21"/>
  <c r="AY90" i="21"/>
  <c r="AM75" i="21"/>
  <c r="AN75" i="21" s="1"/>
  <c r="AR83" i="21"/>
  <c r="AE84" i="21"/>
  <c r="AO83" i="21"/>
  <c r="AL83" i="21"/>
  <c r="AM83" i="21" s="1"/>
  <c r="AI83" i="21"/>
  <c r="AJ83" i="21" s="1"/>
  <c r="AF83" i="21"/>
  <c r="AU83" i="21"/>
  <c r="Q40" i="21"/>
  <c r="P41" i="21"/>
  <c r="AT52" i="21"/>
  <c r="AQ75" i="21"/>
  <c r="Q33" i="21"/>
  <c r="AA34" i="20" s="1"/>
  <c r="AG34" i="20" s="1"/>
  <c r="P34" i="21"/>
  <c r="Q34" i="21" s="1"/>
  <c r="AA35" i="20" s="1"/>
  <c r="AG35" i="20" s="1"/>
  <c r="N18" i="21"/>
  <c r="Z19" i="20" s="1"/>
  <c r="AF19" i="20" s="1"/>
  <c r="M19" i="21"/>
  <c r="N19" i="21" s="1"/>
  <c r="Z20" i="20" s="1"/>
  <c r="AF20" i="20" s="1"/>
  <c r="AH33" i="21"/>
  <c r="AR65" i="21"/>
  <c r="AE66" i="21"/>
  <c r="AO65" i="21"/>
  <c r="AL65" i="21"/>
  <c r="AI65" i="21"/>
  <c r="AF65" i="21"/>
  <c r="AU65" i="21"/>
  <c r="AV65" i="21" s="1"/>
  <c r="AS82" i="21"/>
  <c r="AT82" i="21" s="1"/>
  <c r="AZ80" i="21"/>
  <c r="AD82" i="20" s="1"/>
  <c r="AC82" i="20"/>
  <c r="AH82" i="20" s="1"/>
  <c r="AJ33" i="21"/>
  <c r="AK33" i="21" s="1"/>
  <c r="AM20" i="21"/>
  <c r="AN20" i="21" s="1"/>
  <c r="M74" i="21"/>
  <c r="N73" i="21"/>
  <c r="AL76" i="21"/>
  <c r="AI76" i="21"/>
  <c r="AJ76" i="21" s="1"/>
  <c r="AF76" i="21"/>
  <c r="AG76" i="21" s="1"/>
  <c r="AU76" i="21"/>
  <c r="AR76" i="21"/>
  <c r="AO76" i="21"/>
  <c r="AP91" i="21"/>
  <c r="AQ91" i="21" s="1"/>
  <c r="AJ20" i="21"/>
  <c r="AK20" i="21" s="1"/>
  <c r="AM33" i="21"/>
  <c r="AN33" i="21" s="1"/>
  <c r="AZ73" i="21"/>
  <c r="AD75" i="20" s="1"/>
  <c r="AC75" i="20"/>
  <c r="AH75" i="20" s="1"/>
  <c r="AZ31" i="21"/>
  <c r="AD33" i="20" s="1"/>
  <c r="AC33" i="20"/>
  <c r="AH33" i="20" s="1"/>
  <c r="AS9" i="21"/>
  <c r="AT9" i="21" s="1"/>
  <c r="AW82" i="21"/>
  <c r="AV52" i="21"/>
  <c r="AW52" i="21" s="1"/>
  <c r="AE93" i="21"/>
  <c r="AO92" i="21"/>
  <c r="AP92" i="21" s="1"/>
  <c r="AL92" i="21"/>
  <c r="AM92" i="21" s="1"/>
  <c r="AI92" i="21"/>
  <c r="AF92" i="21"/>
  <c r="AG92" i="21" s="1"/>
  <c r="AU92" i="21"/>
  <c r="AV92" i="21" s="1"/>
  <c r="AR92" i="21"/>
  <c r="AS92" i="21" s="1"/>
  <c r="AP20" i="21"/>
  <c r="AQ20" i="21" s="1"/>
  <c r="AQ33" i="21"/>
  <c r="AS64" i="21"/>
  <c r="AT64" i="21" s="1"/>
  <c r="AO10" i="21"/>
  <c r="AL10" i="21"/>
  <c r="AI10" i="21"/>
  <c r="AF10" i="21"/>
  <c r="AU10" i="21"/>
  <c r="AV10" i="21" s="1"/>
  <c r="AE11" i="21"/>
  <c r="AR10" i="21"/>
  <c r="AS10" i="21" s="1"/>
  <c r="AS75" i="21"/>
  <c r="AT75" i="21" s="1"/>
  <c r="AG52" i="21"/>
  <c r="AH52" i="21" s="1"/>
  <c r="AT91" i="21"/>
  <c r="AY39" i="21"/>
  <c r="AQ9" i="21"/>
  <c r="AY74" i="21"/>
  <c r="AV22" i="21"/>
  <c r="AW22" i="21" s="1"/>
  <c r="AP40" i="21"/>
  <c r="AQ40" i="21" s="1"/>
  <c r="AH64" i="21"/>
  <c r="AH9" i="21"/>
  <c r="AH75" i="21"/>
  <c r="AG82" i="21"/>
  <c r="AH82" i="21" s="1"/>
  <c r="AJ52" i="21"/>
  <c r="AK52" i="21" s="1"/>
  <c r="AW91" i="21"/>
  <c r="AG20" i="21"/>
  <c r="AH20" i="21" s="1"/>
  <c r="AK22" i="21"/>
  <c r="AO21" i="21"/>
  <c r="AL21" i="21"/>
  <c r="AI21" i="21"/>
  <c r="AV21" i="21"/>
  <c r="AW21" i="21" s="1"/>
  <c r="AF21" i="21"/>
  <c r="AN22" i="21"/>
  <c r="AS40" i="21"/>
  <c r="AT40" i="21" s="1"/>
  <c r="AV64" i="21"/>
  <c r="AW64" i="21" s="1"/>
  <c r="AV9" i="21"/>
  <c r="AW9" i="21" s="1"/>
  <c r="AZ71" i="21"/>
  <c r="AD73" i="20" s="1"/>
  <c r="AC73" i="20"/>
  <c r="AH73" i="20" s="1"/>
  <c r="AV75" i="21"/>
  <c r="AW75" i="21" s="1"/>
  <c r="AK82" i="21"/>
  <c r="AN52" i="21"/>
  <c r="AH91" i="21"/>
  <c r="N55" i="21"/>
  <c r="M56" i="21"/>
  <c r="AV40" i="21"/>
  <c r="AW40" i="21" s="1"/>
  <c r="AY19" i="21"/>
  <c r="AZ30" i="21"/>
  <c r="AD32" i="20" s="1"/>
  <c r="AC32" i="20"/>
  <c r="AH32" i="20" s="1"/>
  <c r="AR34" i="21"/>
  <c r="AE35" i="21"/>
  <c r="AO34" i="21"/>
  <c r="AL34" i="21"/>
  <c r="AM34" i="21" s="1"/>
  <c r="AI34" i="21"/>
  <c r="AJ34" i="21" s="1"/>
  <c r="AU34" i="21"/>
  <c r="AF34" i="21"/>
  <c r="AG34" i="21" s="1"/>
  <c r="AY81" i="21"/>
  <c r="AB41" i="20"/>
  <c r="T41" i="21"/>
  <c r="AG40" i="21"/>
  <c r="AH40" i="21" s="1"/>
  <c r="AK9" i="21"/>
  <c r="AJ40" i="21"/>
  <c r="AK40" i="21" s="1"/>
  <c r="AY8" i="21"/>
  <c r="Z35" i="20"/>
  <c r="AF35" i="20" s="1"/>
  <c r="AB65" i="20"/>
  <c r="T65" i="21"/>
  <c r="AM40" i="21"/>
  <c r="AN40" i="21" s="1"/>
  <c r="AZ7" i="21"/>
  <c r="AD9" i="20" s="1"/>
  <c r="AC9" i="20"/>
  <c r="AH9" i="20" s="1"/>
  <c r="AP52" i="21"/>
  <c r="AQ52" i="21" s="1"/>
  <c r="AJ91" i="21"/>
  <c r="AK91" i="21" s="1"/>
  <c r="Z34" i="20"/>
  <c r="AF34" i="20" s="1"/>
  <c r="AP22" i="21"/>
  <c r="AQ22" i="21" s="1"/>
  <c r="AJ64" i="21"/>
  <c r="AK64" i="21" s="1"/>
  <c r="AF53" i="21"/>
  <c r="AG53" i="21" s="1"/>
  <c r="AU53" i="21"/>
  <c r="AR53" i="21"/>
  <c r="AE54" i="21"/>
  <c r="AO53" i="21"/>
  <c r="AL53" i="21"/>
  <c r="AI53" i="21"/>
  <c r="AJ53" i="21" s="1"/>
  <c r="AA40" i="20"/>
  <c r="AG40" i="20" s="1"/>
  <c r="Z40" i="20"/>
  <c r="AF40" i="20" s="1"/>
  <c r="AS33" i="21"/>
  <c r="AT33" i="21" s="1"/>
  <c r="AL23" i="21"/>
  <c r="AM23" i="21" s="1"/>
  <c r="AI23" i="21"/>
  <c r="AF23" i="21"/>
  <c r="AG23" i="21" s="1"/>
  <c r="AU23" i="21"/>
  <c r="AR23" i="21"/>
  <c r="AE24" i="21"/>
  <c r="AO23" i="21"/>
  <c r="AP23" i="21" s="1"/>
  <c r="AA64" i="20"/>
  <c r="AG64" i="20" s="1"/>
  <c r="AW33" i="21"/>
  <c r="AT22" i="21"/>
  <c r="AX42" i="21"/>
  <c r="AU41" i="21"/>
  <c r="AR41" i="21"/>
  <c r="AO41" i="21"/>
  <c r="AL41" i="21"/>
  <c r="AI41" i="21"/>
  <c r="AF41" i="21"/>
  <c r="AM64" i="21"/>
  <c r="AN64" i="21" s="1"/>
  <c r="AM9" i="21"/>
  <c r="AN9" i="21" s="1"/>
  <c r="AK75" i="21"/>
  <c r="Q56" i="21"/>
  <c r="P57" i="21"/>
  <c r="Q57" i="21" s="1"/>
  <c r="AN91" i="21"/>
  <c r="AZ60" i="21"/>
  <c r="AD62" i="20" s="1"/>
  <c r="AC62" i="20"/>
  <c r="AH62" i="20" s="1"/>
  <c r="AZ38" i="21"/>
  <c r="AD40" i="20" s="1"/>
  <c r="AC40" i="20"/>
  <c r="AH40" i="20" s="1"/>
  <c r="AQ64" i="21"/>
  <c r="AZ62" i="21"/>
  <c r="AD64" i="20" s="1"/>
  <c r="AC64" i="20"/>
  <c r="AH64" i="20" s="1"/>
  <c r="AM82" i="21"/>
  <c r="AN82" i="21" s="1"/>
  <c r="AA23" i="20"/>
  <c r="AG23" i="20" s="1"/>
  <c r="Z23" i="20"/>
  <c r="AF23" i="20" s="1"/>
  <c r="Q75" i="21"/>
  <c r="P76" i="21"/>
  <c r="AQ82" i="21"/>
  <c r="AB52" i="20" l="1"/>
  <c r="T52" i="21"/>
  <c r="AA51" i="20"/>
  <c r="AG51" i="20" s="1"/>
  <c r="Z51" i="20"/>
  <c r="AF51" i="20" s="1"/>
  <c r="AY20" i="21"/>
  <c r="AZ20" i="21" s="1"/>
  <c r="AD22" i="20" s="1"/>
  <c r="AY40" i="21"/>
  <c r="AY52" i="21"/>
  <c r="AK34" i="21"/>
  <c r="AP21" i="21"/>
  <c r="AQ21" i="21" s="1"/>
  <c r="AW10" i="21"/>
  <c r="AH92" i="21"/>
  <c r="AG65" i="21"/>
  <c r="AH65" i="21" s="1"/>
  <c r="AB66" i="20"/>
  <c r="T66" i="21"/>
  <c r="AA65" i="20"/>
  <c r="AG65" i="20" s="1"/>
  <c r="AM76" i="21"/>
  <c r="AN76" i="21" s="1"/>
  <c r="AP83" i="21"/>
  <c r="AQ83" i="21" s="1"/>
  <c r="AG10" i="21"/>
  <c r="AH10" i="21" s="1"/>
  <c r="AJ65" i="21"/>
  <c r="AK65" i="21" s="1"/>
  <c r="AF84" i="21"/>
  <c r="AU84" i="21"/>
  <c r="AV84" i="21" s="1"/>
  <c r="AR84" i="21"/>
  <c r="AO84" i="21"/>
  <c r="AL84" i="21"/>
  <c r="AI84" i="21"/>
  <c r="AJ84" i="21" s="1"/>
  <c r="N56" i="21"/>
  <c r="M57" i="21"/>
  <c r="AE12" i="21"/>
  <c r="AR11" i="21"/>
  <c r="AS11" i="21" s="1"/>
  <c r="AL11" i="21"/>
  <c r="AI11" i="21"/>
  <c r="AF11" i="21"/>
  <c r="AG11" i="21" s="1"/>
  <c r="AU11" i="21"/>
  <c r="AO11" i="21"/>
  <c r="AP11" i="21" s="1"/>
  <c r="AZ8" i="21"/>
  <c r="AD10" i="20" s="1"/>
  <c r="AC10" i="20"/>
  <c r="AH10" i="20" s="1"/>
  <c r="Q76" i="21"/>
  <c r="P77" i="21"/>
  <c r="AJ92" i="21"/>
  <c r="AK92" i="21" s="1"/>
  <c r="AS23" i="21"/>
  <c r="AT23" i="21" s="1"/>
  <c r="AM53" i="21"/>
  <c r="AN53" i="21" s="1"/>
  <c r="AP34" i="21"/>
  <c r="AQ34" i="21" s="1"/>
  <c r="AZ74" i="21"/>
  <c r="AD76" i="20" s="1"/>
  <c r="AC76" i="20"/>
  <c r="AH76" i="20" s="1"/>
  <c r="AJ10" i="21"/>
  <c r="AK10" i="21" s="1"/>
  <c r="AN92" i="21"/>
  <c r="N74" i="21"/>
  <c r="M75" i="21"/>
  <c r="AM65" i="21"/>
  <c r="AN65" i="21" s="1"/>
  <c r="Q41" i="21"/>
  <c r="P42" i="21"/>
  <c r="AZ90" i="21"/>
  <c r="AD92" i="20" s="1"/>
  <c r="AC92" i="20"/>
  <c r="AH92" i="20" s="1"/>
  <c r="AQ23" i="21"/>
  <c r="AK53" i="21"/>
  <c r="AJ41" i="21"/>
  <c r="AK41" i="21" s="1"/>
  <c r="AY75" i="21"/>
  <c r="AQ92" i="21"/>
  <c r="AP65" i="21"/>
  <c r="AQ65" i="21" s="1"/>
  <c r="AY22" i="21"/>
  <c r="AM21" i="21"/>
  <c r="AN21" i="21" s="1"/>
  <c r="AY91" i="21"/>
  <c r="AN34" i="21"/>
  <c r="AE25" i="21"/>
  <c r="AO24" i="21"/>
  <c r="AL24" i="21"/>
  <c r="AI24" i="21"/>
  <c r="AF24" i="21"/>
  <c r="AG24" i="21" s="1"/>
  <c r="AU24" i="21"/>
  <c r="AV24" i="21" s="1"/>
  <c r="AR24" i="21"/>
  <c r="AS24" i="21" s="1"/>
  <c r="AG41" i="21"/>
  <c r="AH41" i="21" s="1"/>
  <c r="AI35" i="21"/>
  <c r="AJ35" i="21" s="1"/>
  <c r="AF35" i="21"/>
  <c r="AU35" i="21"/>
  <c r="AR35" i="21"/>
  <c r="AE36" i="21"/>
  <c r="AO35" i="21"/>
  <c r="AP35" i="21" s="1"/>
  <c r="AL35" i="21"/>
  <c r="AM35" i="21" s="1"/>
  <c r="AH23" i="21"/>
  <c r="AP53" i="21"/>
  <c r="AQ53" i="21" s="1"/>
  <c r="AZ39" i="21"/>
  <c r="AD41" i="20" s="1"/>
  <c r="AC41" i="20"/>
  <c r="AH41" i="20" s="1"/>
  <c r="AM41" i="21"/>
  <c r="AN41" i="21" s="1"/>
  <c r="AV23" i="21"/>
  <c r="AW23" i="21" s="1"/>
  <c r="AI54" i="21"/>
  <c r="AF54" i="21"/>
  <c r="AU54" i="21"/>
  <c r="AR54" i="21"/>
  <c r="AS54" i="21" s="1"/>
  <c r="AE55" i="21"/>
  <c r="AO54" i="21"/>
  <c r="AL54" i="21"/>
  <c r="AM54" i="21" s="1"/>
  <c r="AS34" i="21"/>
  <c r="AT34" i="21" s="1"/>
  <c r="AY9" i="21"/>
  <c r="AP10" i="21"/>
  <c r="AQ10" i="21" s="1"/>
  <c r="AF93" i="21"/>
  <c r="AU93" i="21"/>
  <c r="AR93" i="21"/>
  <c r="AE94" i="21"/>
  <c r="AO93" i="21"/>
  <c r="AL93" i="21"/>
  <c r="AM93" i="21" s="1"/>
  <c r="AI93" i="21"/>
  <c r="AJ93" i="21" s="1"/>
  <c r="AP76" i="21"/>
  <c r="AQ76" i="21" s="1"/>
  <c r="AI66" i="21"/>
  <c r="AJ66" i="21" s="1"/>
  <c r="AF66" i="21"/>
  <c r="AG66" i="21" s="1"/>
  <c r="AU66" i="21"/>
  <c r="AR66" i="21"/>
  <c r="AS66" i="21" s="1"/>
  <c r="AE67" i="21"/>
  <c r="AO66" i="21"/>
  <c r="AP66" i="21" s="1"/>
  <c r="AL66" i="21"/>
  <c r="AS83" i="21"/>
  <c r="AT83" i="21" s="1"/>
  <c r="AZ61" i="21"/>
  <c r="AD63" i="20" s="1"/>
  <c r="AC63" i="20"/>
  <c r="AH63" i="20" s="1"/>
  <c r="AY64" i="21"/>
  <c r="AS65" i="21"/>
  <c r="AT65" i="21" s="1"/>
  <c r="AP41" i="21"/>
  <c r="AQ41" i="21" s="1"/>
  <c r="AV83" i="21"/>
  <c r="AW83" i="21" s="1"/>
  <c r="AS41" i="21"/>
  <c r="AT41" i="21" s="1"/>
  <c r="AA41" i="20"/>
  <c r="AG41" i="20" s="1"/>
  <c r="Z41" i="20"/>
  <c r="AF41" i="20" s="1"/>
  <c r="AY82" i="21"/>
  <c r="AS76" i="21"/>
  <c r="AT76" i="21" s="1"/>
  <c r="AZ81" i="21"/>
  <c r="AD83" i="20" s="1"/>
  <c r="AC83" i="20"/>
  <c r="AH83" i="20" s="1"/>
  <c r="AX43" i="21"/>
  <c r="AU42" i="21"/>
  <c r="AF42" i="21"/>
  <c r="AR42" i="21"/>
  <c r="AO42" i="21"/>
  <c r="AL42" i="21"/>
  <c r="AI42" i="21"/>
  <c r="AN23" i="21"/>
  <c r="AH53" i="21"/>
  <c r="AH34" i="21"/>
  <c r="AZ19" i="21"/>
  <c r="AD21" i="20" s="1"/>
  <c r="AC21" i="20"/>
  <c r="AH21" i="20" s="1"/>
  <c r="AG21" i="21"/>
  <c r="AH21" i="21" s="1"/>
  <c r="AM10" i="21"/>
  <c r="AN10" i="21" s="1"/>
  <c r="AH76" i="21"/>
  <c r="AG83" i="21"/>
  <c r="AH83" i="21" s="1"/>
  <c r="AB42" i="20"/>
  <c r="T42" i="21"/>
  <c r="AS53" i="21"/>
  <c r="AT53" i="21" s="1"/>
  <c r="AV41" i="21"/>
  <c r="AW41" i="21" s="1"/>
  <c r="AJ23" i="21"/>
  <c r="AK23" i="21" s="1"/>
  <c r="AV53" i="21"/>
  <c r="AW53" i="21" s="1"/>
  <c r="AV34" i="21"/>
  <c r="AW34" i="21" s="1"/>
  <c r="AT10" i="21"/>
  <c r="AT92" i="21"/>
  <c r="AV76" i="21"/>
  <c r="AW76" i="21" s="1"/>
  <c r="AY33" i="21"/>
  <c r="AK83" i="21"/>
  <c r="AZ32" i="21"/>
  <c r="AD34" i="20" s="1"/>
  <c r="AC34" i="20"/>
  <c r="AH34" i="20" s="1"/>
  <c r="AJ21" i="21"/>
  <c r="AK21" i="21" s="1"/>
  <c r="AW65" i="21"/>
  <c r="AW92" i="21"/>
  <c r="AK76" i="21"/>
  <c r="AN83" i="21"/>
  <c r="AC22" i="20" l="1"/>
  <c r="AH22" i="20" s="1"/>
  <c r="AB53" i="20"/>
  <c r="T53" i="21"/>
  <c r="AA52" i="20"/>
  <c r="AG52" i="20" s="1"/>
  <c r="Z52" i="20"/>
  <c r="AF52" i="20" s="1"/>
  <c r="AY41" i="21"/>
  <c r="AY21" i="21"/>
  <c r="AY65" i="21"/>
  <c r="AY10" i="21"/>
  <c r="AP84" i="21"/>
  <c r="AQ84" i="21" s="1"/>
  <c r="AP54" i="21"/>
  <c r="AQ54" i="21" s="1"/>
  <c r="AZ91" i="21"/>
  <c r="AD93" i="20" s="1"/>
  <c r="AC93" i="20"/>
  <c r="AH93" i="20" s="1"/>
  <c r="AE56" i="21"/>
  <c r="AO55" i="21"/>
  <c r="AP55" i="21" s="1"/>
  <c r="AL55" i="21"/>
  <c r="AM55" i="21" s="1"/>
  <c r="AI55" i="21"/>
  <c r="AF55" i="21"/>
  <c r="AU55" i="21"/>
  <c r="AR55" i="21"/>
  <c r="AY23" i="21"/>
  <c r="AS84" i="21"/>
  <c r="AT84" i="21" s="1"/>
  <c r="AB67" i="20"/>
  <c r="T67" i="21"/>
  <c r="AY53" i="21"/>
  <c r="Q42" i="21"/>
  <c r="P43" i="21"/>
  <c r="Q43" i="21" s="1"/>
  <c r="AJ11" i="21"/>
  <c r="AK11" i="21" s="1"/>
  <c r="AZ40" i="21"/>
  <c r="AD42" i="20" s="1"/>
  <c r="AC42" i="20"/>
  <c r="AH42" i="20" s="1"/>
  <c r="AJ42" i="21"/>
  <c r="AK42" i="21" s="1"/>
  <c r="AM66" i="21"/>
  <c r="AN66" i="21" s="1"/>
  <c r="AM42" i="21"/>
  <c r="AN42" i="21" s="1"/>
  <c r="AQ66" i="21"/>
  <c r="AP93" i="21"/>
  <c r="AQ93" i="21" s="1"/>
  <c r="AT54" i="21"/>
  <c r="AM11" i="21"/>
  <c r="AN11" i="21" s="1"/>
  <c r="AW84" i="21"/>
  <c r="AA66" i="20"/>
  <c r="AG66" i="20" s="1"/>
  <c r="AZ22" i="21"/>
  <c r="AD24" i="20" s="1"/>
  <c r="AC24" i="20"/>
  <c r="AH24" i="20" s="1"/>
  <c r="AT11" i="21"/>
  <c r="AN35" i="21"/>
  <c r="AZ33" i="21"/>
  <c r="AD35" i="20" s="1"/>
  <c r="AC35" i="20"/>
  <c r="AH35" i="20" s="1"/>
  <c r="AK35" i="21"/>
  <c r="AS42" i="21"/>
  <c r="AT42" i="21" s="1"/>
  <c r="AL67" i="21"/>
  <c r="AI67" i="21"/>
  <c r="AJ67" i="21" s="1"/>
  <c r="AF67" i="21"/>
  <c r="AU67" i="21"/>
  <c r="AR67" i="21"/>
  <c r="AS67" i="21" s="1"/>
  <c r="AE68" i="21"/>
  <c r="AO67" i="21"/>
  <c r="AB43" i="20"/>
  <c r="T43" i="21"/>
  <c r="AB44" i="20" s="1"/>
  <c r="AA42" i="20"/>
  <c r="AG42" i="20" s="1"/>
  <c r="Z42" i="20"/>
  <c r="AF42" i="20" s="1"/>
  <c r="AV54" i="21"/>
  <c r="AW54" i="21" s="1"/>
  <c r="N57" i="21"/>
  <c r="M58" i="21"/>
  <c r="AY92" i="21"/>
  <c r="AX44" i="21"/>
  <c r="AO43" i="21"/>
  <c r="AL43" i="21"/>
  <c r="AI43" i="21"/>
  <c r="AF43" i="21"/>
  <c r="AU43" i="21"/>
  <c r="AR43" i="21"/>
  <c r="AG54" i="21"/>
  <c r="AH54" i="21" s="1"/>
  <c r="AL36" i="21"/>
  <c r="AI36" i="21"/>
  <c r="AF36" i="21"/>
  <c r="AU36" i="21"/>
  <c r="AV36" i="21" s="1"/>
  <c r="AR36" i="21"/>
  <c r="AO36" i="21"/>
  <c r="AP36" i="21" s="1"/>
  <c r="AE37" i="21"/>
  <c r="N75" i="21"/>
  <c r="M76" i="21"/>
  <c r="AP42" i="21"/>
  <c r="AQ42" i="21" s="1"/>
  <c r="AL94" i="21"/>
  <c r="AM94" i="21" s="1"/>
  <c r="AI94" i="21"/>
  <c r="AF94" i="21"/>
  <c r="AU94" i="21"/>
  <c r="AV94" i="21" s="1"/>
  <c r="AR94" i="21"/>
  <c r="AE95" i="21"/>
  <c r="AO94" i="21"/>
  <c r="AG42" i="21"/>
  <c r="AH42" i="21" s="1"/>
  <c r="AS93" i="21"/>
  <c r="AT93" i="21" s="1"/>
  <c r="AQ35" i="21"/>
  <c r="AU12" i="21"/>
  <c r="AV12" i="21" s="1"/>
  <c r="AE13" i="21"/>
  <c r="AR12" i="21"/>
  <c r="AS12" i="21" s="1"/>
  <c r="AO12" i="21"/>
  <c r="AP12" i="21" s="1"/>
  <c r="AL12" i="21"/>
  <c r="AI12" i="21"/>
  <c r="AF12" i="21"/>
  <c r="AG12" i="21" s="1"/>
  <c r="AV42" i="21"/>
  <c r="AW42" i="21" s="1"/>
  <c r="AY76" i="21"/>
  <c r="AH66" i="21"/>
  <c r="AV93" i="21"/>
  <c r="AW93" i="21" s="1"/>
  <c r="AT24" i="21"/>
  <c r="AW24" i="21"/>
  <c r="AT66" i="21"/>
  <c r="AH24" i="21"/>
  <c r="Q77" i="21"/>
  <c r="P78" i="21"/>
  <c r="AG84" i="21"/>
  <c r="AH84" i="21" s="1"/>
  <c r="AY83" i="21"/>
  <c r="AZ75" i="21"/>
  <c r="AD77" i="20" s="1"/>
  <c r="AC77" i="20"/>
  <c r="AH77" i="20" s="1"/>
  <c r="AV66" i="21"/>
  <c r="AW66" i="21" s="1"/>
  <c r="AG93" i="21"/>
  <c r="AH93" i="21" s="1"/>
  <c r="AJ54" i="21"/>
  <c r="AK54" i="21" s="1"/>
  <c r="AS35" i="21"/>
  <c r="AT35" i="21" s="1"/>
  <c r="AJ24" i="21"/>
  <c r="AK24" i="21" s="1"/>
  <c r="AQ11" i="21"/>
  <c r="AK66" i="21"/>
  <c r="AZ9" i="21"/>
  <c r="AD11" i="20" s="1"/>
  <c r="AC11" i="20"/>
  <c r="AH11" i="20" s="1"/>
  <c r="AM24" i="21"/>
  <c r="AN24" i="21" s="1"/>
  <c r="AK84" i="21"/>
  <c r="AZ64" i="21"/>
  <c r="AD66" i="20" s="1"/>
  <c r="AC66" i="20"/>
  <c r="AH66" i="20" s="1"/>
  <c r="AZ82" i="21"/>
  <c r="AD84" i="20" s="1"/>
  <c r="AC84" i="20"/>
  <c r="AH84" i="20" s="1"/>
  <c r="AV35" i="21"/>
  <c r="AW35" i="21" s="1"/>
  <c r="AH11" i="21"/>
  <c r="AK93" i="21"/>
  <c r="AN54" i="21"/>
  <c r="AG35" i="21"/>
  <c r="AH35" i="21" s="1"/>
  <c r="AP24" i="21"/>
  <c r="AQ24" i="21" s="1"/>
  <c r="AV11" i="21"/>
  <c r="AW11" i="21" s="1"/>
  <c r="AM84" i="21"/>
  <c r="AN84" i="21" s="1"/>
  <c r="AZ52" i="21"/>
  <c r="AD54" i="20" s="1"/>
  <c r="AC54" i="20"/>
  <c r="AH54" i="20" s="1"/>
  <c r="AY34" i="21"/>
  <c r="AU25" i="21"/>
  <c r="AV25" i="21" s="1"/>
  <c r="AR25" i="21"/>
  <c r="AE26" i="21"/>
  <c r="AO25" i="21"/>
  <c r="AL25" i="21"/>
  <c r="AI25" i="21"/>
  <c r="AJ25" i="21" s="1"/>
  <c r="AF25" i="21"/>
  <c r="AG25" i="21" s="1"/>
  <c r="AN93" i="21"/>
  <c r="AY35" i="21" l="1"/>
  <c r="AB54" i="20"/>
  <c r="T54" i="21"/>
  <c r="AA53" i="20"/>
  <c r="AG53" i="20" s="1"/>
  <c r="Z53" i="20"/>
  <c r="AF53" i="20" s="1"/>
  <c r="AY42" i="21"/>
  <c r="AY84" i="21"/>
  <c r="AZ35" i="21"/>
  <c r="AD37" i="20" s="1"/>
  <c r="AC37" i="20"/>
  <c r="AH37" i="20" s="1"/>
  <c r="AM36" i="21"/>
  <c r="AN36" i="21" s="1"/>
  <c r="AZ41" i="21"/>
  <c r="AD43" i="20" s="1"/>
  <c r="AC43" i="20"/>
  <c r="AH43" i="20" s="1"/>
  <c r="AH25" i="21"/>
  <c r="AZ83" i="21"/>
  <c r="AD85" i="20" s="1"/>
  <c r="AC85" i="20"/>
  <c r="AH85" i="20" s="1"/>
  <c r="AM67" i="21"/>
  <c r="AN67" i="21" s="1"/>
  <c r="AZ53" i="21"/>
  <c r="AD55" i="20" s="1"/>
  <c r="AC55" i="20"/>
  <c r="AH55" i="20" s="1"/>
  <c r="AQ55" i="21"/>
  <c r="AY54" i="21"/>
  <c r="AB68" i="20"/>
  <c r="T68" i="21"/>
  <c r="M77" i="21"/>
  <c r="N76" i="21"/>
  <c r="AY93" i="21"/>
  <c r="AK25" i="21"/>
  <c r="Q78" i="21"/>
  <c r="P79" i="21"/>
  <c r="AJ12" i="21"/>
  <c r="AK12" i="21" s="1"/>
  <c r="AA44" i="20"/>
  <c r="AG44" i="20" s="1"/>
  <c r="Z44" i="20"/>
  <c r="AF44" i="20" s="1"/>
  <c r="AA67" i="20"/>
  <c r="AG67" i="20" s="1"/>
  <c r="AU56" i="21"/>
  <c r="AR56" i="21"/>
  <c r="AE57" i="21"/>
  <c r="AO56" i="21"/>
  <c r="AL56" i="21"/>
  <c r="AI56" i="21"/>
  <c r="AJ56" i="21" s="1"/>
  <c r="AF56" i="21"/>
  <c r="AG56" i="21" s="1"/>
  <c r="AS43" i="21"/>
  <c r="AT43" i="21" s="1"/>
  <c r="AA43" i="20"/>
  <c r="AG43" i="20" s="1"/>
  <c r="Z43" i="20"/>
  <c r="AF43" i="20" s="1"/>
  <c r="AM12" i="21"/>
  <c r="AN12" i="21" s="1"/>
  <c r="AR37" i="21"/>
  <c r="AS37" i="21" s="1"/>
  <c r="AO37" i="21"/>
  <c r="AP37" i="21" s="1"/>
  <c r="AL37" i="21"/>
  <c r="AI37" i="21"/>
  <c r="AF37" i="21"/>
  <c r="AU37" i="21"/>
  <c r="AV37" i="21" s="1"/>
  <c r="AY24" i="21"/>
  <c r="AP94" i="21"/>
  <c r="AQ94" i="21" s="1"/>
  <c r="AV43" i="21"/>
  <c r="AW43" i="21" s="1"/>
  <c r="AM25" i="21"/>
  <c r="AN25" i="21" s="1"/>
  <c r="AQ12" i="21"/>
  <c r="AE96" i="21"/>
  <c r="AO95" i="21"/>
  <c r="AL95" i="21"/>
  <c r="AI95" i="21"/>
  <c r="AJ95" i="21" s="1"/>
  <c r="AF95" i="21"/>
  <c r="AG95" i="21" s="1"/>
  <c r="AU95" i="21"/>
  <c r="AV95" i="21" s="1"/>
  <c r="AR95" i="21"/>
  <c r="AS95" i="21" s="1"/>
  <c r="AQ36" i="21"/>
  <c r="AG43" i="21"/>
  <c r="AH43" i="21" s="1"/>
  <c r="AP67" i="21"/>
  <c r="AQ67" i="21" s="1"/>
  <c r="AZ23" i="21"/>
  <c r="AD25" i="20" s="1"/>
  <c r="AC25" i="20"/>
  <c r="AH25" i="20" s="1"/>
  <c r="AY11" i="21"/>
  <c r="AJ43" i="21"/>
  <c r="AK43" i="21" s="1"/>
  <c r="AR68" i="21"/>
  <c r="AS68" i="21" s="1"/>
  <c r="AO68" i="21"/>
  <c r="AL68" i="21"/>
  <c r="AI68" i="21"/>
  <c r="AJ68" i="21" s="1"/>
  <c r="AF68" i="21"/>
  <c r="AG68" i="21" s="1"/>
  <c r="AU68" i="21"/>
  <c r="AP25" i="21"/>
  <c r="AQ25" i="21" s="1"/>
  <c r="AT12" i="21"/>
  <c r="AS94" i="21"/>
  <c r="AT94" i="21" s="1"/>
  <c r="AS36" i="21"/>
  <c r="AT36" i="21" s="1"/>
  <c r="AM43" i="21"/>
  <c r="AN43" i="21" s="1"/>
  <c r="AT67" i="21"/>
  <c r="AS55" i="21"/>
  <c r="AT55" i="21" s="1"/>
  <c r="AX45" i="21"/>
  <c r="AO44" i="21"/>
  <c r="AL44" i="21"/>
  <c r="AI44" i="21"/>
  <c r="AF44" i="21"/>
  <c r="AU44" i="21"/>
  <c r="AR44" i="21"/>
  <c r="AF13" i="21"/>
  <c r="AG13" i="21" s="1"/>
  <c r="AU13" i="21"/>
  <c r="AV13" i="21" s="1"/>
  <c r="AE14" i="21"/>
  <c r="AR13" i="21"/>
  <c r="AS13" i="21" s="1"/>
  <c r="AO13" i="21"/>
  <c r="AP13" i="21" s="1"/>
  <c r="AL13" i="21"/>
  <c r="AI13" i="21"/>
  <c r="AJ13" i="21" s="1"/>
  <c r="AS25" i="21"/>
  <c r="AT25" i="21" s="1"/>
  <c r="AY66" i="21"/>
  <c r="AW12" i="21"/>
  <c r="AZ92" i="21"/>
  <c r="AD94" i="20" s="1"/>
  <c r="AC94" i="20"/>
  <c r="AH94" i="20" s="1"/>
  <c r="AV55" i="21"/>
  <c r="AW55" i="21" s="1"/>
  <c r="AP43" i="21"/>
  <c r="AQ43" i="21" s="1"/>
  <c r="AW36" i="21"/>
  <c r="AZ76" i="21"/>
  <c r="AD78" i="20" s="1"/>
  <c r="AC78" i="20"/>
  <c r="AH78" i="20" s="1"/>
  <c r="AG36" i="21"/>
  <c r="AH36" i="21" s="1"/>
  <c r="AG67" i="21"/>
  <c r="AH67" i="21" s="1"/>
  <c r="AZ10" i="21"/>
  <c r="AD12" i="20" s="1"/>
  <c r="AC12" i="20"/>
  <c r="AH12" i="20" s="1"/>
  <c r="AW94" i="21"/>
  <c r="AW25" i="21"/>
  <c r="AG94" i="21"/>
  <c r="AH94" i="21" s="1"/>
  <c r="N58" i="21"/>
  <c r="M59" i="21"/>
  <c r="AV67" i="21"/>
  <c r="AW67" i="21" s="1"/>
  <c r="AG55" i="21"/>
  <c r="AH55" i="21" s="1"/>
  <c r="AZ34" i="21"/>
  <c r="AD36" i="20" s="1"/>
  <c r="AC36" i="20"/>
  <c r="AH36" i="20" s="1"/>
  <c r="AJ94" i="21"/>
  <c r="AK94" i="21" s="1"/>
  <c r="AJ36" i="21"/>
  <c r="AK36" i="21" s="1"/>
  <c r="AK67" i="21"/>
  <c r="AJ55" i="21"/>
  <c r="AK55" i="21" s="1"/>
  <c r="AZ65" i="21"/>
  <c r="AD67" i="20" s="1"/>
  <c r="AC67" i="20"/>
  <c r="AH67" i="20" s="1"/>
  <c r="AN94" i="21"/>
  <c r="AN55" i="21"/>
  <c r="AZ21" i="21"/>
  <c r="AD23" i="20" s="1"/>
  <c r="AC23" i="20"/>
  <c r="AH23" i="20" s="1"/>
  <c r="AI26" i="21"/>
  <c r="AJ26" i="21" s="1"/>
  <c r="AF26" i="21"/>
  <c r="AG26" i="21" s="1"/>
  <c r="AU26" i="21"/>
  <c r="AR26" i="21"/>
  <c r="AS26" i="21" s="1"/>
  <c r="AE27" i="21"/>
  <c r="AO26" i="21"/>
  <c r="AP26" i="21" s="1"/>
  <c r="AL26" i="21"/>
  <c r="AM26" i="21" s="1"/>
  <c r="AH12" i="21"/>
  <c r="AY43" i="21" l="1"/>
  <c r="AZ43" i="21" s="1"/>
  <c r="AD45" i="20" s="1"/>
  <c r="AB55" i="20"/>
  <c r="T55" i="21"/>
  <c r="AY55" i="21"/>
  <c r="Z54" i="20"/>
  <c r="AF54" i="20" s="1"/>
  <c r="AA54" i="20"/>
  <c r="AG54" i="20" s="1"/>
  <c r="AY67" i="21"/>
  <c r="AZ55" i="21"/>
  <c r="AD57" i="20" s="1"/>
  <c r="AC57" i="20"/>
  <c r="AH57" i="20" s="1"/>
  <c r="AY94" i="21"/>
  <c r="AH95" i="21"/>
  <c r="AV44" i="21"/>
  <c r="AW44" i="21" s="1"/>
  <c r="AG44" i="21"/>
  <c r="AH44" i="21" s="1"/>
  <c r="AH26" i="21"/>
  <c r="AK13" i="21"/>
  <c r="AJ44" i="21"/>
  <c r="AK44" i="21" s="1"/>
  <c r="AZ11" i="21"/>
  <c r="AD13" i="20" s="1"/>
  <c r="AC13" i="20"/>
  <c r="AH13" i="20" s="1"/>
  <c r="AK95" i="21"/>
  <c r="AW37" i="21"/>
  <c r="AM44" i="21"/>
  <c r="AN44" i="21" s="1"/>
  <c r="AO27" i="21"/>
  <c r="AP27" i="21" s="1"/>
  <c r="AL27" i="21"/>
  <c r="AI27" i="21"/>
  <c r="AF27" i="21"/>
  <c r="AG27" i="21" s="1"/>
  <c r="AU27" i="21"/>
  <c r="AV27" i="21" s="1"/>
  <c r="AR27" i="21"/>
  <c r="AS27" i="21" s="1"/>
  <c r="AM13" i="21"/>
  <c r="AN13" i="21" s="1"/>
  <c r="AP44" i="21"/>
  <c r="AQ44" i="21" s="1"/>
  <c r="AH68" i="21"/>
  <c r="AH56" i="21"/>
  <c r="AK26" i="21"/>
  <c r="N59" i="21"/>
  <c r="Z60" i="20" s="1"/>
  <c r="AF60" i="20" s="1"/>
  <c r="M60" i="21"/>
  <c r="AQ13" i="21"/>
  <c r="AX46" i="21"/>
  <c r="AF45" i="21"/>
  <c r="AR45" i="21"/>
  <c r="AU45" i="21"/>
  <c r="AO45" i="21"/>
  <c r="AL45" i="21"/>
  <c r="AI45" i="21"/>
  <c r="AV68" i="21"/>
  <c r="AW68" i="21" s="1"/>
  <c r="AM95" i="21"/>
  <c r="AN95" i="21" s="1"/>
  <c r="AG37" i="21"/>
  <c r="AH37" i="21" s="1"/>
  <c r="AV56" i="21"/>
  <c r="AW56" i="21" s="1"/>
  <c r="AY25" i="21"/>
  <c r="AV26" i="21"/>
  <c r="AW26" i="21" s="1"/>
  <c r="AY36" i="21"/>
  <c r="Q79" i="21"/>
  <c r="P80" i="21"/>
  <c r="AT13" i="21"/>
  <c r="AK68" i="21"/>
  <c r="AP95" i="21"/>
  <c r="AQ95" i="21" s="1"/>
  <c r="AJ37" i="21"/>
  <c r="AK37" i="21" s="1"/>
  <c r="AK56" i="21"/>
  <c r="AI14" i="21"/>
  <c r="AJ14" i="21" s="1"/>
  <c r="AF14" i="21"/>
  <c r="AU14" i="21"/>
  <c r="AV14" i="21" s="1"/>
  <c r="AE15" i="21"/>
  <c r="AR14" i="21"/>
  <c r="AS14" i="21" s="1"/>
  <c r="AO14" i="21"/>
  <c r="AL14" i="21"/>
  <c r="AM14" i="21" s="1"/>
  <c r="AM37" i="21"/>
  <c r="AN37" i="21" s="1"/>
  <c r="AF96" i="21"/>
  <c r="AG96" i="21" s="1"/>
  <c r="AU96" i="21"/>
  <c r="AV96" i="21" s="1"/>
  <c r="AR96" i="21"/>
  <c r="AS96" i="21" s="1"/>
  <c r="AE97" i="21"/>
  <c r="AO96" i="21"/>
  <c r="AP96" i="21" s="1"/>
  <c r="AL96" i="21"/>
  <c r="AM96" i="21" s="1"/>
  <c r="AI96" i="21"/>
  <c r="AJ96" i="21" s="1"/>
  <c r="AY12" i="21"/>
  <c r="AZ93" i="21"/>
  <c r="AD95" i="20" s="1"/>
  <c r="AC95" i="20"/>
  <c r="AH95" i="20" s="1"/>
  <c r="AN26" i="21"/>
  <c r="AW13" i="21"/>
  <c r="AM68" i="21"/>
  <c r="AN68" i="21" s="1"/>
  <c r="AQ37" i="21"/>
  <c r="AM56" i="21"/>
  <c r="AN56" i="21" s="1"/>
  <c r="N77" i="21"/>
  <c r="M78" i="21"/>
  <c r="AH13" i="21"/>
  <c r="AQ26" i="21"/>
  <c r="AZ66" i="21"/>
  <c r="AD68" i="20" s="1"/>
  <c r="AC68" i="20"/>
  <c r="AH68" i="20" s="1"/>
  <c r="AP68" i="21"/>
  <c r="AQ68" i="21" s="1"/>
  <c r="AT95" i="21"/>
  <c r="AT37" i="21"/>
  <c r="AP56" i="21"/>
  <c r="AQ56" i="21" s="1"/>
  <c r="AB69" i="20"/>
  <c r="T69" i="21"/>
  <c r="AT68" i="21"/>
  <c r="AI57" i="21"/>
  <c r="AF57" i="21"/>
  <c r="AU57" i="21"/>
  <c r="AR57" i="21"/>
  <c r="AS57" i="21" s="1"/>
  <c r="AO57" i="21"/>
  <c r="AL57" i="21"/>
  <c r="AA68" i="20"/>
  <c r="AG68" i="20" s="1"/>
  <c r="Z68" i="20"/>
  <c r="AF68" i="20" s="1"/>
  <c r="AW95" i="21"/>
  <c r="AZ54" i="21"/>
  <c r="AD56" i="20" s="1"/>
  <c r="AC56" i="20"/>
  <c r="AH56" i="20" s="1"/>
  <c r="AZ84" i="21"/>
  <c r="AD86" i="20" s="1"/>
  <c r="AC86" i="20"/>
  <c r="AH86" i="20" s="1"/>
  <c r="AT26" i="21"/>
  <c r="AS44" i="21"/>
  <c r="AT44" i="21" s="1"/>
  <c r="AZ24" i="21"/>
  <c r="AD26" i="20" s="1"/>
  <c r="AC26" i="20"/>
  <c r="AH26" i="20" s="1"/>
  <c r="AS56" i="21"/>
  <c r="AT56" i="21" s="1"/>
  <c r="AZ42" i="21"/>
  <c r="AD44" i="20" s="1"/>
  <c r="AC44" i="20"/>
  <c r="AH44" i="20" s="1"/>
  <c r="AC45" i="20" l="1"/>
  <c r="AH45" i="20" s="1"/>
  <c r="AB56" i="20"/>
  <c r="T56" i="21"/>
  <c r="AA55" i="20"/>
  <c r="AG55" i="20" s="1"/>
  <c r="Z55" i="20"/>
  <c r="AF55" i="20" s="1"/>
  <c r="AY44" i="21"/>
  <c r="AP14" i="21"/>
  <c r="AQ14" i="21" s="1"/>
  <c r="AR46" i="21"/>
  <c r="AO46" i="21"/>
  <c r="AL46" i="21"/>
  <c r="AI46" i="21"/>
  <c r="AF46" i="21"/>
  <c r="AU46" i="21"/>
  <c r="AX47" i="21"/>
  <c r="AH27" i="21"/>
  <c r="AQ96" i="21"/>
  <c r="AT14" i="21"/>
  <c r="AL15" i="21"/>
  <c r="AM15" i="21" s="1"/>
  <c r="AI15" i="21"/>
  <c r="AJ15" i="21" s="1"/>
  <c r="AF15" i="21"/>
  <c r="AU15" i="21"/>
  <c r="AV15" i="21" s="1"/>
  <c r="AR15" i="21"/>
  <c r="AO15" i="21"/>
  <c r="AP15" i="21" s="1"/>
  <c r="AZ36" i="21"/>
  <c r="AD38" i="20" s="1"/>
  <c r="AC38" i="20"/>
  <c r="AH38" i="20" s="1"/>
  <c r="N60" i="21"/>
  <c r="Z61" i="20" s="1"/>
  <c r="AF61" i="20" s="1"/>
  <c r="M61" i="21"/>
  <c r="AA69" i="20"/>
  <c r="AG69" i="20" s="1"/>
  <c r="Z69" i="20"/>
  <c r="AF69" i="20" s="1"/>
  <c r="AY26" i="21"/>
  <c r="AZ25" i="21"/>
  <c r="AD27" i="20" s="1"/>
  <c r="AC27" i="20"/>
  <c r="AH27" i="20" s="1"/>
  <c r="AJ27" i="21"/>
  <c r="AK27" i="21" s="1"/>
  <c r="AI97" i="21"/>
  <c r="AF97" i="21"/>
  <c r="AU97" i="21"/>
  <c r="AV97" i="21" s="1"/>
  <c r="AR97" i="21"/>
  <c r="AE98" i="21"/>
  <c r="AO97" i="21"/>
  <c r="AL97" i="21"/>
  <c r="AT96" i="21"/>
  <c r="AY56" i="21"/>
  <c r="AM57" i="21"/>
  <c r="AN57" i="21" s="1"/>
  <c r="AW96" i="21"/>
  <c r="AY68" i="21"/>
  <c r="AM27" i="21"/>
  <c r="AN27" i="21" s="1"/>
  <c r="AW14" i="21"/>
  <c r="AG14" i="21"/>
  <c r="AH14" i="21" s="1"/>
  <c r="AQ27" i="21"/>
  <c r="AB70" i="20"/>
  <c r="T70" i="21"/>
  <c r="AH96" i="21"/>
  <c r="AP57" i="21"/>
  <c r="AQ57" i="21" s="1"/>
  <c r="AK14" i="21"/>
  <c r="AT57" i="21"/>
  <c r="AJ45" i="21"/>
  <c r="AK45" i="21" s="1"/>
  <c r="AY37" i="21"/>
  <c r="AY95" i="21"/>
  <c r="AM45" i="21"/>
  <c r="AN45" i="21" s="1"/>
  <c r="AZ94" i="21"/>
  <c r="AD96" i="20" s="1"/>
  <c r="AC96" i="20"/>
  <c r="AH96" i="20" s="1"/>
  <c r="AP45" i="21"/>
  <c r="AQ45" i="21" s="1"/>
  <c r="AV57" i="21"/>
  <c r="AW57" i="21" s="1"/>
  <c r="AY13" i="21"/>
  <c r="AK96" i="21"/>
  <c r="AV45" i="21"/>
  <c r="AW45" i="21" s="1"/>
  <c r="AT27" i="21"/>
  <c r="N78" i="21"/>
  <c r="M79" i="21"/>
  <c r="AN14" i="21"/>
  <c r="AS45" i="21"/>
  <c r="AT45" i="21" s="1"/>
  <c r="AZ67" i="21"/>
  <c r="AD69" i="20" s="1"/>
  <c r="AC69" i="20"/>
  <c r="AH69" i="20" s="1"/>
  <c r="AG57" i="21"/>
  <c r="AH57" i="21" s="1"/>
  <c r="AN96" i="21"/>
  <c r="AW27" i="21"/>
  <c r="AZ12" i="21"/>
  <c r="AD14" i="20" s="1"/>
  <c r="AC14" i="20"/>
  <c r="AH14" i="20" s="1"/>
  <c r="Q80" i="21"/>
  <c r="P81" i="21"/>
  <c r="AG45" i="21"/>
  <c r="AH45" i="21" s="1"/>
  <c r="AJ57" i="21"/>
  <c r="AK57" i="21" s="1"/>
  <c r="AY14" i="21" l="1"/>
  <c r="AY57" i="21"/>
  <c r="AZ57" i="21" s="1"/>
  <c r="AD59" i="20" s="1"/>
  <c r="AB57" i="20"/>
  <c r="T57" i="21"/>
  <c r="Z56" i="20"/>
  <c r="AF56" i="20" s="1"/>
  <c r="AA56" i="20"/>
  <c r="AG56" i="20" s="1"/>
  <c r="AC59" i="20"/>
  <c r="AH59" i="20" s="1"/>
  <c r="AZ14" i="21"/>
  <c r="AD16" i="20" s="1"/>
  <c r="AC16" i="20"/>
  <c r="AH16" i="20" s="1"/>
  <c r="AB71" i="20"/>
  <c r="T71" i="21"/>
  <c r="AE99" i="21"/>
  <c r="AO98" i="21"/>
  <c r="AP98" i="21" s="1"/>
  <c r="AL98" i="21"/>
  <c r="AM98" i="21" s="1"/>
  <c r="AI98" i="21"/>
  <c r="AF98" i="21"/>
  <c r="AG98" i="21" s="1"/>
  <c r="AU98" i="21"/>
  <c r="AV98" i="21" s="1"/>
  <c r="AR98" i="21"/>
  <c r="AS97" i="21"/>
  <c r="AT97" i="21" s="1"/>
  <c r="AZ44" i="21"/>
  <c r="AD46" i="20" s="1"/>
  <c r="AC46" i="20"/>
  <c r="AH46" i="20" s="1"/>
  <c r="AW97" i="21"/>
  <c r="N61" i="21"/>
  <c r="Z62" i="20" s="1"/>
  <c r="AF62" i="20" s="1"/>
  <c r="M62" i="21"/>
  <c r="AY27" i="21"/>
  <c r="AZ68" i="21"/>
  <c r="AD70" i="20" s="1"/>
  <c r="AC70" i="20"/>
  <c r="AH70" i="20" s="1"/>
  <c r="AF47" i="21"/>
  <c r="AX48" i="21"/>
  <c r="AR47" i="21"/>
  <c r="AO47" i="21"/>
  <c r="AL47" i="21"/>
  <c r="AI47" i="21"/>
  <c r="AU47" i="21"/>
  <c r="AZ95" i="21"/>
  <c r="AD97" i="20" s="1"/>
  <c r="AC97" i="20"/>
  <c r="AH97" i="20" s="1"/>
  <c r="AV46" i="21"/>
  <c r="AW46" i="21" s="1"/>
  <c r="AZ37" i="21"/>
  <c r="AD39" i="20" s="1"/>
  <c r="AC39" i="20"/>
  <c r="AH39" i="20" s="1"/>
  <c r="AJ97" i="21"/>
  <c r="AK97" i="21" s="1"/>
  <c r="AQ15" i="21"/>
  <c r="AG46" i="21"/>
  <c r="AH46" i="21" s="1"/>
  <c r="AG97" i="21"/>
  <c r="AH97" i="21" s="1"/>
  <c r="M80" i="21"/>
  <c r="N79" i="21"/>
  <c r="AY45" i="21"/>
  <c r="AZ56" i="21"/>
  <c r="AD58" i="20" s="1"/>
  <c r="AC58" i="20"/>
  <c r="AH58" i="20" s="1"/>
  <c r="AJ46" i="21"/>
  <c r="AK46" i="21" s="1"/>
  <c r="Q81" i="21"/>
  <c r="P82" i="21"/>
  <c r="AS15" i="21"/>
  <c r="AT15" i="21" s="1"/>
  <c r="AM46" i="21"/>
  <c r="AN46" i="21" s="1"/>
  <c r="AP46" i="21"/>
  <c r="AQ46" i="21" s="1"/>
  <c r="AS46" i="21"/>
  <c r="AT46" i="21" s="1"/>
  <c r="AM97" i="21"/>
  <c r="AN97" i="21" s="1"/>
  <c r="AY96" i="21"/>
  <c r="AG15" i="21"/>
  <c r="AH15" i="21" s="1"/>
  <c r="AP97" i="21"/>
  <c r="AQ97" i="21" s="1"/>
  <c r="AZ26" i="21"/>
  <c r="AD28" i="20" s="1"/>
  <c r="AC28" i="20"/>
  <c r="AH28" i="20" s="1"/>
  <c r="AK15" i="21"/>
  <c r="AW15" i="21"/>
  <c r="AN15" i="21"/>
  <c r="AZ13" i="21"/>
  <c r="AD15" i="20" s="1"/>
  <c r="AC15" i="20"/>
  <c r="AH15" i="20" s="1"/>
  <c r="Z70" i="20"/>
  <c r="AF70" i="20" s="1"/>
  <c r="AA70" i="20"/>
  <c r="AG70" i="20" s="1"/>
  <c r="AB58" i="20" l="1"/>
  <c r="T58" i="21"/>
  <c r="AB59" i="20" s="1"/>
  <c r="AA57" i="20"/>
  <c r="AG57" i="20" s="1"/>
  <c r="Z57" i="20"/>
  <c r="AF57" i="20" s="1"/>
  <c r="AY15" i="21"/>
  <c r="AY97" i="21"/>
  <c r="AV47" i="21"/>
  <c r="AW47" i="21" s="1"/>
  <c r="AU99" i="21"/>
  <c r="AV99" i="21" s="1"/>
  <c r="AR99" i="21"/>
  <c r="AE100" i="21"/>
  <c r="AO99" i="21"/>
  <c r="AL99" i="21"/>
  <c r="AI99" i="21"/>
  <c r="AF99" i="21"/>
  <c r="AG99" i="21" s="1"/>
  <c r="AG47" i="21"/>
  <c r="AH47" i="21" s="1"/>
  <c r="AW98" i="21"/>
  <c r="AH98" i="21"/>
  <c r="Q82" i="21"/>
  <c r="P83" i="21"/>
  <c r="AZ27" i="21"/>
  <c r="AD29" i="20" s="1"/>
  <c r="AC29" i="20"/>
  <c r="AH29" i="20" s="1"/>
  <c r="AJ98" i="21"/>
  <c r="AK98" i="21" s="1"/>
  <c r="AN98" i="21"/>
  <c r="N62" i="21"/>
  <c r="Z63" i="20" s="1"/>
  <c r="AF63" i="20" s="1"/>
  <c r="M63" i="21"/>
  <c r="AQ98" i="21"/>
  <c r="AZ96" i="21"/>
  <c r="AD98" i="20" s="1"/>
  <c r="AC98" i="20"/>
  <c r="AH98" i="20" s="1"/>
  <c r="AZ45" i="21"/>
  <c r="AD47" i="20" s="1"/>
  <c r="AC47" i="20"/>
  <c r="AH47" i="20" s="1"/>
  <c r="AJ47" i="21"/>
  <c r="AK47" i="21" s="1"/>
  <c r="AB72" i="20"/>
  <c r="T72" i="21"/>
  <c r="AM47" i="21"/>
  <c r="AN47" i="21" s="1"/>
  <c r="AA71" i="20"/>
  <c r="AG71" i="20" s="1"/>
  <c r="Z71" i="20"/>
  <c r="AF71" i="20" s="1"/>
  <c r="N80" i="21"/>
  <c r="M81" i="21"/>
  <c r="AP47" i="21"/>
  <c r="AQ47" i="21" s="1"/>
  <c r="AS47" i="21"/>
  <c r="AT47" i="21" s="1"/>
  <c r="AI48" i="21"/>
  <c r="AX49" i="21"/>
  <c r="AR48" i="21"/>
  <c r="AO48" i="21"/>
  <c r="AL48" i="21"/>
  <c r="AU48" i="21"/>
  <c r="AF48" i="21"/>
  <c r="AS98" i="21"/>
  <c r="AT98" i="21" s="1"/>
  <c r="AY46" i="21"/>
  <c r="AA59" i="20" l="1"/>
  <c r="AG59" i="20" s="1"/>
  <c r="Z59" i="20"/>
  <c r="AF59" i="20" s="1"/>
  <c r="Z58" i="20"/>
  <c r="AF58" i="20" s="1"/>
  <c r="AA58" i="20"/>
  <c r="AG58" i="20" s="1"/>
  <c r="AY47" i="21"/>
  <c r="AH99" i="21"/>
  <c r="AZ15" i="21"/>
  <c r="AD17" i="20" s="1"/>
  <c r="AC17" i="20"/>
  <c r="AH17" i="20" s="1"/>
  <c r="AJ48" i="21"/>
  <c r="AK48" i="21" s="1"/>
  <c r="AZ97" i="21"/>
  <c r="AD99" i="20" s="1"/>
  <c r="AC99" i="20"/>
  <c r="AH99" i="20" s="1"/>
  <c r="N63" i="21"/>
  <c r="Z64" i="20" s="1"/>
  <c r="AF64" i="20" s="1"/>
  <c r="M64" i="21"/>
  <c r="N81" i="21"/>
  <c r="M82" i="21"/>
  <c r="AJ99" i="21"/>
  <c r="AK99" i="21" s="1"/>
  <c r="AZ46" i="21"/>
  <c r="AD48" i="20" s="1"/>
  <c r="AC48" i="20"/>
  <c r="AH48" i="20" s="1"/>
  <c r="AM99" i="21"/>
  <c r="AN99" i="21" s="1"/>
  <c r="AG48" i="21"/>
  <c r="AH48" i="21" s="1"/>
  <c r="AP99" i="21"/>
  <c r="AQ99" i="21" s="1"/>
  <c r="AV48" i="21"/>
  <c r="AW48" i="21" s="1"/>
  <c r="AI100" i="21"/>
  <c r="AJ100" i="21" s="1"/>
  <c r="AF100" i="21"/>
  <c r="AG100" i="21" s="1"/>
  <c r="AU100" i="21"/>
  <c r="AR100" i="21"/>
  <c r="AS100" i="21" s="1"/>
  <c r="AE101" i="21"/>
  <c r="AO100" i="21"/>
  <c r="AL100" i="21"/>
  <c r="AM48" i="21"/>
  <c r="AN48" i="21" s="1"/>
  <c r="AB73" i="20"/>
  <c r="T73" i="21"/>
  <c r="Q83" i="21"/>
  <c r="P84" i="21"/>
  <c r="AP48" i="21"/>
  <c r="AQ48" i="21" s="1"/>
  <c r="AA72" i="20"/>
  <c r="AG72" i="20" s="1"/>
  <c r="Z72" i="20"/>
  <c r="AF72" i="20" s="1"/>
  <c r="AS99" i="21"/>
  <c r="AT99" i="21" s="1"/>
  <c r="AS48" i="21"/>
  <c r="AT48" i="21" s="1"/>
  <c r="AY98" i="21"/>
  <c r="AW99" i="21"/>
  <c r="AX50" i="21"/>
  <c r="AR49" i="21"/>
  <c r="AU49" i="21"/>
  <c r="AO49" i="21"/>
  <c r="AI49" i="21"/>
  <c r="AL49" i="21"/>
  <c r="AF49" i="21"/>
  <c r="AY48" i="21" l="1"/>
  <c r="AZ48" i="21" s="1"/>
  <c r="AD50" i="20" s="1"/>
  <c r="AC50" i="20"/>
  <c r="AH50" i="20" s="1"/>
  <c r="AT100" i="21"/>
  <c r="AV49" i="21"/>
  <c r="AW49" i="21" s="1"/>
  <c r="AG49" i="21"/>
  <c r="AH49" i="21" s="1"/>
  <c r="AS49" i="21"/>
  <c r="AT49" i="21" s="1"/>
  <c r="M83" i="21"/>
  <c r="N82" i="21"/>
  <c r="AV100" i="21"/>
  <c r="AW100" i="21" s="1"/>
  <c r="AM49" i="21"/>
  <c r="AN49" i="21" s="1"/>
  <c r="Q84" i="21"/>
  <c r="P85" i="21"/>
  <c r="AJ49" i="21"/>
  <c r="AK49" i="21" s="1"/>
  <c r="AK100" i="21"/>
  <c r="N64" i="21"/>
  <c r="Z65" i="20" s="1"/>
  <c r="AF65" i="20" s="1"/>
  <c r="M65" i="21"/>
  <c r="AH100" i="21"/>
  <c r="AP49" i="21"/>
  <c r="AQ49" i="21" s="1"/>
  <c r="AB74" i="20"/>
  <c r="T74" i="21"/>
  <c r="AA73" i="20"/>
  <c r="AG73" i="20" s="1"/>
  <c r="Z73" i="20"/>
  <c r="AF73" i="20" s="1"/>
  <c r="AX51" i="21"/>
  <c r="AU50" i="21"/>
  <c r="AF50" i="21"/>
  <c r="AO50" i="21"/>
  <c r="AR50" i="21"/>
  <c r="AL50" i="21"/>
  <c r="AI50" i="21"/>
  <c r="AZ98" i="21"/>
  <c r="AD100" i="20" s="1"/>
  <c r="AC100" i="20"/>
  <c r="AH100" i="20" s="1"/>
  <c r="AM100" i="21"/>
  <c r="AN100" i="21" s="1"/>
  <c r="AP100" i="21"/>
  <c r="AQ100" i="21" s="1"/>
  <c r="AY99" i="21"/>
  <c r="AO101" i="21"/>
  <c r="AL101" i="21"/>
  <c r="AM101" i="21" s="1"/>
  <c r="AI101" i="21"/>
  <c r="AF101" i="21"/>
  <c r="AG101" i="21" s="1"/>
  <c r="AU101" i="21"/>
  <c r="AV101" i="21" s="1"/>
  <c r="AR101" i="21"/>
  <c r="AZ47" i="21"/>
  <c r="AD49" i="20" s="1"/>
  <c r="AC49" i="20"/>
  <c r="AH49" i="20" s="1"/>
  <c r="AS50" i="21" l="1"/>
  <c r="AT50" i="21" s="1"/>
  <c r="AP50" i="21"/>
  <c r="AQ50" i="21" s="1"/>
  <c r="Q85" i="21"/>
  <c r="P86" i="21"/>
  <c r="AG50" i="21"/>
  <c r="AH50" i="21" s="1"/>
  <c r="AJ101" i="21"/>
  <c r="AK101" i="21" s="1"/>
  <c r="AV50" i="21"/>
  <c r="AW50" i="21" s="1"/>
  <c r="N83" i="21"/>
  <c r="M84" i="21"/>
  <c r="AB75" i="20"/>
  <c r="T75" i="21"/>
  <c r="AA74" i="20"/>
  <c r="AG74" i="20" s="1"/>
  <c r="Z74" i="20"/>
  <c r="AF74" i="20" s="1"/>
  <c r="AZ99" i="21"/>
  <c r="AD101" i="20" s="1"/>
  <c r="AC101" i="20"/>
  <c r="AH101" i="20" s="1"/>
  <c r="AP101" i="21"/>
  <c r="AQ101" i="21" s="1"/>
  <c r="AY100" i="21"/>
  <c r="AL51" i="21"/>
  <c r="AI51" i="21"/>
  <c r="AF51" i="21"/>
  <c r="AU51" i="21"/>
  <c r="AR51" i="21"/>
  <c r="AO51" i="21"/>
  <c r="AN101" i="21"/>
  <c r="N65" i="21"/>
  <c r="Z66" i="20" s="1"/>
  <c r="AF66" i="20" s="1"/>
  <c r="M66" i="21"/>
  <c r="N66" i="21" s="1"/>
  <c r="Z67" i="20" s="1"/>
  <c r="AF67" i="20" s="1"/>
  <c r="AY49" i="21"/>
  <c r="AS101" i="21"/>
  <c r="AT101" i="21" s="1"/>
  <c r="AW101" i="21"/>
  <c r="AJ50" i="21"/>
  <c r="AK50" i="21" s="1"/>
  <c r="AH101" i="21"/>
  <c r="AM50" i="21"/>
  <c r="AN50" i="21" s="1"/>
  <c r="AA75" i="20" l="1"/>
  <c r="AG75" i="20" s="1"/>
  <c r="Z75" i="20"/>
  <c r="AF75" i="20" s="1"/>
  <c r="N84" i="21"/>
  <c r="M85" i="21"/>
  <c r="AP51" i="21"/>
  <c r="AQ51" i="21" s="1"/>
  <c r="AS51" i="21"/>
  <c r="AT51" i="21" s="1"/>
  <c r="AV51" i="21"/>
  <c r="AW51" i="21" s="1"/>
  <c r="AB76" i="20"/>
  <c r="T76" i="21"/>
  <c r="AJ51" i="21"/>
  <c r="AK51" i="21" s="1"/>
  <c r="AG51" i="21"/>
  <c r="AH51" i="21" s="1"/>
  <c r="AY50" i="21"/>
  <c r="AY101" i="21"/>
  <c r="AZ100" i="21"/>
  <c r="AD102" i="20" s="1"/>
  <c r="AC102" i="20"/>
  <c r="AH102" i="20" s="1"/>
  <c r="AZ49" i="21"/>
  <c r="AD51" i="20" s="1"/>
  <c r="AC51" i="20"/>
  <c r="AH51" i="20" s="1"/>
  <c r="AM51" i="21"/>
  <c r="AN51" i="21" s="1"/>
  <c r="Q86" i="21"/>
  <c r="P87" i="21"/>
  <c r="AZ101" i="21" l="1"/>
  <c r="AD103" i="20" s="1"/>
  <c r="AC103" i="20"/>
  <c r="AH103" i="20" s="1"/>
  <c r="M86" i="21"/>
  <c r="N85" i="21"/>
  <c r="AY51" i="21"/>
  <c r="AA76" i="20"/>
  <c r="AG76" i="20" s="1"/>
  <c r="Z76" i="20"/>
  <c r="AF76" i="20" s="1"/>
  <c r="AZ50" i="21"/>
  <c r="AD52" i="20" s="1"/>
  <c r="AC52" i="20"/>
  <c r="AH52" i="20" s="1"/>
  <c r="Q87" i="21"/>
  <c r="P88" i="21"/>
  <c r="AB77" i="20"/>
  <c r="T77" i="21"/>
  <c r="AZ51" i="21" l="1"/>
  <c r="AD53" i="20" s="1"/>
  <c r="AC53" i="20"/>
  <c r="AH53" i="20" s="1"/>
  <c r="Q88" i="21"/>
  <c r="P89" i="21"/>
  <c r="N86" i="21"/>
  <c r="M87" i="21"/>
  <c r="AB78" i="20"/>
  <c r="T78" i="21"/>
  <c r="AA77" i="20"/>
  <c r="AG77" i="20" s="1"/>
  <c r="Z77" i="20"/>
  <c r="AF77" i="20" s="1"/>
  <c r="Z78" i="20" l="1"/>
  <c r="AF78" i="20" s="1"/>
  <c r="AA78" i="20"/>
  <c r="AG78" i="20" s="1"/>
  <c r="AB79" i="20"/>
  <c r="T79" i="21"/>
  <c r="N87" i="21"/>
  <c r="M88" i="21"/>
  <c r="Q89" i="21"/>
  <c r="P90" i="21"/>
  <c r="AA79" i="20" l="1"/>
  <c r="AG79" i="20" s="1"/>
  <c r="Z79" i="20"/>
  <c r="AF79" i="20" s="1"/>
  <c r="Q90" i="21"/>
  <c r="P91" i="21"/>
  <c r="M89" i="21"/>
  <c r="N88" i="21"/>
  <c r="AB80" i="20"/>
  <c r="T80" i="21"/>
  <c r="AB81" i="20" l="1"/>
  <c r="T81" i="21"/>
  <c r="AA80" i="20"/>
  <c r="AG80" i="20" s="1"/>
  <c r="Z80" i="20"/>
  <c r="AF80" i="20" s="1"/>
  <c r="N89" i="21"/>
  <c r="M90" i="21"/>
  <c r="Q91" i="21"/>
  <c r="P92" i="21"/>
  <c r="N90" i="21" l="1"/>
  <c r="M91" i="21"/>
  <c r="AA81" i="20"/>
  <c r="AG81" i="20" s="1"/>
  <c r="Z81" i="20"/>
  <c r="AF81" i="20" s="1"/>
  <c r="AB82" i="20"/>
  <c r="T82" i="21"/>
  <c r="Q92" i="21"/>
  <c r="P93" i="21"/>
  <c r="Q93" i="21" l="1"/>
  <c r="P94" i="21"/>
  <c r="AA82" i="20"/>
  <c r="AG82" i="20" s="1"/>
  <c r="Z82" i="20"/>
  <c r="AF82" i="20" s="1"/>
  <c r="AB83" i="20"/>
  <c r="T83" i="21"/>
  <c r="M92" i="21"/>
  <c r="N91" i="21"/>
  <c r="AA83" i="20" l="1"/>
  <c r="AG83" i="20" s="1"/>
  <c r="Z83" i="20"/>
  <c r="AF83" i="20" s="1"/>
  <c r="Q94" i="21"/>
  <c r="P95" i="21"/>
  <c r="N92" i="21"/>
  <c r="M93" i="21"/>
  <c r="AB84" i="20"/>
  <c r="T84" i="21"/>
  <c r="AB85" i="20" l="1"/>
  <c r="T85" i="21"/>
  <c r="AA84" i="20"/>
  <c r="AG84" i="20" s="1"/>
  <c r="Z84" i="20"/>
  <c r="AF84" i="20" s="1"/>
  <c r="N93" i="21"/>
  <c r="M94" i="21"/>
  <c r="Q95" i="21"/>
  <c r="P96" i="21"/>
  <c r="M95" i="21" l="1"/>
  <c r="N94" i="21"/>
  <c r="AB86" i="20"/>
  <c r="T86" i="21"/>
  <c r="AA85" i="20"/>
  <c r="AG85" i="20" s="1"/>
  <c r="Z85" i="20"/>
  <c r="AF85" i="20" s="1"/>
  <c r="Q96" i="21"/>
  <c r="P97" i="21"/>
  <c r="N95" i="21" l="1"/>
  <c r="M96" i="21"/>
  <c r="Q97" i="21"/>
  <c r="P98" i="21"/>
  <c r="AB87" i="20"/>
  <c r="T87" i="21"/>
  <c r="Z86" i="20"/>
  <c r="AF86" i="20" s="1"/>
  <c r="AA86" i="20"/>
  <c r="AG86" i="20" s="1"/>
  <c r="AB88" i="20" l="1"/>
  <c r="T88" i="21"/>
  <c r="N96" i="21"/>
  <c r="M97" i="21"/>
  <c r="AA87" i="20"/>
  <c r="AG87" i="20" s="1"/>
  <c r="Z87" i="20"/>
  <c r="AF87" i="20" s="1"/>
  <c r="Q98" i="21"/>
  <c r="P99" i="21"/>
  <c r="Q99" i="21" l="1"/>
  <c r="P100" i="21"/>
  <c r="AA88" i="20"/>
  <c r="AG88" i="20" s="1"/>
  <c r="Z88" i="20"/>
  <c r="AF88" i="20" s="1"/>
  <c r="AB89" i="20"/>
  <c r="T89" i="21"/>
  <c r="M98" i="21"/>
  <c r="N97" i="21"/>
  <c r="AA89" i="20" l="1"/>
  <c r="AG89" i="20" s="1"/>
  <c r="Z89" i="20"/>
  <c r="AF89" i="20" s="1"/>
  <c r="Q100" i="21"/>
  <c r="P101" i="21"/>
  <c r="M99" i="21"/>
  <c r="N98" i="21"/>
  <c r="AB90" i="20"/>
  <c r="T90" i="21"/>
  <c r="AB91" i="20" l="1"/>
  <c r="T91" i="21"/>
  <c r="AA90" i="20"/>
  <c r="AG90" i="20" s="1"/>
  <c r="Z90" i="20"/>
  <c r="AF90" i="20" s="1"/>
  <c r="N99" i="21"/>
  <c r="M100" i="21"/>
  <c r="Q101" i="21"/>
  <c r="P102" i="21"/>
  <c r="Q102" i="21" s="1"/>
  <c r="N100" i="21" l="1"/>
  <c r="M101" i="21"/>
  <c r="AA91" i="20"/>
  <c r="AG91" i="20" s="1"/>
  <c r="Z91" i="20"/>
  <c r="AF91" i="20" s="1"/>
  <c r="AB92" i="20"/>
  <c r="T92" i="21"/>
  <c r="AB93" i="20" l="1"/>
  <c r="T93" i="21"/>
  <c r="M102" i="21"/>
  <c r="N102" i="21" s="1"/>
  <c r="N101" i="21"/>
  <c r="AA92" i="20"/>
  <c r="AG92" i="20" s="1"/>
  <c r="Z92" i="20"/>
  <c r="AF92" i="20" s="1"/>
  <c r="AA93" i="20" l="1"/>
  <c r="AG93" i="20" s="1"/>
  <c r="Z93" i="20"/>
  <c r="AF93" i="20" s="1"/>
  <c r="AB94" i="20"/>
  <c r="T94" i="21"/>
  <c r="Z94" i="20" l="1"/>
  <c r="AF94" i="20" s="1"/>
  <c r="AA94" i="20"/>
  <c r="AG94" i="20" s="1"/>
  <c r="AB95" i="20"/>
  <c r="T95" i="21"/>
  <c r="AA95" i="20" l="1"/>
  <c r="AG95" i="20" s="1"/>
  <c r="Z95" i="20"/>
  <c r="AF95" i="20" s="1"/>
  <c r="AB96" i="20"/>
  <c r="T96" i="21"/>
  <c r="AA96" i="20" l="1"/>
  <c r="AG96" i="20" s="1"/>
  <c r="Z96" i="20"/>
  <c r="AF96" i="20" s="1"/>
  <c r="AB97" i="20"/>
  <c r="T97" i="21"/>
  <c r="AA97" i="20" l="1"/>
  <c r="AG97" i="20" s="1"/>
  <c r="Z97" i="20"/>
  <c r="AF97" i="20" s="1"/>
  <c r="AB98" i="20"/>
  <c r="T98" i="21"/>
  <c r="AA98" i="20" l="1"/>
  <c r="AG98" i="20" s="1"/>
  <c r="Z98" i="20"/>
  <c r="AF98" i="20" s="1"/>
  <c r="AB99" i="20"/>
  <c r="T99" i="21"/>
  <c r="AB100" i="20" l="1"/>
  <c r="T100" i="21"/>
  <c r="AA99" i="20"/>
  <c r="AG99" i="20" s="1"/>
  <c r="Z99" i="20"/>
  <c r="AF99" i="20" s="1"/>
  <c r="AB101" i="20" l="1"/>
  <c r="T101" i="21"/>
  <c r="AA100" i="20"/>
  <c r="AG100" i="20" s="1"/>
  <c r="Z100" i="20"/>
  <c r="AF100" i="20" s="1"/>
  <c r="AA101" i="20" l="1"/>
  <c r="AG101" i="20" s="1"/>
  <c r="Z101" i="20"/>
  <c r="AF101" i="20" s="1"/>
  <c r="AB102" i="20"/>
  <c r="T102" i="21"/>
  <c r="AB103" i="20" s="1"/>
  <c r="Z102" i="20" l="1"/>
  <c r="AF102" i="20" s="1"/>
  <c r="AA102" i="20"/>
  <c r="AG102" i="20" s="1"/>
  <c r="AA103" i="20"/>
  <c r="AG103" i="20" s="1"/>
  <c r="Z103" i="20"/>
  <c r="AF10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A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体型超过200，怪物寻路不会绕开其他怪物（全局表7015字段控制）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2" background="1" saveData="1">
    <webPr xml="1" sourceData="1" parsePre="1" consecutive="1" xl2000="1" url="C:\Users\林树贤\Desktop\1.xml" htmlTables="1"/>
  </connection>
  <connection id="2" xr16:uid="{00000000-0015-0000-FFFF-FFFF01000000}" name="ITEM" type="4" refreshedVersion="2" background="1" saveData="1">
    <webPr xml="1" sourceData="1" parsePre="1" consecutive="1" xl2000="1" url="C:\Users\林树贤\Desktop\ITEM.xml" htmlTables="1"/>
  </connection>
  <connection id="3" xr16:uid="{00000000-0015-0000-FFFF-FFFF02000000}" name="ITEM1" type="4" refreshedVersion="2" background="1" saveData="1">
    <webPr xml="1" sourceData="1" parsePre="1" consecutive="1" xl2000="1" url="C:\Users\林树贤\Desktop\ITEM.xml" htmlTables="1"/>
  </connection>
  <connection id="4" xr16:uid="{00000000-0015-0000-FFFF-FFFF03000000}" name="ITEM10" type="4" refreshedVersion="2" background="1" saveData="1">
    <webPr xml="1" sourceData="1" parsePre="1" consecutive="1" xl2000="1" url="C:\Users\林树贤\Desktop\ITEM.xml" htmlTables="1"/>
  </connection>
  <connection id="5" xr16:uid="{00000000-0015-0000-FFFF-FFFF04000000}" name="ITEM11" type="4" refreshedVersion="2" background="1" saveData="1">
    <webPr xml="1" sourceData="1" parsePre="1" consecutive="1" xl2000="1" url="C:\Users\林树贤\Desktop\ITEM.xml" htmlTables="1"/>
  </connection>
  <connection id="6" xr16:uid="{00000000-0015-0000-FFFF-FFFF05000000}" name="ITEM12" type="4" refreshedVersion="2" background="1" saveData="1">
    <webPr xml="1" sourceData="1" parsePre="1" consecutive="1" xl2000="1" url="C:\Users\林树贤\Desktop\ITEM.xml" htmlTables="1"/>
  </connection>
  <connection id="7" xr16:uid="{00000000-0015-0000-FFFF-FFFF06000000}" name="ITEM2" type="4" refreshedVersion="2" background="1" saveData="1">
    <webPr xml="1" sourceData="1" parsePre="1" consecutive="1" xl2000="1" url="C:\Users\林树贤\Desktop\ITEM.xml" htmlTables="1"/>
  </connection>
  <connection id="8" xr16:uid="{00000000-0015-0000-FFFF-FFFF07000000}" name="ITEM3" type="4" refreshedVersion="2" background="1" saveData="1">
    <webPr xml="1" sourceData="1" parsePre="1" consecutive="1" xl2000="1" url="C:\Users\林树贤\Desktop\ITEM.xml" htmlTables="1"/>
  </connection>
  <connection id="9" xr16:uid="{00000000-0015-0000-FFFF-FFFF08000000}" name="ITEM4" type="4" refreshedVersion="2" background="1" saveData="1">
    <webPr xml="1" sourceData="1" parsePre="1" consecutive="1" xl2000="1" url="C:\Users\林树贤\Desktop\ITEM.xml" htmlTables="1"/>
  </connection>
  <connection id="10" xr16:uid="{00000000-0015-0000-FFFF-FFFF09000000}" name="ITEM5" type="4" refreshedVersion="2" background="1" saveData="1">
    <webPr xml="1" sourceData="1" parsePre="1" consecutive="1" xl2000="1" url="C:\Users\林树贤\Desktop\ITEM.xml" htmlTables="1"/>
  </connection>
  <connection id="11" xr16:uid="{00000000-0015-0000-FFFF-FFFF0A000000}" name="ITEM6" type="4" refreshedVersion="2" background="1" saveData="1">
    <webPr xml="1" sourceData="1" parsePre="1" consecutive="1" xl2000="1" url="C:\Users\林树贤\Desktop\ITEM.xml" htmlTables="1"/>
  </connection>
  <connection id="12" xr16:uid="{00000000-0015-0000-FFFF-FFFF0B000000}" name="ITEM7" type="4" refreshedVersion="2" background="1" saveData="1">
    <webPr xml="1" sourceData="1" parsePre="1" consecutive="1" xl2000="1" url="C:\Users\林树贤\Desktop\ITEM.xml" htmlTables="1"/>
  </connection>
  <connection id="13" xr16:uid="{00000000-0015-0000-FFFF-FFFF0C000000}" name="ITEM8" type="4" refreshedVersion="2" background="1" saveData="1">
    <webPr xml="1" sourceData="1" parsePre="1" consecutive="1" xl2000="1" url="C:\Users\林树贤\Desktop\ITEM.xml" htmlTables="1"/>
  </connection>
  <connection id="14" xr16:uid="{00000000-0015-0000-FFFF-FFFF0D000000}" name="ITEM9" type="4" refreshedVersion="2" background="1" saveData="1">
    <webPr xml="1" sourceData="1" parsePre="1" consecutive="1" xl2000="1" url="C:\Users\林树贤\Desktop\ITEM.xml" htmlTables="1"/>
  </connection>
  <connection id="15" xr16:uid="{00000000-0015-0000-FFFF-FFFF0E000000}" name="monster" type="4" refreshedVersion="2" background="1" saveData="1">
    <webPr xml="1" sourceData="1" parsePre="1" consecutive="1" xl2000="1" url="C:\Users\Administrator\Desktop\monster.xml" htmlTables="1" htmlFormat="all"/>
  </connection>
  <connection id="16" xr16:uid="{00000000-0015-0000-FFFF-FFFF80000000}" name="monster_count_drop" type="4" refreshedVersion="2" background="1" saveData="1">
    <webPr xml="1" sourceData="1" parsePre="1" consecutive="1" xl2000="1" url="E:\qjzj\data\trunk\excel\xml模板\monster_count_drop.xml" htmlTables="1"/>
  </connection>
  <connection id="17" xr16:uid="{00000000-0015-0000-FFFF-FFFF81000000}" name="monster_endure" type="4" refreshedVersion="2" background="1" saveData="1">
    <webPr xml="1" sourceData="1" parsePre="1" consecutive="1" xl2000="1" url="E:\xgame\zhj\data\trunk\xml\monster_endure.xml" htmlTables="1" htmlFormat="all"/>
  </connection>
  <connection id="18" xr16:uid="{00000000-0015-0000-FFFF-FFFF82000000}" name="monster_endure1" type="4" refreshedVersion="2" background="1" saveData="1">
    <webPr xml="1" sourceData="1" parsePre="1" consecutive="1" xl2000="1" url="E:\xgame\zhj\data\trunk\xml\monster_endure.xml" htmlTables="1" htmlFormat="all"/>
  </connection>
  <connection id="19" xr16:uid="{00000000-0015-0000-FFFF-FFFF83000000}" name="monster_endure2" type="4" refreshedVersion="2" background="1" saveData="1">
    <webPr xml="1" sourceData="1" parsePre="1" consecutive="1" xl2000="1" url="E:\xgame\zhj\data\trunk\xml\monster_endure.xml" htmlTables="1" htmlFormat="all"/>
  </connection>
  <connection id="20" xr16:uid="{00000000-0015-0000-FFFF-FFFF84000000}" name="monster_endure3" type="4" refreshedVersion="2" background="1" saveData="1">
    <webPr xml="1" sourceData="1" parsePre="1" consecutive="1" xl2000="1" url="E:\xgame\data\trunk\xml\monster_endure.xml" htmlTables="1" htmlFormat="all"/>
  </connection>
  <connection id="21" xr16:uid="{00000000-0015-0000-FFFF-FFFF85000000}" name="monster_parts" type="4" refreshedVersion="2" background="1" saveData="1">
    <webPr xml="1" sourceData="1" parsePre="1" consecutive="1" xl2000="1" url="E:\xgame\data\trunk\xml\monster_parts.xml" htmlTables="1"/>
  </connection>
  <connection id="22" xr16:uid="{00000000-0015-0000-FFFF-FFFF86000000}" name="monster_parts1" type="4" refreshedVersion="2" background="1" saveData="1">
    <webPr xml="1" sourceData="1" parsePre="1" consecutive="1" xl2000="1" url="E:\xgame\data\trunk\xml\monster_parts.xml" htmlTables="1" htmlFormat="all"/>
  </connection>
  <connection id="23" xr16:uid="{00000000-0015-0000-FFFF-FFFF87000000}" name="monster_property" type="4" refreshedVersion="2" background="1" saveData="1">
    <webPr xml="1" sourceData="1" parsePre="1" consecutive="1" xl2000="1" url="C:\Users\Administrator\Desktop\monster_property.xml" htmlTables="1" htmlFormat="all"/>
  </connection>
  <connection id="24" xr16:uid="{00000000-0015-0000-FFFF-FFFF88000000}" name="monster_trainning" type="4" refreshedVersion="2" background="1" saveData="1">
    <webPr xml="1" sourceData="1" parsePre="1" consecutive="1" xl2000="1" url="F:\data\trunk\excel\xml模板\monster_trainning.xml" htmlTables="1" htmlFormat="all"/>
  </connection>
  <connection id="25" xr16:uid="{00000000-0015-0000-FFFF-FFFF89000000}" name="monster_value" type="4" refreshedVersion="2" background="1" saveData="1">
    <webPr xml="1" sourceData="1" parsePre="1" consecutive="1" xl2000="1" url="D:\qjzr\data\trunk\excel\xml模板\monster_value.xml" htmlTables="1" htmlFormat="all"/>
  </connection>
  <connection id="26" xr16:uid="{00000000-0015-0000-FFFF-FFFF8A000000}" name="monster_value1" type="4" refreshedVersion="2" background="1" saveData="1">
    <webPr xml="1" sourceData="1" parsePre="1" consecutive="1" xl2000="1" url="D:\qjzr\data\trunk\excel\xml模板\monster_value.xml" htmlTables="1" htmlFormat="all"/>
  </connection>
  <connection id="27" xr16:uid="{00000000-0015-0000-FFFF-FFFF8B000000}" name="monster_value10" type="4" refreshedVersion="2" background="1" saveData="1">
    <webPr xml="1" sourceData="1" parsePre="1" consecutive="1" xl2000="1" url="D:\data\trunk\excel\xml模板\monster_value.xml" htmlTables="1" htmlFormat="all"/>
  </connection>
  <connection id="28" xr16:uid="{00000000-0015-0000-FFFF-FFFF8C000000}" name="monster_value11" type="4" refreshedVersion="2" background="1" saveData="1">
    <webPr xml="1" sourceData="1" parsePre="1" consecutive="1" xl2000="1" url="D:\data\trunk\excel\xml模板\monster_value.xml" htmlTables="1" htmlFormat="all"/>
  </connection>
  <connection id="29" xr16:uid="{00000000-0015-0000-FFFF-FFFF8D000000}" name="monster_value12" type="4" refreshedVersion="2" background="1" saveData="1">
    <webPr xml="1" sourceData="1" parsePre="1" consecutive="1" xl2000="1" url="D:\data\trunk\xml\monster_value.xml" htmlTables="1" htmlFormat="all"/>
  </connection>
  <connection id="30" xr16:uid="{00000000-0015-0000-FFFF-FFFF8E000000}" name="monster_value13" type="4" refreshedVersion="2" background="1" saveData="1">
    <webPr xml="1" sourceData="1" parsePre="1" consecutive="1" xl2000="1" url="D:\data\trunk\excel\xml模板\monster_value.xml" htmlTables="1" htmlFormat="all"/>
  </connection>
  <connection id="31" xr16:uid="{00000000-0015-0000-FFFF-FFFF8F000000}" name="monster_value14" type="4" refreshedVersion="2" background="1" saveData="1">
    <webPr xml="1" sourceData="1" parsePre="1" consecutive="1" xl2000="1" url="D:\data\trunk\excel\xml模板\monster_value.xml" htmlTables="1" htmlFormat="all"/>
  </connection>
  <connection id="32" xr16:uid="{00000000-0015-0000-FFFF-FFFF90000000}" name="monster_value15" type="4" refreshedVersion="2" background="1" saveData="1">
    <webPr xml="1" sourceData="1" parsePre="1" consecutive="1" xl2000="1" url="F:\data\trunk\excel\xml模板\monster_value.xml" htmlTables="1" htmlFormat="all"/>
  </connection>
  <connection id="33" xr16:uid="{00000000-0015-0000-FFFF-FFFF91000000}" name="monster_value16" type="4" refreshedVersion="2" background="1" saveData="1">
    <webPr xml="1" sourceData="1" parsePre="1" consecutive="1" xl2000="1" url="F:\data\trunk\excel\xml模板\monster_value.xml" htmlTables="1" htmlFormat="all"/>
  </connection>
  <connection id="34" xr16:uid="{00000000-0015-0000-FFFF-FFFF92000000}" name="monster_value17" type="4" refreshedVersion="2" background="1" saveData="1">
    <webPr xml="1" sourceData="1" parsePre="1" consecutive="1" xl2000="1" url="F:\data\trunk\excel\xml模板\monster_value.xml" htmlTables="1" htmlFormat="all"/>
  </connection>
  <connection id="35" xr16:uid="{00000000-0015-0000-FFFF-FFFF93000000}" name="monster_value18" type="4" refreshedVersion="2" background="1" saveData="1">
    <webPr xml="1" sourceData="1" parsePre="1" consecutive="1" xl2000="1" url="F:\data\trunk\excel\xml模板\monster_value.xml" htmlTables="1" htmlFormat="all"/>
  </connection>
  <connection id="36" xr16:uid="{00000000-0015-0000-FFFF-FFFF94000000}" name="monster_value19" type="4" refreshedVersion="2" background="1" saveData="1">
    <webPr xml="1" sourceData="1" parsePre="1" consecutive="1" xl2000="1" url="F:\data\trunk\excel\xml模板\monster_value.xml" htmlTables="1" htmlFormat="all"/>
  </connection>
  <connection id="37" xr16:uid="{00000000-0015-0000-FFFF-FFFF95000000}" name="monster_value2" type="4" refreshedVersion="2" background="1" saveData="1">
    <webPr xml="1" sourceData="1" parsePre="1" consecutive="1" xl2000="1" url="E:\proX\data\trunk\xml\monster_value.xml" htmlTables="1" htmlFormat="all"/>
  </connection>
  <connection id="38" xr16:uid="{00000000-0015-0000-FFFF-FFFF96000000}" name="monster_value20" type="4" refreshedVersion="2" background="1" saveData="1">
    <webPr xml="1" sourceData="1" parsePre="1" consecutive="1" xl2000="1" url="F:\data\trunk\excel\xml模板\monster_value.xml" htmlTables="1" htmlFormat="all"/>
  </connection>
  <connection id="39" xr16:uid="{00000000-0015-0000-FFFF-FFFF97000000}" name="monster_value21" type="4" refreshedVersion="2" background="1" saveData="1">
    <webPr xml="1" sourceData="1" parsePre="1" consecutive="1" xl2000="1" url="F:\data\trunk\excel\xml模板\monster_value.xml" htmlTables="1" htmlFormat="all"/>
  </connection>
  <connection id="40" xr16:uid="{00000000-0015-0000-FFFF-FFFF98000000}" name="monster_value22" type="4" refreshedVersion="2" background="1" saveData="1">
    <webPr xml="1" sourceData="1" parsePre="1" consecutive="1" xl2000="1" url="F:\data\trunk\excel\xml模板\monster_value.xml" htmlTables="1" htmlFormat="all"/>
  </connection>
  <connection id="41" xr16:uid="{00000000-0015-0000-FFFF-FFFF99000000}" name="monster_value23" type="4" refreshedVersion="2" background="1" saveData="1">
    <webPr xml="1" sourceData="1" parsePre="1" consecutive="1" xl2000="1" url="F:\data\trunk\excel\xml模板\monster_value.xml" htmlTables="1" htmlFormat="all"/>
  </connection>
  <connection id="42" xr16:uid="{00000000-0015-0000-FFFF-FFFF9A000000}" name="monster_value24" type="4" refreshedVersion="2" background="1" saveData="1">
    <webPr xml="1" sourceData="1" parsePre="1" consecutive="1" xl2000="1" url="E:\x1-data\trunk\excel\xml模板\monster_value.xml" htmlTables="1" htmlFormat="all"/>
  </connection>
  <connection id="43" xr16:uid="{00000000-0015-0000-FFFF-FFFF9B000000}" name="monster_value25" type="4" refreshedVersion="2" background="1" saveData="1">
    <webPr xml="1" sourceData="1" parsePre="1" consecutive="1" xl2000="1" url="D:\x1\data\trunk\excel\xml模板\monster_value.xml" htmlTables="1" htmlFormat="all"/>
  </connection>
  <connection id="44" xr16:uid="{00000000-0015-0000-FFFF-FFFF9C000000}" name="monster_value26" type="4" refreshedVersion="2" background="1" saveData="1">
    <webPr xml="1" sourceData="1" parsePre="1" consecutive="1" xl2000="1" url="D:\x1\data\trunk\excel\xml模板\monster_value.xml" htmlTables="1" htmlFormat="all"/>
  </connection>
  <connection id="45" xr16:uid="{00000000-0015-0000-FFFF-FFFF9D000000}" name="monster_value27" type="4" refreshedVersion="2" background="1" saveData="1">
    <webPr xml="1" sourceData="1" parsePre="1" consecutive="1" xl2000="1" url="G:\survivors\data\trunk\excel\xml模板\monster_value.xml" htmlTables="1" htmlFormat="all"/>
  </connection>
  <connection id="46" xr16:uid="{00000000-0015-0000-FFFF-FFFF9E000000}" name="monster_value28" type="4" refreshedVersion="2" background="1" saveData="1">
    <webPr xml="1" sourceData="1" parsePre="1" consecutive="1" xl2000="1" url="D:\survivorsdata\trunk\excel\xml模板\monster_value.xml" htmlTables="1" htmlFormat="all"/>
  </connection>
  <connection id="47" xr16:uid="{7EE8D22D-E401-4241-89B4-26D9FB890AC4}" name="monster_value29" type="4" refreshedVersion="0" background="1">
    <webPr xml="1" sourceData="1" url="G:\SurvivorsData\trunk\excel\xml模板\monster_value.xml" htmlTables="1" htmlFormat="all"/>
  </connection>
  <connection id="48" xr16:uid="{00000000-0015-0000-FFFF-FFFF9F000000}" name="monster_value3" type="4" refreshedVersion="2" background="1" saveData="1">
    <webPr xml="1" sourceData="1" parsePre="1" consecutive="1" xl2000="1" url="E:\proX\data\trunk\xml\monster_value.xml" htmlTables="1" htmlFormat="all"/>
  </connection>
  <connection id="49" xr16:uid="{00000000-0015-0000-FFFF-FFFFA0000000}" name="monster_value4" type="4" refreshedVersion="2" background="1" saveData="1">
    <webPr xml="1" sourceData="1" parsePre="1" consecutive="1" xl2000="1" url="D:\qjzr\data\branch\shuzhi_0.9.3\excel\xml模板\monster_value.xml" htmlTables="1" htmlFormat="all"/>
  </connection>
  <connection id="50" xr16:uid="{00000000-0015-0000-FFFF-FFFFA1000000}" name="monster_value5" type="4" refreshedVersion="2" background="1" saveData="1">
    <webPr xml="1" sourceData="1" parsePre="1" consecutive="1" xl2000="1" url="E:\data\excel\xml模板\monster_value.xml" htmlTables="1" htmlFormat="all"/>
  </connection>
  <connection id="51" xr16:uid="{00000000-0015-0000-FFFF-FFFFA2000000}" name="monster_value6" type="4" refreshedVersion="2" background="1" saveData="1">
    <webPr xml="1" sourceData="1" parsePre="1" consecutive="1" xl2000="1" url="D:\data\trunk\excel\xml模板\monster_value.xml" htmlTables="1" htmlFormat="all"/>
  </connection>
  <connection id="52" xr16:uid="{00000000-0015-0000-FFFF-FFFFA3000000}" name="monster_value7" type="4" refreshedVersion="2" background="1" saveData="1">
    <webPr xml="1" sourceData="1" parsePre="1" consecutive="1" xl2000="1" url="D:\data\trunk\xml\monster_value.xml" htmlTables="1" htmlFormat="all"/>
  </connection>
  <connection id="53" xr16:uid="{00000000-0015-0000-FFFF-FFFFA4000000}" name="monster_value8" type="4" refreshedVersion="2" background="1" saveData="1">
    <webPr xml="1" sourceData="1" parsePre="1" consecutive="1" xl2000="1" url="D:\data\trunk\excel\xml模板\monster_value.xml" htmlTables="1" htmlFormat="all"/>
  </connection>
  <connection id="54" xr16:uid="{00000000-0015-0000-FFFF-FFFFA5000000}" name="monster_value9" type="4" refreshedVersion="2" background="1" saveData="1">
    <webPr xml="1" sourceData="1" parsePre="1" consecutive="1" xl2000="1" url="D:\data\trunk\excel\xml模板\monster_value.xml" htmlTables="1" htmlFormat="all"/>
  </connection>
  <connection id="55" xr16:uid="{00000000-0015-0000-FFFF-FFFF0F000000}" name="monster1" type="4" refreshedVersion="2" background="1" saveData="1">
    <webPr xml="1" sourceData="1" parsePre="1" consecutive="1" xl2000="1" url="E:\xgame\data\trunk\xml\monster.xml" htmlTables="1" htmlFormat="all"/>
  </connection>
  <connection id="56" xr16:uid="{00000000-0015-0000-FFFF-FFFF10000000}" name="monster10" type="4" refreshedVersion="2" background="1" saveData="1">
    <webPr xml="1" sourceData="1" parsePre="1" consecutive="1" xl2000="1" url="F:\monster.xml" htmlTables="1" htmlFormat="all"/>
  </connection>
  <connection id="57" xr16:uid="{00000000-0015-0000-FFFF-FFFF11000000}" name="monster100" type="4" refreshedVersion="2" background="1" saveData="1">
    <webPr xml="1" sourceData="1" parsePre="1" consecutive="1" xl2000="1" url="E:\x1-data\trunk\excel\xml模板\monster.xml" htmlTables="1" htmlFormat="all"/>
  </connection>
  <connection id="58" xr16:uid="{00000000-0015-0000-FFFF-FFFF12000000}" name="monster101" type="4" refreshedVersion="2" background="1" saveData="1">
    <webPr xml="1" sourceData="1" parsePre="1" consecutive="1" xl2000="1" url="D:\x1\data\trunk\excel\xml模板\monster.xml" htmlTables="1" htmlFormat="all"/>
  </connection>
  <connection id="59" xr16:uid="{00000000-0015-0000-FFFF-FFFF13000000}" name="monster102" type="4" refreshedVersion="2" background="1" saveData="1">
    <webPr xml="1" sourceData="1" parsePre="1" consecutive="1" xl2000="1" url="D:\survivorsdata\trunk\excel\xml模板\monster.xml" htmlTables="1" htmlFormat="all"/>
  </connection>
  <connection id="60" xr16:uid="{00000000-0015-0000-FFFF-FFFF14000000}" name="monster103" type="4" refreshedVersion="2" background="1" saveData="1">
    <webPr xml="1" sourceData="1" parsePre="1" consecutive="1" xl2000="1" url="G:\survivors相关\data\trunk\excel\xml模板\monster.xml" htmlTables="1" htmlFormat="all"/>
  </connection>
  <connection id="61" xr16:uid="{00000000-0015-0000-FFFF-FFFF15000000}" name="monster104" type="4" refreshedVersion="2" background="1" saveData="1">
    <webPr xml="1" sourceData="1" parsePre="1" consecutive="1" xl2000="1" url="G:\survivors相关\data\trunk\excel\xml模板\monster.xml" htmlTables="1" htmlFormat="all"/>
  </connection>
  <connection id="62" xr16:uid="{00000000-0015-0000-FFFF-FFFF16000000}" name="monster105" type="4" refreshedVersion="2" background="1" saveData="1">
    <webPr xml="1" sourceData="1" parsePre="1" consecutive="1" xl2000="1" url="D:\survivorsdata\trunk\excel\xml模板\monster.xml" htmlTables="1" htmlFormat="all"/>
  </connection>
  <connection id="63" xr16:uid="{00000000-0015-0000-FFFF-FFFF17000000}" name="monster106" type="4" refreshedVersion="2" background="1" saveData="1">
    <webPr xml="1" sourceData="1" parsePre="1" consecutive="1" xl2000="1" url="G:\survivors\data\trunk\excel\xml模板\monster.xml" htmlTables="1" htmlFormat="all"/>
  </connection>
  <connection id="64" xr16:uid="{00000000-0015-0000-FFFF-FFFF18000000}" name="monster107" type="4" refreshedVersion="2" background="1" saveData="1">
    <webPr xml="1" sourceData="1" parsePre="1" consecutive="1" xl2000="1" url="G:\survivors\data\trunk\excel\xml模板\monster.xml" htmlTables="1" htmlFormat="all"/>
  </connection>
  <connection id="65" xr16:uid="{00000000-0015-0000-FFFF-FFFF19000000}" name="monster108" type="4" refreshedVersion="2" background="1" saveData="1">
    <webPr xml="1" sourceData="1" parsePre="1" consecutive="1" xl2000="1" url="G:\survivors\data\trunk\excel\xml模板\monster.xml" htmlTables="1" htmlFormat="all"/>
  </connection>
  <connection id="66" xr16:uid="{00000000-0015-0000-FFFF-FFFF1A000000}" name="monster109" type="4" refreshedVersion="2" background="1" saveData="1">
    <webPr xml="1" sourceData="1" parsePre="1" consecutive="1" xl2000="1" url="G:\survivors\data\trunk\excel\xml模板\monster.xml" htmlTables="1" htmlFormat="all"/>
  </connection>
  <connection id="67" xr16:uid="{00000000-0015-0000-FFFF-FFFF1B000000}" name="monster11" type="4" refreshedVersion="2" background="1" saveData="1">
    <webPr xml="1" sourceData="1" parsePre="1" consecutive="1" xl2000="1" url="E:\Aion\data\trunk\excel\xml模板\monster.xml" htmlTables="1" htmlFormat="all"/>
  </connection>
  <connection id="68" xr16:uid="{00000000-0015-0000-FFFF-FFFF1C000000}" name="monster110" type="4" refreshedVersion="2" background="1" saveData="1">
    <webPr xml="1" sourceData="1" parsePre="1" consecutive="1" xl2000="1" url="G:\survivors\data\trunk\excel\xml模板\monster.xml" htmlTables="1" htmlFormat="all"/>
  </connection>
  <connection id="69" xr16:uid="{00000000-0015-0000-FFFF-FFFF1D000000}" name="monster111" type="4" refreshedVersion="2" background="1" saveData="1">
    <webPr xml="1" sourceData="1" parsePre="1" consecutive="1" xl2000="1" url="E:\x1\data\trunk\excel\xml模板\monster.xml" htmlTables="1" htmlFormat="all"/>
  </connection>
  <connection id="70" xr16:uid="{00000000-0015-0000-FFFF-FFFF1E000000}" name="monster112" type="4" refreshedVersion="2" background="1" saveData="1">
    <webPr xml="1" sourceData="1" parsePre="1" consecutive="1" xl2000="1" url="E:\x1\data\trunk\excel\xml模板\monster.xml" htmlTables="1" htmlFormat="all"/>
  </connection>
  <connection id="71" xr16:uid="{00000000-0015-0000-FFFF-FFFF1F000000}" name="monster113" type="4" refreshedVersion="2" background="1" saveData="1">
    <webPr xml="1" sourceData="1" parsePre="1" consecutive="1" xl2000="1" url="E:\x1\data\trunk\excel\xml模板\monster.xml" htmlTables="1" htmlFormat="all"/>
  </connection>
  <connection id="72" xr16:uid="{DF7020F2-F6A9-4FE6-889B-03B32A9BAD29}" name="monster114" type="4" refreshedVersion="0" background="1">
    <webPr xml="1" sourceData="1" url="G:\SurvivorsData\trunk\excel\xml模板\monster.xml" htmlTables="1" htmlFormat="all"/>
  </connection>
  <connection id="73" xr16:uid="{00000000-0015-0000-FFFF-FFFF20000000}" name="monster12" type="4" refreshedVersion="2" background="1" saveData="1">
    <webPr xml="1" sourceData="1" parsePre="1" consecutive="1" xl2000="1" url="E:\qjzj\data\trunk\excel\xml模板\monster.xml" htmlTables="1" htmlFormat="all"/>
  </connection>
  <connection id="74" xr16:uid="{00000000-0015-0000-FFFF-FFFF21000000}" name="monster13" type="4" refreshedVersion="2" background="1" saveData="1">
    <webPr xml="1" sourceData="1" parsePre="1" consecutive="1" xl2000="1" url="E:\proX\data\trunk\xml\monster.xml" htmlTables="1" htmlFormat="all"/>
  </connection>
  <connection id="75" xr16:uid="{00000000-0015-0000-FFFF-FFFF22000000}" name="monster14" type="4" refreshedVersion="2" background="1" saveData="1">
    <webPr xml="1" sourceData="1" parsePre="1" consecutive="1" xl2000="1" url="D:\doc\data\trunk\excel\xml模板\monster.xml" htmlTables="1" htmlFormat="all"/>
  </connection>
  <connection id="76" xr16:uid="{00000000-0015-0000-FFFF-FFFF23000000}" name="monster15" type="4" refreshedVersion="2" background="1" saveData="1">
    <webPr xml="1" sourceData="1" parsePre="1" consecutive="1" xl2000="1" url="D:\doc\data\trunk\excel\xml模板\monster.xml" htmlTables="1" htmlFormat="all"/>
  </connection>
  <connection id="77" xr16:uid="{00000000-0015-0000-FFFF-FFFF24000000}" name="monster16" type="4" refreshedVersion="2" background="1" saveData="1">
    <webPr xml="1" sourceData="1" parsePre="1" consecutive="1" xl2000="1" url="D:\qjzr\data\trunk\excel\xml模板\monster.xml" htmlTables="1" htmlFormat="all"/>
  </connection>
  <connection id="78" xr16:uid="{00000000-0015-0000-FFFF-FFFF25000000}" name="monster17" type="4" refreshedVersion="2" background="1" saveData="1">
    <webPr xml="1" sourceData="1" parsePre="1" consecutive="1" xl2000="1" url="D:\qjzr\data\trunk\excel\xml模板\monster.xml" htmlTables="1" htmlFormat="all"/>
  </connection>
  <connection id="79" xr16:uid="{00000000-0015-0000-FFFF-FFFF26000000}" name="monster18" type="4" refreshedVersion="2" background="1" saveData="1">
    <webPr xml="1" sourceData="1" parsePre="1" consecutive="1" xl2000="1" url="D:\doc\data\trunk\excel\xml模板\monster.xml" htmlTables="1" htmlFormat="all"/>
  </connection>
  <connection id="80" xr16:uid="{00000000-0015-0000-FFFF-FFFF27000000}" name="monster19" type="4" refreshedVersion="2" background="1" saveData="1">
    <webPr xml="1" sourceData="1" parsePre="1" consecutive="1" xl2000="1" url="E:\AProjectX\data\trunk\excel\xml模板\monster.xml" htmlTables="1"/>
  </connection>
  <connection id="81" xr16:uid="{00000000-0015-0000-FFFF-FFFF28000000}" name="monster2" type="4" refreshedVersion="2" background="1" saveData="1">
    <webPr xml="1" sourceData="1" parsePre="1" consecutive="1" xl2000="1" url="E:\xgame\data\trunk\xml\monster.xml" htmlTables="1" htmlFormat="all"/>
  </connection>
  <connection id="82" xr16:uid="{00000000-0015-0000-FFFF-FFFF29000000}" name="monster20" type="4" refreshedVersion="2" background="1" saveData="1">
    <webPr xml="1" sourceData="1" parsePre="1" consecutive="1" xl2000="1" url="E:\AProjectX\data\trunk\excel\xml模板\monster.xml" htmlTables="1"/>
  </connection>
  <connection id="83" xr16:uid="{00000000-0015-0000-FFFF-FFFF2A000000}" name="monster21" type="4" refreshedVersion="2" background="1" saveData="1">
    <webPr xml="1" sourceData="1" parsePre="1" consecutive="1" xl2000="1" url="E:\AProjectX\data\trunk\excel\xml模板\monster.xml" htmlTables="1"/>
  </connection>
  <connection id="84" xr16:uid="{00000000-0015-0000-FFFF-FFFF2B000000}" name="monster22" type="4" refreshedVersion="2" background="1" saveData="1">
    <webPr xml="1" sourceData="1" parsePre="1" consecutive="1" xl2000="1" url="D:\doc\data\trunk\excel\xml模板\monster.xml" htmlTables="1" htmlFormat="all"/>
  </connection>
  <connection id="85" xr16:uid="{00000000-0015-0000-FFFF-FFFF2C000000}" name="monster23" type="4" refreshedVersion="2" background="1" saveData="1">
    <webPr xml="1" sourceData="1" parsePre="1" consecutive="1" xl2000="1" url="D:\doc\data\trunk\excel\xml模板\monster.xml" htmlTables="1" htmlFormat="all"/>
  </connection>
  <connection id="86" xr16:uid="{00000000-0015-0000-FFFF-FFFF2D000000}" name="monster24" type="4" refreshedVersion="2" background="1" saveData="1">
    <webPr xml="1" sourceData="1" parsePre="1" consecutive="1" xl2000="1" url="D:\doc\data\trunk\excel\xml模板\monster.xml" htmlTables="1" htmlFormat="all"/>
  </connection>
  <connection id="87" xr16:uid="{00000000-0015-0000-FFFF-FFFF2E000000}" name="monster25" type="4" refreshedVersion="2" background="1" saveData="1">
    <webPr xml="1" sourceData="1" parsePre="1" consecutive="1" xl2000="1" url="D:\qjzr\data\trunk\excel\xml模板\monster.xml" htmlTables="1" htmlFormat="all"/>
  </connection>
  <connection id="88" xr16:uid="{00000000-0015-0000-FFFF-FFFF2F000000}" name="monster26" type="4" refreshedVersion="2" background="1" saveData="1">
    <webPr xml="1" sourceData="1" parsePre="1" consecutive="1" xl2000="1" url="F:\SVN\excel\xml模板\monster.xml" htmlTables="1" htmlFormat="all"/>
  </connection>
  <connection id="89" xr16:uid="{00000000-0015-0000-FFFF-FFFF30000000}" name="monster27" type="4" refreshedVersion="2" background="1" saveData="1">
    <webPr xml="1" sourceData="1" parsePre="1" consecutive="1" xl2000="1" url="C:\fm\data\trunk\excel\xml模板\monster.xml" htmlTables="1" htmlFormat="all"/>
  </connection>
  <connection id="90" xr16:uid="{00000000-0015-0000-FFFF-FFFF31000000}" name="monster28" type="4" refreshedVersion="2" background="1" saveData="1">
    <webPr xml="1" sourceData="1" parsePre="1" consecutive="1" xl2000="1" url="D:\data\trunk\excel\xml模板\monster.xml" htmlTables="1" htmlFormat="all"/>
  </connection>
  <connection id="91" xr16:uid="{00000000-0015-0000-FFFF-FFFF32000000}" name="monster29" type="4" refreshedVersion="2" background="1" saveData="1">
    <webPr xml="1" sourceData="1" parsePre="1" consecutive="1" xl2000="1" url="E:\data\excel\xml模板\monster.xml" htmlTables="1" htmlFormat="all"/>
  </connection>
  <connection id="92" xr16:uid="{00000000-0015-0000-FFFF-FFFF33000000}" name="monster3" type="4" refreshedVersion="2" background="1" saveData="1">
    <webPr xml="1" sourceData="1" parsePre="1" consecutive="1" xl2000="1" url="E:\xgame\data\trunk\xml\monster.xml" htmlTables="1" htmlFormat="all"/>
  </connection>
  <connection id="93" xr16:uid="{00000000-0015-0000-FFFF-FFFF34000000}" name="monster30" type="4" refreshedVersion="2" background="1" saveData="1">
    <webPr xml="1" sourceData="1" parsePre="1" consecutive="1" xl2000="1" url="E:\fm\data\trunk\excel\xml模板\monster.xml" htmlTables="1" htmlFormat="all"/>
  </connection>
  <connection id="94" xr16:uid="{00000000-0015-0000-FFFF-FFFF35000000}" name="monster31" type="4" refreshedVersion="2" background="1" saveData="1">
    <webPr xml="1" sourceData="1" parsePre="1" consecutive="1" xl2000="1" url="E:\fm\data\trunk\excel\xml模板\monster.xml" htmlTables="1" htmlFormat="all"/>
  </connection>
  <connection id="95" xr16:uid="{00000000-0015-0000-FFFF-FFFF36000000}" name="monster32" type="4" refreshedVersion="2" background="1" saveData="1">
    <webPr xml="1" sourceData="1" parsePre="1" consecutive="1" xl2000="1" url="E:\data\excel\xml模板\monster.xml" htmlTables="1" htmlFormat="all"/>
  </connection>
  <connection id="96" xr16:uid="{00000000-0015-0000-FFFF-FFFF37000000}" name="monster33" type="4" refreshedVersion="2" background="1" saveData="1">
    <webPr xml="1" sourceData="1" parsePre="1" consecutive="1" xl2000="1" url="E:\data\excel\xml模板\monster.xml" htmlTables="1" htmlFormat="all"/>
  </connection>
  <connection id="97" xr16:uid="{00000000-0015-0000-FFFF-FFFF38000000}" name="monster34" type="4" refreshedVersion="2" background="1" saveData="1">
    <webPr xml="1" sourceData="1" parsePre="1" consecutive="1" xl2000="1" url="E:\data\excel\xml模板\monster.xml" htmlTables="1" htmlFormat="all"/>
  </connection>
  <connection id="98" xr16:uid="{00000000-0015-0000-FFFF-FFFF39000000}" name="monster35" type="4" refreshedVersion="2" background="1" saveData="1">
    <webPr xml="1" sourceData="1" parsePre="1" consecutive="1" xl2000="1" url="E:\data\trunk\excel\xml模板\monster.xml" htmlTables="1" htmlFormat="all"/>
  </connection>
  <connection id="99" xr16:uid="{00000000-0015-0000-FFFF-FFFF3A000000}" name="monster36" type="4" refreshedVersion="2" background="1" saveData="1">
    <webPr xml="1" sourceData="1" parsePre="1" consecutive="1" xl2000="1" url="E:\data\trunk\excel\xml模板\monster.xml" htmlTables="1" htmlFormat="all"/>
  </connection>
  <connection id="100" xr16:uid="{00000000-0015-0000-FFFF-FFFF3B000000}" name="monster37" type="4" refreshedVersion="2" background="1" saveData="1">
    <webPr xml="1" sourceData="1" parsePre="1" consecutive="1" xl2000="1" url="E:\data\trunk\excel\xml模板\monster.xml" htmlTables="1" htmlFormat="all"/>
  </connection>
  <connection id="101" xr16:uid="{00000000-0015-0000-FFFF-FFFF3C000000}" name="monster38" type="4" refreshedVersion="2" background="1" saveData="1">
    <webPr xml="1" sourceData="1" parsePre="1" consecutive="1" xl2000="1" url="E:\data\trunk\excel\xml模板\monster.xml" htmlTables="1" htmlFormat="all"/>
  </connection>
  <connection id="102" xr16:uid="{00000000-0015-0000-FFFF-FFFF3D000000}" name="monster39" type="4" refreshedVersion="2" background="1" saveData="1">
    <webPr xml="1" sourceData="1" parsePre="1" consecutive="1" xl2000="1" url="E:\ProjectX\data\trunk\excel\xml模板\monster.xml" htmlTables="1" htmlFormat="all"/>
  </connection>
  <connection id="103" xr16:uid="{00000000-0015-0000-FFFF-FFFF3E000000}" name="monster4" type="4" refreshedVersion="2" background="1" saveData="1">
    <webPr xml="1" sourceData="1" parsePre="1" consecutive="1" xl2000="1" url="E:\Aion\data\trunk\xml\monster.xml" htmlTables="1"/>
  </connection>
  <connection id="104" xr16:uid="{00000000-0015-0000-FFFF-FFFF3F000000}" name="monster40" type="4" refreshedVersion="2" background="1" saveData="1">
    <webPr xml="1" sourceData="1" parsePre="1" consecutive="1" xl2000="1" url="E:\ProjectX\data\trunk\excel\xml模板\monster.xml" htmlTables="1" htmlFormat="all"/>
  </connection>
  <connection id="105" xr16:uid="{00000000-0015-0000-FFFF-FFFF40000000}" name="monster41" type="4" refreshedVersion="2" background="1" saveData="1">
    <webPr xml="1" sourceData="1" parsePre="1" consecutive="1" xl2000="1" url="E:\data\trunk\excel\xml模板\monster.xml" htmlTables="1" htmlFormat="all"/>
  </connection>
  <connection id="106" xr16:uid="{00000000-0015-0000-FFFF-FFFF41000000}" name="monster42" type="4" refreshedVersion="2" background="1" saveData="1">
    <webPr xml="1" sourceData="1" parsePre="1" consecutive="1" xl2000="1" url="E:\data\excel\xml模板\monster.xml" htmlTables="1" htmlFormat="all"/>
  </connection>
  <connection id="107" xr16:uid="{00000000-0015-0000-FFFF-FFFF42000000}" name="monster43" type="4" refreshedVersion="2" background="1" saveData="1">
    <webPr xml="1" sourceData="1" parsePre="1" consecutive="1" xl2000="1" url="E:\data\excel\xml模板\monster.xml" htmlTables="1" htmlFormat="all"/>
  </connection>
  <connection id="108" xr16:uid="{00000000-0015-0000-FFFF-FFFF43000000}" name="monster44" type="4" refreshedVersion="2" background="1" saveData="1">
    <webPr xml="1" sourceData="1" parsePre="1" consecutive="1" xl2000="1" url="E:\data\excel\xml模板\monster.xml" htmlTables="1" htmlFormat="all"/>
  </connection>
  <connection id="109" xr16:uid="{00000000-0015-0000-FFFF-FFFF44000000}" name="monster45" type="4" refreshedVersion="2" background="1" saveData="1">
    <webPr xml="1" sourceData="1" parsePre="1" consecutive="1" xl2000="1" url="F:\data\trunk\excel\xml模板\monster.xml" htmlTables="1" htmlFormat="all"/>
  </connection>
  <connection id="110" xr16:uid="{00000000-0015-0000-FFFF-FFFF45000000}" name="monster46" type="4" refreshedVersion="2" background="1" saveData="1">
    <webPr xml="1" sourceData="1" parsePre="1" consecutive="1" xl2000="1" url="F:\data\trunk\excel\xml模板\monster.xml" htmlTables="1" htmlFormat="all"/>
  </connection>
  <connection id="111" xr16:uid="{00000000-0015-0000-FFFF-FFFF46000000}" name="monster47" type="4" refreshedVersion="2" background="1" saveData="1">
    <webPr xml="1" sourceData="1" parsePre="1" consecutive="1" xl2000="1" url="F:\data\trunk\excel\xml模板\monster.xml" htmlTables="1" htmlFormat="all"/>
  </connection>
  <connection id="112" xr16:uid="{00000000-0015-0000-FFFF-FFFF47000000}" name="monster48" type="4" refreshedVersion="2" background="1" saveData="1">
    <webPr xml="1" sourceData="1" parsePre="1" consecutive="1" xl2000="1" url="E:\data\excel\xml模板\monster.xml" htmlTables="1" htmlFormat="all"/>
  </connection>
  <connection id="113" xr16:uid="{00000000-0015-0000-FFFF-FFFF48000000}" name="monster49" type="4" refreshedVersion="2" background="1" saveData="1">
    <webPr xml="1" sourceData="1" parsePre="1" consecutive="1" xl2000="1" url="E:\data\excel\xml模板\monster.xml" htmlTables="1" htmlFormat="all"/>
  </connection>
  <connection id="114" xr16:uid="{00000000-0015-0000-FFFF-FFFF49000000}" name="monster5" type="4" refreshedVersion="2" background="1" saveData="1">
    <webPr xml="1" sourceData="1" parsePre="1" consecutive="1" xl2000="1" url="E:\Aion\data\trunk\xml\monster.xml" htmlTables="1"/>
  </connection>
  <connection id="115" xr16:uid="{00000000-0015-0000-FFFF-FFFF4A000000}" name="monster50" type="4" refreshedVersion="2" background="1" saveData="1">
    <webPr xml="1" sourceData="1" parsePre="1" consecutive="1" xl2000="1" url="E:\data\excel\xml模板\monster.xml" htmlTables="1" htmlFormat="all"/>
  </connection>
  <connection id="116" xr16:uid="{00000000-0015-0000-FFFF-FFFF4B000000}" name="monster51" type="4" refreshedVersion="2" background="1" saveData="1">
    <webPr xml="1" sourceData="1" parsePre="1" consecutive="1" xl2000="1" url="F:\data\trunk\excel\xml模板\monster.xml" htmlTables="1" htmlFormat="all"/>
  </connection>
  <connection id="117" xr16:uid="{00000000-0015-0000-FFFF-FFFF4C000000}" name="monster52" type="4" refreshedVersion="2" background="1" saveData="1">
    <webPr xml="1" sourceData="1" parsePre="1" consecutive="1" xl2000="1" url="D:\data\excel\xml模板\monster.xml" htmlTables="1" htmlFormat="all"/>
  </connection>
  <connection id="118" xr16:uid="{00000000-0015-0000-FFFF-FFFF4D000000}" name="monster53" type="4" refreshedVersion="2" background="1" saveData="1">
    <webPr xml="1" sourceData="1" parsePre="1" consecutive="1" xl2000="1" url="F:\data\trunk\excel\xml模板\monster.xml" htmlTables="1" htmlFormat="all"/>
  </connection>
  <connection id="119" xr16:uid="{00000000-0015-0000-FFFF-FFFF4E000000}" name="monster54" type="4" refreshedVersion="2" background="1" saveData="1">
    <webPr xml="1" sourceData="1" parsePre="1" consecutive="1" xl2000="1" url="F:\data\trunk\excel\xml模板\monster.xml" htmlTables="1" htmlFormat="all"/>
  </connection>
  <connection id="120" xr16:uid="{00000000-0015-0000-FFFF-FFFF4F000000}" name="monster55" type="4" refreshedVersion="2" background="1" saveData="1">
    <webPr xml="1" sourceData="1" parsePre="1" consecutive="1" xl2000="1" url="D:\data\excel\xml模板\monster.xml" htmlTables="1" htmlFormat="all"/>
  </connection>
  <connection id="121" xr16:uid="{00000000-0015-0000-FFFF-FFFF50000000}" name="monster56" type="4" refreshedVersion="2" background="1" saveData="1">
    <webPr xml="1" sourceData="1" parsePre="1" consecutive="1" xl2000="1" url="D:\data\excel\xml模板\monster.xml" htmlTables="1" htmlFormat="all"/>
  </connection>
  <connection id="122" xr16:uid="{00000000-0015-0000-FFFF-FFFF51000000}" name="monster57" type="4" refreshedVersion="2" background="1" saveData="1">
    <webPr xml="1" sourceData="1" parsePre="1" consecutive="1" xl2000="1" url="D:\data\excel\xml模板\monster.xml" htmlTables="1" htmlFormat="all"/>
  </connection>
  <connection id="123" xr16:uid="{00000000-0015-0000-FFFF-FFFF52000000}" name="monster58" type="4" refreshedVersion="2" background="1" saveData="1">
    <webPr xml="1" sourceData="1" parsePre="1" consecutive="1" xl2000="1" url="E:\data\excel\xml模板\monster.xml" htmlTables="1" htmlFormat="all"/>
  </connection>
  <connection id="124" xr16:uid="{00000000-0015-0000-FFFF-FFFF53000000}" name="monster59" type="4" refreshedVersion="2" background="1" saveData="1">
    <webPr xml="1" sourceData="1" parsePre="1" consecutive="1" xl2000="1" url="D:\data\excel\xml模板\monster.xml" htmlTables="1" htmlFormat="all"/>
  </connection>
  <connection id="125" xr16:uid="{00000000-0015-0000-FFFF-FFFF54000000}" name="monster6" type="4" refreshedVersion="2" background="1" saveData="1">
    <webPr xml="1" sourceData="1" parsePre="1" consecutive="1" xl2000="1" url="E:\Aion\data\trunk\xml\monster.xml" htmlTables="1"/>
  </connection>
  <connection id="126" xr16:uid="{00000000-0015-0000-FFFF-FFFF55000000}" name="monster60" type="4" refreshedVersion="2" background="1" saveData="1">
    <webPr xml="1" sourceData="1" parsePre="1" consecutive="1" xl2000="1" url="D:\data\excel\xml模板\monster.xml" htmlTables="1" htmlFormat="all"/>
  </connection>
  <connection id="127" xr16:uid="{00000000-0015-0000-FFFF-FFFF56000000}" name="monster61" type="4" refreshedVersion="2" background="1" saveData="1">
    <webPr xml="1" sourceData="1" parsePre="1" consecutive="1" xl2000="1" url="F:\data\trunk\excel\xml模板\monster.xml" htmlTables="1" htmlFormat="all"/>
  </connection>
  <connection id="128" xr16:uid="{00000000-0015-0000-FFFF-FFFF57000000}" name="monster62" type="4" refreshedVersion="2" background="1" saveData="1">
    <webPr xml="1" sourceData="1" parsePre="1" consecutive="1" xl2000="1" url="D:\data\trunk\excel\xml模板\monster.xml" htmlTables="1" htmlFormat="all"/>
  </connection>
  <connection id="129" xr16:uid="{00000000-0015-0000-FFFF-FFFF58000000}" name="monster63" type="4" refreshedVersion="2" background="1" saveData="1">
    <webPr xml="1" sourceData="1" parsePre="1" consecutive="1" xl2000="1" url="D:\data\trunk\excel\xml模板\monster.xml" htmlTables="1" htmlFormat="all"/>
  </connection>
  <connection id="130" xr16:uid="{00000000-0015-0000-FFFF-FFFF59000000}" name="monster64" type="4" refreshedVersion="2" background="1" saveData="1">
    <webPr xml="1" sourceData="1" parsePre="1" consecutive="1" xl2000="1" url="D:\data\trunk\excel\xml模板\monster.xml" htmlTables="1" htmlFormat="all"/>
  </connection>
  <connection id="131" xr16:uid="{00000000-0015-0000-FFFF-FFFF5A000000}" name="monster65" type="4" refreshedVersion="2" background="1" saveData="1">
    <webPr xml="1" sourceData="1" parsePre="1" consecutive="1" xl2000="1" url="E:\data\excel\xml模板\monster.xml" htmlTables="1" htmlFormat="all"/>
  </connection>
  <connection id="132" xr16:uid="{00000000-0015-0000-FFFF-FFFF5B000000}" name="monster66" type="4" refreshedVersion="2" background="1" saveData="1">
    <webPr xml="1" sourceData="1" parsePre="1" consecutive="1" xl2000="1" url="E:\data\excel\xml模板\monster.xml" htmlTables="1" htmlFormat="all"/>
  </connection>
  <connection id="133" xr16:uid="{00000000-0015-0000-FFFF-FFFF5C000000}" name="monster67" type="4" refreshedVersion="2" background="1" saveData="1">
    <webPr xml="1" sourceData="1" parsePre="1" consecutive="1" xl2000="1" url="D:\data\trunk\xml\monster.xml" htmlTables="1" htmlFormat="all"/>
  </connection>
  <connection id="134" xr16:uid="{00000000-0015-0000-FFFF-FFFF5D000000}" name="monster68" type="4" refreshedVersion="2" background="1" saveData="1">
    <webPr xml="1" sourceData="1" parsePre="1" consecutive="1" xl2000="1" url="D:\data\trunk\excel\xml模板\monster.xml" htmlTables="1" htmlFormat="all"/>
  </connection>
  <connection id="135" xr16:uid="{00000000-0015-0000-FFFF-FFFF5E000000}" name="monster69" type="4" refreshedVersion="2" background="1" saveData="1">
    <webPr xml="1" sourceData="1" parsePre="1" consecutive="1" xl2000="1" url="F:\data\trunk\excel\xml模板\monster.xml" htmlTables="1" htmlFormat="all"/>
  </connection>
  <connection id="136" xr16:uid="{00000000-0015-0000-FFFF-FFFF5F000000}" name="monster7" type="4" refreshedVersion="2" background="1" saveData="1">
    <webPr xml="1" sourceData="1" parsePre="1" consecutive="1" xl2000="1" url="E:\xgame\data\trunk\xml\monster.xml" htmlTables="1" htmlFormat="all"/>
  </connection>
  <connection id="137" xr16:uid="{00000000-0015-0000-FFFF-FFFF60000000}" name="monster70" type="4" refreshedVersion="2" background="1" saveData="1">
    <webPr xml="1" sourceData="1" parsePre="1" consecutive="1" xl2000="1" url="E:\data\excel\xml模板\monster.xml" htmlTables="1" htmlFormat="all"/>
  </connection>
  <connection id="138" xr16:uid="{00000000-0015-0000-FFFF-FFFF61000000}" name="monster71" type="4" refreshedVersion="2" background="1" saveData="1">
    <webPr xml="1" sourceData="1" parsePre="1" consecutive="1" xl2000="1" url="D:\data\trunk\excel\xml模板\monster.xml" htmlTables="1" htmlFormat="all"/>
  </connection>
  <connection id="139" xr16:uid="{00000000-0015-0000-FFFF-FFFF62000000}" name="monster72" type="4" refreshedVersion="2" background="1" saveData="1">
    <webPr xml="1" sourceData="1" parsePre="1" consecutive="1" xl2000="1" url="D:\data\trunk\excel\xml模板\monster.xml" htmlTables="1" htmlFormat="all"/>
  </connection>
  <connection id="140" xr16:uid="{00000000-0015-0000-FFFF-FFFF63000000}" name="monster73" type="4" refreshedVersion="2" background="1" saveData="1">
    <webPr xml="1" sourceData="1" parsePre="1" consecutive="1" xl2000="1" url="E:\data\excel\xml模板\monster.xml" htmlTables="1" htmlFormat="all"/>
  </connection>
  <connection id="141" xr16:uid="{00000000-0015-0000-FFFF-FFFF64000000}" name="monster74" type="4" refreshedVersion="2" background="1" saveData="1">
    <webPr xml="1" sourceData="1" parsePre="1" consecutive="1" xl2000="1" url="E:\data\excel\xml模板\monster.xml" htmlTables="1" htmlFormat="all"/>
  </connection>
  <connection id="142" xr16:uid="{00000000-0015-0000-FFFF-FFFF65000000}" name="monster75" type="4" refreshedVersion="2" background="1" saveData="1">
    <webPr xml="1" sourceData="1" parsePre="1" consecutive="1" xl2000="1" url="D:\data\excel\xml模板\monster.xml" htmlTables="1" htmlFormat="all"/>
  </connection>
  <connection id="143" xr16:uid="{00000000-0015-0000-FFFF-FFFF66000000}" name="monster76" type="4" refreshedVersion="2" background="1" saveData="1">
    <webPr xml="1" sourceData="1" parsePre="1" consecutive="1" xl2000="1" url="D:\data\trunk\excel\xml模板\monster.xml" htmlTables="1" htmlFormat="all"/>
  </connection>
  <connection id="144" xr16:uid="{00000000-0015-0000-FFFF-FFFF67000000}" name="monster77" type="4" refreshedVersion="2" background="1" saveData="1">
    <webPr xml="1" sourceData="1" parsePre="1" consecutive="1" xl2000="1" url="D:\data\trunk\excel\xml模板\monster.xml" htmlTables="1" htmlFormat="all"/>
  </connection>
  <connection id="145" xr16:uid="{00000000-0015-0000-FFFF-FFFF68000000}" name="monster78" type="4" refreshedVersion="2" background="1" saveData="1">
    <webPr xml="1" sourceData="1" parsePre="1" consecutive="1" xl2000="1" url="D:\data\trunk\excel\xml模板\monster.xml" htmlTables="1" htmlFormat="all"/>
  </connection>
  <connection id="146" xr16:uid="{00000000-0015-0000-FFFF-FFFF69000000}" name="monster79" type="4" refreshedVersion="2" background="1" saveData="1">
    <webPr xml="1" sourceData="1" parsePre="1" consecutive="1" xl2000="1" url="E:\data\excel\xml模板\monster.xml" htmlTables="1" htmlFormat="all"/>
  </connection>
  <connection id="147" xr16:uid="{00000000-0015-0000-FFFF-FFFF6A000000}" name="monster8" type="4" refreshedVersion="2" background="1" saveData="1">
    <webPr xml="1" sourceData="1" parsePre="1" consecutive="1" xl2000="1" url="E:\xgame\data\trunk\xml\monster.xml" htmlTables="1"/>
  </connection>
  <connection id="148" xr16:uid="{00000000-0015-0000-FFFF-FFFF6B000000}" name="monster80" type="4" refreshedVersion="2" background="1" saveData="1">
    <webPr xml="1" sourceData="1" parsePre="1" consecutive="1" xl2000="1" url="D:\data\trunk\excel\xml模板\monster.xml" htmlTables="1" htmlFormat="all"/>
  </connection>
  <connection id="149" xr16:uid="{00000000-0015-0000-FFFF-FFFF6C000000}" name="monster81" type="4" refreshedVersion="2" background="1" saveData="1">
    <webPr xml="1" sourceData="1" parsePre="1" consecutive="1" xl2000="1" url="D:\data\trunk\excel\xml模板\monster.xml" htmlTables="1" htmlFormat="all"/>
  </connection>
  <connection id="150" xr16:uid="{00000000-0015-0000-FFFF-FFFF6D000000}" name="monster82" type="4" refreshedVersion="2" background="1" saveData="1">
    <webPr xml="1" sourceData="1" parsePre="1" consecutive="1" xl2000="1" url="D:\data\trunk\excel\xml模板\monster.xml" htmlTables="1" htmlFormat="all"/>
  </connection>
  <connection id="151" xr16:uid="{00000000-0015-0000-FFFF-FFFF6E000000}" name="monster83" type="4" refreshedVersion="2" background="1" saveData="1">
    <webPr xml="1" sourceData="1" parsePre="1" consecutive="1" xl2000="1" url="D:\data\trunk\excel\xml模板\monster.xml" htmlTables="1" htmlFormat="all"/>
  </connection>
  <connection id="152" xr16:uid="{00000000-0015-0000-FFFF-FFFF6F000000}" name="monster84" type="4" refreshedVersion="2" background="1" saveData="1">
    <webPr xml="1" sourceData="1" parsePre="1" consecutive="1" xl2000="1" url="E:\data\excel\xml模板\monster.xml" htmlTables="1" htmlFormat="all"/>
  </connection>
  <connection id="153" xr16:uid="{00000000-0015-0000-FFFF-FFFF70000000}" name="monster85" type="4" refreshedVersion="2" background="1" saveData="1">
    <webPr xml="1" sourceData="1" parsePre="1" consecutive="1" xl2000="1" url="D:\data\excel\xml模板\monster.xml" htmlTables="1" htmlFormat="all"/>
  </connection>
  <connection id="154" xr16:uid="{00000000-0015-0000-FFFF-FFFF71000000}" name="monster86" type="4" refreshedVersion="2" background="1" saveData="1">
    <webPr xml="1" sourceData="1" parsePre="1" consecutive="1" xl2000="1" url="D:\data\trunk\excel\xml模板\monster.xml" htmlTables="1" htmlFormat="all"/>
  </connection>
  <connection id="155" xr16:uid="{00000000-0015-0000-FFFF-FFFF72000000}" name="monster87" type="4" refreshedVersion="2" background="1" saveData="1">
    <webPr xml="1" sourceData="1" parsePre="1" consecutive="1" xl2000="1" url="D:\data\trunk\excel\xml模板\monster.xml" htmlTables="1" htmlFormat="all"/>
  </connection>
  <connection id="156" xr16:uid="{00000000-0015-0000-FFFF-FFFF73000000}" name="monster88" type="4" refreshedVersion="2" background="1" saveData="1">
    <webPr xml="1" sourceData="1" parsePre="1" consecutive="1" xl2000="1" url="E:\data\excel\xml模板\monster.xml" htmlTables="1" htmlFormat="all"/>
  </connection>
  <connection id="157" xr16:uid="{00000000-0015-0000-FFFF-FFFF74000000}" name="monster89" type="4" refreshedVersion="2" background="1" saveData="1">
    <webPr xml="1" sourceData="1" parsePre="1" consecutive="1" xl2000="1" url="D:\data\trunk\excel\xml模板\monster.xml" htmlTables="1" htmlFormat="all"/>
  </connection>
  <connection id="158" xr16:uid="{00000000-0015-0000-FFFF-FFFF75000000}" name="monster9" type="4" refreshedVersion="2" background="1" saveData="1">
    <webPr xml="1" sourceData="1" parsePre="1" consecutive="1" xl2000="1" url="E:\xgame\data\trunk\xml\monster.xml" htmlTables="1"/>
  </connection>
  <connection id="159" xr16:uid="{00000000-0015-0000-FFFF-FFFF76000000}" name="monster90" type="4" refreshedVersion="2" background="1" saveData="1">
    <webPr xml="1" sourceData="1" parsePre="1" consecutive="1" xl2000="1" url="D:\data\excel\xml模板\monster.xml" htmlTables="1" htmlFormat="all"/>
  </connection>
  <connection id="160" xr16:uid="{00000000-0015-0000-FFFF-FFFF77000000}" name="monster91" type="4" refreshedVersion="2" background="1" saveData="1">
    <webPr xml="1" sourceData="1" parsePre="1" consecutive="1" xl2000="1" url="F:\data\trunk\excel\xml模板\monster.xml" htmlTables="1" htmlFormat="all"/>
  </connection>
  <connection id="161" xr16:uid="{00000000-0015-0000-FFFF-FFFF78000000}" name="monster92" type="4" refreshedVersion="2" background="1" saveData="1">
    <webPr xml="1" sourceData="1" parsePre="1" consecutive="1" xl2000="1" url="E:\data\excel\xml模板\monster.xml" htmlTables="1" htmlFormat="all"/>
  </connection>
  <connection id="162" xr16:uid="{00000000-0015-0000-FFFF-FFFF79000000}" name="monster93" type="4" refreshedVersion="2" background="1" saveData="1">
    <webPr xml="1" sourceData="1" parsePre="1" consecutive="1" xl2000="1" url="D:\data\excel\xml模板\monster.xml" htmlTables="1" htmlFormat="all"/>
  </connection>
  <connection id="163" xr16:uid="{00000000-0015-0000-FFFF-FFFF7A000000}" name="monster94" type="4" refreshedVersion="2" background="1" saveData="1">
    <webPr xml="1" sourceData="1" parsePre="1" consecutive="1" xl2000="1" url="D:\data\excel\xml模板\monster.xml" htmlTables="1" htmlFormat="all"/>
  </connection>
  <connection id="164" xr16:uid="{00000000-0015-0000-FFFF-FFFF7B000000}" name="monster95" type="4" refreshedVersion="2" background="1" saveData="1">
    <webPr xml="1" sourceData="1" parsePre="1" consecutive="1" xl2000="1" url="D:\data\excel\xml模板\monster.xml" htmlTables="1" htmlFormat="all"/>
  </connection>
  <connection id="165" xr16:uid="{00000000-0015-0000-FFFF-FFFF7C000000}" name="monster96" type="4" refreshedVersion="2" background="1" saveData="1">
    <webPr xml="1" sourceData="1" parsePre="1" consecutive="1" xl2000="1" url="D:\data\excel\xml模板\monster.xml" htmlTables="1" htmlFormat="all"/>
  </connection>
  <connection id="166" xr16:uid="{00000000-0015-0000-FFFF-FFFF7D000000}" name="monster97" type="4" refreshedVersion="2" background="1" saveData="1">
    <webPr xml="1" sourceData="1" parsePre="1" consecutive="1" xl2000="1" url="D:\data\excel\xml模板\monster.xml" htmlTables="1" htmlFormat="all"/>
  </connection>
  <connection id="167" xr16:uid="{00000000-0015-0000-FFFF-FFFF7E000000}" name="monster98" type="4" refreshedVersion="2" background="1" saveData="1">
    <webPr xml="1" sourceData="1" parsePre="1" consecutive="1" xl2000="1" url="D:\data\excel\xml模板\monster.xml" htmlTables="1" htmlFormat="all"/>
  </connection>
  <connection id="168" xr16:uid="{00000000-0015-0000-FFFF-FFFF7F000000}" name="monster99" type="4" refreshedVersion="2" background="1" saveData="1">
    <webPr xml="1" sourceData="1" parsePre="1" consecutive="1" xl2000="1" url="D:\data\excel\xml模板\monster.xml" htmlTables="1" htmlFormat="all"/>
  </connection>
  <connection id="169" xr16:uid="{00000000-0015-0000-FFFF-FFFFA6000000}" name="summon_data" type="4" refreshedVersion="2" background="1" saveData="1">
    <webPr xml="1" sourceData="1" parsePre="1" consecutive="1" xl2000="1" url="F:\data\trunk\excel\xml模板\summon_data.xml" htmlTables="1" htmlFormat="all"/>
  </connection>
  <connection id="170" xr16:uid="{00000000-0015-0000-FFFF-FFFFA7000000}" name="summon_data1" type="4" refreshedVersion="2" background="1" saveData="1">
    <webPr xml="1" sourceData="1" parsePre="1" consecutive="1" xl2000="1" url="F:\data\trunk\excel\xml模板\summon_data.xml" htmlTables="1" htmlFormat="all"/>
  </connection>
  <connection id="171" xr16:uid="{00000000-0015-0000-FFFF-FFFFA8000000}" name="summon_data2" type="4" refreshedVersion="2" background="1" saveData="1">
    <webPr xml="1" sourceData="1" parsePre="1" consecutive="1" xl2000="1" url="F:\data\trunk\excel\xml模板\summon_data.xml" htmlTables="1" htmlFormat="all"/>
  </connection>
  <connection id="172" xr16:uid="{00000000-0015-0000-FFFF-FFFFA9000000}" name="装备强化" type="4" refreshedVersion="2" background="1" saveData="1">
    <webPr xml="1" sourceData="1" parsePre="1" consecutive="1" xl2000="1" url="C:\Users\林树贤\Desktop\装备强化.xml" htmlTables="1"/>
  </connection>
  <connection id="173" xr16:uid="{00000000-0015-0000-FFFF-FFFFAA000000}" name="装备强化1" type="4" refreshedVersion="2" background="1" saveData="1">
    <webPr xml="1" sourceData="1" parsePre="1" consecutive="1" xl2000="1" url="C:\Users\林树贤\Desktop\装备强化.xml" htmlTables="1"/>
  </connection>
  <connection id="174" xr16:uid="{00000000-0015-0000-FFFF-FFFFAB000000}" name="装备强化2" type="4" refreshedVersion="2" background="1" saveData="1">
    <webPr xml="1" sourceData="1" parsePre="1" consecutive="1" xl2000="1" url="C:\Users\林树贤\Desktop\装备强化.xml" htmlTables="1"/>
  </connection>
  <connection id="175" xr16:uid="{00000000-0015-0000-FFFF-FFFFAC000000}" name="装备强化3" type="4" refreshedVersion="2" background="1" saveData="1">
    <webPr xml="1" sourceData="1" parsePre="1" consecutive="1" xl2000="1" url="C:\Users\林树贤\Desktop\装备强化.xml" htmlTables="1"/>
  </connection>
  <connection id="176" xr16:uid="{00000000-0015-0000-FFFF-FFFFAD000000}" name="装备强化4" type="4" refreshedVersion="2" background="1" saveData="1">
    <webPr xml="1" sourceData="1" parsePre="1" consecutive="1" xl2000="1" url="C:\Users\林树贤\Desktop\装备强化.xml" htmlTables="1"/>
  </connection>
  <connection id="177" xr16:uid="{00000000-0015-0000-FFFF-FFFFAE000000}" name="装备强化5" type="4" refreshedVersion="2" background="1" saveData="1">
    <webPr xml="1" sourceData="1" parsePre="1" consecutive="1" xl2000="1" url="C:\Users\林树贤\Desktop\装备强化.xml" htmlTables="1"/>
  </connection>
  <connection id="178" xr16:uid="{00000000-0015-0000-FFFF-FFFFAF000000}" name="装备强化6" type="4" refreshedVersion="2" background="1" saveData="1">
    <webPr xml="1" sourceData="1" parsePre="1" consecutive="1" xl2000="1" url="C:\Users\林树贤\Desktop\装备强化.xml" htmlTables="1"/>
  </connection>
</connections>
</file>

<file path=xl/sharedStrings.xml><?xml version="1.0" encoding="utf-8"?>
<sst xmlns="http://schemas.openxmlformats.org/spreadsheetml/2006/main" count="11760" uniqueCount="5220">
  <si>
    <t>复制怪物时请复制对应的本体！</t>
  </si>
  <si>
    <t>monster.xml</t>
  </si>
  <si>
    <t>中文名</t>
  </si>
  <si>
    <t>图标</t>
  </si>
  <si>
    <t>小地图标识</t>
  </si>
  <si>
    <t>跨场景</t>
  </si>
  <si>
    <t>怪物类型</t>
  </si>
  <si>
    <t>BOSS标记</t>
  </si>
  <si>
    <t>共生怪物</t>
  </si>
  <si>
    <t>物理点击</t>
  </si>
  <si>
    <t>shader</t>
  </si>
  <si>
    <t>种族</t>
  </si>
  <si>
    <t>受击分类</t>
  </si>
  <si>
    <t>可否多重射击</t>
  </si>
  <si>
    <t>怪物等级</t>
  </si>
  <si>
    <t>音效</t>
  </si>
  <si>
    <t>共生</t>
  </si>
  <si>
    <t>模型</t>
  </si>
  <si>
    <t>重量</t>
  </si>
  <si>
    <t>穿墙</t>
  </si>
  <si>
    <t>击退</t>
  </si>
  <si>
    <t>体型特效</t>
  </si>
  <si>
    <t>受击顿帧</t>
  </si>
  <si>
    <t>出场动作</t>
  </si>
  <si>
    <t>出场特效</t>
  </si>
  <si>
    <t>出场前特效</t>
  </si>
  <si>
    <t>阵营</t>
  </si>
  <si>
    <t>AI</t>
  </si>
  <si>
    <t>技能</t>
  </si>
  <si>
    <t>怪物buff</t>
  </si>
  <si>
    <t>击飞</t>
  </si>
  <si>
    <t>反击</t>
  </si>
  <si>
    <t>死亡特效</t>
  </si>
  <si>
    <t>指定死亡表现</t>
  </si>
  <si>
    <t>离场</t>
  </si>
  <si>
    <t>出场音效</t>
  </si>
  <si>
    <t>战斗音效</t>
  </si>
  <si>
    <t>属性</t>
  </si>
  <si>
    <t>速度</t>
  </si>
  <si>
    <t>受击</t>
  </si>
  <si>
    <t>脱战Aiid</t>
  </si>
  <si>
    <t>基础经验</t>
  </si>
  <si>
    <t>受击动作</t>
  </si>
  <si>
    <t>刷怪权重</t>
  </si>
  <si>
    <t>怪物随从</t>
  </si>
  <si>
    <t>刷怪</t>
  </si>
  <si>
    <t>词缀</t>
  </si>
  <si>
    <t>产生怪物</t>
  </si>
  <si>
    <t>TC</t>
  </si>
  <si>
    <t>怪物id 
10101（关卡怪物）
20000玩家召唤物
30000怪物召唤物</t>
  </si>
  <si>
    <t xml:space="preserve">
ChineseID</t>
  </si>
  <si>
    <t>头像图标</t>
  </si>
  <si>
    <t>怪物名称下方描述
不填没描述
ChineseID</t>
  </si>
  <si>
    <t>是否进行部位判断
0或不填  不判断
1  判断</t>
  </si>
  <si>
    <t>跨场景不删除召唤物
默认0：删除
1：不删除</t>
  </si>
  <si>
    <t xml:space="preserve">
0或不填=其他
1=小怪
2=超级暗金怪
3=BOSS
4=女武神（显示头像）
5=召唤物（不显示头像）
6=多头蛇
7=骨牢
8=场景可破坏物件
9=NPC
10=召唤物（可选中）
11=特殊事件怪物（阵型）
12=墙怪物
13=梦魇怪物</t>
  </si>
  <si>
    <t>是否关底BOSS
1-是
0或不填不是</t>
  </si>
  <si>
    <t>当前怪物ID死亡时，配置的关联怪物也会死亡
填怪物ID，不填则没有</t>
  </si>
  <si>
    <t>不可被选取
物理点击，鼠标无法选中
默认0：可选取
1:不可选取</t>
  </si>
  <si>
    <t>（涉及对怪物种类额外伤害）
0-无种族
1-不死
2-恶魔
3-动物
4-天使
5-梦魇</t>
  </si>
  <si>
    <t xml:space="preserve">（区分怪物受击表现）
1-骷髅
2-昆虫
3-肉体
</t>
  </si>
  <si>
    <t>配0或者不配，不会随机到多重射击词缀；
配1，会随机到多重射击词缀</t>
  </si>
  <si>
    <t xml:space="preserve">
普通难度</t>
  </si>
  <si>
    <t>（噩梦难度）
只对BOSS有用，其他由场景决定</t>
  </si>
  <si>
    <t>（地狱难度）
只对BOSS有用，其他由场景决定</t>
  </si>
  <si>
    <t>怪物音效
（关联MonSound文件）</t>
  </si>
  <si>
    <t>作为暗金怪或精英怪时的音效
（关联MonSound文件）</t>
  </si>
  <si>
    <t>共生怪物ID</t>
  </si>
  <si>
    <t>模型id</t>
  </si>
  <si>
    <t>模型大小：1000或不填为原始大小，1500为1.5倍</t>
  </si>
  <si>
    <t>体型尺寸（CM）</t>
  </si>
  <si>
    <t>用于判定布娃娃碰撞球
1 轻型
2 中等
3 重型</t>
  </si>
  <si>
    <t>控制于boss尺寸影响技能逻辑
0、不填：影响
1：不影响</t>
  </si>
  <si>
    <t>是否能穿墙受击
1-是，0或不填-否</t>
  </si>
  <si>
    <t>怪物体型
（判断20008的击退是否生效）
0或不填或1=100%被击退
2=50%被击退
3=25%被击退
4=不会被击退</t>
  </si>
  <si>
    <t>根据体型大小播放不同特效
1-小体型
2-中体型
3-大体型</t>
  </si>
  <si>
    <t>根据体型设定倍率，体型越大倍率越大
体型越大的怪顿帧效果越明显
单位：百分比</t>
  </si>
  <si>
    <t>是否使用出场动作（born_1）
0或不填：不启用（默认）
填时间(ms)：启用，填写出生动作结束时间
用作机关，这个时长会叠加</t>
  </si>
  <si>
    <r>
      <rPr>
        <sz val="9"/>
        <color theme="1"/>
        <rFont val="微软雅黑"/>
        <family val="2"/>
        <charset val="134"/>
      </rPr>
      <t>（</t>
    </r>
    <r>
      <rPr>
        <sz val="9"/>
        <color rgb="FFFF0000"/>
        <rFont val="微软雅黑"/>
        <family val="2"/>
        <charset val="134"/>
      </rPr>
      <t>出场时</t>
    </r>
    <r>
      <rPr>
        <sz val="9"/>
        <color theme="1"/>
        <rFont val="微软雅黑"/>
        <family val="2"/>
        <charset val="134"/>
      </rPr>
      <t>播放特效，播放born_1时播放的特效事件）
技能特效主ID,事件ID,触发时间</t>
    </r>
  </si>
  <si>
    <r>
      <rPr>
        <sz val="9"/>
        <color theme="1"/>
        <rFont val="微软雅黑"/>
        <family val="2"/>
        <charset val="134"/>
      </rPr>
      <t>（用以</t>
    </r>
    <r>
      <rPr>
        <sz val="9"/>
        <color rgb="FFFF0000"/>
        <rFont val="微软雅黑"/>
        <family val="2"/>
        <charset val="134"/>
      </rPr>
      <t>出场前</t>
    </r>
    <r>
      <rPr>
        <sz val="9"/>
        <color theme="1"/>
        <rFont val="微软雅黑"/>
        <family val="2"/>
        <charset val="134"/>
      </rPr>
      <t>播放特效）
技能特效主ID,事件ID,触发时间</t>
    </r>
  </si>
  <si>
    <t>所属阵营
0-怪物
1-玩家
默认为0</t>
  </si>
  <si>
    <t>AI激活搜索范围
（需要出场动作才填）</t>
  </si>
  <si>
    <r>
      <rPr>
        <sz val="10"/>
        <color theme="1"/>
        <rFont val="微软雅黑"/>
        <family val="2"/>
        <charset val="134"/>
      </rPr>
      <t xml:space="preserve">怪物技能
</t>
    </r>
    <r>
      <rPr>
        <sz val="10"/>
        <color rgb="FFFF0000"/>
        <rFont val="微软雅黑"/>
        <family val="2"/>
        <charset val="134"/>
      </rPr>
      <t>(注:AI前后端读技能表的pos_i,此处可以不用排序了)</t>
    </r>
  </si>
  <si>
    <t>技能等级1</t>
  </si>
  <si>
    <t>怪物技能
（噩梦难度）</t>
  </si>
  <si>
    <t>技能等级2</t>
  </si>
  <si>
    <t>怪物技能
（地狱难度）</t>
  </si>
  <si>
    <t>技能等级3</t>
  </si>
  <si>
    <t>buffid：触发概率，持续时间（毫秒）</t>
  </si>
  <si>
    <t>击飞距离，击飞时间
（CM）,（毫秒）</t>
  </si>
  <si>
    <t>触发血量（百分比）
更换目标（百分比）</t>
  </si>
  <si>
    <t>死亡特效播放判断</t>
  </si>
  <si>
    <t>有指定死亡表现的怪才填
填了本字段其他死亡效果事件都不会播放
技能特效主ID,事件ID,触发时间</t>
  </si>
  <si>
    <t>指定死亡方式
填了die_special_s字段其他死亡方式事件都不会播放
不填：没有特殊效果
1：消融消失
2 直接删除</t>
  </si>
  <si>
    <t>指定死亡方式参数
（和die_way_i对应）
1：开始时间，持续时间（毫秒）</t>
  </si>
  <si>
    <t>离场动作时间（毫秒）</t>
  </si>
  <si>
    <t>离场表现</t>
  </si>
  <si>
    <t>怪物出现后，播放音效
配置格式：音效ID,进入距离,脱战距离，播放间隔
音效ID：音乐配置表ID
进入距离：距离BOSS多远开始播音乐（单位：厘米）
脱战距离：距离BOSS多远停止播音乐（单位：厘米）
播放间隔：（单位：毫秒）</t>
  </si>
  <si>
    <t>与该怪物进入战斗后，播放BGM
配置格式：音效ID</t>
  </si>
  <si>
    <t>属性表id</t>
  </si>
  <si>
    <t>召唤物属性</t>
  </si>
  <si>
    <r>
      <rPr>
        <sz val="10"/>
        <color rgb="FFFF0000"/>
        <rFont val="微软雅黑"/>
        <family val="2"/>
        <charset val="134"/>
      </rPr>
      <t xml:space="preserve">波次属性
</t>
    </r>
    <r>
      <rPr>
        <b/>
        <sz val="10"/>
        <color rgb="FFFF0000"/>
        <rFont val="微软雅黑"/>
        <family val="2"/>
        <charset val="134"/>
      </rPr>
      <t xml:space="preserve">新
</t>
    </r>
    <r>
      <rPr>
        <sz val="10"/>
        <color rgb="FFFF0000"/>
        <rFont val="微软雅黑"/>
        <family val="2"/>
        <charset val="134"/>
      </rPr>
      <t>怪物属性=基本属性+波次属性*波数
注意，玩家的召唤物不要配置</t>
    </r>
  </si>
  <si>
    <t>切换到跑步的速度值
第1个：移动速度
第2个：跑步速度
第三个：动作阀值</t>
  </si>
  <si>
    <t>速度参数
移动，巡逻，观望，逃跑
（单位cm/s）</t>
  </si>
  <si>
    <t>动作速度
100——500</t>
  </si>
  <si>
    <t>出生旋转角度</t>
  </si>
  <si>
    <t>是否在实际受击位置播放受击特效
1:在受击位置播放特效
0或空：播放位置不变</t>
  </si>
  <si>
    <t>受击原点偏移量
填（x,y,z）乘以100</t>
  </si>
  <si>
    <t>受击半径
/ cm</t>
  </si>
  <si>
    <t>受击高度
/ cm</t>
  </si>
  <si>
    <t xml:space="preserve">
进入战斗状态后技能没使用累计时间(ms)，距离出生点距离(cm)</t>
  </si>
  <si>
    <t xml:space="preserve">
(受经验加成影响)
需要和怪物等级表算出最终基础经验值</t>
  </si>
  <si>
    <t>受击时是否播放受击动作
 0或空：播放       
1：不播放</t>
  </si>
  <si>
    <t>出现权重
（地图确定怪物时概率）</t>
  </si>
  <si>
    <t>刷出权重
（每个怪区选择怪物时概率）
(不能填0）</t>
  </si>
  <si>
    <t>随机怪物ID
monsterID</t>
  </si>
  <si>
    <t>固定怪物组
优先级高于随机怪物
怪物ID+数量</t>
  </si>
  <si>
    <t>随从最少数量</t>
  </si>
  <si>
    <t>随从最大数量
建议不超过15</t>
  </si>
  <si>
    <t>刷出的最小数目
（普通）</t>
  </si>
  <si>
    <t>刷出的最大数目
（普通）</t>
  </si>
  <si>
    <t>刷出的最小数目
（噩梦）</t>
  </si>
  <si>
    <t>刷出的最大数目
（噩梦）</t>
  </si>
  <si>
    <t>刷出的最小数目
（地狱）</t>
  </si>
  <si>
    <t>刷出的最大数目
（地狱）</t>
  </si>
  <si>
    <t>刷出的最小数目
（异界）</t>
  </si>
  <si>
    <t>刷出的最大数目
（异界）</t>
  </si>
  <si>
    <t>固定词缀
填词缀ID
不填没有</t>
  </si>
  <si>
    <t>随机词缀
数量：词缀ID1，词缀ID2</t>
  </si>
  <si>
    <t>此怪物是否可以产生其他怪物
（1可以产生，0或不填不可产生）</t>
  </si>
  <si>
    <t>此怪物可以产生的怪物ID</t>
  </si>
  <si>
    <t>产生的怪物出生位置坐标</t>
  </si>
  <si>
    <t>掉落包
掉落ID</t>
  </si>
  <si>
    <t>首杀掉落包
掉落ID
0或不填则没有</t>
  </si>
  <si>
    <t>无尽模式掉落包
掉落ID
0或不填则没有</t>
  </si>
  <si>
    <t>触发该怪为任务TC的任务ID</t>
  </si>
  <si>
    <t>要触发该怪为任务TC所需要完成的任务ID</t>
  </si>
  <si>
    <t>id_i</t>
  </si>
  <si>
    <t>monster_name_i</t>
  </si>
  <si>
    <t>monster_icon_i</t>
  </si>
  <si>
    <t>descstr_i</t>
  </si>
  <si>
    <t>is_part_judge_i</t>
  </si>
  <si>
    <t>cross_scene_i</t>
  </si>
  <si>
    <t>monster_type_i</t>
  </si>
  <si>
    <t>close_boss_i</t>
  </si>
  <si>
    <t>symbiosis_monster_l</t>
  </si>
  <si>
    <t>physical_click_i</t>
  </si>
  <si>
    <t>shader_i</t>
  </si>
  <si>
    <t>montype_i</t>
  </si>
  <si>
    <t>monrace_i</t>
  </si>
  <si>
    <t>multi_shot_i</t>
  </si>
  <si>
    <t>lv_i</t>
  </si>
  <si>
    <t>lv_n_i</t>
  </si>
  <si>
    <t>lv_h_i</t>
  </si>
  <si>
    <t>monsound_i</t>
  </si>
  <si>
    <t>umonsound_i</t>
  </si>
  <si>
    <t>symbiotic_monster_l</t>
  </si>
  <si>
    <t>model_id_i</t>
  </si>
  <si>
    <t>model_scale_i</t>
  </si>
  <si>
    <t>shape_i</t>
  </si>
  <si>
    <t>weight_i</t>
  </si>
  <si>
    <t>model_Logic_i</t>
  </si>
  <si>
    <t>through_wall_i</t>
  </si>
  <si>
    <t>size_i</t>
  </si>
  <si>
    <t>effect_size_i</t>
  </si>
  <si>
    <t>hit_pause_i</t>
  </si>
  <si>
    <t>exit_action_i</t>
  </si>
  <si>
    <t>exit_fx_s</t>
  </si>
  <si>
    <t>fx_skill_s</t>
  </si>
  <si>
    <t>faction_i</t>
  </si>
  <si>
    <t>ai_id_i</t>
  </si>
  <si>
    <t>search_range_i</t>
  </si>
  <si>
    <t>skill_ids_l</t>
  </si>
  <si>
    <t>skill_lv_l</t>
  </si>
  <si>
    <t>skill_ids_2_l</t>
  </si>
  <si>
    <t>skill_lv_2_l</t>
  </si>
  <si>
    <t>skill_ids_3_l</t>
  </si>
  <si>
    <t>skill_lv_3_l</t>
  </si>
  <si>
    <t>skill_buff_n</t>
  </si>
  <si>
    <t>fly_distance_l</t>
  </si>
  <si>
    <t>counter_attack_n</t>
  </si>
  <si>
    <t>die_type_l</t>
  </si>
  <si>
    <t>die_special_s</t>
  </si>
  <si>
    <t>die_way_i</t>
  </si>
  <si>
    <t>die_parameter_l</t>
  </si>
  <si>
    <t>leave_time_i</t>
  </si>
  <si>
    <t>leave_fx_s</t>
  </si>
  <si>
    <t>appear_music_l</t>
  </si>
  <si>
    <t>fight_music_i</t>
  </si>
  <si>
    <t>property_id_i</t>
  </si>
  <si>
    <t>summon_attri_m</t>
  </si>
  <si>
    <t>property_wave_m</t>
  </si>
  <si>
    <t>act_shift_l</t>
  </si>
  <si>
    <t>base_speed_l</t>
  </si>
  <si>
    <t>base_animation_speed_l</t>
  </si>
  <si>
    <t>born_face_i</t>
  </si>
  <si>
    <t>is_hit_range_i</t>
  </si>
  <si>
    <t>be_hit_point_l</t>
  </si>
  <si>
    <t>be_hit_radius_i</t>
  </si>
  <si>
    <t>be_hit_height_i</t>
  </si>
  <si>
    <t>break_up_action_ai_l</t>
  </si>
  <si>
    <t>drop_exp_i</t>
  </si>
  <si>
    <t>cant_be_hit_i</t>
  </si>
  <si>
    <t>rarity_i</t>
  </si>
  <si>
    <t>rarity2_i</t>
  </si>
  <si>
    <t>minion_l</t>
  </si>
  <si>
    <t>fixed_monster_group_m</t>
  </si>
  <si>
    <t>partymin_i</t>
  </si>
  <si>
    <t>partymax_i</t>
  </si>
  <si>
    <t>mingrp_i</t>
  </si>
  <si>
    <t>maxgrp_i</t>
  </si>
  <si>
    <t>mingrp_n_i</t>
  </si>
  <si>
    <t>maxgrp_n_i</t>
  </si>
  <si>
    <t>mingrp_h_i</t>
  </si>
  <si>
    <t>maxgrp_h_i</t>
  </si>
  <si>
    <t>mingrp_v_i</t>
  </si>
  <si>
    <t>maxgrp_v_i</t>
  </si>
  <si>
    <t>fixed_affix_l</t>
  </si>
  <si>
    <t>random_affix_n</t>
  </si>
  <si>
    <t>placespawn_i</t>
  </si>
  <si>
    <t>spawn_i</t>
  </si>
  <si>
    <t>spawnx_n</t>
  </si>
  <si>
    <t>firstkill_treasureclass_i</t>
  </si>
  <si>
    <t>endless_treasureclass_i</t>
  </si>
  <si>
    <t>tctaskid_i</t>
  </si>
  <si>
    <t>tccomtaskid_i</t>
  </si>
  <si>
    <t>地图关卡</t>
  </si>
  <si>
    <t>种类</t>
  </si>
  <si>
    <t>特征</t>
  </si>
  <si>
    <t>0</t>
  </si>
  <si>
    <t>0:0</t>
  </si>
  <si>
    <t>0,0</t>
  </si>
  <si>
    <t>100001,2,200</t>
  </si>
  <si>
    <t>500,2000</t>
  </si>
  <si>
    <t>300,1000,5200,10000</t>
  </si>
  <si>
    <t>300,1000,5200</t>
  </si>
  <si>
    <t>1:1;2:2</t>
  </si>
  <si>
    <t>202:10;302:20</t>
  </si>
  <si>
    <t>10,2,3,4</t>
  </si>
  <si>
    <t>100</t>
  </si>
  <si>
    <t>0,0,0</t>
  </si>
  <si>
    <t>1,30000,4000</t>
  </si>
  <si>
    <t>BOSS技能</t>
  </si>
  <si>
    <t>魂魄</t>
  </si>
  <si>
    <t>骸骨之魂——自爆</t>
  </si>
  <si>
    <t>31104</t>
  </si>
  <si>
    <t>1</t>
  </si>
  <si>
    <t>13260:10000,-1;31105:10000,-1</t>
  </si>
  <si>
    <t>3:10;50:50</t>
  </si>
  <si>
    <t>4,5,6,7,8</t>
  </si>
  <si>
    <t>1093005,8,0</t>
  </si>
  <si>
    <t>300,600</t>
  </si>
  <si>
    <t>600,100,100,100</t>
  </si>
  <si>
    <t>100,100,100,200</t>
  </si>
  <si>
    <t>傀儡蜘蛛</t>
  </si>
  <si>
    <t>31338</t>
  </si>
  <si>
    <t>31339:10000,-1</t>
  </si>
  <si>
    <t>火魂</t>
  </si>
  <si>
    <t>火魂——旋转火</t>
  </si>
  <si>
    <t>31529</t>
  </si>
  <si>
    <t>13260:10000,-1;31529:10000,-1</t>
  </si>
  <si>
    <t>150,350</t>
  </si>
  <si>
    <t>100,100,100,100</t>
  </si>
  <si>
    <t>难度符文怪物</t>
  </si>
  <si>
    <t>盗宝地精</t>
  </si>
  <si>
    <t>30001</t>
  </si>
  <si>
    <t>450,500</t>
  </si>
  <si>
    <t>202:15;302:60</t>
  </si>
  <si>
    <t>200,500</t>
  </si>
  <si>
    <t>400,100,100,100</t>
  </si>
  <si>
    <t>猎狗</t>
  </si>
  <si>
    <t>30001,30002</t>
  </si>
  <si>
    <t>1,1</t>
  </si>
  <si>
    <t>550,700</t>
  </si>
  <si>
    <t>202:5;302:30</t>
  </si>
  <si>
    <t>500,100,100,100</t>
  </si>
  <si>
    <t>灵魂追击</t>
  </si>
  <si>
    <t>13260:10000,-1;31106:10000,-1</t>
  </si>
  <si>
    <t>雷电陷阱</t>
  </si>
  <si>
    <t>45001</t>
  </si>
  <si>
    <t>150,300</t>
  </si>
  <si>
    <t>场景机制用</t>
  </si>
  <si>
    <t>BOSS连线</t>
  </si>
  <si>
    <t>13260:10000,-1;33125:10000,-1</t>
  </si>
  <si>
    <t>ACT1新</t>
  </si>
  <si>
    <t>普通骷髅</t>
  </si>
  <si>
    <t>10011,10012</t>
  </si>
  <si>
    <t>300,100,100,100</t>
  </si>
  <si>
    <t>骷髅盾卫</t>
  </si>
  <si>
    <t>200,350</t>
  </si>
  <si>
    <t>骷髅战士</t>
  </si>
  <si>
    <t>30013,30014</t>
  </si>
  <si>
    <t>10411,10412</t>
  </si>
  <si>
    <t>200,400</t>
  </si>
  <si>
    <t>320,100,100,100</t>
  </si>
  <si>
    <t>骷髅弓手</t>
  </si>
  <si>
    <t>46041</t>
  </si>
  <si>
    <t>450,100,100,100</t>
  </si>
  <si>
    <t>骷髅法师</t>
  </si>
  <si>
    <t>30073</t>
  </si>
  <si>
    <t>350,100,100,100</t>
  </si>
  <si>
    <t>骷髅刺客</t>
  </si>
  <si>
    <t>10071,10072</t>
  </si>
  <si>
    <t>中级骷髅战士</t>
  </si>
  <si>
    <t>30009,30010</t>
  </si>
  <si>
    <t>10031,10032</t>
  </si>
  <si>
    <t>骷髅长刀</t>
  </si>
  <si>
    <t>行尸</t>
  </si>
  <si>
    <t>30022</t>
  </si>
  <si>
    <t>11011</t>
  </si>
  <si>
    <t>高级行尸</t>
  </si>
  <si>
    <t>30025</t>
  </si>
  <si>
    <t>11041</t>
  </si>
  <si>
    <t>282,282</t>
  </si>
  <si>
    <t>食腐犬</t>
  </si>
  <si>
    <t>自爆僵尸</t>
  </si>
  <si>
    <t>30026,30027</t>
  </si>
  <si>
    <t>11101,11102</t>
  </si>
  <si>
    <t>1110002,6,1000</t>
  </si>
  <si>
    <t>1000,100</t>
  </si>
  <si>
    <t>火焰恶魔</t>
  </si>
  <si>
    <t>冲锋怪物</t>
  </si>
  <si>
    <t>骷髅精英战士</t>
  </si>
  <si>
    <t>30151,30010</t>
  </si>
  <si>
    <t>202:5;302:50</t>
  </si>
  <si>
    <t>13</t>
  </si>
  <si>
    <t>精英骷髅法师</t>
  </si>
  <si>
    <t>30070,30071</t>
  </si>
  <si>
    <t>30070,30071,30072</t>
  </si>
  <si>
    <t>1,1,1</t>
  </si>
  <si>
    <t>魔弓</t>
  </si>
  <si>
    <t>30082,30081</t>
  </si>
  <si>
    <t>32</t>
  </si>
  <si>
    <t>骷髅将领</t>
  </si>
  <si>
    <t>30019,30020,300201</t>
  </si>
  <si>
    <t>1003</t>
  </si>
  <si>
    <t>550,100,100,100</t>
  </si>
  <si>
    <t>缝合巨尸</t>
  </si>
  <si>
    <t>1408008,4,0</t>
  </si>
  <si>
    <t>30039,30041,30042</t>
  </si>
  <si>
    <t>1,1,1,1</t>
  </si>
  <si>
    <t>300,500</t>
  </si>
  <si>
    <t>骷髅王</t>
  </si>
  <si>
    <t>31106,31101,31102,31103</t>
  </si>
  <si>
    <t>2002006,2,0</t>
  </si>
  <si>
    <t>150,400</t>
  </si>
  <si>
    <t>地狱炎魔王</t>
  </si>
  <si>
    <t>31114</t>
  </si>
  <si>
    <t>任务-怨灵</t>
  </si>
  <si>
    <t>特殊怪物</t>
  </si>
  <si>
    <t>被召唤物-灰袍亡灵</t>
  </si>
  <si>
    <t>事件阵型怪物1</t>
  </si>
  <si>
    <t>30021</t>
  </si>
  <si>
    <t>10201</t>
  </si>
  <si>
    <t>650,100,100,100</t>
  </si>
  <si>
    <t>事件怪物-火墙</t>
  </si>
  <si>
    <t>ACT1</t>
  </si>
  <si>
    <t>13260:10000,-1</t>
  </si>
  <si>
    <t>ACT2</t>
  </si>
  <si>
    <t>ACT3</t>
  </si>
  <si>
    <t>ACT4</t>
  </si>
  <si>
    <t>ACT5</t>
  </si>
  <si>
    <t>梦魇怪物-普通</t>
  </si>
  <si>
    <t>200,600</t>
  </si>
  <si>
    <t>梦魇怪物-梦魇眼球</t>
  </si>
  <si>
    <t>30121</t>
  </si>
  <si>
    <t>2005:10000,-1</t>
  </si>
  <si>
    <t>梦魇怪物-普通触手</t>
  </si>
  <si>
    <t>30131</t>
  </si>
  <si>
    <t>0,0,0,0</t>
  </si>
  <si>
    <t>梦魇怪物-变异触手</t>
  </si>
  <si>
    <t>梦魇怪物-精英</t>
  </si>
  <si>
    <t>梦魇怪物-首领</t>
  </si>
  <si>
    <t>ACT2新</t>
  </si>
  <si>
    <t>原住民</t>
  </si>
  <si>
    <t>普通小怪</t>
  </si>
  <si>
    <t>202:8;302:40</t>
  </si>
  <si>
    <t>200,300</t>
  </si>
  <si>
    <t>原住民胖子</t>
  </si>
  <si>
    <t>肉盾</t>
  </si>
  <si>
    <t>450,1000</t>
  </si>
  <si>
    <t>老鼠</t>
  </si>
  <si>
    <t>突袭怪</t>
  </si>
  <si>
    <t>裂口恶犬</t>
  </si>
  <si>
    <t>刺客</t>
  </si>
  <si>
    <t>虫人</t>
  </si>
  <si>
    <t>进阶小怪</t>
  </si>
  <si>
    <t>虫族猎杀者</t>
  </si>
  <si>
    <t>战士</t>
  </si>
  <si>
    <t>虫人长矛</t>
  </si>
  <si>
    <t>远距战士</t>
  </si>
  <si>
    <t>驯虫师</t>
  </si>
  <si>
    <t>盾卫战士</t>
  </si>
  <si>
    <t>变异蟑螂</t>
  </si>
  <si>
    <t>法师</t>
  </si>
  <si>
    <t>殖民者</t>
  </si>
  <si>
    <t>高级小怪</t>
  </si>
  <si>
    <t>殖民者队长</t>
  </si>
  <si>
    <t>远程雷电</t>
  </si>
  <si>
    <t>46001</t>
  </si>
  <si>
    <t>殖民者标枪</t>
  </si>
  <si>
    <t>投掷标枪</t>
  </si>
  <si>
    <t>30083</t>
  </si>
  <si>
    <t>奴隶-野猪人</t>
  </si>
  <si>
    <t>肉盾精英</t>
  </si>
  <si>
    <t>奴隶-牛头人</t>
  </si>
  <si>
    <t>战士精英</t>
  </si>
  <si>
    <t>殖民者刺客</t>
  </si>
  <si>
    <t>刺客精英</t>
  </si>
  <si>
    <t>空怪物-落雷</t>
  </si>
  <si>
    <t>13260:10000,-1;20000:10000,-1</t>
  </si>
  <si>
    <t>野蛮巨猩</t>
  </si>
  <si>
    <t>特殊精英</t>
  </si>
  <si>
    <t>202:8;302:60</t>
  </si>
  <si>
    <t>蚀魂雷蛛</t>
  </si>
  <si>
    <t>虫人毒师</t>
  </si>
  <si>
    <t>150,250</t>
  </si>
  <si>
    <t>19</t>
  </si>
  <si>
    <t>奴隶-野猪队长</t>
  </si>
  <si>
    <t>boss</t>
  </si>
  <si>
    <t>31201,31202</t>
  </si>
  <si>
    <t>电刑者</t>
  </si>
  <si>
    <t>31211</t>
  </si>
  <si>
    <t>殖民者-统领</t>
  </si>
  <si>
    <t>31221,31222,31223,31224</t>
  </si>
  <si>
    <t>2:30;50:100</t>
  </si>
  <si>
    <t>殖民者-领主</t>
  </si>
  <si>
    <t>31231,31232,31233</t>
  </si>
  <si>
    <t>任务-电刑者</t>
  </si>
  <si>
    <t>任务-封印者</t>
  </si>
  <si>
    <t>任务-雷祭司亡魂</t>
  </si>
  <si>
    <t>ACT3新</t>
  </si>
  <si>
    <t>普通甲虫</t>
  </si>
  <si>
    <t>46021:10000,-1</t>
  </si>
  <si>
    <t>202:12;302:50</t>
  </si>
  <si>
    <t>硬壳甲虫</t>
  </si>
  <si>
    <t>425,100,100,100</t>
  </si>
  <si>
    <t>腐化血犬</t>
  </si>
  <si>
    <t>沙漠毒蝎</t>
  </si>
  <si>
    <t>腐血行尸</t>
  </si>
  <si>
    <t>30033,30034</t>
  </si>
  <si>
    <t>10291,10292</t>
  </si>
  <si>
    <t>高级腐血行尸</t>
  </si>
  <si>
    <t>进阶肉盾</t>
  </si>
  <si>
    <t>46022:10000,-1</t>
  </si>
  <si>
    <t>沙漠毒株</t>
  </si>
  <si>
    <t>腐化野猪人</t>
  </si>
  <si>
    <t>进阶战士</t>
  </si>
  <si>
    <t>腐化蚊虫</t>
  </si>
  <si>
    <t>远程</t>
  </si>
  <si>
    <t>腐化残肢</t>
  </si>
  <si>
    <t>46011</t>
  </si>
  <si>
    <t>腐血蜥蜴</t>
  </si>
  <si>
    <t>腐化裂口巨犬</t>
  </si>
  <si>
    <t>高级战士</t>
  </si>
  <si>
    <t>赤化巨魔</t>
  </si>
  <si>
    <t>高阶肉盾</t>
  </si>
  <si>
    <t>46023:10000,-1</t>
  </si>
  <si>
    <t>450,450</t>
  </si>
  <si>
    <t>腐化血巢</t>
  </si>
  <si>
    <t>召唤小怪</t>
  </si>
  <si>
    <t>46031</t>
  </si>
  <si>
    <t>被召唤物-腐化小虫子</t>
  </si>
  <si>
    <t>召唤物</t>
  </si>
  <si>
    <t>毒雾怪物</t>
  </si>
  <si>
    <t>特殊怪</t>
  </si>
  <si>
    <t>暗红毒蛛</t>
  </si>
  <si>
    <t>202:12;302:70</t>
  </si>
  <si>
    <t>31</t>
  </si>
  <si>
    <t>裂口吞噬者</t>
  </si>
  <si>
    <t>31301,31302</t>
  </si>
  <si>
    <t>缝合之眼</t>
  </si>
  <si>
    <t>31311,31312</t>
  </si>
  <si>
    <t>血斧掠夺者-卡洛斯</t>
  </si>
  <si>
    <t>31321,31322,31323</t>
  </si>
  <si>
    <t>腐蚀之主</t>
  </si>
  <si>
    <t>31331,31332,31333,31334</t>
  </si>
  <si>
    <t>任务-腐化祭司幻影</t>
  </si>
  <si>
    <t>ACT4新</t>
  </si>
  <si>
    <t>尖刺血球人</t>
  </si>
  <si>
    <t>通用小怪</t>
  </si>
  <si>
    <t>雪胖子</t>
  </si>
  <si>
    <t>通用肉盾</t>
  </si>
  <si>
    <t>冰原雪狼</t>
  </si>
  <si>
    <t>冰原鹿人</t>
  </si>
  <si>
    <t>冰原羊魇</t>
  </si>
  <si>
    <t>冰原裂口犬</t>
  </si>
  <si>
    <t>冰原蜥蜴</t>
  </si>
  <si>
    <t>冰原骨蛛</t>
  </si>
  <si>
    <t>冰原蚊虫</t>
  </si>
  <si>
    <t>普通冰刺幽魂</t>
  </si>
  <si>
    <t>冰原食尸鬼</t>
  </si>
  <si>
    <t>冰霜守卫</t>
  </si>
  <si>
    <t>机制怪物</t>
  </si>
  <si>
    <t>龙卷风</t>
  </si>
  <si>
    <t>13274:10000,-1</t>
  </si>
  <si>
    <t>巨型石人</t>
  </si>
  <si>
    <t>202:15;302:80</t>
  </si>
  <si>
    <t>35</t>
  </si>
  <si>
    <t>冰原巨犬</t>
  </si>
  <si>
    <t>冰刺幽魂</t>
  </si>
  <si>
    <t>腹眼巨魔</t>
  </si>
  <si>
    <t>31401,31402</t>
  </si>
  <si>
    <t>冰霜巨人</t>
  </si>
  <si>
    <t>31411,31412</t>
  </si>
  <si>
    <t>冰锤首领</t>
  </si>
  <si>
    <t>31421,31422,31423</t>
  </si>
  <si>
    <t>冰霜寒主</t>
  </si>
  <si>
    <t>31431,31432,31433,31434</t>
  </si>
  <si>
    <t>任务-巨型石头人</t>
  </si>
  <si>
    <t>任务-哨兵灵魂</t>
  </si>
  <si>
    <t>任务-钥之守卫</t>
  </si>
  <si>
    <t>ACT5新</t>
  </si>
  <si>
    <t>初阶恶魔</t>
  </si>
  <si>
    <t>大头恶魔</t>
  </si>
  <si>
    <t>地狱恶犬</t>
  </si>
  <si>
    <t>中阶恶魔</t>
  </si>
  <si>
    <t>中阶恶魔（肉）</t>
  </si>
  <si>
    <t>中阶恶魔（抛沙）</t>
  </si>
  <si>
    <t>特殊技能</t>
  </si>
  <si>
    <t>46061</t>
  </si>
  <si>
    <t>畸变魔</t>
  </si>
  <si>
    <t>地狱炎蜴</t>
  </si>
  <si>
    <t>火魔法师</t>
  </si>
  <si>
    <t>46071</t>
  </si>
  <si>
    <t>炎狱魔</t>
  </si>
  <si>
    <t>450,600</t>
  </si>
  <si>
    <t>高阶恶魔</t>
  </si>
  <si>
    <t>高阶小怪</t>
  </si>
  <si>
    <t>高阶半肉</t>
  </si>
  <si>
    <t>炎魔统领</t>
  </si>
  <si>
    <t>滚石</t>
  </si>
  <si>
    <t>火山</t>
  </si>
  <si>
    <t>45011</t>
  </si>
  <si>
    <t>空气墙</t>
  </si>
  <si>
    <t>18</t>
  </si>
  <si>
    <t>炎狱队长</t>
  </si>
  <si>
    <t>魇魔</t>
  </si>
  <si>
    <t>地狱守卫</t>
  </si>
  <si>
    <t>31501,31502</t>
  </si>
  <si>
    <t>掠夺者·卡洛斯</t>
  </si>
  <si>
    <t>31511,31512,31513</t>
  </si>
  <si>
    <t>菲尼克斯</t>
  </si>
  <si>
    <t>31521,31524,31523,31522</t>
  </si>
  <si>
    <t>菲尼克斯-测试</t>
  </si>
  <si>
    <t>31523</t>
  </si>
  <si>
    <t>深渊主宰</t>
  </si>
  <si>
    <t>31531,31532,31534,31535</t>
  </si>
  <si>
    <t>终局BOSS-</t>
  </si>
  <si>
    <t>33121,33122,33123,33124</t>
  </si>
  <si>
    <t>33122</t>
  </si>
  <si>
    <t>33121,33122,33123,33124,33125</t>
  </si>
  <si>
    <t>1,1,1,1,1</t>
  </si>
  <si>
    <t>33121</t>
  </si>
  <si>
    <t>任务-熔喉献祭者</t>
  </si>
  <si>
    <t>地下监牢新
（隐藏）</t>
  </si>
  <si>
    <t>普通行尸</t>
  </si>
  <si>
    <t>202:10;302:50</t>
  </si>
  <si>
    <t>普通行尸2</t>
  </si>
  <si>
    <t>喷毒行尸</t>
  </si>
  <si>
    <t>普通肉盾</t>
  </si>
  <si>
    <t>嗜尸肉犬</t>
  </si>
  <si>
    <t>中级行尸</t>
  </si>
  <si>
    <t>中级行尸2</t>
  </si>
  <si>
    <t>自爆行尸</t>
  </si>
  <si>
    <t>突袭特殊</t>
  </si>
  <si>
    <t>地下蝙蝠</t>
  </si>
  <si>
    <t>腹口裂尸</t>
  </si>
  <si>
    <t>中阶肉盾</t>
  </si>
  <si>
    <t>贪欲行尸</t>
  </si>
  <si>
    <t>31411</t>
  </si>
  <si>
    <t>区域喷火</t>
  </si>
  <si>
    <t>45021</t>
  </si>
  <si>
    <t>13274:10000,-1;20000:10000,-1;20001:10000,-1</t>
  </si>
  <si>
    <t>固定精英</t>
  </si>
  <si>
    <t>202:12;302:60</t>
  </si>
  <si>
    <t>BOSS</t>
  </si>
  <si>
    <t>202:15;302:70</t>
  </si>
  <si>
    <t>屠夫</t>
  </si>
  <si>
    <t>33101,33102,33104</t>
  </si>
  <si>
    <t>奶牛关新
（隐藏）</t>
  </si>
  <si>
    <t>普通牛头</t>
  </si>
  <si>
    <t>精英牛头</t>
  </si>
  <si>
    <t>奶牛王</t>
  </si>
  <si>
    <t>33111,33112,33113,33114</t>
  </si>
  <si>
    <t>基础技能召唤物</t>
  </si>
  <si>
    <t>骸骨之魂</t>
  </si>
  <si>
    <t>100071</t>
  </si>
  <si>
    <t>104206,9,0</t>
  </si>
  <si>
    <t>225,525</t>
  </si>
  <si>
    <t>主动技能召唤</t>
  </si>
  <si>
    <t>200391</t>
  </si>
  <si>
    <t>150,350,150</t>
  </si>
  <si>
    <t>毒骷髅法师</t>
  </si>
  <si>
    <t>200421</t>
  </si>
  <si>
    <t>骷髅弓箭手</t>
  </si>
  <si>
    <t>200471</t>
  </si>
  <si>
    <t>288,100,100,100</t>
  </si>
  <si>
    <t>钢铁魔像</t>
  </si>
  <si>
    <t>104107,12,0</t>
  </si>
  <si>
    <t>200491,200492</t>
  </si>
  <si>
    <t>10025:10000,-1</t>
  </si>
  <si>
    <t>300,500,100</t>
  </si>
  <si>
    <t>火焰魔像</t>
  </si>
  <si>
    <t>200521,200523</t>
  </si>
  <si>
    <t>10026:10000,-1</t>
  </si>
  <si>
    <t>冰霜魔像</t>
  </si>
  <si>
    <t>200551,200552</t>
  </si>
  <si>
    <t>10002:10000,-1</t>
  </si>
  <si>
    <t>腐化魔像</t>
  </si>
  <si>
    <t>200581,200582</t>
  </si>
  <si>
    <t>10027:10000,-1</t>
  </si>
  <si>
    <t>闪电魔像</t>
  </si>
  <si>
    <t>200611,200612</t>
  </si>
  <si>
    <t>10028:10000,-1</t>
  </si>
  <si>
    <t>200,100,100,100</t>
  </si>
  <si>
    <t>圣焰图腾</t>
  </si>
  <si>
    <t>震荡图腾</t>
  </si>
  <si>
    <t>弩炮</t>
  </si>
  <si>
    <t>冰霜陷阱</t>
  </si>
  <si>
    <t>20074</t>
  </si>
  <si>
    <t>20075</t>
  </si>
  <si>
    <t>101001,33,300</t>
  </si>
  <si>
    <t>2</t>
  </si>
  <si>
    <t>闪电陷阱</t>
  </si>
  <si>
    <t>20076</t>
  </si>
  <si>
    <t>20077</t>
  </si>
  <si>
    <t>火焰陷阱</t>
  </si>
  <si>
    <t>20078</t>
  </si>
  <si>
    <t>20079</t>
  </si>
  <si>
    <t>20080</t>
  </si>
  <si>
    <t>20081</t>
  </si>
  <si>
    <t>挥砍击杀召骨魂</t>
  </si>
  <si>
    <t>挫志怒吼骨魂</t>
  </si>
  <si>
    <t>骸骨风暴击杀召唤骷髅</t>
  </si>
  <si>
    <t>高级盾骷髅战士</t>
  </si>
  <si>
    <t>熊</t>
  </si>
  <si>
    <t>20092</t>
  </si>
  <si>
    <t>触手</t>
  </si>
  <si>
    <t>20089</t>
  </si>
  <si>
    <t>20000:10000,-1</t>
  </si>
  <si>
    <t>分身</t>
  </si>
  <si>
    <t>103204,6,0</t>
  </si>
  <si>
    <t>10153:10000,-1;10154:10000,-1</t>
  </si>
  <si>
    <t>狼</t>
  </si>
  <si>
    <t>200291,200292</t>
  </si>
  <si>
    <t>闪电箭矢</t>
  </si>
  <si>
    <t>200851</t>
  </si>
  <si>
    <t>死亡军团-近战</t>
  </si>
  <si>
    <t>死亡军团-远程</t>
  </si>
  <si>
    <t>天赋技能召唤</t>
  </si>
  <si>
    <t>但他林的触手（禁锢）</t>
  </si>
  <si>
    <t>2001003,5,0</t>
  </si>
  <si>
    <t>30063</t>
  </si>
  <si>
    <t>9</t>
  </si>
  <si>
    <t>600</t>
  </si>
  <si>
    <t>300:3;201:2</t>
  </si>
  <si>
    <t>但他林的触手</t>
  </si>
  <si>
    <t>20000:10000,-1;13274:10000,-1</t>
  </si>
  <si>
    <t>2500</t>
  </si>
  <si>
    <t>250,100,100,100</t>
  </si>
  <si>
    <t>精英技能</t>
  </si>
  <si>
    <t>骨牢</t>
  </si>
  <si>
    <t>20010</t>
  </si>
  <si>
    <t>2501001,1,100</t>
  </si>
  <si>
    <t>0,100</t>
  </si>
  <si>
    <t>木桩测试怪</t>
  </si>
  <si>
    <t>单手剑</t>
  </si>
  <si>
    <t>2001000,3,0</t>
  </si>
  <si>
    <t>30051,30052,30053,30054,30055,30056,30057,30058,30059,30060,30061,30062</t>
  </si>
  <si>
    <t>1,1,1,1,1,1,1,1,1,1,1,1</t>
  </si>
  <si>
    <t>2001006,2,0</t>
  </si>
  <si>
    <t>1000,5500</t>
  </si>
  <si>
    <t>monster_value.xml</t>
  </si>
  <si>
    <t>攻击力
201</t>
  </si>
  <si>
    <t>生命值
300</t>
  </si>
  <si>
    <t>生命回复速度
303</t>
  </si>
  <si>
    <t>护盾值
307</t>
  </si>
  <si>
    <t>护盾回复速度
309</t>
  </si>
  <si>
    <t>护甲值
305</t>
  </si>
  <si>
    <t>格挡率
313</t>
  </si>
  <si>
    <t>闪避%
311</t>
  </si>
  <si>
    <t>物理抗性%
320</t>
  </si>
  <si>
    <t>冰霜抗性%
316</t>
  </si>
  <si>
    <t>火焰抗性%
317</t>
  </si>
  <si>
    <t>闪电抗性%
318</t>
  </si>
  <si>
    <t>混沌抗性%
319</t>
  </si>
  <si>
    <t>命中率%
226</t>
  </si>
  <si>
    <t>暴击几率%
219</t>
  </si>
  <si>
    <t>暴击伤害%
220</t>
  </si>
  <si>
    <t>护盾回复时间</t>
  </si>
  <si>
    <t>移动速度%
412</t>
  </si>
  <si>
    <r>
      <rPr>
        <sz val="11"/>
        <color theme="1"/>
        <rFont val="等线"/>
        <family val="3"/>
        <charset val="134"/>
        <scheme val="minor"/>
      </rPr>
      <t>流血系数
2</t>
    </r>
    <r>
      <rPr>
        <sz val="11"/>
        <color theme="1"/>
        <rFont val="等线"/>
        <family val="3"/>
        <charset val="134"/>
        <scheme val="minor"/>
      </rPr>
      <t>40</t>
    </r>
  </si>
  <si>
    <r>
      <rPr>
        <sz val="11"/>
        <color theme="1"/>
        <rFont val="等线"/>
        <family val="3"/>
        <charset val="134"/>
        <scheme val="minor"/>
      </rPr>
      <t>灼烧系数
2</t>
    </r>
    <r>
      <rPr>
        <sz val="11"/>
        <color theme="1"/>
        <rFont val="等线"/>
        <family val="3"/>
        <charset val="134"/>
        <scheme val="minor"/>
      </rPr>
      <t>41</t>
    </r>
  </si>
  <si>
    <t>中毒系数 
242</t>
  </si>
  <si>
    <t>ATK_i</t>
  </si>
  <si>
    <t>HP_i</t>
  </si>
  <si>
    <t>HP_REG_i</t>
  </si>
  <si>
    <t>SHD_i</t>
  </si>
  <si>
    <t>SHD_REG_i</t>
  </si>
  <si>
    <t>ARM_i</t>
  </si>
  <si>
    <t>block_rate_i</t>
  </si>
  <si>
    <t>EVA_RATE_PER_i</t>
  </si>
  <si>
    <t>PHY_DR_PER_i</t>
  </si>
  <si>
    <t>FIRE_RES_PER_i</t>
  </si>
  <si>
    <t>FIR_RES_PER_i</t>
  </si>
  <si>
    <t>LTN_RES_PER_i</t>
  </si>
  <si>
    <t>CHA_RES_PER_i</t>
  </si>
  <si>
    <t>ACC_PER_i</t>
  </si>
  <si>
    <t>CRIT_RATE_PER_i</t>
  </si>
  <si>
    <t>CRIT_DMG_PER_i</t>
  </si>
  <si>
    <t>SHLD_CD_i</t>
  </si>
  <si>
    <t>SPEED_PER_i</t>
  </si>
  <si>
    <t>BLEED_i</t>
  </si>
  <si>
    <t>BURN_i</t>
  </si>
  <si>
    <t>POISON_i</t>
  </si>
  <si>
    <t>木桩怪</t>
  </si>
  <si>
    <t>小怪近战</t>
  </si>
  <si>
    <t>小怪远程</t>
  </si>
  <si>
    <t>精英怪</t>
  </si>
  <si>
    <t>Boss</t>
  </si>
  <si>
    <t>ACT1怪物属性</t>
  </si>
  <si>
    <t>盾牌骷髅</t>
  </si>
  <si>
    <t>500</t>
  </si>
  <si>
    <t>800</t>
  </si>
  <si>
    <t>1000</t>
  </si>
  <si>
    <t>1500</t>
  </si>
  <si>
    <t>2000</t>
  </si>
  <si>
    <t>3000</t>
  </si>
  <si>
    <t>ACT2怪物属性</t>
  </si>
  <si>
    <t>喷毒师</t>
  </si>
  <si>
    <t>虫人首领</t>
  </si>
  <si>
    <t>殖民者-暴怒</t>
  </si>
  <si>
    <t>ACT3怪物属性</t>
  </si>
  <si>
    <t>ACT4怪物属性</t>
  </si>
  <si>
    <t>ACT5怪物属性</t>
  </si>
  <si>
    <t>50000</t>
  </si>
  <si>
    <t>4000</t>
  </si>
  <si>
    <t>波次1-普通骷髅</t>
  </si>
  <si>
    <t>波次2-普通骷髅</t>
  </si>
  <si>
    <t>波次2-盾牌骷髅（肉）</t>
  </si>
  <si>
    <t>波次3-普通骷髅群</t>
  </si>
  <si>
    <t>波次3-骷髅精英战士</t>
  </si>
  <si>
    <t>波次4-普通骷髅</t>
  </si>
  <si>
    <t>波次4-食腐犬</t>
  </si>
  <si>
    <t>波次5-骷髅战士</t>
  </si>
  <si>
    <t>波次5-食腐犬</t>
  </si>
  <si>
    <t>波次5-骷髅将领</t>
  </si>
  <si>
    <t>波次6-骷髅战士</t>
  </si>
  <si>
    <t>波次6-食腐犬</t>
  </si>
  <si>
    <t>波次7-盾牌骷髅群</t>
  </si>
  <si>
    <t>波次8-骷髅战士</t>
  </si>
  <si>
    <t>波次8-盾牌骷髅（阵型）</t>
  </si>
  <si>
    <t>波次8-精英骷髅法师</t>
  </si>
  <si>
    <t>波次9-普通行尸</t>
  </si>
  <si>
    <t>波次9-自爆行尸</t>
  </si>
  <si>
    <t>波次10-中级行尸（快速）</t>
  </si>
  <si>
    <t>波次10-自爆行尸</t>
  </si>
  <si>
    <t>波次10-缝合巨尸</t>
  </si>
  <si>
    <t>波次11-中级骷髅战士</t>
  </si>
  <si>
    <t>波次11-骷髅长刀（阵型）</t>
  </si>
  <si>
    <t>波次12-盾牌骷髅群</t>
  </si>
  <si>
    <t>波次12-骷髅法师</t>
  </si>
  <si>
    <t>波次13-中级骷髅战士</t>
  </si>
  <si>
    <t>波次13-骷髅长刀（阵型）</t>
  </si>
  <si>
    <t>波次13-魔弓</t>
  </si>
  <si>
    <t>波次14-中级骷髅战士</t>
  </si>
  <si>
    <t>波次14-骷髅法师</t>
  </si>
  <si>
    <t>波次14-食腐犬</t>
  </si>
  <si>
    <t>波次15-中级骷髅战士</t>
  </si>
  <si>
    <t>波次15-食腐犬</t>
  </si>
  <si>
    <t>波次15-骷髅王</t>
  </si>
  <si>
    <t>波次16-中级骷髅战士</t>
  </si>
  <si>
    <t>波次16-骷髅刺客</t>
  </si>
  <si>
    <t>波次17-中级骷髅战士</t>
  </si>
  <si>
    <t>波次17-骷髅刺客</t>
  </si>
  <si>
    <t>波次17-盾牌骷髅</t>
  </si>
  <si>
    <t>波次17-骷髅法师</t>
  </si>
  <si>
    <t>波次18-中级行尸2</t>
  </si>
  <si>
    <t>波次18-火焰恶魔</t>
  </si>
  <si>
    <t>波次19-火焰恶魔</t>
  </si>
  <si>
    <t>波次20-地狱炎魔王</t>
  </si>
  <si>
    <t>5000</t>
  </si>
  <si>
    <t>骷髅战士1级</t>
  </si>
  <si>
    <t>骷髅战士2级</t>
  </si>
  <si>
    <t>骷髅战士3级</t>
  </si>
  <si>
    <t>骷髅战士4级</t>
  </si>
  <si>
    <t>骷髅战士5级</t>
  </si>
  <si>
    <t>骷髅战士6级</t>
  </si>
  <si>
    <t>骷髅战士7级</t>
  </si>
  <si>
    <t>骷髅战士8级</t>
  </si>
  <si>
    <t>骷髅战士9级</t>
  </si>
  <si>
    <t>骷髅战士10级</t>
  </si>
  <si>
    <t>骷髅法师1级</t>
  </si>
  <si>
    <t>骷髅法师2级</t>
  </si>
  <si>
    <t>骷髅法师3级</t>
  </si>
  <si>
    <t>骷髅法师4级</t>
  </si>
  <si>
    <t>骷髅法师5级</t>
  </si>
  <si>
    <t>骷髅法师6级</t>
  </si>
  <si>
    <t>骷髅法师7级</t>
  </si>
  <si>
    <t>骷髅法师8级</t>
  </si>
  <si>
    <t>骷髅法师9级</t>
  </si>
  <si>
    <t>骷髅法师10级</t>
  </si>
  <si>
    <t>骷髅弓箭手1级</t>
  </si>
  <si>
    <t>骷髅弓箭手2级</t>
  </si>
  <si>
    <t>骷髅弓箭手3级</t>
  </si>
  <si>
    <t>骷髅弓箭手4级</t>
  </si>
  <si>
    <t>骷髅弓箭手5级</t>
  </si>
  <si>
    <t>骷髅弓箭手6级</t>
  </si>
  <si>
    <t>骷髅弓箭手7级</t>
  </si>
  <si>
    <t>骷髅弓箭手8级</t>
  </si>
  <si>
    <t>骷髅弓箭手9级</t>
  </si>
  <si>
    <t>骷髅弓箭手10级</t>
  </si>
  <si>
    <t>钢铁魔像1级</t>
  </si>
  <si>
    <t>5</t>
  </si>
  <si>
    <t>钢铁魔像2级</t>
  </si>
  <si>
    <t>钢铁魔像3级</t>
  </si>
  <si>
    <t>钢铁魔像4级</t>
  </si>
  <si>
    <t>钢铁魔像5级</t>
  </si>
  <si>
    <t>钢铁魔像6级</t>
  </si>
  <si>
    <t>钢铁魔像7级</t>
  </si>
  <si>
    <t>钢铁魔像8级</t>
  </si>
  <si>
    <t>钢铁魔像9级</t>
  </si>
  <si>
    <t>钢铁魔像10级</t>
  </si>
  <si>
    <t>火焰魔像1级</t>
  </si>
  <si>
    <t>火焰魔像2级</t>
  </si>
  <si>
    <t>火焰魔像3级</t>
  </si>
  <si>
    <t>火焰魔像4级</t>
  </si>
  <si>
    <t>火焰魔像5级</t>
  </si>
  <si>
    <t>火焰魔像6级</t>
  </si>
  <si>
    <t>火焰魔像7级</t>
  </si>
  <si>
    <t>火焰魔像8级</t>
  </si>
  <si>
    <t>火焰魔像9级</t>
  </si>
  <si>
    <t>火焰魔像10级</t>
  </si>
  <si>
    <t>冰霜魔像1级</t>
  </si>
  <si>
    <t>冰霜魔像2级</t>
  </si>
  <si>
    <t>冰霜魔像3级</t>
  </si>
  <si>
    <t>冰霜魔像4级</t>
  </si>
  <si>
    <t>冰霜魔像5级</t>
  </si>
  <si>
    <t>冰霜魔像6级</t>
  </si>
  <si>
    <t>冰霜魔像7级</t>
  </si>
  <si>
    <t>冰霜魔像8级</t>
  </si>
  <si>
    <t>冰霜魔像9级</t>
  </si>
  <si>
    <t>冰霜魔像10级</t>
  </si>
  <si>
    <t>瘟疫魔像1级</t>
  </si>
  <si>
    <t>瘟疫魔像2级</t>
  </si>
  <si>
    <t>瘟疫魔像3级</t>
  </si>
  <si>
    <t>瘟疫魔像4级</t>
  </si>
  <si>
    <t>瘟疫魔像5级</t>
  </si>
  <si>
    <t>瘟疫魔像6级</t>
  </si>
  <si>
    <t>瘟疫魔像7级</t>
  </si>
  <si>
    <t>瘟疫魔像8级</t>
  </si>
  <si>
    <t>瘟疫魔像9级</t>
  </si>
  <si>
    <t>瘟疫魔像10级</t>
  </si>
  <si>
    <t>闪电魔像1级</t>
  </si>
  <si>
    <t>闪电魔像2级</t>
  </si>
  <si>
    <t>闪电魔像3级</t>
  </si>
  <si>
    <t>闪电魔像4级</t>
  </si>
  <si>
    <t>闪电魔像5级</t>
  </si>
  <si>
    <t>闪电魔像6级</t>
  </si>
  <si>
    <t>闪电魔像7级</t>
  </si>
  <si>
    <t>闪电魔像8级</t>
  </si>
  <si>
    <t>闪电魔像9级</t>
  </si>
  <si>
    <t>闪电魔像10级</t>
  </si>
  <si>
    <t>召唤狼1级</t>
  </si>
  <si>
    <t>召唤狼2级</t>
  </si>
  <si>
    <t>召唤狼3级</t>
  </si>
  <si>
    <t>召唤狼4级</t>
  </si>
  <si>
    <t>召唤狼5级</t>
  </si>
  <si>
    <t>召唤狼6级</t>
  </si>
  <si>
    <t>召唤狼7级</t>
  </si>
  <si>
    <t>召唤狼8级</t>
  </si>
  <si>
    <t>召唤狼9级</t>
  </si>
  <si>
    <t>召唤狼10级</t>
  </si>
  <si>
    <t>召唤熊1级</t>
  </si>
  <si>
    <t>召唤熊2级</t>
  </si>
  <si>
    <t>召唤熊3级</t>
  </si>
  <si>
    <t>召唤熊4级</t>
  </si>
  <si>
    <t>召唤熊5级</t>
  </si>
  <si>
    <t>召唤熊6级</t>
  </si>
  <si>
    <t>召唤熊7级</t>
  </si>
  <si>
    <t>召唤熊8级</t>
  </si>
  <si>
    <t>召唤熊9级</t>
  </si>
  <si>
    <t>召唤熊10级</t>
  </si>
  <si>
    <t>弩炮1级</t>
  </si>
  <si>
    <t>弩炮2级</t>
  </si>
  <si>
    <t>弩炮3级</t>
  </si>
  <si>
    <t>弩炮4级</t>
  </si>
  <si>
    <t>弩炮5级</t>
  </si>
  <si>
    <t>弩炮6级</t>
  </si>
  <si>
    <t>弩炮7级</t>
  </si>
  <si>
    <t>弩炮8级</t>
  </si>
  <si>
    <t>弩炮9级</t>
  </si>
  <si>
    <t>弩炮10级</t>
  </si>
  <si>
    <t>死亡军团-近战1级</t>
  </si>
  <si>
    <t>死亡军团-近战2级</t>
  </si>
  <si>
    <t>死亡军团-近战3级</t>
  </si>
  <si>
    <t>死亡军团-近战4级</t>
  </si>
  <si>
    <t>死亡军团-近战5级</t>
  </si>
  <si>
    <t>死亡军团-近战6级</t>
  </si>
  <si>
    <t>死亡军团-近战7级</t>
  </si>
  <si>
    <t>死亡军团-近战8级</t>
  </si>
  <si>
    <t>死亡军团-近战9级</t>
  </si>
  <si>
    <t>死亡军团-近战10级</t>
  </si>
  <si>
    <t>死亡军团-远程1级</t>
  </si>
  <si>
    <t>死亡军团-远程2级</t>
  </si>
  <si>
    <t>死亡军团-远程3级</t>
  </si>
  <si>
    <t>死亡军团-远程4级</t>
  </si>
  <si>
    <t>死亡军团-远程5级</t>
  </si>
  <si>
    <t>死亡军团-远程6级</t>
  </si>
  <si>
    <t>死亡军团-远程7级</t>
  </si>
  <si>
    <t>死亡军团-远程8级</t>
  </si>
  <si>
    <t>死亡军团-远程9级</t>
  </si>
  <si>
    <t>死亡军团-远程10级</t>
  </si>
  <si>
    <t>60:50;30:50;32:50;33:50;31:50;34:50;63:0;56:100;51:1;52:2;57:100</t>
  </si>
  <si>
    <t>60:0;30:0;32:0;33:0;31:0;34:0;63:0;56:0;51:1;52:2;57:100</t>
  </si>
  <si>
    <t>60:0;30:100;32:0;33:0;31:0;34:0;63:0;56:0;51:1;52:2;57:100000</t>
  </si>
  <si>
    <t>60:0;30:0;32:100;33:0;31:0;34:0;63:0;56:0;51:1;52:2;57:100000</t>
  </si>
  <si>
    <t>60:0;30:0;32:0;33:100;31:0;34:0;63:0;56:0;51:1;52:2;57:100</t>
  </si>
  <si>
    <t>60:0;30:0;32:0;33:0;31:100;34:0;63:0;56:0;51:1;52:2;57:100</t>
  </si>
  <si>
    <t>60:0;30:0;32:0;33:0;31:0;34:100;63:0;56:0;51:1;52:2;57:100</t>
  </si>
  <si>
    <t>60:90;30:0;32:0;33:0;31:0;34:0;63:0;56:0;51:1;52:2;57:100</t>
  </si>
  <si>
    <t>60:0;30:90;32:0;33:0;31:0;34:0;63:0;56:0;51:1;52:2;57:100</t>
  </si>
  <si>
    <t>60:0;30:0;32:90;33:0;31:0;34:0;63:0;56:0;51:1;52:2;57:100</t>
  </si>
  <si>
    <t>60:0;30:0;32:0;33:90;31:0;34:0;63:0;56:0;51:1;52:2;57:100</t>
  </si>
  <si>
    <t>60:0;30:0;32:0;33:0;31:90;34:0;63:0;56:0;51:1;52:2;57:100</t>
  </si>
  <si>
    <t>60:0;30:0;32:0;33:0;31:0;34:90;63:0;56:0;51:1;52:2;57:100</t>
  </si>
  <si>
    <t>60:50;30:0;32:0;33:0;31:0;34:0;63:0;56:0;51:1;52:2;57:100</t>
  </si>
  <si>
    <t>60:0;30:50;32:0;33:0;31:0;34:0;63:0;56:0;51:1;52:2;57:100</t>
  </si>
  <si>
    <t>60:0;30:0;32:50;33:0;31:0;34:0;63:0;56:0;51:1;52:2;57:100</t>
  </si>
  <si>
    <t>60:0;30:0;32:0;33:50;31:0;34:0;63:0;56:0;51:1;52:2;57:100</t>
  </si>
  <si>
    <t>60:0;30:0;32:0;33:0;31:50;34:0;63:0;56:0;51:1;52:2;57:100</t>
  </si>
  <si>
    <t>60:0;30:0;32:0;33:0;31:0;34:50;63:0;56:0;51:1;52:2;57:100</t>
  </si>
  <si>
    <t>60:0;30:0;32:0;33:0;31:0;34:0;63:75;56:0;51:1;52:2;57:100</t>
  </si>
  <si>
    <t>60:0;30:0;32:0;33:0;31:0;34:0;63:0;56:10000;51:1;52:2;57:100</t>
  </si>
  <si>
    <t>60:0;30:0;32:0;33:0;31:0;34:0;63:0;56:0;51:0;52:0;57:0</t>
  </si>
  <si>
    <t>60:0;30:0;32:0;33:0;31:0;34:50;63:10;56:84;51:34;52:101;57:101</t>
  </si>
  <si>
    <t>60:0;30:0;32:0;33:0;31:0;34:75;63:10;56:100;51:40;52:100;57:120</t>
  </si>
  <si>
    <t>60:33;30:0;32:0;33:100;31:0;34:75;63:10;56:100;51:40;52:100;57:120</t>
  </si>
  <si>
    <t>60:0;30:0;32:0;33:0;31:0;34:50;63:15;56:84;51:41;52:101;57:93</t>
  </si>
  <si>
    <t>60:0;30:0;32:0;33:0;31:0;34:75;63:15;56:100;51:40;52:100;57:120</t>
  </si>
  <si>
    <t>60:33;30:0;32:0;33:0;31:0;34:100;63:15;56:100;51:40;52:100;57:120</t>
  </si>
  <si>
    <t>60:0;30:0;32:0;33:0;31:40;34:50;63:20;56:84;51:41;52:121;57:94</t>
  </si>
  <si>
    <t>60:0;30:0;32:0;33:0;31:60;34:75;63:20;56:100;51:40;52:100;57:120</t>
  </si>
  <si>
    <t>60:33;30:0;32:0;33:0;31:110;34:75;63:20;56:100;51:40;52:100;57:120</t>
  </si>
  <si>
    <t>60:0;30:0;32:50;33:0;31:0;34:50;63:25;56:84;51:45;52:101;57:93</t>
  </si>
  <si>
    <t>60:0;30:0;32:75;33:0;31:0;34:75;63:25;56:100;51:40;52:100;57:120</t>
  </si>
  <si>
    <t>60:33;30:0;32:100;33:0;31:0;34:75;63:25;56:100;51:40;52:90;57:110</t>
  </si>
  <si>
    <t>60:0;30:20;32:0;33:60;31:0;34:50;63:30;56:84;51:41;52:101;57:94</t>
  </si>
  <si>
    <t>60:0;30:40;32:0;33:80;31:0;34:75;63:30;56:100;51:40;52:100;57:120</t>
  </si>
  <si>
    <t>60:33;30:70;32:0;33:120;31:0;34:75;63:30;56:100;51:40;52:100;57:120</t>
  </si>
  <si>
    <t>60:0;30:0;32:0;33:0;31:0;34:50;63:3;56:84;51:51;52:151;57:101</t>
  </si>
  <si>
    <t>60:0;30:0;32:0;33:0;31:0;34:75;63:3;56:80;51:60;52:140;57:105</t>
  </si>
  <si>
    <t>60:50;30:0;32:0;33:0;31:120;34:75;63:3;56:80;51:60;52:140;57:105</t>
  </si>
  <si>
    <t>60:0;30:0;32:0;33:0;31:0;34:50;63:4;56:84;51:34;52:101;57:101</t>
  </si>
  <si>
    <t>60:0;30:0;32:0;33:0;31:0;34:75;63:4;56:80;51:60;52:140;57:105</t>
  </si>
  <si>
    <t>60:50;30:0;32:0;33:110;31:0;34:75;63:4;56:80;51:60;52:140;57:105</t>
  </si>
  <si>
    <t>60:0;30:0;32:0;33:0;31:0;34:50;63:13;56:84;51:51;52:138;57:93</t>
  </si>
  <si>
    <t>60:0;30:0;32:0;33:0;31:0;34:75;63:13;56:80;51:60;52:140;57:105</t>
  </si>
  <si>
    <t>60:50;30:0;32:100;33:0;31:0;34:75;63:13;56:80;51:60;52:140;57:105</t>
  </si>
  <si>
    <t>60:20;30:0;32:50;33:0;31:0;34:50;63:22;56:85;51:51;52:136;57:94</t>
  </si>
  <si>
    <t>60:50;30:0;32:75;33:0;31:0;34:75;63:22;56:80;51:60;52:140;57:105</t>
  </si>
  <si>
    <t>60:50;30:0;32:110;33:0;31:0;34:75;63:22;56:80;51:55;52:135;57:105</t>
  </si>
  <si>
    <t>60:0;30:50;32:0;33:0;31:0;34:50;63:17;56:84;51:55;52:137;57:92</t>
  </si>
  <si>
    <t>60:0;30:75;32:0;33:0;31:0;34:75;63:17;56:80;51:60;52:140;57:105</t>
  </si>
  <si>
    <t>60:50;30:100;32:0;33:0;31:0;34:75;63:17;56:80;51:55;52:135;57:105</t>
  </si>
  <si>
    <t>60:0;30:0;32:0;33:70;31:0;34:0;63:11;56:63;51:76;52:113;57:77</t>
  </si>
  <si>
    <t>60:0;30:0;32:0;33:85;31:0;34:75;63:11;56:90;51:50;52:100;57:110</t>
  </si>
  <si>
    <t>60:25;30:0;32:0;33:100;31:0;34:0;63:11;56:90;51:50;52:100;57:110</t>
  </si>
  <si>
    <t>60:0;30:0;32:0;33:60;31:0;34:0;63:10;56:63;51:63;52:101;57:74</t>
  </si>
  <si>
    <t>60:0;30:0;32:0;33:80;31:0;34:75;63:10;56:90;51:50;52:100;57:110</t>
  </si>
  <si>
    <t>60:25;30:0;32:0;33:105;31:0;34:0;63:10;56:90;51:50;52:100;57:110</t>
  </si>
  <si>
    <t>60:0;30:0;32:0;33:40;31:0;34:0;63:5;56:64;51:76;52:101;57:73</t>
  </si>
  <si>
    <t>60:0;30:0;32:0;33:70;31:0;34:0;63:5;56:90;51:50;52:100;57:110</t>
  </si>
  <si>
    <t>60:25;30:0;32:0;33:110;31:0;34:0;63:5;56:90;51:50;52:100;57:110</t>
  </si>
  <si>
    <t>60:0;30:0;32:0;33:50;31:0;34:0;63:8;56:63;51:67;52:101;57:77</t>
  </si>
  <si>
    <t>60:0;30:0;32:0;33:75;31:0;34:0;63:8;56:90;51:50;52:100;57:110</t>
  </si>
  <si>
    <t>60:25;30:0;32:0;33:115;31:0;34:0;63:8;56:90;51:50;52:100;57:110</t>
  </si>
  <si>
    <t>60:0;30:0;32:0;33:80;31:0;34:0;63:22;56:63;51:71;52:106;57:75</t>
  </si>
  <si>
    <t>60:0;30:0;32:0;33:100;31:0;34:0;63:22;56:90;51:50;52:100;57:110</t>
  </si>
  <si>
    <t>60:25;30:0;32:0;33:120;31:0;34:0;63:22;56:90;51:50;52:100;57:110</t>
  </si>
  <si>
    <t>60:0;30:0;32:0;33:0;31:0;34:0;63:5;56:13;51:26;52:51;57:89</t>
  </si>
  <si>
    <t>60:0;30:0;32:0;33:0;31:0;34:0;63:5;56:120;51:70;52:110;57:115</t>
  </si>
  <si>
    <t>60:0;30:0;32:25;33:0;31:0;34:100;63:5;56:120;51:70;52:110;57:115</t>
  </si>
  <si>
    <t>60:0;30:0;32:0;33:0;31:0;34:0;63:7;56:14;51:41;52:61;57:93</t>
  </si>
  <si>
    <t>60:0;30:0;32:0;33:0;31:0;34:0;63:7;56:120;51:70;52:110;57:115</t>
  </si>
  <si>
    <t>60:0;30:0;32:25;33:0;31:0;34:105;63:7;56:120;51:70;52:110;57:115</t>
  </si>
  <si>
    <t>60:0;30:0;32:0;33:0;31:0;34:60;63:17;56:13;51:37;52:64;57:94</t>
  </si>
  <si>
    <t>60:0;30:0;32:0;33:0;31:0;34:80;63:17;56:120;51:70;52:110;57:115</t>
  </si>
  <si>
    <t>60:0;30:0;32:25;33:0;31:0;34:110;63:17;56:120;51:70;52:110;57:115</t>
  </si>
  <si>
    <t>60:30;30:0;32:20;33:60;31:0;34:0;63:22;56:13;51:36;52:72;57:94</t>
  </si>
  <si>
    <t>60:40;30:0;32:50;33:80;31:0;34:0;63:22;56:120;51:70;52:110;57:115</t>
  </si>
  <si>
    <t>60:0;30:0;32:50;33:100;31:0;34:0;63:22;56:120;51:70;52:110;57:115</t>
  </si>
  <si>
    <t>60:0;30:0;32:0;33:0;31:0;34:0;63:9;56:84;51:51;52:101;57:101</t>
  </si>
  <si>
    <t>60:0;30:0;32:0;33:0;31:0;34:0;63:9;56:70;51:45;52:90;57:90</t>
  </si>
  <si>
    <t>60:15;30:0;32:100;33:0;31:40;34:0;63:9;56:70;51:45;52:90;57:90</t>
  </si>
  <si>
    <t>60:0;30:0;32:0;33:0;31:0;34:0;63:16;56:84;51:51;52:101;57:91</t>
  </si>
  <si>
    <t>60:0;30:0;32:0;33:0;31:0;34:0;63:16;56:70;51:45;52:90;57:90</t>
  </si>
  <si>
    <t>60:15;30:0;32:110;33:0;31:40;34:0;63:16;56:70;51:45;52:90;57:90</t>
  </si>
  <si>
    <t>60:0;30:0;32:0;33:0;31:0;34:0;63:25;56:84;51:41;52:101;57:94</t>
  </si>
  <si>
    <t>60:0;30:0;32:0;33:0;31:0;34:0;63:25;56:70;51:45;52:90;57:90</t>
  </si>
  <si>
    <t>60:15;30:0;32:120;33:0;31:40;34:0;63:25;56:70;51:45;52:90;57:90</t>
  </si>
  <si>
    <t>60:0;30:0;32:0;33:0;31:0;34:0;63:36;56:84;51:43;52:101;57:91</t>
  </si>
  <si>
    <t>60:0;30:0;32:0;33:0;31:0;34:0;63:36;56:70;51:45;52:90;57:90</t>
  </si>
  <si>
    <t>60:15;30:0;32:125;33:0;31:40;34:0;63:36;56:70;51:45;52:90;57:90</t>
  </si>
  <si>
    <t>60:50;30:50;32:50;33:50;31:50;34:50;63:49;56:84;51:45;52:93;57:93</t>
  </si>
  <si>
    <t>60:66;30:66;32:66;33:66;31:66;34:66;63:49;56:70;51:45;52:90;57:90</t>
  </si>
  <si>
    <t>60:25;30:75;32:75;33:75;31:75;34:75;63:49;56:70;51:45;52:90;57:90</t>
  </si>
  <si>
    <t>60:0;30:0;32:0;33:0;31:0;34:0;63:6;56:84;51:76;52:101;57:91</t>
  </si>
  <si>
    <t>60:0;30:0;32:0;33:0;31:0;34:0;63:6;56:85;51:70;52:120;57:95</t>
  </si>
  <si>
    <t>60:50;30:0;32:0;33:0;31:120;34:0;63:6;56:85;51:70;52:120;57:95</t>
  </si>
  <si>
    <t>60:0;30:0;32:0;33:0;31:20;34:0;63:10;56:84;51:58;52:101;57:95</t>
  </si>
  <si>
    <t>60:0;30:0;32:0;33:0;31:60;34:0;63:10;56:85;51:70;52:120;57:95</t>
  </si>
  <si>
    <t>60:50;30:0;32:0;33:0;31:130;34:0;63:10;56:85;51:70;52:120;57:95</t>
  </si>
  <si>
    <t>60:0;30:60;32:0;33:0;31:0;34:0;63:19;56:84;51:62;52:101;57:93</t>
  </si>
  <si>
    <t>60:0;30:0;32:0;33:0;31:0;34:0;63:19;56:85;51:70;52:120;57:95</t>
  </si>
  <si>
    <t>60:50;30:0;32:0;33:50;31:140;34:0;63:19;56:85;51:70;52:120;57:95</t>
  </si>
  <si>
    <t>60:0;30:60;32:20;33:0;31:0;34:0;63:23;56:85;51:61;52:107;57:92</t>
  </si>
  <si>
    <t>60:0;30:80;32:50;33:0;31:0;34:0;63:23;56:85;51:70;52:120;57:95</t>
  </si>
  <si>
    <t>60:50;30:100;32:75;33:0;31:0;34:0;63:23;56:85;51:70;52:120;57:95</t>
  </si>
  <si>
    <t>60:0;30:0;32:0;33:0;31:0;34:0;63:4;56:84;51:67;52:101;57:101</t>
  </si>
  <si>
    <t>60:0;30:0;32:0;33:0;31:0;34:0;63:4;56:85;51:70;52:120;57:95</t>
  </si>
  <si>
    <t>60:50;30:0;32:0;33:0;31:100;34:0;63:4;56:85;51:70;52:120;57:95</t>
  </si>
  <si>
    <t>60:0;30:0;32:0;33:0;31:0;34:0;63:25;56:84;51:67;52:101;57:175</t>
  </si>
  <si>
    <t>60:0;30:0;32:0;33:0;31:0;34:0;63:25;56:110;51:65;52:110;57:175</t>
  </si>
  <si>
    <t>60:25;30:0;32:100;33:50;31:0;34:33;63:25;56:110;51:65;52:110;57:175</t>
  </si>
  <si>
    <t>60:0;30:0;32:0;33:0;31:0;34:0;63:32;56:84;51:64;52:101;57:175</t>
  </si>
  <si>
    <t>60:0;30:0;32:0;33:0;31:0;34:0;63:32;56:110;51:65;52:110;57:175</t>
  </si>
  <si>
    <t>60:25;30:0;32:50;33:0;31:100;34:33;63:32;56:110;51:65;52:110;57:175</t>
  </si>
  <si>
    <t>60:0;30:0;32:0;33:0;31:0;34:0;63:34;56:84;51:67;52:92;57:176</t>
  </si>
  <si>
    <t>60:0;30:0;32:0;33:0;31:0;34:0;63:34;56:110;51:65;52:110;57:175</t>
  </si>
  <si>
    <t>60:25;30:0;32:110;33:50;31:0;34:33;63:34;56:110;51:65;52:110;57:175</t>
  </si>
  <si>
    <t>60:0;30:0;32:0;33:0;31:0;34:0;63:44;56:85;51:63;52:94;57:176</t>
  </si>
  <si>
    <t>60:0;30:0;32:0;33:0;31:0;34:0;63:44;56:110;51:65;52:110;57:175</t>
  </si>
  <si>
    <t>60:25;30:0;32:50;33:0;31:110;34:33;63:44;56:110;51:65;52:110;57:175</t>
  </si>
  <si>
    <t>60:0;30:0;32:0;33:0;31:0;34:0;63:48;56:84;51:65;52:95;57:176</t>
  </si>
  <si>
    <t>60:0;30:0;32:0;33:0;31:0;34:0;63:48;56:110;51:65;52:110;57:175</t>
  </si>
  <si>
    <t>60:25;30:0;32:120;33:50;31:0;34:33;63:48;56:110;51:65;52:110;57:175</t>
  </si>
  <si>
    <t>60:0;30:0;32:0;33:0;31:0;34:0;63:0;56:0;51:;52:;57:</t>
  </si>
  <si>
    <t>60:20;30:0;32:0;33:0;31:0;34:50;63:8;56:84;51:61;52:121;57:94</t>
  </si>
  <si>
    <t>60:30;30:0;32:0;33:0;31:0;34:60;63:8;56:130;51:60;52:105;57:95</t>
  </si>
  <si>
    <t>60:100;30:50;32:0;33:0;31:50;34:75;63:8;56:130;51:60;52:105;57:95</t>
  </si>
  <si>
    <t>60:30;30:0;32:0;33:0;31:0;34:50;63:11;56:84;51:58;52:115;57:91</t>
  </si>
  <si>
    <t>60:40;30:0;32:0;33:0;31:0;34:60;63:11;56:130;51:60;52:105;57:95</t>
  </si>
  <si>
    <t>60:100;30:50;32:0;33:0;31:60;34:75;63:11;56:130;51:60;52:105;57:95</t>
  </si>
  <si>
    <t>60:40;30:0;32:0;33:0;31:0;34:50;63:19;56:84;51:62;52:101;57:93</t>
  </si>
  <si>
    <t>60:50;30:0;32:0;33:0;31:0;34:60;63:19;56:130;51:60;52:105;57:95</t>
  </si>
  <si>
    <t>60:100;30:50;32:0;33:0;31:70;34:75;63:19;56:130;51:60;52:105;57:95</t>
  </si>
  <si>
    <t>60:50;30:0;32:0;33:0;31:0;34:50;63:20;56:85;51:62;52:108;57:93</t>
  </si>
  <si>
    <t>60:60;30:0;32:0;33:0;31:0;34:60;63:20;56:130;51:60;52:105;57:95</t>
  </si>
  <si>
    <t>60:100;30:50;32:0;33:0;31:75;34:75;63:20;56:130;51:60;52:105;57:95</t>
  </si>
  <si>
    <t>60:60;30:0;32:0;33:0;31:0;34:50;63:22;56:85;51:65;52:108;57:94</t>
  </si>
  <si>
    <t>60:75;30:0;32:0;33:0;31:0;34:60;63:22;56:130;51:60;52:105;57:95</t>
  </si>
  <si>
    <t>60:100;30:50;32:0;33:0;31:80;34:75;63:22;56:130;51:60;52:105;57:95</t>
  </si>
  <si>
    <t>60:0;30:0;32:0;33:0;31:0;34:0;63:12;56:84;51:34;52:101;57:101</t>
  </si>
  <si>
    <t>60:0;30:0;32:0;33:0;31:0;34:0;63:12;56:95;51:55;52:110;57:130</t>
  </si>
  <si>
    <t>60:20;30:20;32:33;33:33;31:100;34:20;63:12;56:95;51:55;52:110;57:130</t>
  </si>
  <si>
    <t>60:0;30:0;32:0;33:0;31:0;34:0;63:18;56:84;51:51;52:126;57:91</t>
  </si>
  <si>
    <t>60:0;30:0;32:0;33:0;31:0;34:0;63:18;56:95;51:55;52:110;57:130</t>
  </si>
  <si>
    <t>60:20;30:20;32:33;33:33;31:120;34:20;63:18;56:95;51:55;52:110;57:130</t>
  </si>
  <si>
    <t>60:0;30:0;32:0;33:0;31:0;34:0;63:25;56:84;51:51;52:117;57:95</t>
  </si>
  <si>
    <t>60:0;30:0;32:0;33:0;31:0;34:0;63:25;56:95;51:55;52:110;57:130</t>
  </si>
  <si>
    <t>60:20;30:20;32:33;33:33;31:130;34:20;63:25;56:95;51:55;52:110;57:130</t>
  </si>
  <si>
    <t>60:0;30:0;32:0;33:0;31:0;34:0;63:33;56:84;51:43;52:115;57:95</t>
  </si>
  <si>
    <t>60:0;30:0;32:0;33:0;31:0;34:0;63:33;56:95;51:55;52:110;57:130</t>
  </si>
  <si>
    <t>60:20;30:20;32:33;33:33;31:140;34:20;63:33;56:95;51:55;52:110;57:130</t>
  </si>
  <si>
    <t>60:20;30:0;32:0;33:0;31:0;34:0;63:40;56:85;51:47;52:121;57:92</t>
  </si>
  <si>
    <t>60:20;30:0;32:0;33:0;31:0;34:0;63:40;56:95;51:55;52:110;57:130</t>
  </si>
  <si>
    <t>60:40;30:20;32:33;33:33;31:150;34:20;63:40;56:95;51:55;52:110;57:130</t>
  </si>
  <si>
    <t>60:0;30:0;32:0;33:0;31:0;34:0;63:18;56:84;51:51;52:151;57:92</t>
  </si>
  <si>
    <t>60:0;30:0;32:0;33:0;31:0;34:0;63:18;56:110;51:50;52:130;57:120</t>
  </si>
  <si>
    <t>60:33;30:0;32:0;33:100;31:50;34:25;63:18;56:110;51:50;52:130;57:120</t>
  </si>
  <si>
    <t>60:0;30:0;32:0;33:0;31:0;34:0;63:21;56:85;51:51;52:151;57:94</t>
  </si>
  <si>
    <t>60:0;30:0;32:0;33:0;31:0;34:0;63:21;56:110;51:50;52:130;57:120</t>
  </si>
  <si>
    <t>60:45;30:0;32:0;33:105;31:50;34:25;63:21;56:110;51:50;52:130;57:120</t>
  </si>
  <si>
    <t>60:0;30:0;32:0;33:0;31:0;34:0;63:22;56:85;51:51;52:158;57:94</t>
  </si>
  <si>
    <t>60:0;30:0;32:0;33:0;31:0;34:0;63:22;56:110;51:50;52:130;57:120</t>
  </si>
  <si>
    <t>60:45;30:0;32:0;33:105;31:50;34:25;63:22;56:110;51:50;52:130;57:120</t>
  </si>
  <si>
    <t>60:0;30:0;32:0;33:0;31:0;34:0;63:24;56:85;51:51;52:151;57:92</t>
  </si>
  <si>
    <t>60:0;30:0;32:0;33:0;31:0;34:0;63:24;56:110;51:50;52:130;57:120</t>
  </si>
  <si>
    <t>60:50;30:0;32:0;33:110;31:50;34:25;63:24;56:110;51:50;52:130;57:120</t>
  </si>
  <si>
    <t>60:0;30:0;32:0;33:0;31:0;34:0;63:5;56:51;51:76;52:126;57:89</t>
  </si>
  <si>
    <t>60:0;30:0;32:0;33:0;31:0;34:0;63:5;56:60;51:75;52:130;57:85</t>
  </si>
  <si>
    <t>60:50;30:0;32:0;33:0;31:100;34:0;63:5;56:60;51:75;52:130;57:85</t>
  </si>
  <si>
    <t>60:0;30:0;32:0;33:0;31:0;34:0;63:7;56:51;51:81;52:141;57:93</t>
  </si>
  <si>
    <t>60:0;30:0;32:0;33:0;31:0;34:0;63:7;56:60;51:70;52:125;57:85</t>
  </si>
  <si>
    <t>60:50;30:0;32:0;33:110;31:0;34:0;63:7;56:60;51:70;52:125;57:85</t>
  </si>
  <si>
    <t>60:0;30:0;32:0;33:0;31:0;34:0;63:8;56:51;51:81;52:161;57:94</t>
  </si>
  <si>
    <t>60:0;30:0;32:0;33:0;31:0;34:0;63:8;56:60;51:65;52:120;57:85</t>
  </si>
  <si>
    <t>60:50;30:0;32:100;33:0;31:0;34:0;63:8;56:60;51:65;52:120;57:85</t>
  </si>
  <si>
    <t>60:0;30:0;32:40;33:0;31:0;34:0;63:19;56:51;51:70;52:147;57:93</t>
  </si>
  <si>
    <t>60:0;30:0;32:70;33:0;31:0;34:0;63:19;56:60;51:65;52:120;57:85</t>
  </si>
  <si>
    <t>60:50;30:0;32:110;33:0;31:0;34:0;63:19;56:60;51:65;52:120;57:85</t>
  </si>
  <si>
    <t>60:0;30:30;32:20;33:0;31:0;34:0;63:11;56:51;51:72;52:158;57:91</t>
  </si>
  <si>
    <t>60:0;30:50;32:50;33:0;31:0;34:0;63:11;56:60;51:75;52:130;57:85</t>
  </si>
  <si>
    <t>60:50;30:50;32:75;33:0;31:0;34:0;63:11;56:60;51:75;52:130;57:85</t>
  </si>
  <si>
    <t>60:0;30:0;32:25;33:0;31:0;34:0;63:4;56:84;51:34;52:101;57:101</t>
  </si>
  <si>
    <t>60:0;30:0;32:50;33:0;31:0;34:0;63:4;56:75;51:45;52:90;57:105</t>
  </si>
  <si>
    <t>60:15;30:0;32:100;33:0;31:0;34:0;63:4;56:75;51:45;52:90;57:105</t>
  </si>
  <si>
    <t>60:0;30:0;32:30;33:0;31:0;34:0;63:7;56:84;51:41;52:121;57:93</t>
  </si>
  <si>
    <t>60:0;30:0;32:60;33:0;31:0;34:0;63:7;56:75;51:45;52:90;57:105</t>
  </si>
  <si>
    <t>60:15;30:0;32:105;33:0;31:0;34:0;63:7;56:75;51:45;52:90;57:105</t>
  </si>
  <si>
    <t>60:0;30:0;32:35;33:0;31:0;34:0;63:10;56:84;51:43;52:115;57:95</t>
  </si>
  <si>
    <t>60:0;30:0;32:70;33:0;31:0;34:0;63:10;56:75;51:45;52:90;57:105</t>
  </si>
  <si>
    <t>60:15;30:0;32:110;33:0;31:0;34:0;63:10;56:75;51:45;52:90;57:105</t>
  </si>
  <si>
    <t>60:0;30:0;32:40;33:0;31:0;34:0;63:12;56:84;51:51;52:113;57:92</t>
  </si>
  <si>
    <t>60:0;30:0;32:80;33:0;31:0;34:0;63:12;56:75;51:45;52:90;57:105</t>
  </si>
  <si>
    <t>60:15;30:0;32:115;33:0;31:0;34:0;63:12;56:75;51:45;52:90;57:105</t>
  </si>
  <si>
    <t>60:0;30:20;32:70;33:0;31:0;34:0;63:39;56:84;51:53;52:121;57:93</t>
  </si>
  <si>
    <t>60:0;30:50;32:100;33:0;31:0;34:0;63:39;56:75;51:45;52:90;57:105</t>
  </si>
  <si>
    <t>60:25;30:50;32:120;33:0;31:0;34:0;63:39;56:75;51:45;52:90;57:105</t>
  </si>
  <si>
    <t>60:0;30:0;32:0;33:0;31:0;34:0;63:3;56:84;51:51;52:101;57:101</t>
  </si>
  <si>
    <t>60:0;30:0;32:0;33:0;31:0;34:0;63:3;56:80;51:30;52:75;57:65</t>
  </si>
  <si>
    <t>60:50;30:0;32:0;33:0;31:50;34:0;63:3;56:80;51:30;52:75;57:65</t>
  </si>
  <si>
    <t>60:0;30:0;32:0;33:0;31:0;34:0;63:6;56:84;51:26;52:126;57:91</t>
  </si>
  <si>
    <t>60:0;30:0;32:0;33:0;31:0;34:0;63:6;56:80;51:30;52:75;57:65</t>
  </si>
  <si>
    <t>60:50;30:0;32:0;33:0;31:50;34:0;63:6;56:80;51:30;52:75;57:65</t>
  </si>
  <si>
    <t>60:0;30:0;32:0;33:0;31:0;34:0;63:9;56:84;51:34;52:117;57:95</t>
  </si>
  <si>
    <t>60:0;30:0;32:0;33:0;31:0;34:0;63:9;56:80;51:30;52:75;57:65</t>
  </si>
  <si>
    <t>60:50;30:0;32:0;33:0;31:50;34:0;63:9;56:80;51:30;52:75;57:65</t>
  </si>
  <si>
    <t>60:0;30:0;32:0;33:0;31:0;34:0;63:10;56:84;51:29;52:115;57:95</t>
  </si>
  <si>
    <t>60:0;30:0;32:0;33:0;31:0;34:0;63:10;56:80;51:30;52:75;57:65</t>
  </si>
  <si>
    <t>60:50;30:0;32:0;33:0;31:50;34:0;63:10;56:80;51:30;52:75;57:65</t>
  </si>
  <si>
    <t>60:0;30:0;32:0;33:0;31:0;34:0;63:18;56:84;51:34;52:117;57:92</t>
  </si>
  <si>
    <t>60:0;30:0;32:0;33:0;31:0;34:0;63:18;56:80;51:30;52:75;57:65</t>
  </si>
  <si>
    <t>60:50;30:0;32:0;33:0;31:50;34:0;63:18;56:80;51:30;52:75;57:65</t>
  </si>
  <si>
    <t>60:0;30:0;32:0;33:0;31:0;34:0;63:17;56:84;51:82;52:182;57:94</t>
  </si>
  <si>
    <t>60:0;30:0;32:0;33:0;31:0;34:0;63:17;56:115;51:70;52:110;57:75</t>
  </si>
  <si>
    <t>60:66;30:0;32:33;33:0;31:0;34:105;63:17;56:115;51:70;52:110;57:75</t>
  </si>
  <si>
    <t>60:0;30:0;32:0;33:0;31:0;34:0;63:17;56:84;51:91;52:191;57:92</t>
  </si>
  <si>
    <t>60:66;30:0;32:33;33:0;31:0;34:110;63:17;56:115;51:70;52:110;57:75</t>
  </si>
  <si>
    <t>60:0;30:0;32:0;33:0;31:0;34:0;63:19;56:84;51:85;52:177;57:93</t>
  </si>
  <si>
    <t>60:0;30:0;32:0;33:0;31:0;34:0;63:19;56:115;51:70;52:110;57:75</t>
  </si>
  <si>
    <t>60:66;30:0;32:33;33:0;31:0;34:115;63:19;56:115;51:70;52:110;57:75</t>
  </si>
  <si>
    <t>60:0;30:0;32:0;33:0;31:0;34:0;63:21;56:85;51:86;52:186;57:94</t>
  </si>
  <si>
    <t>60:0;30:0;32:0;33:0;31:0;34:0;63:21;56:115;51:70;52:110;57:75</t>
  </si>
  <si>
    <t>60:66;30:0;32:33;33:0;31:0;34:120;63:21;56:115;51:70;52:110;57:75</t>
  </si>
  <si>
    <t>60:0;30:0;32:0;33:0;31:0;34:0;63:27;56:84;51:89;52:189;57:93</t>
  </si>
  <si>
    <t>60:0;30:0;32:0;33:0;31:0;34:0;63:27;56:115;51:70;52:110;57:75</t>
  </si>
  <si>
    <t>60:66;30:0;32:33;33:0;31:0;34:125;63:27;56:115;51:70;52:110;57:75</t>
  </si>
  <si>
    <t>60:0;30:0;32:0;33:0;31:0;34:0;63:12;56:84;51:51;52:88;57:92</t>
  </si>
  <si>
    <t>60:0;30:0;32:0;33:0;31:0;34:0;63:12;56:125;51:60;52:80;57:135</t>
  </si>
  <si>
    <t>60:40;30:0;32:33;33:0;31:100;34:0;63:12;56:125;51:60;52:80;57:135</t>
  </si>
  <si>
    <t>60:0;30:0;32:0;33:0;31:20;34:0;63:16;56:84;51:61;52:101;57:94</t>
  </si>
  <si>
    <t>60:0;30:0;32:0;33:0;31:40;34:0;63:16;56:125;51:60;52:80;57:135</t>
  </si>
  <si>
    <t>60:40;30:0;32:33;33:0;31:120;34:0;63:16;56:125;51:60;52:80;57:135</t>
  </si>
  <si>
    <t>60:0;30:0;32:0;33:0;31:40;34:0;63:18;56:84;51:51;52:92;57:92</t>
  </si>
  <si>
    <t>60:0;30:0;32:0;33:0;31:70;34:0;63:18;56:125;51:60;52:80;57:135</t>
  </si>
  <si>
    <t>60:40;30:0;32:33;33:0;31:110;34:0;63:18;56:125;51:60;52:80;57:135</t>
  </si>
  <si>
    <t>60:0;30:0;32:0;33:0;31:60;34:60;63:22;56:85;51:58;52:101;57:94</t>
  </si>
  <si>
    <t>60:0;30:0;32:0;33:0;31:80;34:60;63:22;56:125;51:60;52:80;57:135</t>
  </si>
  <si>
    <t>60:40;30:0;32:33;33:0;31:130;34:60;63:22;56:125;51:60;52:80;57:135</t>
  </si>
  <si>
    <t>60:0;30:40;32:0;33:0;31:80;34:20;63:24;56:85;51:51;52:94;57:92</t>
  </si>
  <si>
    <t>60:0;30:70;32:0;33:0;31:80;34:60;63:24;56:125;51:60;52:80;57:135</t>
  </si>
  <si>
    <t>60:40;30:70;32:33;33:0;31:120;34:60;63:24;56:125;51:60;52:80;57:135</t>
  </si>
  <si>
    <t>60:0;30:0;32:0;33:0;31:0;34:0;63:15;56:84;51:61;52:121;57:94</t>
  </si>
  <si>
    <t>60:0;30:0;32:50;33:0;31:0;34:0;63:15;56:130;51:65;52:120;57:100</t>
  </si>
  <si>
    <t>60:0;30:0;32:100;33:0;31:0;34:0;63:15;56:130;51:65;52:120;57:100</t>
  </si>
  <si>
    <t>60:0;30:0;32:0;33:0;31:0;34:0;63:16;56:84;51:61;52:121;57:94</t>
  </si>
  <si>
    <t>60:0;30:0;32:0;33:0;31:50;34:0;63:16;56:130;51:65;52:120;57:100</t>
  </si>
  <si>
    <t>60:0;30:0;32:0;33:0;31:100;34:0;63:16;56:130;51:65;52:120;57:100</t>
  </si>
  <si>
    <t>60:0;30:0;32:40;33:0;31:0;34:0;63:17;56:84;51:64;52:128;57:92</t>
  </si>
  <si>
    <t>60:0;30:0;32:60;33:0;31:0;34:0;63:17;56:130;51:65;52:120;57:100</t>
  </si>
  <si>
    <t>60:0;30:0;32:105;33:0;31:0;34:0;63:17;56:130;51:65;52:120;57:100</t>
  </si>
  <si>
    <t>60:0;30:0;32:20;33:40;31:0;34:0;63:22;56:85;51:65;52:122;57:94</t>
  </si>
  <si>
    <t>60:0;30:0;32:70;33:70;31:0;34:0;63:22;56:130;51:65;52:120;57:100</t>
  </si>
  <si>
    <t>60:0;30:0;32:80;33:100;31:0;34:0;63:22;56:130;51:65;52:120;57:100</t>
  </si>
  <si>
    <t>60:20;30:0;32:60;33:40;31:0;34:0;63:26;56:84;51:59;52:118;57:93</t>
  </si>
  <si>
    <t>60:20;30:0;32:80;33:70;31:0;34:0;63:26;56:130;51:65;52:120;57:100</t>
  </si>
  <si>
    <t>60:25;30:0;32:80;33:100;31:0;34:0;63:26;56:130;51:65;52:120;57:100</t>
  </si>
  <si>
    <t>60:0;30:0;32:0;33:0;31:0;34:0;63:15;56:64;51:51;52:121;57:94</t>
  </si>
  <si>
    <t>60:0;30:0;32:0;33:0;31:0;34:0;63:15;56:105;51:50;52:90;57:200</t>
  </si>
  <si>
    <t>60:15;30:0;32:0;33:0;31:100;34:0;63:15;56:105;51:50;52:90;57:200</t>
  </si>
  <si>
    <t>60:0;30:0;32:0;33:0;31:0;34:0;63:20;56:63;51:51;52:121;57:94</t>
  </si>
  <si>
    <t>60:0;30:0;32:0;33:0;31:0;34:0;63:20;56:105;51:50;52:90;57:200</t>
  </si>
  <si>
    <t>60:15;30:0;32:100;33:0;31:0;34:0;63:20;56:105;51:50;52:90;57:200</t>
  </si>
  <si>
    <t>60:0;30:0;32:0;33:0;31:0;34:0;63:25;56:63;51:55;52:128;57:92</t>
  </si>
  <si>
    <t>60:0;30:0;32:0;33:0;31:0;34:0;63:25;56:105;51:50;52:90;57:200</t>
  </si>
  <si>
    <t>60:15;30:0;32:0;33:100;31:0;34:0;63:25;56:105;51:45;52:80;57:200</t>
  </si>
  <si>
    <t>60:0;30:0;32:0;33:0;31:0;34:0;63:30;56:63;51:47;52:116;57:93</t>
  </si>
  <si>
    <t>60:0;30:0;32:0;33:0;31:0;34:0;63:30;56:105;51:50;52:90;57:200</t>
  </si>
  <si>
    <t>60:15;30:0;32:0;33:0;31:120;34:0;63:30;56:105;51:45;52:80;57:200</t>
  </si>
  <si>
    <t>60:60;30:0;32:0;33:0;31:0;34:0;63:17;56:84;51:73;52:91;57:94</t>
  </si>
  <si>
    <t>60:70;30:0;32:0;33:0;31:0;34:0;63:17;56:120;51:45;52:60;57:70</t>
  </si>
  <si>
    <t>60:100;30:0;32:0;33:0;31:0;34:0;63:17;56:120;51:45;52:65;57:70</t>
  </si>
  <si>
    <t>60:70;30:0;32:0;33:0;31:0;34:0;63:17;56:84;51:73;52:91;57:92</t>
  </si>
  <si>
    <t>60:80;30:0;32:0;33:0;31:0;34:0;63:17;56:120;51:45;52:60;57:70</t>
  </si>
  <si>
    <t>60:80;30:0;32:0;33:0;31:0;34:0;63:21;56:85;51:72;52:86;57:94</t>
  </si>
  <si>
    <t>60:90;30:0;32:0;33:0;31:0;34:0;63:21;56:120;51:45;52:60;57:70</t>
  </si>
  <si>
    <t>60:100;30:0;32:0;33:0;31:0;34:0;63:21;56:120;51:45;52:65;57:70</t>
  </si>
  <si>
    <t>60:90;30:0;32:0;33:40;31:0;34:0;63:22;56:85;51:79;52:93;57:94</t>
  </si>
  <si>
    <t>60:90;30:0;32:0;33:70;31:0;34:0;63:22;56:120;51:45;52:60;57:70</t>
  </si>
  <si>
    <t>60:100;30:0;32:0;33:70;31:0;34:0;63:22;56:120;51:45;52:65;57:70</t>
  </si>
  <si>
    <t>60:0;30:0;32:0;33:0;31:0;34:0;63:15;56:84;51:51;52:151;57:94</t>
  </si>
  <si>
    <t>60:0;30:0;32:0;33:0;31:0;34:0;63:15;56:145;51:55;52:110;57:120</t>
  </si>
  <si>
    <t>60:50;30:0;32:0;33:100;31:0;34:0;63:15;56:145;51:55;52:110;57:120</t>
  </si>
  <si>
    <t>60:0;30:0;32:0;33:0;31:0;34:0;63:17;56:84;51:55;52:155;57:94</t>
  </si>
  <si>
    <t>60:0;30:0;32:0;33:0;31:0;34:0;63:17;56:145;51:55;52:110;57:120</t>
  </si>
  <si>
    <t>60:50;30:0;32:0;33:105;31:0;34:0;63:17;56:145;51:55;52:110;57:120</t>
  </si>
  <si>
    <t>60:0;30:0;32:0;33:0;31:0;34:0;63:17;56:84;51:55;52:155;57:92</t>
  </si>
  <si>
    <t>60:50;30:0;32:0;33:110;31:0;34:0;63:17;56:145;51:55;52:110;57:120</t>
  </si>
  <si>
    <t>60:0;30:0;32:0;33:0;31:0;34:0;63:19;56:84;51:47;52:147;57:93</t>
  </si>
  <si>
    <t>60:0;30:0;32:0;33:0;31:0;34:0;63:19;56:145;51:55;52:110;57:120</t>
  </si>
  <si>
    <t>60:50;30:0;32:0;33:115;31:0;34:0;63:19;56:145;51:55;52:110;57:120</t>
  </si>
  <si>
    <t>60:0;30:0;32:0;33:0;31:0;34:0;63:24;56:145;51:55;52:110;57:120</t>
  </si>
  <si>
    <t>60:50;30:0;32:0;33:120;31:0;34:0;63:24;56:145;51:55;52:110;57:120</t>
  </si>
  <si>
    <t>60:0;30:0;32:0;33:0;31:0;34:70;63:14;56:84;51:56;52:112;57:93</t>
  </si>
  <si>
    <t>60:0;30:0;32:0;33:0;31:0;34:80;63:14;56:95;51:60;52:105;57:105</t>
  </si>
  <si>
    <t>60:50;30:0;32:0;33:33;31:33;34:100;63:14;56:95;51:60;52:105;57:105</t>
  </si>
  <si>
    <t>60:0;30:0;32:0;33:0;31:0;34:70;63:16;56:84;51:61;52:111;57:94</t>
  </si>
  <si>
    <t>60:0;30:0;32:0;33:0;31:0;34:80;63:16;56:95;51:60;52:105;57:105</t>
  </si>
  <si>
    <t>60:50;30:0;32:0;33:33;31:33;34:100;63:16;56:95;51:60;52:105;57:105</t>
  </si>
  <si>
    <t>60:0;30:0;32:0;33:0;31:0;34:70;63:18;56:84;51:51;52:109;57:92</t>
  </si>
  <si>
    <t>60:0;30:0;32:0;33:0;31:0;34:80;63:18;56:95;51:60;52:105;57:105</t>
  </si>
  <si>
    <t>60:50;30:0;32:0;33:33;31:33;34:105;63:18;56:95;51:60;52:105;57:105</t>
  </si>
  <si>
    <t>60:0;30:0;32:0;33:0;31:0;34:70;63:23;56:85;51:54;52:107;57:92</t>
  </si>
  <si>
    <t>60:0;30:0;32:0;33:0;31:0;34:80;63:23;56:95;51:60;52:105;57:105</t>
  </si>
  <si>
    <t>60:50;30:0;32:0;33:33;31:33;34:105;63:23;56:95;51:60;52:105;57:105</t>
  </si>
  <si>
    <t>60:0;30:0;32:0;33:0;31:0;34:70;63:25;56:85;51:57;52:107;57:93</t>
  </si>
  <si>
    <t>60:0;30:0;32:0;33:0;31:0;34:80;63:25;56:95;51:60;52:105;57:105</t>
  </si>
  <si>
    <t>60:50;30:0;32:0;33:33;31:33;34:110;63:25;56:95;51:60;52:105;57:105</t>
  </si>
  <si>
    <t>60:0;30:0;32:0;33:0;31:0;34:50;63:0;56:84;51:121;52:161;57:94</t>
  </si>
  <si>
    <t>60:0;30:0;32:0;33:0;31:0;34:50;63:15;56:120;51:110;52:140;57:160</t>
  </si>
  <si>
    <t>60:33;30:20;32:20;33:100;31:20;34:50;63:33;56:120;51:110;52:140;57:160</t>
  </si>
  <si>
    <t>60:0;30:0;32:0;33:0;31:0;34:50;63:0;56:84;51:117;52:151;57:92</t>
  </si>
  <si>
    <t>60:33;30:100;32:100;33:20;31:20;34:50;63:33;56:120;51:110;52:140;57:160</t>
  </si>
  <si>
    <t>60:0;30:0;32:0;33:0;31:0;34:50;63:0;56:85;51:124;52:154;57:93</t>
  </si>
  <si>
    <t>60:0;30:50;32:0;33:0;31:0;34:50;63:15;56:120;51:110;52:140;57:160</t>
  </si>
  <si>
    <t>60:33;30:100;32:20;33:20;31:100;34:50;63:33;56:120;51:110;52:140;57:160</t>
  </si>
  <si>
    <t>60:0;30:0;32:0;33:0;31:0;34:50;63:0;56:85;51:121;52:154;57:92</t>
  </si>
  <si>
    <t>60:0;30:25;32:25;33:25;31:25;34:50;63:15;56:120;51:110;52:140;57:160</t>
  </si>
  <si>
    <t>60:33;30:100;32:50;33:50;31:50;34:50;63:33;56:120;51:110;52:140;57:160</t>
  </si>
  <si>
    <t>60:0;30:0;32:0;33:0;31:0;34:50;63:0;56:84;51:121;52:153;57:93</t>
  </si>
  <si>
    <t>60:33;30:100;32:66;33:66;31:66;34:50;63:33;56:120;51:110;52:140;57:160</t>
  </si>
  <si>
    <t>60:0;30:0;32:0;33:0;31:0;34:0;63:15;56:84;51:91;52:121;57:94</t>
  </si>
  <si>
    <t>60:0;30:0;32:0;33:0;31:0;34:0;63:15;56:85;51:80;52:110;57:85</t>
  </si>
  <si>
    <t>60:0;30:0;32:25;33:0;31:0;34:110;63:15;56:85;51:80;52:110;57:85</t>
  </si>
  <si>
    <t>60:0;30:0;32:0;33:0;31:0;34:0;63:16;56:84;51:91;52:121;57:94</t>
  </si>
  <si>
    <t>60:0;30:0;32:0;33:0;31:0;34:0;63:16;56:85;51:80;52:110;57:85</t>
  </si>
  <si>
    <t>60:0;30:0;32:25;33:100;31:0;34:25;63:16;56:85;51:80;52:110;57:85</t>
  </si>
  <si>
    <t>60:0;30:0;32:0;33:0;31:0;34:0;63:22;56:85;51:93;52:122;57:94</t>
  </si>
  <si>
    <t>60:0;30:0;32:0;33:0;31:0;34:0;63:22;56:85;51:80;52:110;57:85</t>
  </si>
  <si>
    <t>60:0;30:0;32:100;33:0;31:0;34:25;63:22;56:85;51:80;52:110;57:85</t>
  </si>
  <si>
    <t>60:0;30:0;32:0;33:0;31:0;34:0;63:23;56:85;51:94;52:121;57:92</t>
  </si>
  <si>
    <t>60:0;30:0;32:0;33:0;31:0;34:0;63:23;56:85;51:80;52:110;57:85</t>
  </si>
  <si>
    <t>60:0;30:0;32:25;33:100;31:0;34:25;63:23;56:85;51:80;52:110;57:85</t>
  </si>
  <si>
    <t>60:0;30:0;32:0;33:0;31:0;34:0;63:21;56:85;51:51;52:122;57:94</t>
  </si>
  <si>
    <t>60:0;30:0;32:0;33:0;31:0;34:0;63:21;56:95;51:50;52:95;57:90</t>
  </si>
  <si>
    <t>60:0;30:0;32:0;33:33;31:0;34:105;63:21;56:95;51:50;52:95;57:90</t>
  </si>
  <si>
    <t>60:0;30:0;32:0;33:0;31:0;34:0;63:23;56:85;51:54;52:121;57:92</t>
  </si>
  <si>
    <t>60:0;30:0;32:0;33:0;31:0;34:0;63:23;56:95;51:50;52:95;57:90</t>
  </si>
  <si>
    <t>60:0;30:0;32:0;33:33;31:0;34:110;63:23;56:95;51:50;52:95;57:90</t>
  </si>
  <si>
    <t>60:0;30:0;32:0;33:0;31:0;34:0;63:22;56:85;51:51;52:122;57:94</t>
  </si>
  <si>
    <t>60:0;30:0;32:0;33:0;31:0;34:0;63:22;56:95;51:50;52:95;57:90</t>
  </si>
  <si>
    <t>60:0;30:0;32:0;33:33;31:0;34:115;63:22;56:95;51:50;52:95;57:90</t>
  </si>
  <si>
    <t>60:0;30:0;32:0;33:0;31:0;34:0;63:24;56:85;51:51;52:119;57:92</t>
  </si>
  <si>
    <t>60:0;30:0;32:0;33:0;31:0;34:0;63:24;56:95;51:50;52:95;57:90</t>
  </si>
  <si>
    <t>60:0;30:0;32:0;33:33;31:0;34:120;63:24;56:95;51:50;52:95;57:90</t>
  </si>
  <si>
    <t>60:40;30:0;32:0;33:50;31:0;34:0;63:21;56:85;51:36;52:151;57:94</t>
  </si>
  <si>
    <t>60:40;30:0;32:0;33:70;31:0;34:0;63:21;56:115;51:45;52:115;57:120</t>
  </si>
  <si>
    <t>60:60;30:0;32:0;33:100;31:0;34:0;63:21;56:115;51:45;52:115;57:120</t>
  </si>
  <si>
    <t>60:50;30:0;32:0;33:60;31:0;34:0;63:23;56:85;51:34;52:154;57:92</t>
  </si>
  <si>
    <t>60:50;30:0;32:0;33:80;31:0;34:0;63:23;56:115;51:45;52:115;57:120</t>
  </si>
  <si>
    <t>60:70;30:0;32:0;33:105;31:0;34:0;63:23;56:115;51:45;52:115;57:120</t>
  </si>
  <si>
    <t>60:60;30:0;32:0;33:70;31:0;34:0;63:26;56:84;51:36;52:153;57:93</t>
  </si>
  <si>
    <t>60:60;30:0;32:0;33:85;31:0;34:0;63:26;56:115;51:45;52:115;57:120</t>
  </si>
  <si>
    <t>60:80;30:0;32:0;33:110;31:0;34:0;63:26;56:115;51:45;52:115;57:120</t>
  </si>
  <si>
    <t>60:70;30:0;32:0;33:80;31:0;34:0;63:28;56:84;51:34;52:151;57:93</t>
  </si>
  <si>
    <t>60:70;30:0;32:0;33:100;31:0;34:0;63:28;56:115;51:45;52:115;57:120</t>
  </si>
  <si>
    <t>60:90;30:0;32:0;33:115;31:0;34:0;63:28;56:115;51:45;52:115;57:120</t>
  </si>
  <si>
    <t>60:0;30:0;32:0;33:0;31:0;34:0;63:12;56:84;51:88;52:138;57:92</t>
  </si>
  <si>
    <t>60:0;30:0;32:0;33:0;31:0;34:0;63:12;56:135;51:80;52:120;57:100</t>
  </si>
  <si>
    <t>60:50;30:0;32:110;33:0;31:0;34:50;63:12;56:135;51:80;52:120;57:100</t>
  </si>
  <si>
    <t>60:0;30:0;32:0;33:0;31:0;34:0;63:16;56:84;51:91;52:151;57:94</t>
  </si>
  <si>
    <t>60:0;30:0;32:0;33:0;31:0;34:0;63:16;56:135;51:80;52:120;57:100</t>
  </si>
  <si>
    <t>60:50;30:0;32:0;33:105;31:0;34:55;63:16;56:135;51:80;52:120;57:100</t>
  </si>
  <si>
    <t>60:0;30:0;32:0;33:0;31:0;34:0;63:21;56:85;51:86;52:143;57:94</t>
  </si>
  <si>
    <t>60:0;30:0;32:0;33:0;31:0;34:0;63:21;56:135;51:70;52:105;57:100</t>
  </si>
  <si>
    <t>60:50;30:0;32:0;33:0;31:0;34:110;63:21;56:135;51:70;52:105;57:100</t>
  </si>
  <si>
    <t>60:0;30:0;32:0;33:0;31:0;34:0;63:22;56:85;51:93;52:151;57:94</t>
  </si>
  <si>
    <t>60:0;30:0;32:0;33:0;31:0;34:0;63:22;56:135;51:70;52:105;57:100</t>
  </si>
  <si>
    <t>60:50;30:0;32:115;33:0;31:0;34:60;63:22;56:135;51:70;52:105;57:100</t>
  </si>
  <si>
    <t>60:0;30:0;32:0;33:0;31:0;34:0;63:23;56:85;51:94;52:147;57:92</t>
  </si>
  <si>
    <t>60:0;30:0;32:0;33:0;31:0;34:0;63:23;56:135;51:70;52:105;57:100</t>
  </si>
  <si>
    <t>60:50;30:0;32:120;33:0;31:0;34:65;63:23;56:135;51:70;52:105;57:100</t>
  </si>
  <si>
    <t>60:0;30:0;32:0;33:0;31:0;34:0;63:21;56:140;51:90;52:160;57:105</t>
  </si>
  <si>
    <t>60:25;30:0;32:0;33:0;31:120;34:0;63:21;56:140;51:90;52:160;57:105</t>
  </si>
  <si>
    <t>60:0;30:0;32:0;33:0;31:0;34:0;63:22;56:140;51:90;52:160;57:105</t>
  </si>
  <si>
    <t>60:25;30:0;32:0;33:0;31:130;34:0;63:22;56:140;51:90;52:160;57:105</t>
  </si>
  <si>
    <t>60:0;30:0;32:0;33:0;31:0;34:0;63:23;56:85;51:87;52:147;57:92</t>
  </si>
  <si>
    <t>60:0;30:0;32:0;33:0;31:0;34:0;63:23;56:140;51:90;52:160;57:105</t>
  </si>
  <si>
    <t>60:25;30:0;32:0;33:0;31:140;34:0;63:23;56:140;51:90;52:160;57:105</t>
  </si>
  <si>
    <t>60:0;30:0;32:0;33:0;31:0;34:0;63:27;56:84;51:89;52:148;57:93</t>
  </si>
  <si>
    <t>60:0;30:0;32:0;33:0;31:0;34:0;63:27;56:140;51:90;52:160;57:105</t>
  </si>
  <si>
    <t>60:25;30:0;32:0;33:0;31:150;34:0;63:27;56:140;51:90;52:160;57:105</t>
  </si>
  <si>
    <t>60:30;30:0;32:0;33:0;31:50;34:0;63:19;56:84;51:47;52:116;57:93</t>
  </si>
  <si>
    <t>60:30;30:0;32:0;33:0;31:50;34:50;63:19;56:100;51:50;52:100;57:120</t>
  </si>
  <si>
    <t>60:30;30:0;32:33;33:25;31:110;34:50;63:19;56:100;51:50;52:100;57:120</t>
  </si>
  <si>
    <t>60:40;30:0;32:0;33:0;31:50;34:0;63:23;56:85;51:54;52:121;57:92</t>
  </si>
  <si>
    <t>60:35;30:0;32:0;33:0;31:50;34:50;63:23;56:100;51:50;52:100;57:120</t>
  </si>
  <si>
    <t>60:35;30:0;32:33;33:25;31:120;34:50;63:23;56:100;51:50;52:100;57:120</t>
  </si>
  <si>
    <t>60:50;30:0;32:0;33:0;31:50;34:0;63:24;56:85;51:51;52:119;57:92</t>
  </si>
  <si>
    <t>60:40;30:0;32:0;33:0;31:50;34:50;63:24;56:100;51:50;52:100;57:120</t>
  </si>
  <si>
    <t>60:40;30:0;32:33;33:25;31:130;34:50;63:24;56:100;51:50;52:100;57:120</t>
  </si>
  <si>
    <t>60:60;30:0;32:0;33:0;31:50;34:0;63:25;56:85;51:51;52:119;57:93</t>
  </si>
  <si>
    <t>60:45;30:0;32:0;33:0;31:50;34:50;63:25;56:100;51:50;52:100;57:120</t>
  </si>
  <si>
    <t>60:45;30:0;32:33;33:25;31:140;34:50;63:25;56:100;51:50;52:100;57:120</t>
  </si>
  <si>
    <t>60:20;30:0;32:0;33:0;31:50;34:0;63:13;56:84;51:51;52:126;57:93</t>
  </si>
  <si>
    <t>60:20;30:0;32:0;33:0;31:50;34:50;63:13;56:100;51:50;52:100;57:120</t>
  </si>
  <si>
    <t>60:50;30:0;32:33;33:25;31:150;34:50;63:13;56:100;51:50;52:100;57:120</t>
  </si>
  <si>
    <t>60:0;30:0;32:0;33:0;31:0;34:0;63:16;56:84;51:71;52:101;57:94</t>
  </si>
  <si>
    <t>60:0;30:0;32:0;33:0;31:0;34:0;63:16;56:110;51:65;52:70;57:100</t>
  </si>
  <si>
    <t>60:15;30:25;32:100;33:0;31:0;34:0;63:16;56:110;51:65;52:70;57:100</t>
  </si>
  <si>
    <t>60:0;30:0;32:0;33:0;31:0;34:0;63:19;56:84;51:62;52:93;57:93</t>
  </si>
  <si>
    <t>60:0;30:0;32:0;33:0;31:0;34:0;63:19;56:110;51:65;52:70;57:100</t>
  </si>
  <si>
    <t>60:15;30:25;32:0;33:110;31:0;34:0;63:19;56:110;51:65;52:70;57:100</t>
  </si>
  <si>
    <t>60:0;30:0;32:0;33:0;31:0;34:0;63:22;56:85;51:65;52:101;57:94</t>
  </si>
  <si>
    <t>60:0;30:0;32:0;33:0;31:0;34:0;63:22;56:110;51:65;52:70;57:100</t>
  </si>
  <si>
    <t>60:15;30:25;32:0;33:0;31:100;34:0;63:22;56:110;51:65;52:70;57:100</t>
  </si>
  <si>
    <t>60:0;30:0;32:0;33:0;31:0;34:0;63:24;56:85;51:63;52:94;57:92</t>
  </si>
  <si>
    <t>60:0;30:0;32:0;33:0;31:0;34:0;63:24;56:110;51:65;52:70;57:100</t>
  </si>
  <si>
    <t>60:15;30:25;32:105;33:0;31:0;34:0;63:24;56:110;51:65;52:70;57:100</t>
  </si>
  <si>
    <t>60:0;30:0;32:0;33:0;31:0;34:0;63:27;56:84;51:65;52:101;57:93</t>
  </si>
  <si>
    <t>60:0;30:0;32:0;33:0;31:0;34:0;63:27;56:110;51:65;52:70;57:100</t>
  </si>
  <si>
    <t>60:15;30:25;32:0;33:120;31:0;34:0;63:27;56:110;51:65;52:70;57:100</t>
  </si>
  <si>
    <t>60:0;30:0;32:0;33:0;31:0;34:0;63:11;56:84;51:72;52:115;57:91</t>
  </si>
  <si>
    <t>60:0;30:0;32:0;33:0;31:0;34:0;63:11;56:125;51:60;52:95;57:95</t>
  </si>
  <si>
    <t>60:0;30:0;32:100;33:33;31:33;34:50;63:11;56:125;51:60;52:95;57:95</t>
  </si>
  <si>
    <t>60:0;30:0;32:0;33:0;31:0;34:0;63:21;56:85;51:65;52:101;57:94</t>
  </si>
  <si>
    <t>60:0;30:0;32:0;33:0;31:0;34:0;63:21;56:125;51:60;52:95;57:95</t>
  </si>
  <si>
    <t>60:0;30:0;32:33;33:100;31:33;34:50;63:21;56:125;51:60;52:95;57:95</t>
  </si>
  <si>
    <t>60:0;30:0;32:0;33:0;31:0;34:0;63:22;56:85;51:72;52:108;57:94</t>
  </si>
  <si>
    <t>60:0;30:0;32:0;33:0;31:0;34:0;63:22;56:125;51:60;52:95;57:95</t>
  </si>
  <si>
    <t>60:0;30:0;32:33;33:33;31:100;34:50;63:22;56:125;51:60;52:95;57:95</t>
  </si>
  <si>
    <t>60:0;30:0;32:0;33:0;31:0;34:0;63:23;56:85;51:67;52:107;57:92</t>
  </si>
  <si>
    <t>60:0;30:0;32:0;33:0;31:0;34:0;63:23;56:125;51:60;52:95;57:95</t>
  </si>
  <si>
    <t>60:0;30:0;32:33;33:110;31:33;34:50;63:23;56:125;51:60;52:95;57:95</t>
  </si>
  <si>
    <t>60:0;30:0;32:0;33:0;31:0;34:0;63:24;56:85;51:69;52:101;57:92</t>
  </si>
  <si>
    <t>60:0;30:0;32:0;33:0;31:0;34:0;63:24;56:125;51:60;52:95;57:95</t>
  </si>
  <si>
    <t>60:0;30:0;32:100;33:33;31:33;34:50;63:24;56:125;51:60;52:95;57:95</t>
  </si>
  <si>
    <t>60:0;30:0;32:0;33:0;31:0;34:0;63:75;56:84;51:0;52:0;57:0</t>
  </si>
  <si>
    <t>60:0;30:0;32:0;33:0;31:0;34:0;63:75;56:150;51:;52:;57:</t>
  </si>
  <si>
    <t>60:0;30:0;32:0;33:0;31:0;34:0;63:75;56:150;51:0;52:0;57:0</t>
  </si>
  <si>
    <t>60:0;30:0;32:-50;33:50;31:50;34:80;63:0;56:84;51:76;52:238;57:153</t>
  </si>
  <si>
    <t>60:0;30:0;32:-50;33:50;31:50;34:50;63:20;56:110;51:180;52:220;57:200</t>
  </si>
  <si>
    <t>60:66;30:0;32:-50;33:66;31:66;34:66;63:40;56:110;51:180;52:220;57:470</t>
  </si>
  <si>
    <t>60:0;30:0;32:0;33:0;31:0;34:0;63:13;56:84;51:60;52:90;57:256</t>
  </si>
  <si>
    <t>60:0;30:0;32:0;33:0;31:0;34:0;63:13;56:90;51:60;52:90;57:150</t>
  </si>
  <si>
    <t>60:15;30:0;32:25;33:100;31:25;34:25;63:13;56:90;51:60;52:90;57:150</t>
  </si>
  <si>
    <t>60:0;30:0;32:0;33:0;31:0;34:0;63:15;56:84;51:60;52:90;57:255</t>
  </si>
  <si>
    <t>60:0;30:0;32:0;33:0;31:0;34:0;63:15;56:90;51:60;52:90;57:150</t>
  </si>
  <si>
    <t>60:15;30:0;32:110;33:25;31:25;34:25;63:15;56:90;51:60;52:90;57:150</t>
  </si>
  <si>
    <t>60:0;30:0;32:0;33:0;31:0;34:0;63:20;56:84;51:60;52:90;57:254</t>
  </si>
  <si>
    <t>60:0;30:0;32:0;33:0;31:0;34:0;63:20;56:90;51:60;52:90;57:150</t>
  </si>
  <si>
    <t>60:15;30:0;32:25;33:110;31:25;34:25;63:20;56:90;51:60;52:90;57:150</t>
  </si>
  <si>
    <t>60:0;30:0;32:0;33:0;31:0;34:0;63:28;56:84;51:60;52:90;57:253</t>
  </si>
  <si>
    <t>60:0;30:0;32:0;33:0;31:0;34:0;63:28;56:90;51:60;52:90;57:150</t>
  </si>
  <si>
    <t>60:15;30:0;32:25;33:115;31:25;34:25;63:28;56:90;51:60;52:90;57:150</t>
  </si>
  <si>
    <t>60:20;30:0;32:0;33:0;31:0;34:0;63:45;56:85;51:60;52:90;57:252</t>
  </si>
  <si>
    <t>60:20;30:0;32:0;33:0;31:0;34:0;63:45;56:90;51:60;52:90;57:150</t>
  </si>
  <si>
    <t>60:15;30:0;32:25;33:25;31:130;34:25;63:45;56:90;51:60;52:90;57:150</t>
  </si>
  <si>
    <t>60:0;30:0;32:0;33:0;31:0;34:0;63:4;56:84;51:67;52:134;57:101</t>
  </si>
  <si>
    <t>60:0;30:0;32:0;33:0;31:0;34:0;63:4;56:95;51:65;52:130;57:140</t>
  </si>
  <si>
    <t>60:45;30:0;32:25;33:100;31:25;34:25;63:4;56:95;51:65;52:130;57:140</t>
  </si>
  <si>
    <t>60:0;30:0;32:0;33:0;31:0;34:0;63:6;56:84;51:76;52:151;57:91</t>
  </si>
  <si>
    <t>60:0;30:0;32:0;33:0;31:0;34:0;63:6;56:95;51:65;52:130;57:140</t>
  </si>
  <si>
    <t>60:45;30:0;32:110;33:25;31:25;34:25;63:6;56:95;51:65;52:130;57:140</t>
  </si>
  <si>
    <t>60:0;30:0;32:0;33:0;31:0;34:0;63:9;56:84;51:67;52:151;57:95</t>
  </si>
  <si>
    <t>60:0;30:0;32:0;33:0;31:0;34:0;63:9;56:95;51:65;52:130;57:140</t>
  </si>
  <si>
    <t>60:45;30:0;32:25;33:110;31:25;34:25;63:9;56:95;51:65;52:130;57:140</t>
  </si>
  <si>
    <t>60:0;30:0;32:0;33:0;31:0;34:0;63:10;56:84;51:58;52:143;57:95</t>
  </si>
  <si>
    <t>60:0;30:0;32:0;33:0;31:0;34:0;63:10;56:95;51:65;52:130;57:140</t>
  </si>
  <si>
    <t>60:45;30:0;32:25;33:115;31:25;34:25;63:10;56:95;51:65;52:130;57:140</t>
  </si>
  <si>
    <t>60:20;30:0;32:0;33:0;31:0;34:0;63:24;56:85;51:57;52:144;57:92</t>
  </si>
  <si>
    <t>60:20;30:0;32:0;33:0;31:0;34:0;63:24;56:95;51:65;52:130;57:140</t>
  </si>
  <si>
    <t>60:45;30:0;32:25;33:25;31:130;34:25;63:24;56:95;51:65;52:130;57:140</t>
  </si>
  <si>
    <t>60:0;30:0;32:0;33:0;31:0;34:50;63:15;56:84;51:65;52:90;57:255;87:200</t>
  </si>
  <si>
    <t>60:0;30:0;32:0;33:0;31:0;34:60;63:15;56:100;51:35;52:50;57:115</t>
  </si>
  <si>
    <t>60:40;30:0;32:33;33:0;31:33;34:100;63:15;56:100;51:35;52:50;57:115</t>
  </si>
  <si>
    <t>60:0;30:0;32:0;33:0;31:0;34:50;63:23;56:84;51:65;52:90;57:253</t>
  </si>
  <si>
    <t>60:0;30:0;32:0;33:0;31:0;34:60;63:23;56:100;51:35;52:50;57:115</t>
  </si>
  <si>
    <t>60:40;30:0;32:33;33:0;31:33;34:105;63:23;56:100;51:35;52:50;57:115</t>
  </si>
  <si>
    <t>60:0;30:0;32:0;33:0;31:20;34:50;63:25;56:84;51:65;52:90;57:253</t>
  </si>
  <si>
    <t>60:0;30:0;32:0;33:0;31:50;34:60;63:25;56:100;51:35;52:50;57:115</t>
  </si>
  <si>
    <t>60:45;30:0;32:33;33:0;31:75;34:105;63:25;56:100;51:35;52:50;57:115</t>
  </si>
  <si>
    <t>60:0;30:0;32:30;33:0;31:0;34:50;63:35;56:84;51:45;52:70;57:252</t>
  </si>
  <si>
    <t>60:0;30:0;32:50;33:0;31:0;34:60;63:35;56:100;51:35;52:50;57:115</t>
  </si>
  <si>
    <t>60:45;30:0;32:75;33:0;31:33;34:110;63:35;56:100;51:35;52:50;57:115</t>
  </si>
  <si>
    <t>60:0;30:20;32:0;33:40;31:0;34:50;63:45;56:84;51:45;52:70;57:252</t>
  </si>
  <si>
    <t>60:0;30:50;32:0;33:70;31:0;34:60;63:45;56:100;51:35;52:50;57:115</t>
  </si>
  <si>
    <t>60:50;30:75;32:0;33:75;31:0;34:110;63:45;56:100;51:35;52:50;57:115</t>
  </si>
  <si>
    <t>60:0;30:0;32:0;33:0;31:0;34:0;63:17;56:84;51:28;52:46;57:94</t>
  </si>
  <si>
    <t>60:0;30:0;32:0;33:0;31:0;34:0;63:17;56:50;51:25;52:45;57:70</t>
  </si>
  <si>
    <t>60:0;30:0;32:0;33:0;31:0;34:100;63:17;56:50;51:25;52:45;57:70</t>
  </si>
  <si>
    <t>60:0;30:0;32:0;33:0;31:0;34:0;63:17;56:84;51:28;52:46;57:92</t>
  </si>
  <si>
    <t>60:0;30:0;32:0;33:0;31:0;34:0;63:19;56:84;51:24;52:47;57:93</t>
  </si>
  <si>
    <t>60:0;30:0;32:0;33:0;31:0;34:0;63:19;56:50;51:25;52:45;57:70</t>
  </si>
  <si>
    <t>60:0;30:0;32:0;33:0;31:0;34:100;63:19;56:50;51:25;52:45;57:70</t>
  </si>
  <si>
    <t>60:0;30:0;32:0;33:0;31:0;34:0;63:21;56:85;51:29;52:43;57:94</t>
  </si>
  <si>
    <t>60:0;30:0;32:0;33:0;31:0;34:0;63:21;56:50;51:25;52:45;57:70</t>
  </si>
  <si>
    <t>60:0;30:0;32:0;33:0;31:0;34:100;63:21;56:50;51:25;52:45;57:70</t>
  </si>
  <si>
    <t>60:0;30:0;32:0;33:0;31:0;34:0;63:24;56:85;51:26;52:44;57:92</t>
  </si>
  <si>
    <t>60:0;30:0;32:0;33:0;31:0;34:0;63:24;56:50;51:25;52:45;57:70</t>
  </si>
  <si>
    <t>60:0;30:0;32:0;33:0;31:0;34:100;63:24;56:50;51:25;52:45;57:70</t>
  </si>
  <si>
    <t>60:0;30:0;32:0;33:0;31:0;34:0;63:24;56:84;51:76;52:134;57:125</t>
  </si>
  <si>
    <t>60:0;30:0;32:0;33:0;31:0;34:0;63:24;56:80;51:90;52:140;57:110</t>
  </si>
  <si>
    <t>60:55;30:0;32:115;33:50;31:50;34:0;63:24;56:80;51:90;52:140;57:110</t>
  </si>
  <si>
    <t>60:0;30:0;32:0;33:0;31:0;34:0;63:27;56:85;51:77;52:139;57:125</t>
  </si>
  <si>
    <t>60:0;30:0;32:0;33:0;31:0;34:0;63:27;56:80;51:90;52:140;57:110</t>
  </si>
  <si>
    <t>60:55;30:0;32:50;33:50;31:140;34:0;63:27;56:80;51:90;52:140;57:110</t>
  </si>
  <si>
    <t>60:0;30:0;32:0;33:0;31:0;34:0;63:33;56:85;51:76;52:138;57:126</t>
  </si>
  <si>
    <t>60:0;30:0;32:0;33:0;31:0;34:0;63:33;56:80;51:90;52:140;57:110</t>
  </si>
  <si>
    <t>60:55;30:0;32:50;33:100;31:50;34:0;63:33;56:80;51:90;52:140;57:110</t>
  </si>
  <si>
    <t>60:0;30:0;32:25;33:25;31:50;34:25;63:42;56:84;51:76;52:136;57:125</t>
  </si>
  <si>
    <t>60:0;30:0;32:50;33:50;31:50;34:50;63:42;56:80;51:90;52:140;57:110</t>
  </si>
  <si>
    <t>60:55;30:0;32:75;33:75;31:75;34:0;63:42;56:80;51:90;52:140;57:110</t>
  </si>
  <si>
    <t>60:0;30:0;32:0;33:0;31:0;34:0;63:0;56:84;51:0;52:0;57:0</t>
  </si>
  <si>
    <t>60:0;30:0;32:0;33:0;31:0;34:0;63:0;56:25;51:;52:;57:</t>
  </si>
  <si>
    <t>60:0;30:0;32:0;33:0;31:0;34:0;63:0;56:25;51:0;52:0;57:0</t>
  </si>
  <si>
    <t>60:0;30:0;32:0;33:0;31:0;34:0;63:0;56:85;51:0;52:0;57:0</t>
  </si>
  <si>
    <t>60:0;30:0;32:0;33:0;31:0;34:0;63:0;56:17;51:0;52:0;57:0</t>
  </si>
  <si>
    <t>60:0;30:0;32:0;33:0;31:0;34:0;63:0;56:30;51:;52:;57:</t>
  </si>
  <si>
    <t>60:0;30:0;32:0;33:0;31:0;34:0;63:0;56:30;51:0;52:0;57:0</t>
  </si>
  <si>
    <t>60:0;30:0;32:0;33:0;31:0;34:0;63:0;56:19;51:0;52:0;57:0</t>
  </si>
  <si>
    <t>60:0;30:0;32:20;33:20;31:50;34:20;63:0;56:85;51:140;52:180;57:201</t>
  </si>
  <si>
    <t>60:0;30:0;32:50;33:50;31:75;34:50;63:25;56:120;51:140;52:190;57:110</t>
  </si>
  <si>
    <t>60:50;30:33;32:75;33:75;31:95;34:75;63:50;56:120;51:140;52:190;57:110</t>
  </si>
  <si>
    <t>60:0;30:0;32:0;33:0;31:0;34:50;63:11;56:84;51:72;52:115;57:91</t>
  </si>
  <si>
    <t>60:0;30:0;32:0;33:0;31:0;34:60;63:11;56:135;51:65;52:105;57:90</t>
  </si>
  <si>
    <t>60:25;30:0;32:33;33:0;31:75;34:100;63:11;56:135;51:65;52:105;57:90</t>
  </si>
  <si>
    <t>60:0;30:0;32:0;33:0;31:0;34:50;63:21;56:85;51:65;52:101;57:94</t>
  </si>
  <si>
    <t>60:0;30:0;32:0;33:0;31:0;34:60;63:21;56:135;51:65;52:105;57:90</t>
  </si>
  <si>
    <t>60:25;30:0;32:33;33:0;31:75;34:105;63:21;56:135;51:65;52:105;57:90</t>
  </si>
  <si>
    <t>60:0;30:0;32:0;33:0;31:0;34:50;63:22;56:85;51:72;52:108;57:94</t>
  </si>
  <si>
    <t>60:0;30:0;32:0;33:0;31:0;34:60;63:22;56:135;51:65;52:105;57:90</t>
  </si>
  <si>
    <t>60:25;30:0;32:33;33:0;31:75;34:110;63:22;56:135;51:65;52:105;57:90</t>
  </si>
  <si>
    <t>60:0;30:0;32:0;33:0;31:0;34:50;63:23;56:85;51:67;52:107;57:92</t>
  </si>
  <si>
    <t>60:0;30:0;32:0;33:0;31:0;34:60;63:23;56:135;51:65;52:105;57:90</t>
  </si>
  <si>
    <t>60:25;30:0;32:33;33:0;31:75;34:115;63:23;56:135;51:65;52:105;57:90</t>
  </si>
  <si>
    <t>60:0;30:0;32:0;33:0;31:0;34:50;63:24;56:85;51:69;52:101;57:92</t>
  </si>
  <si>
    <t>60:0;30:0;32:0;33:0;31:0;34:60;63:24;56:135;51:65;52:105;57:90</t>
  </si>
  <si>
    <t>60:25;30:0;32:33;33:0;31:75;34:120;63:24;56:135;51:65;52:105;57:90</t>
  </si>
  <si>
    <t>60:0;30:0;32:0;33:0;31:50;34:50;63:0;56:56;51:0;52:0;57:0</t>
  </si>
  <si>
    <t>60:0;30:0;32:0;33:0;31:50;34:50;63:0;56:5;51:;52:;57:</t>
  </si>
  <si>
    <t>60:25;30:0;32:0;33:25;31:150;34:50;63:0;56:5;51:0;52:0;57:0</t>
  </si>
  <si>
    <t>60:0;30:0;32:0;33:0;31:40;34:50;63:17;56:63;51:73;52:155;57:94</t>
  </si>
  <si>
    <t>60:0;30:0;32:0;33:0;31:60;34:60;63:17;56:120;51:100;52:150;57:130</t>
  </si>
  <si>
    <t>60:50;30:0;32:0;33:0;31:60;34:80;63:17;56:120;51:100;52:150;57:130</t>
  </si>
  <si>
    <t>60:0;30:0;32:0;33:0;31:70;34:70;63:0;56:0;51:0;52:0;57:0</t>
  </si>
  <si>
    <t>60:0;30:0;32:0;33:0;31:0;34:70;63:13;56:84;51:38;52:113;57:93</t>
  </si>
  <si>
    <t>60:0;30:0;32:0;33:100;31:0;34:0;63:13;56:150;51:75;52:120;57:150</t>
  </si>
  <si>
    <t>60:25;30:0;32:100;33:100;31:0;34:0;63:13;56:150;51:75;52:120;57:150</t>
  </si>
  <si>
    <t>60:0;30:0;32:0;33:0;31:0;34:0;63:20;56:85;51:62;52:108;57:93</t>
  </si>
  <si>
    <t>60:0;30:0;32:0;33:0;31:0;34:0;63:20;56:80;51:60;52:100;57:100</t>
  </si>
  <si>
    <t>60:10;30:0;32:100;33:33;31:33;34:20;63:20;56:80;51:60;52:100;57:100</t>
  </si>
  <si>
    <t>60:0;30:0;32:0;33:0;31:0;34:0;63:22;56:85;51:65;52:108;57:94</t>
  </si>
  <si>
    <t>60:0;30:0;32:0;33:0;31:0;34:0;63:22;56:80;51:60;52:100;57:100</t>
  </si>
  <si>
    <t>60:10;30:0;32:25;33:33;31:140;34:20;63:22;56:80;51:60;52:100;57:100</t>
  </si>
  <si>
    <t>60:0;30:0;32:0;33:0;31:0;34:0;63:24;56:85;51:57;52:101;57:92</t>
  </si>
  <si>
    <t>60:0;30:0;32:0;33:0;31:0;34:0;63:24;56:80;51:60;52:100;57:100</t>
  </si>
  <si>
    <t>60:10;30:0;32:25;33:100;31:33;34:20;63:24;56:80;51:60;52:100;57:100</t>
  </si>
  <si>
    <t>60:0;30:0;32:0;33:0;31:0;34:0;63:22;56:85;51:72;52:158;57:94</t>
  </si>
  <si>
    <t>60:0;30:0;32:0;33:0;31:50;34:0;63:22;56:75;51:40;52:85;57:90</t>
  </si>
  <si>
    <t>60:10;30:0;32:25;33:33;31:140;34:20;63:22;56:75;51:40;52:85;57:90</t>
  </si>
  <si>
    <t>60:0;30:0;32:0;33:0;31:0;34:0;63:23;56:85;51:67;52:154;57:92</t>
  </si>
  <si>
    <t>60:0;30:0;32:0;33:50;31:50;34:0;63:23;56:75;51:40;52:85;57:90</t>
  </si>
  <si>
    <t>60:10;30:0;32:25;33:100;31:75;34:20;63:23;56:75;51:40;52:85;57:90</t>
  </si>
  <si>
    <t>60:0;30:0;32:0;33:0;31:0;34:0;63:24;56:85;51:69;52:151;57:92</t>
  </si>
  <si>
    <t>60:0;30:0;32:50;33:0;31:75;34:0;63:24;56:75;51:40;52:85;57:90</t>
  </si>
  <si>
    <t>60:10;30:0;32:25;33:33;31:160;34:20;63:24;56:75;51:40;52:85;57:90</t>
  </si>
  <si>
    <t>60:0;30:0;32:0;33:0;31:0;34:0;63:24;56:75;51:40;52:85;57:90</t>
  </si>
  <si>
    <t>60:10;30:0;32:33;33:75;31:75;34:20;63:24;56:75;51:40;52:85;57:90</t>
  </si>
  <si>
    <t>60:0;30:0;32:33;33:33;31:25;34:50;63:20;56:124;51:295;52:442;57:251</t>
  </si>
  <si>
    <t>60:0;30:0;32:50;33:50;31:25;34:50;63:40;56:160;51:160;52:220;57:200</t>
  </si>
  <si>
    <t>60:20;30:50;32:75;33:75;31:75;34:75;63:50;56:160;51:160;52:220;57:200</t>
  </si>
  <si>
    <t>60:0;30:0;32:33;33:33;31:33;34:50;63:25;56:87;51:77;52:197;57:313</t>
  </si>
  <si>
    <t>60:0;30:0;32:50;33:50;31:50;34:50;63:40;56:140;51:180;52:220;57:215</t>
  </si>
  <si>
    <t>60:45;30:0;32:50;33:50;31:50;34:50;63:50;56:140;51:180;52:220;57:215</t>
  </si>
  <si>
    <t>60:0;30:0;32:0;33:0;31:0;34:0;63:21;56:85;51:65;52:151;57:94</t>
  </si>
  <si>
    <t>60:0;30:0;32:0;33:0;31:0;34:0;63:21;56:95;51:65;52:95;57:100</t>
  </si>
  <si>
    <t>60:15;30:0;32:100;33:0;31:25;34:50;63:21;56:95;51:65;52:95;57:100</t>
  </si>
  <si>
    <t>60:0;30:0;32:0;33:0;31:0;34:0;63:22;56:95;51:65;52:95;57:100</t>
  </si>
  <si>
    <t>60:15;30:0;32:0;33:0;31:120;34:50;63:22;56:95;51:65;52:95;57:100</t>
  </si>
  <si>
    <t>60:0;30:0;32:0;33:0;31:0;34:0;63:24;56:95;51:65;52:95;57:100</t>
  </si>
  <si>
    <t>60:15;30:0;32:0;33:0;31:25;34:110;63:24;56:95;51:65;52:95;57:100</t>
  </si>
  <si>
    <t>60:0;30:0;32:50;33:50;31:50;34:0;63:18;56:153;51:0;52:0;57:0</t>
  </si>
  <si>
    <t>60:0;30:0;32:50;33:50;31:50;34:0;63:18;56:85;51:;52:;57:</t>
  </si>
  <si>
    <t>60:0;30:0;32:75;33:75;31:75;34:0;63:18;56:85;51:0;52:0;57:0</t>
  </si>
  <si>
    <t>60:30;30:30;32:30;33:30;31:75;34:30;63:50;56:84;51:132;52:237;57:251</t>
  </si>
  <si>
    <t>60:30;30:30;32:30;33:30;31:75;34:30;63:50;56:120;51:120;52:160;57:200</t>
  </si>
  <si>
    <t>60:0;30:0;32:0;33:0;31:0;34:0;63:18;56:84;51:76;52:151;57:92</t>
  </si>
  <si>
    <t>60:0;30:0;32:0;33:0;31:0;34:0;63:18;56:100;51:70;52:120;57:90</t>
  </si>
  <si>
    <t>60:15;30:0;32:50;33:0;31:0;34:100;63:18;56:100;51:70;52:120;57:90</t>
  </si>
  <si>
    <t>60:0;30:0;32:0;33:0;31:0;34:0;63:20;56:85;51:77;52:154;57:93</t>
  </si>
  <si>
    <t>60:0;30:0;32:0;33:0;31:0;34:0;63:20;56:100;51:70;52:120;57:90</t>
  </si>
  <si>
    <t>60:15;30:0;32:50;33:0;31:0;34:105;63:20;56:100;51:70;52:120;57:90</t>
  </si>
  <si>
    <t>60:0;30:0;32:0;33:0;31:0;34:0;63:22;56:85;51:79;52:158;57:94</t>
  </si>
  <si>
    <t>60:0;30:0;32:0;33:0;31:0;34:0;63:22;56:100;51:70;52:120;57:90</t>
  </si>
  <si>
    <t>60:15;30:0;32:50;33:0;31:0;34:110;63:22;56:100;51:70;52:120;57:90</t>
  </si>
  <si>
    <t>60:0;30:0;32:0;33:0;31:0;34:0;63:24;56:84;51:0;52:0;57:0</t>
  </si>
  <si>
    <t>60:0;30:0;32:0;33:0;31:0;34:0;63:24;56:100;51:;52:;57:</t>
  </si>
  <si>
    <t>60:15;30:0;32:50;33:0;31:0;34:100;63:24;56:100;51:0;52:0;57:0</t>
  </si>
  <si>
    <t>60:0;30:0;32:0;33:0;31:0;34:0;63:27;56:85;51:0;52:0;57:0</t>
  </si>
  <si>
    <t>60:0;30:0;32:0;33:0;31:0;34:0;63:27;56:100;51:;52:;57:</t>
  </si>
  <si>
    <t>60:15;30:0;32:50;33:0;31:0;34:105;63:27;56:100;51:0;52:0;57:0</t>
  </si>
  <si>
    <t>60:0;30:0;32:0;33:0;31:0;34:0;63:29;56:85;51:0;52:0;57:0</t>
  </si>
  <si>
    <t>60:0;30:0;32:0;33:0;31:0;34:0;63:29;56:100;51:;52:;57:</t>
  </si>
  <si>
    <t>60:15;30:0;32:50;33:0;31:0;34:110;63:29;56:100;51:0;52:0;57:0</t>
  </si>
  <si>
    <t>60:0;30:0;32:0;33:0;31:0;34:0;63:0;56:217;51:0;52:0;57:101</t>
  </si>
  <si>
    <t>60:0;30:0;32:0;33:0;31:0;34:0;63:0;56:150;51:0;52:0;57:100</t>
  </si>
  <si>
    <t>60:0;30:50;32:50;33:50;31:50;34:50;63:28;56:64;51:60;52:95;57:253</t>
  </si>
  <si>
    <t>60:25;30:50;32:50;33:50;31:50;34:50;63:28;56:150;51:60;52:100;57:200</t>
  </si>
  <si>
    <t>60:50;30:50;32:50;33:50;31:50;34:50;63:28;56:150;51:60;52:100;57:200</t>
  </si>
  <si>
    <t>60:0;30:0;32:0;33:0;31:0;34:0;63:15;56:84;51:0;52:0;57:255</t>
  </si>
  <si>
    <t>60:0;30:0;32:0;33:0;31:0;34:0;63:15;56:150;51:0;52:0;57:150</t>
  </si>
  <si>
    <t>60:0;30:0;32:0;33:0;31:0;34:0;63:75;56:84;51:0;52:0;57:93</t>
  </si>
  <si>
    <t>60:0;30:0;32:0;33:0;31:0;34:0;63:75;56:150;51:0;52:0;57:150</t>
  </si>
  <si>
    <t>60:0;30:0;32:0;33:0;31:70;34:0;63:16;56:84;51:0;52:0;57:0</t>
  </si>
  <si>
    <t>60:0;30:0;32:0;33:0;31:100;34:0;63:16;56:35;51:;52:;57:</t>
  </si>
  <si>
    <t>60:0;30:0;32:0;33:0;31:1000;34:0;63:16;56:35;51:0;52:0;57:0</t>
  </si>
  <si>
    <t>60:0;30:0;32:0;33:0;31:0;34:70;63:9;56:84;51:0;52:0;57:0</t>
  </si>
  <si>
    <t>60:0;30:0;32:0;33:0;31:0;34:60;63:9;56:90;51:;52:;57:</t>
  </si>
  <si>
    <t>60:33;30:0;32:0;33:0;31:15;34:75;63:9;56:90;51:0;52:0;57:0</t>
  </si>
  <si>
    <t>60:0;30:0;32:0;33:0;31:0;34:70;63:11;56:84;51:0;52:0;57:0</t>
  </si>
  <si>
    <t>60:0;30:0;32:0;33:0;31:0;34:60;63:11;56:90;51:;52:;57:</t>
  </si>
  <si>
    <t>60:33;30:0;32:0;33:0;31:15;34:75;63:11;56:90;51:0;52:0;57:0</t>
  </si>
  <si>
    <t>60:0;30:0;32:0;33:0;31:0;34:70;63:15;56:84;51:0;52:0;57:0</t>
  </si>
  <si>
    <t>60:0;30:0;32:0;33:0;31:0;34:60;63:15;56:90;51:;52:;57:</t>
  </si>
  <si>
    <t>60:33;30:0;32:0;33:0;31:15;34:75;63:15;56:90;51:0;52:0;57:0</t>
  </si>
  <si>
    <t>60:0;30:0;32:0;33:0;31:0;34:70;63:17;56:84;51:0;52:0;57:0</t>
  </si>
  <si>
    <t>60:0;30:0;32:0;33:0;31:0;34:60;63:17;56:90;51:;52:;57:</t>
  </si>
  <si>
    <t>60:33;30:0;32:0;33:0;31:15;34:75;63:17;56:90;51:0;52:0;57:0</t>
  </si>
  <si>
    <t>60:0;30:0;32:0;33:0;31:0;34:0;63:12;56:84;51:0;52:0;57:0</t>
  </si>
  <si>
    <t>60:0;30:0;32:0;33:0;31:0;34:0;63:12;56:100;51:;52:;57:</t>
  </si>
  <si>
    <t>60:25;30:25;32:105;33:25;31:0;34:50;63:12;56:100;51:0;52:0;57:0</t>
  </si>
  <si>
    <t>60:0;30:0;32:0;33:0;31:0;34:0;63:22;56:85;51:0;52:0;57:0</t>
  </si>
  <si>
    <t>60:0;30:0;32:0;33:0;31:0;34:0;63:22;56:100;51:;52:;57:</t>
  </si>
  <si>
    <t>60:25;30:25;32:110;33:25;31:0;34:50;63:22;56:100;51:0;52:0;57:0</t>
  </si>
  <si>
    <t>60:0;30:0;32:0;33:0;31:0;34:0;63:23;56:85;51:0;52:0;57:0</t>
  </si>
  <si>
    <t>60:0;30:0;32:0;33:0;31:0;34:0;63:23;56:100;51:;52:;57:</t>
  </si>
  <si>
    <t>60:25;30:25;32:115;33:25;31:0;34:50;63:23;56:100;51:0;52:0;57:0</t>
  </si>
  <si>
    <t>60:0;30:0;32:0;33:0;31:0;34:0;63:24;56:85;51:0;52:0;57:0</t>
  </si>
  <si>
    <t>60:25;30:25;32:120;33:25;31:0;34:50;63:24;56:100;51:0;52:0;57:0</t>
  </si>
  <si>
    <t>60:25;30:25;32:125;33:25;31:0;34:50;63:24;56:100;51:0;52:0;57:0</t>
  </si>
  <si>
    <t>60:0;30:0;32:0;33:0;31:0;34:0;63:12;56:70;51:;52:;57:</t>
  </si>
  <si>
    <t>60:50;30:0;32:0;33:0;31:0;34:120;63:12;56:70;51:0;52:0;57:0</t>
  </si>
  <si>
    <t>60:0;30:0;32:0;33:0;31:0;34:0;63:15;56:84;51:0;52:0;57:0</t>
  </si>
  <si>
    <t>60:0;30:0;32:0;33:0;31:0;34:0;63:15;56:70;51:;52:;57:</t>
  </si>
  <si>
    <t>60:50;30:0;32:0;33:0;31:0;34:120;63:15;56:70;51:0;52:0;57:0</t>
  </si>
  <si>
    <t>60:0;30:0;32:0;33:0;31:0;34:0;63:17;56:84;51:0;52:0;57:0</t>
  </si>
  <si>
    <t>60:0;30:0;32:0;33:0;31:0;34:0;63:17;56:70;51:;52:;57:</t>
  </si>
  <si>
    <t>60:50;30:0;32:0;33:0;31:0;34:120;63:17;56:70;51:0;52:0;57:0</t>
  </si>
  <si>
    <t>60:0;30:0;32:0;33:0;31:0;34:0;63:21;56:85;51:0;52:0;57:0</t>
  </si>
  <si>
    <t>60:0;30:0;32:0;33:0;31:0;34:0;63:21;56:70;51:;52:;57:</t>
  </si>
  <si>
    <t>60:50;30:0;32:0;33:0;31:0;34:120;63:21;56:70;51:0;52:0;57:0</t>
  </si>
  <si>
    <t>60:0;30:0;32:0;33:0;31:0;34:0;63:29;56:84;51:0;52:0;57:0</t>
  </si>
  <si>
    <t>60:0;30:0;32:0;33:0;31:0;34:0;63:29;56:70;51:;52:;57:</t>
  </si>
  <si>
    <t>60:50;30:0;32:0;33:0;31:0;34:120;63:29;56:70;51:0;52:0;57:0</t>
  </si>
  <si>
    <t>60:25;30:0;32:0;33:20;31:50;34:0;63:21;56:100;51:2;52:5;57:40</t>
  </si>
  <si>
    <t>60:25;30:0;32:0;33:20;31:50;34:0;63:21;56:100;51:2;52:6;57:66</t>
  </si>
  <si>
    <t>60:25;30:0;32:0;33:20;31:50;34:0;63:21;56:100;51:3;52:7;57:92</t>
  </si>
  <si>
    <t>60:0;30:20;32:0;33:0;31:0;34:20;63:31;56:120;51:6;52:16;57:60</t>
  </si>
  <si>
    <t>60:0;30:20;32:0;33:0;31:0;34:20;63:31;56:120;51:9;52:23;57:104</t>
  </si>
  <si>
    <t>60:0;30:20;32:0;33:0;31:0;34:20;63:31;56:120;51:10;52:27;57:148</t>
  </si>
  <si>
    <t>60:0;30:0;32:0;33:50;31:0;34:100;63:41;56:140;51:7;52:19;57:80</t>
  </si>
  <si>
    <t>60:0;30:0;32:0;33:50;31:0;34:100;63:41;56:140;51:11;52:30;57:138</t>
  </si>
  <si>
    <t>60:0;30:0;32:0;33:50;31:0;34:100;63:41;56:140;51:12;52:33;57:197</t>
  </si>
  <si>
    <t>60:0;30:0;32:100;33:0;31:0;34:0;63:50;56:200;51:10;52:27;57:120</t>
  </si>
  <si>
    <t>60:0;30:0;32:100;33:0;31:0;34:0;63:50;56:200;51:15;52:39;57:209</t>
  </si>
  <si>
    <t>60:0;30:0;32:100;33:0;31:0;34:0;63:50;56:200;51:18;52:47;57:298</t>
  </si>
  <si>
    <t>60:0;30:0;32:0;33:0;31:0;34:0;63:24;56:140;51:60;52:110;57:115</t>
  </si>
  <si>
    <t>60:100;30:0;32:0;33:0;31:33;34:105;63:24;56:140;51:60;52:110;57:115</t>
  </si>
  <si>
    <t>60:0;30:0;32:0;33:0;31:0;34:0;63:24;56:63;51:82;52:182;57:92</t>
  </si>
  <si>
    <t>60:0;30:0;32:0;33:0;31:0;34:0;63:24;56:80;51:80;52:130;57:110</t>
  </si>
  <si>
    <t>60:66;30:0;32:0;33:0;31:140;34:0;63:24;56:80;51:80;52:130;57:110</t>
  </si>
  <si>
    <t>60:0;30:0;32:0;33:0;31:25;34:0;63:27;56:63;51:89;52:189;57:93</t>
  </si>
  <si>
    <t>60:0;30:0;32:0;33:0;31:50;34:0;63:27;56:80;51:80;52:130;57:110</t>
  </si>
  <si>
    <t>60:66;30:0;32:0;33:0;31:150;34:0;63:27;56:80;51:80;52:130;57:110</t>
  </si>
  <si>
    <t>60:0;30:0;32:0;33:0;31:40;34:0;63:29;56:63;51:90;52:190;57:92</t>
  </si>
  <si>
    <t>60:0;30:0;32:0;33:0;31:70;34:0;63:29;56:80;51:80;52:130;57:110</t>
  </si>
  <si>
    <t>60:66;30:0;32:0;33:0;31:160;34:0;63:29;56:80;51:80;52:130;57:110</t>
  </si>
  <si>
    <t>60:0;30:0;32:0;33:0;31:0;34:0;63:38;56:85;51:44;52:76;57:152</t>
  </si>
  <si>
    <t>60:0;30:0;32:0;33:0;31:0;34:0;63:38;56:70;51:40;52:70;57:85</t>
  </si>
  <si>
    <t>60:25;30:0;32:0;33:0;31:140;34:0;63:38;56:70;51:40;52:70;57:85</t>
  </si>
  <si>
    <t>60:0;30:0;32:0;33:0;31:25;34:0;63:43;56:84;51:48;52:77;57:151</t>
  </si>
  <si>
    <t>60:0;30:0;32:0;33:0;31:50;34:0;63:43;56:70;51:40;52:70;57:85</t>
  </si>
  <si>
    <t>60:25;30:0;32:0;33:0;31:150;34:0;63:43;56:70;51:40;52:70;57:85</t>
  </si>
  <si>
    <t>60:0;30:0;32:0;33:0;31:40;34:0;63:47;56:84;51:48;52:74;57:151</t>
  </si>
  <si>
    <t>60:0;30:0;32:0;33:0;31:70;34:0;63:47;56:70;51:40;52:70;57:85</t>
  </si>
  <si>
    <t>60:25;30:0;32:0;33:0;31:160;34:0;63:47;56:70;51:40;52:70;57:85</t>
  </si>
  <si>
    <t>60:0;30:0;32:40;33:40;31:0;34:0;63:24;56:85;51:51;52:119;57:92</t>
  </si>
  <si>
    <t>60:0;30:0;32:50;33:50;31:0;34:0;63:24;56:120;51:55;52:120;57:120</t>
  </si>
  <si>
    <t>60:50;30:0;32:0;33:100;31:0;34:0;63:24;56:120;51:55;52:120;57:120</t>
  </si>
  <si>
    <t>60:0;30:0;32:50;33:50;31:0;34:0;63:27;56:84;51:53;52:124;57:93</t>
  </si>
  <si>
    <t>60:0;30:0;32:60;33:60;31:0;34:0;63:27;56:120;51:55;52:120;57:120</t>
  </si>
  <si>
    <t>60:50;30:0;32:0;33:100;31:0;34:0;63:27;56:120;51:55;52:120;57:120</t>
  </si>
  <si>
    <t>60:0;30:0;32:60;33:60;31:0;34:0;63:29;56:84;51:53;52:122;57:92</t>
  </si>
  <si>
    <t>60:0;30:0;32:75;33:75;31:0;34:0;63:29;56:120;51:55;52:120;57:120</t>
  </si>
  <si>
    <t>60:50;30:0;32:0;33:100;31:0;34:0;63:29;56:120;51:55;52:120;57:120</t>
  </si>
  <si>
    <t>60:0;30:0;32:0;33:0;31:0;34:0;63:24;56:85;51:82;52:138;57:92</t>
  </si>
  <si>
    <t>60:0;30:0;32:0;33:0;31:0;34:0;63:24;56:95;51:85;52:145;57:105</t>
  </si>
  <si>
    <t>60:50;30:0;32:0;33:0;31:0;34:100;63:24;56:95;51:85;52:145;57:105</t>
  </si>
  <si>
    <t>60:0;30:0;32:0;33:0;31:0;34:0;63:27;56:95;51:85;52:145;57:105</t>
  </si>
  <si>
    <t>60:50;30:0;32:0;33:0;31:0;34:105;63:27;56:95;51:85;52:145;57:105</t>
  </si>
  <si>
    <t>60:0;30:0;32:0;33:0;31:0;34:0;63:29;56:84;51:90;52:148;57:92</t>
  </si>
  <si>
    <t>60:0;30:0;32:0;33:0;31:0;34:0;63:29;56:95;51:85;52:145;57:105</t>
  </si>
  <si>
    <t>60:50;30:0;32:0;33:0;31:0;34:110;63:29;56:95;51:85;52:145;57:105</t>
  </si>
  <si>
    <t>60:0;30:0;32:80;33:20;31:20;34:40;63:24;56:107;51:69;52:151;57:92</t>
  </si>
  <si>
    <t>60:0;30:0;32:100;33:20;31:20;34:40;63:24;56:115;51:70;52:150;57:180</t>
  </si>
  <si>
    <t>60:33;30:0;32:110;33:20;31:20;34:50;63:24;56:115;51:70;52:150;57:180</t>
  </si>
  <si>
    <t>60:0;30:0;32:40;33:80;31:40;34:40;63:27;56:107;51:71;52:153;57:93</t>
  </si>
  <si>
    <t>60:0;30:0;32:40;33:80;31:40;34:40;63:27;56:115;51:90;52:140;57:170</t>
  </si>
  <si>
    <t>60:33;30:0;32:40;33:100;31:40;34:50;63:27;56:115;51:90;52:140;57:170</t>
  </si>
  <si>
    <t>60:0;30:0;32:60;33:60;31:60;34:60;63:29;56:107;51:69;52:153;57:92</t>
  </si>
  <si>
    <t>60:0;30:0;32:60;33:60;31:80;34:60;63:29;56:115;51:60;52:135;57:160</t>
  </si>
  <si>
    <t>60:33;30:25;32:60;33:60;31:180;34:75;63:29;56:115;51:60;52:135;57:160</t>
  </si>
  <si>
    <t>60:0;30:0;32:0;33:0;31:0;34:0;63:0;56:0;51:51;52:151;57:3001</t>
  </si>
  <si>
    <t>60:0;30:0;32:0;33:0;31:0;34:0;63:0;56:0;51:50;52:150;57:5000</t>
  </si>
  <si>
    <t>60:50;30:50;32:75;33:75;31:75;34:75;63:50;56:87;51:77;52:197;57:313</t>
  </si>
  <si>
    <t>60:50;30:50;32:75;33:75;31:75;34:75;63:50;56:140;51:100;52:190;57:215</t>
  </si>
  <si>
    <t>60:50;30:50;32:95;33:95;31:95;34:95;63:50;56:140;51:100;52:190;57:215</t>
  </si>
  <si>
    <t>60:0;30:0;32:0;33:0;31:0;34:0;63:0;56:65;51:;52:;57:</t>
  </si>
  <si>
    <t>60:0;30:0;32:0;33:0;31:0;34:0;63:0;56:65;51:0;52:0;57:0</t>
  </si>
  <si>
    <t>60:0;30:0;32:0;33:0;31:70;34:70;63:0;56:84;51:0;52:0;57:0</t>
  </si>
  <si>
    <t>60:0;30:0;32:0;33:0;31:90;34:200;63:0;56:35;51:;52:;57:</t>
  </si>
  <si>
    <t>60:50;30:0;32:0;33:0;31:90;34:200;63:0;56:35;51:0;52:0;57:0</t>
  </si>
  <si>
    <t>60:0;30:0;32:0;33:0;31:70;34:70;63:0;56:35;51:0;52:0;57:0</t>
  </si>
  <si>
    <t>60:0;30:0;32:0;33:0;31:90;34:200;63:0;56:174;51:;52:;57:</t>
  </si>
  <si>
    <t>60:50;30:0;32:0;33:0;31:90;34:200;63:0;56:334;51:0;52:0;57:0</t>
  </si>
  <si>
    <t>60:0;30:0;32:0;33:0;31:0;34:0;63:25;56:85;51:51;52:119;57:93</t>
  </si>
  <si>
    <t>60:0;30:0;32:0;33:0;31:0;34:0;63:25;56:110;51:50;52:120;57:140</t>
  </si>
  <si>
    <t>60:50;30:0;32:120;33:33;31:33;34:33;63:25;56:110;51:50;52:120;57:140</t>
  </si>
  <si>
    <t>60:50;30:0;32:33;33:100;31:33;34:33;63:25;56:110;51:50;52:120;57:140</t>
  </si>
  <si>
    <t>60:0;30:50;32:95;33:50;31:85;34:1000;63:0;56:39;51:0;52:0;57:0</t>
  </si>
  <si>
    <t>60:0;30:50;32:99;33:50;31:85;34:1000;63:0;56:35;51:;52:;57:</t>
  </si>
  <si>
    <t>60:25;30:50;32:99;33:50;31:85;34:1000;63:0;56:35;51:0;52:0;57:0</t>
  </si>
  <si>
    <t>60:0;30:0;32:0;33:0;31:0;34:0;63:0;56:38;51:75;52:150;57:180</t>
  </si>
  <si>
    <t>60:0;30:0;32:0;33:0;31:0;34:0;63:0;56:35;51:75;52:150;57:180</t>
  </si>
  <si>
    <t>60:0;30:0;32:0;33:0;31:0;34:0;63:28;56:141;51:0;52:0;57:0</t>
  </si>
  <si>
    <t>60:0;30:0;32:0;33:0;31:0;34:0;63:28;56:152;51:;52:;57:</t>
  </si>
  <si>
    <t>60:0;30:0;32:0;33:0;31:0;34:0;63:28;56:164;51:0;52:0;57:0</t>
  </si>
  <si>
    <t>60:0;30:0;32:0;33:0;31:0;34:0;63:28;56:141;51:9;52:24;57:250</t>
  </si>
  <si>
    <t>60:0;30:0;32:0;33:0;31:0;34:0;63:28;56:152;51:13;52:35;57:300</t>
  </si>
  <si>
    <t>60:0;30:0;32:0;33:0;31:0;34:0;63:28;56:164;51:16;52:41;57:350</t>
  </si>
  <si>
    <t>60:0;30:0;32:0;33:0;31:0;34:70;63:17;56:0;51:;52:;57:</t>
  </si>
  <si>
    <t>60:0;30:0;32:0;33:0;31:0;34:70;63:17;56:125;51:0;52:0;57:0</t>
  </si>
  <si>
    <t>60:0;30:0;32:70;33:0;31:0;34:0;63:32;56:101;51:51;52:94;57:125</t>
  </si>
  <si>
    <t>60:0;30:0;32:80;33:0;31:0;34:0;63:32;56:115;51:100;52:160;57:160</t>
  </si>
  <si>
    <t>60:50;30:0;32:110;33:75;31:50;34:75;63:32;56:115;51:100;52:160;57:160</t>
  </si>
  <si>
    <t>60:0;30:0;32:70;33:0;31:0;34:0;63:36;56:101;51:53;52:101;57:126</t>
  </si>
  <si>
    <t>60:0;30:0;32:80;33:0;31:0;34:0;63:36;56:115;51:100;52:160;57:160</t>
  </si>
  <si>
    <t>60:50;30:0;32:120;33:75;31:50;34:75;63:36;56:115;51:100;52:160;57:160</t>
  </si>
  <si>
    <t>60:0;30:0;32:70;33:0;31:0;34:70;63:39;56:101;51:53;52:95;57:125</t>
  </si>
  <si>
    <t>60:0;30:0;32:80;33:0;31:0;34:100;63:39;56:115;51:100;52:160;57:160</t>
  </si>
  <si>
    <t>60:50;30:0;32:130;33:75;31:50;34:75;63:39;56:115;51:100;52:160;57:160</t>
  </si>
  <si>
    <t>60:0;30:0;32:0;33:0;31:0;34:0;63:3;56:5;51:1;52:2;57:5</t>
  </si>
  <si>
    <t>60:0;30:0;32:0;33:0;31:0;34:0;63:3;56:5;51:1;52:2;57:4</t>
  </si>
  <si>
    <t>60:0;30:0;32:0;33:0;31:0;34:0;63:3;56:6;51:1;52:2;57:6</t>
  </si>
  <si>
    <t>60:0;30:0;32:0;33:0;31:0;34:0;63:3;56:24;51:1;52:2;57:5</t>
  </si>
  <si>
    <t>60:0;30:0;32:0;33:0;31:0;34:0;63:3;56:26;51:1;52:2;57:4</t>
  </si>
  <si>
    <t>60:0;30:0;32:0;33:0;31:0;34:0;63:3;56:28;51:1;52:2;57:6</t>
  </si>
  <si>
    <t>60:0;30:0;32:0;33:0;31:0;34:50;63:6;56:84;51:51;52:151;57:91</t>
  </si>
  <si>
    <t>60:0;30:0;32:0;33:0;31:0;34:50;63:6;56:80;51:50;52:150;57:100</t>
  </si>
  <si>
    <t>60:50;30:0;32:0;33:50;31:0;34:120;63:6;56:80;51:50;52:150;57:100</t>
  </si>
  <si>
    <t>60:0;30:0;32:0;33:0;31:0;34:1000;63:0;56:84;51:0;52:0;57:0</t>
  </si>
  <si>
    <t>60:0;30:0;32:0;33:0;31:0;34:1000;63:0;56:5;51:;52:;57:</t>
  </si>
  <si>
    <t>60:0;30:0;32:0;33:0;31:0;34:1000;63:0;56:5;51:0;52:0;57:0</t>
  </si>
  <si>
    <t>60:90;30:90;32:90;33:90;31:90;34:90;63:0;56:0;51:0;52:0;57:0</t>
  </si>
  <si>
    <t>60:90;30:90;32:90;33:90;31:90;34:90;63:0;56:0;51:;52:;57:</t>
  </si>
  <si>
    <t>60:50;30:90;32:90;33:90;31:90;34:90;63:0;56:0;51:0;52:0;57:0</t>
  </si>
  <si>
    <t>60:0;30:90;32:90;33:90;31:70;34:1000;63:46;56:34;51:0;52:0;57:0</t>
  </si>
  <si>
    <t>60:0;30:90;32:90;33:100;31:0;34:1000;63:46;56:5;51:;52:;57:</t>
  </si>
  <si>
    <t>60:0;30:90;32:90;33:100;31:0;34:1000;63:46;56:5;51:0;52:0;57:0</t>
  </si>
  <si>
    <t>60:90;30:90;32:90;33:0;31:0;34:70;63:46;56:34;51:0;52:0;57:0</t>
  </si>
  <si>
    <t>60:90;30:90;32:90;33:0;31:0;34:90;63:46;56:5;51:;52:;57:</t>
  </si>
  <si>
    <t>60:40;30:50;32:99;33:50;31:85;34:1000;63:46;56:5;51:0;52:0;57:0</t>
  </si>
  <si>
    <t>60:0;30:0;32:0;33:0;31:0;34:0;63:15;56:58;51:51;52:121;57:94</t>
  </si>
  <si>
    <t>60:0;30:0;32:0;33:0;31:0;34:0;63:15;56:95;51:50;52:85;57:145</t>
  </si>
  <si>
    <t>60:10;30:0;32:25;33:0;31:120;34:0;63:15;56:95;51:50;52:85;57:145</t>
  </si>
  <si>
    <t>60:0;30:0;32:0;33:0;31:0;34:0;63:16;56:58;51:51;52:121;57:94</t>
  </si>
  <si>
    <t>60:0;30:0;32:0;33:0;31:0;34:0;63:16;56:95;51:50;52:85;57:145</t>
  </si>
  <si>
    <t>60:10;30:0;32:25;33:0;31:140;34:0;63:16;56:95;51:50;52:85;57:145</t>
  </si>
  <si>
    <t>60:0;30:0;32:0;33:0;31:0;34:0;63:17;56:58;51:55;52:128;57:92</t>
  </si>
  <si>
    <t>60:0;30:0;32:0;33:0;31:0;34:0;63:17;56:95;51:50;52:85;57:145</t>
  </si>
  <si>
    <t>60:10;30:0;32:25;33:100;31:0;34:0;63:17;56:95;51:50;52:85;57:145</t>
  </si>
  <si>
    <t>60:0;30:0;32:0;33:0;31:0;34:0;63:19;56:58;51:47;52:116;57:93</t>
  </si>
  <si>
    <t>60:0;30:0;32:0;33:0;31:0;34:0;63:19;56:95;51:50;52:85;57:145</t>
  </si>
  <si>
    <t>60:10;30:0;32:105;33:0;31:0;34:0;63:19;56:95;51:50;52:85;57:145</t>
  </si>
  <si>
    <t>60:0;30:0;32:0;33:0;31:30;34:50;63:9;56:84;51:0;52:0;57:0</t>
  </si>
  <si>
    <t>60:0;30:0;32:0;33:0;31:50;34:60;63:9;56:90;51:;52:;57:</t>
  </si>
  <si>
    <t>60:33;30:0;32:0;33:0;31:140;34:75;63:9;56:90;51:0;52:0;57:0</t>
  </si>
  <si>
    <t>60:0;30:0;32:0;33:0;31:30;34:50;63:11;56:84;51:0;52:0;57:0</t>
  </si>
  <si>
    <t>60:0;30:0;32:0;33:0;31:50;34:60;63:11;56:90;51:;52:;57:</t>
  </si>
  <si>
    <t>60:33;30:0;32:0;33:0;31:150;34:75;63:11;56:90;51:0;52:0;57:0</t>
  </si>
  <si>
    <t>60:0;30:0;32:50;33:0;31:30;34:50;63:15;56:84;51:0;52:0;57:0</t>
  </si>
  <si>
    <t>60:0;30:0;32:50;33:0;31:50;34:60;63:15;56:90;51:;52:;57:</t>
  </si>
  <si>
    <t>60:33;30:0;32:75;33:0;31:160;34:75;63:15;56:90;51:0;52:0;57:0</t>
  </si>
  <si>
    <t>60:0;30:0;32:0;33:0;31:30;34:50;63:17;56:84;51:0;52:0;57:0</t>
  </si>
  <si>
    <t>60:0;30:0;32:0;33:0;31:50;34:60;63:17;56:90;51:;52:;57:</t>
  </si>
  <si>
    <t>60:33;30:0;32:0;33:0;31:170;34:75;63:17;56:90;51:0;52:0;57:0</t>
  </si>
  <si>
    <t>60:0;30:0;32:30;33:0;31:0;34:50;63:9;56:84;51:0;52:0;57:0</t>
  </si>
  <si>
    <t>60:0;30:0;32:50;33:0;31:0;34:60;63:9;56:90;51:;52:;57:</t>
  </si>
  <si>
    <t>60:33;30:0;32:100;33:0;31:0;34:75;63:9;56:90;51:0;52:0;57:0</t>
  </si>
  <si>
    <t>60:0;30:0;32:30;33:0;31:0;34:50;63:11;56:84;51:0;52:0;57:0</t>
  </si>
  <si>
    <t>60:0;30:0;32:50;33:0;31:0;34:60;63:11;56:90;51:;52:;57:</t>
  </si>
  <si>
    <t>60:33;30:0;32:105;33:0;31:0;34:75;63:11;56:90;51:0;52:0;57:0</t>
  </si>
  <si>
    <t>60:0;30:0;32:70;33:0;31:0;34:50;63:15;56:84;51:0;52:0;57:0</t>
  </si>
  <si>
    <t>60:0;30:0;32:100;33:0;31:0;34:60;63:15;56:90;51:;52:;57:</t>
  </si>
  <si>
    <t>60:33;30:0;32:110;33:0;31:0;34:75;63:15;56:90;51:0;52:0;57:0</t>
  </si>
  <si>
    <t>60:0;30:0;32:30;33:0;31:0;34:50;63:17;56:84;51:0;52:0;57:0</t>
  </si>
  <si>
    <t>60:0;30:0;32:50;33:0;31:0;34:60;63:17;56:90;51:;52:;57:</t>
  </si>
  <si>
    <t>60:33;30:0;32:115;33:0;31:0;34:75;63:17;56:90;51:0;52:0;57:0</t>
  </si>
  <si>
    <t>60:0;30:0;32:0;33:30;31:0;34:50;63:9;56:84;51:0;52:0;57:0</t>
  </si>
  <si>
    <t>60:0;30:0;32:0;33:50;31:0;34:60;63:9;56:90;51:;52:;57:</t>
  </si>
  <si>
    <t>60:33;30:0;32:0;33:100;31:0;34:75;63:9;56:90;51:0;52:0;57:0</t>
  </si>
  <si>
    <t>60:0;30:0;32:0;33:30;31:0;34:50;63:11;56:84;51:0;52:0;57:0</t>
  </si>
  <si>
    <t>60:0;30:0;32:0;33:50;31:0;34:60;63:11;56:90;51:;52:;57:</t>
  </si>
  <si>
    <t>60:33;30:0;32:0;33:105;31:0;34:75;63:11;56:90;51:0;52:0;57:0</t>
  </si>
  <si>
    <t>60:0;30:0;32:50;33:30;31:0;34:50;63:15;56:84;51:0;52:0;57:0</t>
  </si>
  <si>
    <t>60:0;30:0;32:50;33:50;31:0;34:60;63:15;56:90;51:;52:;57:</t>
  </si>
  <si>
    <t>60:33;30:0;32:0;33:110;31:0;34:75;63:15;56:90;51:0;52:0;57:0</t>
  </si>
  <si>
    <t>60:0;30:0;32:0;33:30;31:0;34:50;63:17;56:84;51:0;52:0;57:0</t>
  </si>
  <si>
    <t>60:0;30:0;32:0;33:50;31:0;34:60;63:17;56:90;51:;52:;57:</t>
  </si>
  <si>
    <t>60:33;30:0;32:0;33:115;31:0;34:75;63:17;56:90;51:0;52:0;57:0</t>
  </si>
  <si>
    <t>60:0;30:0;32:0;33:0;31:0;34:0;63:28;56:88;51:151;52:223;57:93</t>
  </si>
  <si>
    <t>60:33;30:15;32:25;33:25;31:25;34:25;63:28;56:80;51:130;52:180;57:130</t>
  </si>
  <si>
    <t>60:50;30:33;32:50;33:50;31:50;34:33;63:28;56:80;51:130;52:180;57:130</t>
  </si>
  <si>
    <t>60:90;30:90;32:90;33:90;31:90;34:70;63:46;56:84;51:0;52:0;57:0</t>
  </si>
  <si>
    <t>60:90;30:90;32:90;33:90;31:90;34:90;63:46;56:10;51:;52:;57:</t>
  </si>
  <si>
    <t>60:40;30:90;32:90;33:90;31:90;34:90;63:46;56:10;51:0;52:0;57:0</t>
  </si>
  <si>
    <t>60:0;30:0;32:0;33:0;31:0;34:0;63:16;56:53;51:0;52:0;57:0</t>
  </si>
  <si>
    <t>60:0;30:0;32:0;33:0;31:0;34:0;63:16;56:95;51:;52:;57:</t>
  </si>
  <si>
    <t>60:15;30:0;32:75;33:50;31:0;34:0;63:16;56:95;51:0;52:0;57:0</t>
  </si>
  <si>
    <t>60:0;30:0;32:0;33:0;31:0;34:0;63:17;56:53;51:0;52:0;57:0</t>
  </si>
  <si>
    <t>60:0;30:0;32:0;33:0;31:0;34:0;63:17;56:95;51:;52:;57:</t>
  </si>
  <si>
    <t>60:15;30:0;32:75;33:50;31:0;34:0;63:17;56:95;51:0;52:0;57:0</t>
  </si>
  <si>
    <t>60:0;30:0;32:0;33:0;31:0;34:0;63:13;56:84;51:15;52:33;57:127</t>
  </si>
  <si>
    <t>60:0;30:0;32:0;33:0;31:0;34:0;63:13;56:110;51:20;52:33;57:110</t>
  </si>
  <si>
    <t>60:0;30:0;32:100;33:0;31:0;34:50;63:13;56:110;51:20;52:33;57:110</t>
  </si>
  <si>
    <t>60:0;30:0;32:0;33:0;31:0;34:0;63:28;56:85;51:15;52:33;57:126</t>
  </si>
  <si>
    <t>60:0;30:0;32:0;33:0;31:0;34:0;63:28;56:110;51:20;52:33;57:110</t>
  </si>
  <si>
    <t>60:0;30:0;32:0;33:100;31:0;34:50;63:28;56:110;51:20;52:33;57:110</t>
  </si>
  <si>
    <t>60:0;30:0;32:0;33:0;31:0;34:0;63:29;56:85;51:15;52:33;57:125</t>
  </si>
  <si>
    <t>60:0;30:0;32:0;33:0;31:0;34:0;63:29;56:110;51:20;52:33;57:110</t>
  </si>
  <si>
    <t>60:0;30:0;32:0;33:0;31:140;34:50;63:29;56:110;51:20;52:33;57:110</t>
  </si>
  <si>
    <t>60:0;30:0;32:0;33:0;31:0;34:0;63:31;56:85;51:15;52:33;57:126</t>
  </si>
  <si>
    <t>60:0;30:0;32:0;33:0;31:0;34:0;63:31;56:110;51:20;52:33;57:110</t>
  </si>
  <si>
    <t>60:0;30:0;32:0;33:0;31:0;34:110;63:31;56:110;51:20;52:33;57:110</t>
  </si>
  <si>
    <t>60:0;30:0;32:0;33:0;31:0;34:0;63:32;56:85;51:15;52:33;57:125</t>
  </si>
  <si>
    <t>60:0;30:0;32:0;33:0;31:0;34:0;63:32;56:110;51:20;52:33;57:110</t>
  </si>
  <si>
    <t>60:0;30:0;32:100;33:0;31:0;34:50;63:32;56:110;51:20;52:33;57:110</t>
  </si>
  <si>
    <t>60:90;30:90;32:90;33:90;31:90;34:70;63:0;56:0;51:144;52:219;57:125</t>
  </si>
  <si>
    <t>60:90;30:90;32:90;33:90;31:90;34:90;63:0;56:0;51:140;52:200;57:125</t>
  </si>
  <si>
    <t>60:40;30:90;32:90;33:90;31:90;34:90;63:0;56:0;51:140;52:200;57:125</t>
  </si>
  <si>
    <t>60:0;30:0;32:0;33:0;31:0;34:-50;63:13;56:84;51:101;52:129;57:115</t>
  </si>
  <si>
    <t>60:10;30:0;32:25;33:0;31:0;34:-50;63:13;56:80;51:90;52:110;57:146</t>
  </si>
  <si>
    <t>60:25;30:0;32:50;33:0;31:0;34:-50;63:13;56:80;51:90;52:110;57:146</t>
  </si>
  <si>
    <t>60:0;30:0;32:0;33:0;31:70;34:70;63:0;56:2;51:16;52:37;57:148</t>
  </si>
  <si>
    <t>60:0;30:0;32:0;33:0;31:100;34:90;63:0;56:55;51:30;52:60;57:180</t>
  </si>
  <si>
    <t>60:0;30:0;32:0;33:0;31:150;34:90;63:0;56:55;51:30;52:60;57:180</t>
  </si>
  <si>
    <t>60:0;30:0;32:0;33:0;31:0;34:0;63:11;56:84;51:29;52:86;57:125</t>
  </si>
  <si>
    <t>60:0;30:0;32:0;33:0;31:0;34:0;63:11;56:110;51:40;52:90;57:125</t>
  </si>
  <si>
    <t>60:0;30:0;32:0;33:0;31:0;34:-50;63:30;56:107;51:151;52:226;57:112</t>
  </si>
  <si>
    <t>60:0;30:0;32:0;33:0;31:0;34:-50;63:30;56:100;51:140;52:170;57:110</t>
  </si>
  <si>
    <t>60:50;30:0;32:75;33:25;31:25;34:0;63:30;56:100;51:140;52:170;57:110</t>
  </si>
  <si>
    <t>60:0;30:0;32:0;33:0;31:0;34:0;63:0;56:100;51:0;52:0;57:0</t>
  </si>
  <si>
    <t>60:0;30:0;32:0;33:0;31:0;34:0;63:0;56:100;51:;52:;57:</t>
  </si>
  <si>
    <t>60:40;30:0;32:0;33:0;31:0;34:0;63:50;56:196;51:0;52:0;57:163</t>
  </si>
  <si>
    <t>60:40;30:0;32:0;33:0;31:0;34:0;63:50;56:196;51:0;52:0;57:243</t>
  </si>
  <si>
    <t>60:40;30:0;32:0;33:0;31:0;34:0;63:50;56:196;51:0;52:0;57:323</t>
  </si>
  <si>
    <t>60:0;30:0;32:0;33:0;31:0;34:0;63:0;56:67;51:0;52:0;57:50</t>
  </si>
  <si>
    <t>60:0;30:0;32:0;33:0;31:0;34:0;63:0;56:67;51:;52:;57:50</t>
  </si>
  <si>
    <t>60:0;30:0;32:0;33:0;31:0;34:0;63:0;56:116;51:0;52:0;57:150</t>
  </si>
  <si>
    <t>60:0;30:0;32:0;33:0;31:0;34:0;63:0;56:116;51:;52:;57:150</t>
  </si>
  <si>
    <t>60:0;30:25;32:25;33:25;31:25;34:70;63:0;56:196;51:0;52:0;57:0</t>
  </si>
  <si>
    <t>60:100;30:25;32:25;33:25;31:25;34:100;63:0;56:196;51:;52:;57:</t>
  </si>
  <si>
    <t>60:0;30:25;32:25;33:25;31:25;34:100;63:0;56:196;51:0;52:0;57:0</t>
  </si>
  <si>
    <t>60:0;30:25;32:25;33:25;31:25;34:70;63:0;56:123;51:0;52:0;57:0</t>
  </si>
  <si>
    <t>60:100;30:25;32:25;33:25;31:25;34:100;63:0;56:123;51:;52:;57:</t>
  </si>
  <si>
    <t>60:0;30:25;32:25;33:25;31:25;34:100;63:0;56:123;51:0;52:0;57:0</t>
  </si>
  <si>
    <t>60:0;30:25;32:25;33:25;31:25;34:70;63:0;56:49;51:0;52:0;57:0</t>
  </si>
  <si>
    <t>60:100;30:25;32:25;33:25;31:25;34:100;63:0;56:49;51:;52:;57:</t>
  </si>
  <si>
    <t>60:0;30:25;32:25;33:25;31:25;34:100;63:0;56:49;51:0;52:0;57:0</t>
  </si>
  <si>
    <t>60:0;30:0;32:0;33:0;31:0;34:0;63:0;56:92;51:0;52:0;57:0</t>
  </si>
  <si>
    <t>60:0;30:0;32:0;33:0;31:0;34:0;63:0;56:92;51:;52:;57:</t>
  </si>
  <si>
    <t>60:0;30:0;32:0;33:0;31:0;34:0;63:0;56:165;51:0;52:0;57:0</t>
  </si>
  <si>
    <t>60:0;30:0;32:0;33:0;31:0;34:0;63:0;56:165;51:;52:;57:</t>
  </si>
  <si>
    <t>60:0;30:0;32:0;33:0;31:0;34:0;63:0;56:245;51:0;52:0;57:300</t>
  </si>
  <si>
    <t>60:0;30:0;32:0;33:0;31:0;34:0;63:0;56:245;51:;52:;57:300</t>
  </si>
  <si>
    <t>60:0;30:0;32:0;33:0;31:0;34:0;63:48;56:95;51:4;52:14;57:93</t>
  </si>
  <si>
    <t>60:0;30:0;32:0;33:0;31:0;34:0;63:48;56:102;51:4;52:15;57:138</t>
  </si>
  <si>
    <t>60:0;30:0;32:0;33:0;31:0;34:0;63:48;56:110;51:5;52:20;57:183</t>
  </si>
  <si>
    <t>60:0;30:0;32:0;33:0;31:0;34:0;63:8;56:37;51:2;52:6;57:14</t>
  </si>
  <si>
    <t>60:0;30:0;32:0;33:0;31:0;34:0;63:8;56:40;51:2;52:6;57:20</t>
  </si>
  <si>
    <t>60:0;30:0;32:0;33:0;31:0;34:0;63:8;56:43;51:2;52:7;57:27</t>
  </si>
  <si>
    <t>60:0;30:0;32:0;33:0;31:0;34:0;63:0;56:30;51:1;52:5;57:28</t>
  </si>
  <si>
    <t>60:0;30:0;32:0;33:0;31:0;34:0;63:0;56:33;51:1;52:5;57:40</t>
  </si>
  <si>
    <t>60:0;30:0;32:0;33:0;31:0;34:0;63:0;56:35;51:2;52:7;57:53</t>
  </si>
  <si>
    <t>60:0;30:0;32:0;33:0;31:50;34:1000;63:0;56:88;51:0;52:0;57:0</t>
  </si>
  <si>
    <t>60:0;30:0;32:0;33:0;31:50;34:1000;63:0;56:35;51:;52:;57:</t>
  </si>
  <si>
    <t>60:50;30:0;32:0;33:0;31:66;34:1000;63:0;56:35;51:0;52:0;57:0</t>
  </si>
  <si>
    <t>60:25;30:25;32:25;33:25;31:25;34:1000;63:0;56:88;51:0;52:0;57:0</t>
  </si>
  <si>
    <t>60:25;30:25;32:25;33:25;31:25;34:1000;63:0;56:30;51:;52:;57:</t>
  </si>
  <si>
    <t>60:25;30:25;32:25;33:25;31:66;34:1000;63:0;56:30;51:0;52:0;57:0</t>
  </si>
  <si>
    <t>60:75;30:0;32:110;33:0;31:66;34:1000;63:0;56:35;51:0;52:0;57:0</t>
  </si>
  <si>
    <t>60:0;30:0;32:0;33:0;31:0;34:70;63:45;56:107;51:31;52:86;57:139</t>
  </si>
  <si>
    <t>60:0;30:0;32:0;33:0;31:0;34:70;63:45;56:70;51:70;52:110;57:135</t>
  </si>
  <si>
    <t>60:50;30:0;32:0;33:33;31:130;34:70;63:45;56:70;51:70;52:110;57:135</t>
  </si>
  <si>
    <t>60:0;30:0;32:0;33:0;31:0;34:80;63:47;56:107;51:34;52:86;57:138</t>
  </si>
  <si>
    <t>60:0;30:0;32:0;33:0;31:0;34:80;63:47;56:70;51:70;52:110;57:135</t>
  </si>
  <si>
    <t>60:50;30:0;32:0;33:33;31:150;34:80;63:47;56:70;51:70;52:110;57:135</t>
  </si>
  <si>
    <t>60:0;30:0;32:0;33:0;31:0;34:90;63:50;56:107;51:32;52:87;57:139</t>
  </si>
  <si>
    <t>60:0;30:0;32:0;33:0;31:0;34:90;63:50;56:70;51:70;52:110;57:135</t>
  </si>
  <si>
    <t>60:50;30:0;32:0;33:33;31:170;34:90;63:50;56:70;51:70;52:110;57:135</t>
  </si>
  <si>
    <t>60:20;30:0;32:50;33:0;31:0;34:70;63:50;56:107;51:33;52:89;57:138</t>
  </si>
  <si>
    <t>60:20;30:0;32:50;33:0;31:0;34:100;63:50;56:70;51:70;52:110;57:135</t>
  </si>
  <si>
    <t>60:50;30:0;32:50;33:33;31:50;34:100;63:50;56:70;51:70;52:110;57:135</t>
  </si>
  <si>
    <t>60:0;30:50;32:0;33:0;31:0;34:70;63:50;56:107;51:35;52:89;57:138</t>
  </si>
  <si>
    <t>60:0;30:50;32:0;33:0;31:0;34:100;63:50;56:70;51:70;52:110;57:135</t>
  </si>
  <si>
    <t>60:50;30:50;32:0;33:33;31:50;34:100;63:50;56:70;51:70;52:110;57:135</t>
  </si>
  <si>
    <t>60:0;30:0;32:0;33:0;31:0;34:0;63:50;56:88;51:92;52:122;57:251</t>
  </si>
  <si>
    <t>60:0;30:0;32:0;33:0;31:0;34:0;63:50;56:90;51:140;52:220;57:170</t>
  </si>
  <si>
    <t>60:50;30:0;32:110;33:33;31:50;34:0;63:50;56:90;51:140;52:220;57:170</t>
  </si>
  <si>
    <t>60:0;30:0;32:0;33:0;31:0;34:0;63:50;56:88;51:88;52:121;57:251</t>
  </si>
  <si>
    <t>60:50;30:0;32:120;33:33;31:50;34:0;63:50;56:90;51:140;52:220;57:170</t>
  </si>
  <si>
    <t>60:50;30:0;32:75;33:33;31:120;34:0;63:50;56:90;51:140;52:220;57:170</t>
  </si>
  <si>
    <t>60:50;30:0;32:75;33:33;31:130;34:0;63:50;56:90;51:140;52:220;57:170</t>
  </si>
  <si>
    <t>60:50;30:0;32:75;33:33;31:140;34:0;63:50;56:90;51:140;52:220;57:170</t>
  </si>
  <si>
    <t>60:0;30:20;32:0;33:0;31:75;34:0;63:50;56:107;51:33;52:89;57:138</t>
  </si>
  <si>
    <t>60:25;30:0;32:0;33:0;31:85;34:0;63:50;56:85;51:65;52:115;57:95</t>
  </si>
  <si>
    <t>60:40;30:0;32:0;33:25;31:150;34:0;63:50;56:85;51:65;52:115;57:95</t>
  </si>
  <si>
    <t>60:0;30:30;32:0;33:0;31:75;34:0;63:50;56:107;51:31;52:85;57:138</t>
  </si>
  <si>
    <t>60:40;30:0;32:0;33:25;31:170;34:0;63:50;56:85;51:65;52:115;57:95</t>
  </si>
  <si>
    <t>60:0;30:0;32:0;33:0;31:75;34:0;63:50;56:107;51:35;52:89;57:138</t>
  </si>
  <si>
    <t>60:0;30:0;32:0;33:0;31:85;34:0;63:50;56:85;51:65;52:115;57:95</t>
  </si>
  <si>
    <t>60:40;30:0;32:0;33:25;31:190;34:0;63:50;56:85;51:65;52:115;57:95</t>
  </si>
  <si>
    <t>60:0;30:0;32:0;33:0;31:75;34:0;63:50;56:107;51:34;52:86;57:138</t>
  </si>
  <si>
    <t>60:40;30:0;32:0;33:25;31:210;34:0;63:50;56:85;51:65;52:115;57:95</t>
  </si>
  <si>
    <t>60:0;30:0;32:0;33:0;31:0;34:0;63:50;56:101;51:76;52:96;57:151</t>
  </si>
  <si>
    <t>60:0;30:0;32:25;33:0;31:50;34:25;63:50;56:100;51:75;52:100;57:100</t>
  </si>
  <si>
    <t>60:25;30:0;32:66;33:15;31:130;34:15;63:50;56:100;51:75;52:100;57:100</t>
  </si>
  <si>
    <t>60:0;30:0;32:0;33:0;31:0;34:0;63:50;56:101;51:77;52:96;57:151</t>
  </si>
  <si>
    <t>60:0;30:0;32:0;33:0;31:0;34:0;63:50;56:100;51:75;52:100;57:100</t>
  </si>
  <si>
    <t>60:25;30:0;32:105;33:15;31:33;34:15;63:50;56:100;51:75;52:100;57:100</t>
  </si>
  <si>
    <t>60:0;30:0;32:0;33:0;31:0;34:0;63:50;56:101;51:78;52:96;57:151</t>
  </si>
  <si>
    <t>60:25;30:0;32:33;33:15;31:140;34:15;63:50;56:100;51:75;52:100;57:100</t>
  </si>
  <si>
    <t>60:0;30:0;32:0;33:0;31:0;34:0;63:50;56:101;51:74;52:96;57:151</t>
  </si>
  <si>
    <t>60:25;30:0;32:110;33:15;31:33;34:15;63:50;56:100;51:75;52:100;57:100</t>
  </si>
  <si>
    <t>60:33;30:0;32:115;33:15;31:33;34:15;63:50;56:100;51:75;52:100;57:100</t>
  </si>
  <si>
    <t>60:0;30:0;32:0;33:0;31:0;34:0;63:50;56:101;51:77;52:97;57:151</t>
  </si>
  <si>
    <t>60:33;30:0;32:33;33:15;31:150;34:15;63:50;56:100;51:75;52:100;57:100</t>
  </si>
  <si>
    <t>60:0;30:0;32:0;33:0;31:0;34:0;63:50;56:101;51:74;52:97;57:151</t>
  </si>
  <si>
    <t>60:33;30:0;32:120;33:15;31:33;34:15;63:50;56:100;51:75;52:100;57:100</t>
  </si>
  <si>
    <t>60:33;30:0;32:33;33:15;31:160;34:15;63:50;56:100;51:75;52:100;57:100</t>
  </si>
  <si>
    <t>60:0;30:0;32:25;33:0;31:0;34:0;63:50;56:84;51:100;52:150;57:0</t>
  </si>
  <si>
    <t>60:0;30:0;32:25;33:0;31:0;34:0;63:50;56:85;51:100;52:150;57:</t>
  </si>
  <si>
    <t>60:25;30:0;32:66;33:15;31:130;34:15;63:50;56:85;51:100;52:150;57:0</t>
  </si>
  <si>
    <t>60:0;30:0;32:30;33:0;31:0;34:0;63:50;56:84;51:100;52:150;57:0</t>
  </si>
  <si>
    <t>60:0;30:0;32:30;33:0;31:0;34:0;63:50;56:85;51:100;52:150;57:</t>
  </si>
  <si>
    <t>60:25;30:0;32:105;33:15;31:33;34:15;63:50;56:85;51:100;52:150;57:0</t>
  </si>
  <si>
    <t>60:0;30:0;32:35;33:0;31:0;34:0;63:50;56:84;51:100;52:150;57:0</t>
  </si>
  <si>
    <t>60:0;30:0;32:35;33:0;31:0;34:0;63:50;56:85;51:100;52:150;57:</t>
  </si>
  <si>
    <t>60:25;30:0;32:33;33:15;31:140;34:15;63:50;56:85;51:100;52:150;57:0</t>
  </si>
  <si>
    <t>60:0;30:0;32:40;33:0;31:0;34:0;63:50;56:84;51:100;52:150;57:0</t>
  </si>
  <si>
    <t>60:0;30:0;32:40;33:0;31:0;34:0;63:50;56:85;51:100;52:150;57:</t>
  </si>
  <si>
    <t>60:25;30:0;32:110;33:15;31:33;34:15;63:50;56:85;51:100;52:150;57:0</t>
  </si>
  <si>
    <t>60:0;30:20;32:70;33:0;31:0;34:0;63:50;56:84;51:100;52:150;57:0</t>
  </si>
  <si>
    <t>60:0;30:20;32:100;33:0;31:0;34:0;63:50;56:85;51:100;52:150;57:</t>
  </si>
  <si>
    <t>60:33;30:20;32:115;33:15;31:33;34:15;63:50;56:85;51:100;52:150;57:0</t>
  </si>
  <si>
    <t>60:33;30:0;32:33;33:15;31:150;34:15;63:50;56:85;51:100;52:150;57:0</t>
  </si>
  <si>
    <t>60:33;30:0;32:120;33:15;31:33;34:15;63:50;56:85;51:100;52:150;57:0</t>
  </si>
  <si>
    <t>60:33;30:20;32:33;33:15;31:160;34:15;63:50;56:85;51:100;52:150;57:0</t>
  </si>
  <si>
    <t>60:0;30:0;32:0;33:0;31:0;34:0;63:42;56:107;51:46;52:86;57:125</t>
  </si>
  <si>
    <t>60:0;30:0;32:0;33:0;31:0;34:0;63:42;56:115;51:50;52:90;57:155</t>
  </si>
  <si>
    <t>60:10;30:0;32:120;33:50;31:50;34:25;63:42;56:115;51:50;52:90;57:155</t>
  </si>
  <si>
    <t>60:0;30:0;32:0;33:0;31:0;34:0;63:44;56:107;51:46;52:82;57:125</t>
  </si>
  <si>
    <t>60:0;30:0;32:0;33:0;31:0;34:0;63:44;56:115;51:50;52:90;57:155</t>
  </si>
  <si>
    <t>60:10;30:0;32:66;33:50;31:50;34:110;63:44;56:115;51:50;52:90;57:155</t>
  </si>
  <si>
    <t>60:0;30:0;32:0;33:0;31:0;34:0;63:46;56:107;51:46;52:87;57:126</t>
  </si>
  <si>
    <t>60:0;30:0;32:0;33:0;31:0;34:0;63:46;56:115;51:50;52:90;57:155</t>
  </si>
  <si>
    <t>60:10;30:0;32:66;33:100;31:50;34:25;63:46;56:115;51:50;52:90;57:155</t>
  </si>
  <si>
    <t>60:0;30:0;32:0;33:0;31:0;34:0;63:50;56:107;51:45;52:85;57:125</t>
  </si>
  <si>
    <t>60:0;30:0;32:0;33:0;31:0;34:0;63:50;56:115;51:50;52:90;57:155</t>
  </si>
  <si>
    <t>60:100;30:0;32:66;33:50;31:50;34:25;63:50;56:115;51:50;52:90;57:155</t>
  </si>
  <si>
    <t>60:0;30:0;32:0;33:0;31:0;34:0;63:50;56:107;51:47;52:85;57:125</t>
  </si>
  <si>
    <t>60:25;30:0;32:66;33:50;31:50;34:120;63:50;56:115;51:50;52:90;57:155</t>
  </si>
  <si>
    <t>60:0;30:0;32:0;33:0;31:0;34:0;63:46;56:107;51:46;52:86;57:137</t>
  </si>
  <si>
    <t>60:0;30:0;32:0;33:0;31:0;34:0;63:46;56:115;51:50;52:90;57:120</t>
  </si>
  <si>
    <t>60:10;30:0;32:66;33:66;31:140;34:25;63:46;56:115;51:50;52:90;57:120</t>
  </si>
  <si>
    <t>60:0;30:0;32:0;33:0;31:0;34:0;63:49;56:107;51:46;52:82;57:138</t>
  </si>
  <si>
    <t>60:0;30:0;32:0;33:0;31:0;34:0;63:49;56:115;51:50;52:90;57:120</t>
  </si>
  <si>
    <t>60:10;30:0;32:110;33:66;31:50;34:25;63:49;56:115;51:50;52:90;57:120</t>
  </si>
  <si>
    <t>60:0;30:0;32:0;33:0;31:0;34:0;63:50;56:107;51:46;52:87;57:139</t>
  </si>
  <si>
    <t>60:0;30:0;32:0;33:0;31:0;34:0;63:50;56:115;51:50;52:90;57:120</t>
  </si>
  <si>
    <t>60:100;30:0;32:25;33:66;31:50;34:25;63:50;56:115;51:50;52:90;57:120</t>
  </si>
  <si>
    <t>60:0;30:0;32:0;33:0;31:0;34:0;63:50;56:107;51:45;52:85;57:138</t>
  </si>
  <si>
    <t>60:10;30:0;32:120;33:66;31:50;34:25;63:50;56:115;51:50;52:90;57:120</t>
  </si>
  <si>
    <t>60:0;30:0;32:0;33:0;31:80;34:0;63:50;56:107;51:47;52:85;57:138</t>
  </si>
  <si>
    <t>60:0;30:0;32:0;33:0;31:100;34:0;63:50;56:115;51:50;52:90;57:120</t>
  </si>
  <si>
    <t>60:25;30:0;32:25;33:66;31:160;34:25;63:50;56:115;51:50;52:90;57:120</t>
  </si>
  <si>
    <t>60:0;30:0;32:0;33:0;31:0;34:0;63:43;56:84;51:62;52:120;57:126</t>
  </si>
  <si>
    <t>60:0;30:0;32:0;33:0;31:0;34:0;63:43;56:90;51:60;52:110;57:135</t>
  </si>
  <si>
    <t>60:40;30:0;32:33;33:20;31:120;34:0;63:43;56:90;51:60;52:110;57:135</t>
  </si>
  <si>
    <t>60:0;30:0;32:0;33:0;31:0;34:0;63:44;56:84;51:60;52:119;57:125</t>
  </si>
  <si>
    <t>60:0;30:0;32:0;33:0;31:0;34:0;63:44;56:90;51:60;52:110;57:135</t>
  </si>
  <si>
    <t>60:40;30:0;32:33;33:20;31:130;34:0;63:44;56:90;51:60;52:110;57:135</t>
  </si>
  <si>
    <t>60:0;30:0;32:0;33:0;31:0;34:0;63:47;56:84;51:61;52:118;57:125</t>
  </si>
  <si>
    <t>60:0;30:0;32:0;33:0;31:0;34:0;63:47;56:90;51:60;52:110;57:135</t>
  </si>
  <si>
    <t>60:40;30:0;32:33;33:20;31:140;34:0;63:47;56:90;51:60;52:110;57:135</t>
  </si>
  <si>
    <t>60:0;30:0;32:0;33:0;31:0;34:0;63:48;56:84;51:61;52:122;57:126</t>
  </si>
  <si>
    <t>60:0;30:0;32:0;33:0;31:0;34:0;63:48;56:90;51:60;52:110;57:135</t>
  </si>
  <si>
    <t>60:40;30:0;32:33;33:20;31:150;34:0;63:48;56:90;51:60;52:110;57:135</t>
  </si>
  <si>
    <t>60:0;30:0;32:0;33:0;31:0;34:0;63:50;56:84;51:61;52:117;57:126</t>
  </si>
  <si>
    <t>60:0;30:0;32:0;33:0;31:0;34:0;63:50;56:90;51:60;52:110;57:135</t>
  </si>
  <si>
    <t>60:40;30:0;32:33;33:20;31:160;34:0;63:50;56:90;51:60;52:110;57:135</t>
  </si>
  <si>
    <t>60:0;30:0;32:0;33:0;31:0;34:0;63:15;56:75;51:;52:;57:</t>
  </si>
  <si>
    <t>60:0;30:0;32:0;33:0;31:0;34:0;63:15;56:75;51:0;52:0;57:0</t>
  </si>
  <si>
    <t>60:0;30:0;32:0;33:0;31:0;34:0;63:30;56:84;51:0;52:0;57:0</t>
  </si>
  <si>
    <t>60:0;30:0;32:0;33:0;31:0;34:0;63:30;56:110;51:;52:;57:</t>
  </si>
  <si>
    <t>60:0;30:25;32:100;33:25;31:33;34:0;63:30;56:110;51:0;52:0;57:0</t>
  </si>
  <si>
    <t>60:0;30:0;32:0;33:0;31:0;34:0;63:32;56:84;51:0;52:0;57:0</t>
  </si>
  <si>
    <t>60:0;30:0;32:0;33:0;31:0;34:0;63:32;56:110;51:;52:;57:</t>
  </si>
  <si>
    <t>60:0;30:25;32:105;33:25;31:33;34:0;63:32;56:110;51:0;52:0;57:0</t>
  </si>
  <si>
    <t>60:0;30:0;32:0;33:0;31:0;34:0;63:33;56:84;51:0;52:0;57:0</t>
  </si>
  <si>
    <t>60:0;30:0;32:0;33:0;31:0;34:0;63:33;56:110;51:;52:;57:</t>
  </si>
  <si>
    <t>60:0;30:25;32:110;33:25;31:33;34:0;63:33;56:110;51:0;52:0;57:0</t>
  </si>
  <si>
    <t>60:0;30:0;32:0;33:0;31:0;34:0;63:35;56:84;51:0;52:0;57:0</t>
  </si>
  <si>
    <t>60:0;30:0;32:0;33:0;31:0;34:0;63:35;56:110;51:;52:;57:</t>
  </si>
  <si>
    <t>60:0;30:25;32:115;33:25;31:33;34:0;63:35;56:110;51:0;52:0;57:0</t>
  </si>
  <si>
    <t>60:0;30:0;32:0;33:0;31:0;34:0;63:37;56:84;51:0;52:0;57:0</t>
  </si>
  <si>
    <t>60:0;30:0;32:0;33:0;31:0;34:0;63:37;56:110;51:;52:;57:</t>
  </si>
  <si>
    <t>60:0;30:25;32:120;33:25;31:33;34:0;63:37;56:110;51:0;52:0;57:0</t>
  </si>
  <si>
    <t>60:0;30:0;32:0;33:0;31:0;34:1000;63:0;56:19;51:0;52:0;57:0</t>
  </si>
  <si>
    <t>60:0;30:0;32:0;33:0;31:0;34:1000;63:0;56:35;51:;52:;57:</t>
  </si>
  <si>
    <t>60:33;30:20;32:0;33:0;31:0;34:1000;63:0;56:35;51:0;52:0;57:0</t>
  </si>
  <si>
    <t>60:0;30:0;32:0;33:0;31:75;34:0;63:48;56:101;51:61;52:96;57:126</t>
  </si>
  <si>
    <t>60:0;30:0;32:0;33:0;31:100;34:0;63:48;56:100;51:60;52:110;57:100</t>
  </si>
  <si>
    <t>60:25;30:0;32:0;33:33;31:150;34:33;63:48;56:100;51:60;52:110;57:100</t>
  </si>
  <si>
    <t>60:0;30:0;32:0;33:0;31:75;34:0;63:49;56:101;51:59;52:96;57:125</t>
  </si>
  <si>
    <t>60:0;30:0;32:0;33:0;31:100;34:0;63:49;56:100;51:60;52:110;57:100</t>
  </si>
  <si>
    <t>60:25;30:0;32:0;33:33;31:160;34:33;63:49;56:100;51:60;52:110;57:100</t>
  </si>
  <si>
    <t>60:0;30:0;32:0;33:0;31:75;34:0;63:50;56:101;51:61;52:93;57:126</t>
  </si>
  <si>
    <t>60:0;30:0;32:0;33:0;31:100;34:0;63:50;56:100;51:60;52:110;57:100</t>
  </si>
  <si>
    <t>60:25;30:0;32:0;33:33;31:170;34:33;63:50;56:100;51:60;52:110;57:100</t>
  </si>
  <si>
    <t>60:0;30:0;32:0;33:0;31:75;34:0;63:50;56:101;51:61;52:97;57:125</t>
  </si>
  <si>
    <t>60:25;30:0;32:0;33:33;31:180;34:33;63:50;56:100;51:60;52:110;57:100</t>
  </si>
  <si>
    <t>60:0;30:0;32:0;33:0;31:75;34:0;63:50;56:101;51:58;52:97;57:126</t>
  </si>
  <si>
    <t>60:25;30:0;32:0;33:33;31:190;34:33;63:50;56:100;51:60;52:110;57:100</t>
  </si>
  <si>
    <t>60:0;30:0;32:0;33:0;31:0;34:0;63:50;56:126;51:67;52:148;57:189</t>
  </si>
  <si>
    <t>60:0;30:0;32:0;33:0;31:0;34:0;63:50;56:130;51:80;52:150;57:180</t>
  </si>
  <si>
    <t>60:66;30:33;32:110;33:33;31:33;34:33;63:50;56:130;51:80;52:150;57:180</t>
  </si>
  <si>
    <t>60:0;30:0;32:0;33:0;31:0;34:0;63:50;56:126;51:69;52:151;57:188</t>
  </si>
  <si>
    <t>60:0;30:0;32:0;33:0;31:0;34:0;63:50;56:130;51:80;52:120;57:180</t>
  </si>
  <si>
    <t>60:66;30:33;32:33;33:100;31:33;34:33;63:50;56:130;51:80;52:120;57:180</t>
  </si>
  <si>
    <t>60:0;30:0;32:0;33:0;31:0;34:0;63:50;56:126;51:66;52:148;57:188</t>
  </si>
  <si>
    <t>60:100;30:33;32:33;33:33;31:33;34:33;63:50;56:130;51:80;52:150;57:180</t>
  </si>
  <si>
    <t>60:0;30:0;32:0;33:0;31:0;34:0;63:50;56:126;51:69;52:153;57:188</t>
  </si>
  <si>
    <t>60:66;30:33;32:33;33:33;31:135;34:33;63:50;56:130;51:80;52:120;57:180</t>
  </si>
  <si>
    <t>60:0;30:0;32:0;33:0;31:0;34:0;63:50;56:126;51:67;52:149;57:188</t>
  </si>
  <si>
    <t>60:66;30:33;32:120;33:33;31:33;34:33;63:50;56:130;51:80;52:120;57:180</t>
  </si>
  <si>
    <t>60:0;30:0;32:0;33:0;31:0;34:70;63:50;56:251;51:32;52:57;57:252</t>
  </si>
  <si>
    <t>60:0;30:0;32:0;33:0;31:0;34:70;63:50;56:120;51:50;52:150;57:140</t>
  </si>
  <si>
    <t>60:0;30:0;32:0;33:0;31:0;34:70;63:50;56:212;51:90;52:122;57:251</t>
  </si>
  <si>
    <t>60:66;30:20;32:50;33:0;31:50;34:1000;63:0;56:35;51:0;52:0;57:0</t>
  </si>
  <si>
    <t>60:0;30:0;32:0;33:0;31:70;34:70;63:50;56:126;51:0;52:0;57:0</t>
  </si>
  <si>
    <t>60:0;30:0;32:0;33:0;31:70;34:70;63:50;56:110;51:;52:;57:</t>
  </si>
  <si>
    <t>60:0;30:25;32:33;33:33;31:70;34:70;63:50;56:110;51:0;52:0;57:0</t>
  </si>
  <si>
    <t>60:0;30:0;32:50;33:70;31:70;34:0;63:0;56:63;51:0;52:0;57:0</t>
  </si>
  <si>
    <t>60:0;30:0;32:70;33:70;31:70;34:0;63:0;56:50;51:;52:;57:</t>
  </si>
  <si>
    <t>60:0;30:0;32:70;33:70;31:70;34:0;63:0;56:50;51:0;52:0;57:0</t>
  </si>
  <si>
    <t>60:0;30:0;32:0;33:0;31:0;34:0;63:50;56:126;51:51;52:76;57:251</t>
  </si>
  <si>
    <t>60:0;30:0;32:25;33:50;31:25;34:0;63:50;56:95;51:75;52:140;57:115</t>
  </si>
  <si>
    <t>60:33;30:0;32:50;33:100;31:50;34:0;63:50;56:95;51:75;52:140;57:115</t>
  </si>
  <si>
    <t>60:0;30:0;32:0;33:0;31:0;34:0;63:50;56:126;51:51;52:78;57:251</t>
  </si>
  <si>
    <t>60:0;30:0;32:0;33:0;31:0;34:0;63:50;56:95;51:75;52:140;57:115</t>
  </si>
  <si>
    <t>60:33;30:0;32:50;33:50;31:135;34:0;63:50;56:95;51:75;52:140;57:115</t>
  </si>
  <si>
    <t>60:0;30:0;32:0;33:0;31:0;34:0;63:50;56:126;51:53;52:77;57:251</t>
  </si>
  <si>
    <t>60:100;30:0;32:25;33:25;31:25;34:0;63:50;56:95;51:75;52:140;57:115</t>
  </si>
  <si>
    <t>60:0;30:0;32:0;33:0;31:0;34:0;63:50;56:126;51:51;52:74;57:251</t>
  </si>
  <si>
    <t>60:33;30:0;32:50;33:50;31:145;34:0;63:50;56:95;51:75;52:140;57:115</t>
  </si>
  <si>
    <t>60:0;30:50;32:50;33:50;31:50;34:50;63:0;56:84;51:0;52:0;57:0</t>
  </si>
  <si>
    <t>60:0;30:50;32:50;33:50;31:50;34:50;63:0;56:95;51:;52:;57:</t>
  </si>
  <si>
    <t>60:0;30:50;32:50;33:50;31:50;34:50;63:0;56:95;51:0;52:0;57:0</t>
  </si>
  <si>
    <t>60:0;30:0;32:0;33:0;31:0;34:70;63:0;56:0;51:0;52:0;57:0</t>
  </si>
  <si>
    <t>60:70;30:0;32:70;33:0;31:0;34:70;63:0;56:84;51:9;52:14;57:251</t>
  </si>
  <si>
    <t>60:70;30:0;32:70;33:0;31:0;34:70;63:0;56:125;51:4;52:7;57:250</t>
  </si>
  <si>
    <t>60:40;30:0;32:110;33:50;31:50;34:50;63:0;56:125;51:4;52:7;57:250</t>
  </si>
  <si>
    <t>60:0;30:0;32:0;33:70;31:70;34:0;63:0;56:84;51:9;52:14;57:251</t>
  </si>
  <si>
    <t>60:0;30:0;32:0;33:70;31:70;34:0;63:0;56:125;51:4;52:7;57:250</t>
  </si>
  <si>
    <t>60:40;30:0;32:50;33:100;31:70;34:50;63:0;56:125;51:4;52:7;57:250</t>
  </si>
  <si>
    <t>60:40;30:0;32:70;33:50;31:150;34:50;63:0;56:125;51:4;52:7;57:250</t>
  </si>
  <si>
    <t>60:0;30:0;32:33;33:33;31:33;34:50;63:50;56:87;51:76;52:111;57:125</t>
  </si>
  <si>
    <t>60:0;30:0;32:50;33:50;31:50;34:50;63:50;56:150;51:75;52:120;57:125</t>
  </si>
  <si>
    <t>60:50;30:0;32:50;33:50;31:50;34:50;63:50;56:150;51:75;52:120;57:125</t>
  </si>
  <si>
    <t>60:0;30:0;32:33;33:33;31:33;34:50;63:40;56:87;51:106;52:179;57:251</t>
  </si>
  <si>
    <t>60:0;30:0;32:50;33:50;31:50;34:50;63:45;56:150;51:120;52:180;57:250</t>
  </si>
  <si>
    <t>60:50;30:0;32:50;33:50;31:50;34:50;63:55;56:150;51:150;52:190;57:250</t>
  </si>
  <si>
    <t>60:0;30:0;32:33;33:33;31:33;34:50;63:50;56:126;51:32;52:91;57:126</t>
  </si>
  <si>
    <t>60:0;30:0;32:50;33:50;31:50;34:50;63:50;56:65;51:30;52:90;57:110</t>
  </si>
  <si>
    <t>60:0;30:0;32:50;33:50;31:50;34:100;63:50;56:65;51:30;52:90;57:110</t>
  </si>
  <si>
    <t>60:0;30:0;32:33;33:33;31:33;34:50;63:50;56:126;51:31;52:92;57:126</t>
  </si>
  <si>
    <t>60:0;30:0;32:50;33:50;31:50;34:105;63:50;56:65;51:30;52:90;57:110</t>
  </si>
  <si>
    <t>60:0;30:0;32:33;33:33;31:33;34:50;63:50;56:126;51:30;52:88;57:125</t>
  </si>
  <si>
    <t>60:0;30:0;32:50;33:50;31:50;34:110;63:50;56:65;51:30;52:90;57:110</t>
  </si>
  <si>
    <t>60:0;30:0;32:33;33:33;31:33;34:50;63:50;56:126;51:29;52:89;57:126</t>
  </si>
  <si>
    <t>60:0;30:0;32:50;33:50;31:50;34:115;63:50;56:65;51:30;52:90;57:110</t>
  </si>
  <si>
    <t>60:0;30:0;32:33;33:33;31:33;34:50;63:50;56:126;51:33;52:93;57:125</t>
  </si>
  <si>
    <t>60:0;30:0;32:50;33:50;31:50;34:120;63:50;56:65;51:30;52:90;57:110</t>
  </si>
  <si>
    <t>60:0;30:0;32:0;33:0;31:0;34:0;63:44;56:84;51:28;52:60;57:125</t>
  </si>
  <si>
    <t>60:0;30:0;32:0;33:0;31:0;34:0;63:44;56:85;51:30;52:60;57:80</t>
  </si>
  <si>
    <t>60:0;30:0;32:100;33:0;31:50;34:0;63:44;56:85;51:30;52:60;57:80</t>
  </si>
  <si>
    <t>60:0;30:0;32:0;33:0;31:0;34:0;63:46;56:84;51:32;52:60;57:126</t>
  </si>
  <si>
    <t>60:0;30:0;32:0;33:0;31:0;34:0;63:46;56:85;51:30;52:60;57:80</t>
  </si>
  <si>
    <t>60:0;30:0;32:0;33:100;31:50;34:0;63:46;56:85;51:30;52:60;57:80</t>
  </si>
  <si>
    <t>60:0;30:0;32:0;33:0;31:0;34:0;63:47;56:84;51:31;52:61;57:125</t>
  </si>
  <si>
    <t>60:0;30:0;32:0;33:0;31:0;34:0;63:47;56:85;51:30;52:60;57:80</t>
  </si>
  <si>
    <t>60:0;30:0;32:0;33:0;31:140;34:0;63:47;56:85;51:30;52:60;57:80</t>
  </si>
  <si>
    <t>60:0;30:0;32:0;33:0;31:0;34:0;63:48;56:84;51:31;52:61;57:126</t>
  </si>
  <si>
    <t>60:0;30:0;32:0;33:0;31:0;34:0;63:48;56:85;51:30;52:60;57:80</t>
  </si>
  <si>
    <t>60:0;30:0;32:0;33:0;31:50;34:100;63:48;56:85;51:30;52:60;57:80</t>
  </si>
  <si>
    <t>60:0;30:0;32:0;33:0;31:0;34:0;63:50;56:84;51:31;52:62;57:125</t>
  </si>
  <si>
    <t>60:0;30:0;32:0;33:0;31:0;34:0;63:50;56:85;51:30;52:60;57:80</t>
  </si>
  <si>
    <t>60:0;30:0;32:0;33:0;31:150;34:0;63:50;56:85;51:30;52:60;57:80</t>
  </si>
  <si>
    <t>60:0;30:0;32:0;33:0;31:0;34:0;63:39;56:84;51:53;52:121;57:93</t>
  </si>
  <si>
    <t>60:0;30:0;32:0;33:0;31:0;34:0;63:39;56:100;51:70;52:150;57:135</t>
  </si>
  <si>
    <t>60:0;30:0;32:70;33:0;31:0;34:70;63:50;56:101;51:57;52:97;57:125</t>
  </si>
  <si>
    <t>60:0;30:0;32:80;33:0;31:0;34:100;63:50;56:100;51:100;52:180;57:200</t>
  </si>
  <si>
    <t>60:0;30:0;32:95;33:0;31:0;34:120;63:50;56:100;51:100;52:180;57:200</t>
  </si>
  <si>
    <t>60:0;30:0;32:33;33:33;31:33;34:50;63:0;56:0;51:0;52:0;57:0</t>
  </si>
  <si>
    <t>60:0;30:0;32:50;33:50;31:50;34:50;63:0;56:0;51:;52:;57:</t>
  </si>
  <si>
    <t>60:0;30:0;32:50;33:50;31:50;34:50;63:0;56:0;51:0;52:0;57:0</t>
  </si>
  <si>
    <t>60:0;30:0;32:0;33:0;31:0;34:70;63:0;56:0;51:;52:;57:</t>
  </si>
  <si>
    <t>60:0;30:0;32:0;33:0;31:0;34:0;63:44;56:84;51:28;52:87;57:125</t>
  </si>
  <si>
    <t>60:0;30:0;32:0;33:0;31:0;34:0;63:44;56:65;51:80;52:120;57:125</t>
  </si>
  <si>
    <t>60:25;30:0;32:25;33:0;31:110;34:0;63:44;56:65;51:80;52:120;57:125</t>
  </si>
  <si>
    <t>60:0;30:0;32:0;33:0;31:0;34:0;63:46;56:84;51:32;52:91;57:126</t>
  </si>
  <si>
    <t>60:0;30:0;32:0;33:0;31:0;34:0;63:46;56:65;51:80;52:120;57:125</t>
  </si>
  <si>
    <t>60:25;30:0;32:25;33:0;31:115;34:0;63:46;56:65;51:80;52:120;57:125</t>
  </si>
  <si>
    <t>60:0;30:0;32:0;33:0;31:0;34:0;63:47;56:84;51:31;52:87;57:125</t>
  </si>
  <si>
    <t>60:0;30:0;32:0;33:0;31:0;34:0;63:47;56:65;51:80;52:120;57:125</t>
  </si>
  <si>
    <t>60:25;30:0;32:25;33:0;31:120;34:0;63:47;56:65;51:80;52:120;57:125</t>
  </si>
  <si>
    <t>60:0;30:0;32:0;33:0;31:0;34:0;63:48;56:84;51:31;52:92;57:126</t>
  </si>
  <si>
    <t>60:0;30:0;32:0;33:0;31:0;34:0;63:48;56:65;51:80;52:120;57:125</t>
  </si>
  <si>
    <t>60:25;30:0;32:25;33:0;31:125;34:0;63:48;56:65;51:80;52:120;57:125</t>
  </si>
  <si>
    <t>60:0;30:0;32:0;33:0;31:0;34:0;63:50;56:84;51:31;52:93;57:125</t>
  </si>
  <si>
    <t>60:0;30:0;32:0;33:0;31:0;34:0;63:50;56:65;51:80;52:120;57:125</t>
  </si>
  <si>
    <t>60:25;30:0;32:25;33:0;31:130;34:0;63:50;56:65;51:80;52:120;57:125</t>
  </si>
  <si>
    <t>60:0;30:0;32:15;33:15;31:15;34:33;63:40;56:87;51:106;52:179;57:251</t>
  </si>
  <si>
    <t>60:0;30:0;32:25;33:25;31:25;34:25;63:45;56:160;51:110;52:180;57:250</t>
  </si>
  <si>
    <t>60:50;30:0;32:25;33:25;31:25;34:25;63:55;56:160;51:110;52:180;57:250</t>
  </si>
  <si>
    <t>60:0;30:0;32:50;33:0;31:50;34:95;63:50;56:87;51:30;52:92;57:251</t>
  </si>
  <si>
    <t>60:0;30:0;32:95;33:0;31:50;34:95;63:50;56:135;51:80;52:130;57:210</t>
  </si>
  <si>
    <t>60:50;30:0;32:120;33:33;31:50;34:95;63:50;56:135;51:80;52:130;57:210</t>
  </si>
  <si>
    <t>60:0;30:0;32:50;33:0;31:50;34:95;63:50;56:87;51:32;52:92;57:251</t>
  </si>
  <si>
    <t>60:0;30:0;32:50;33:0;31:50;34:95;63:50;56:87;51:30;52:90;57:251</t>
  </si>
  <si>
    <t>60:0;30:0;32:50;33:25;31:0;34:100;63:15;56:100;51:3;52:17;57:115</t>
  </si>
  <si>
    <t>60:0;30:0;32:75;33:33;31:0;34:100;63:15;56:100;51:35;52:50;57:115</t>
  </si>
  <si>
    <t>60:33;30:10;32:90;33:50;31:25;34:100;63:15;56:100;51:35;52:50;57:115</t>
  </si>
  <si>
    <t>60:0;30:0;32:0;33:25;31:50;34:110;63:23;56:100;51:3;52:17;57:115</t>
  </si>
  <si>
    <t>60:0;30:0;32:0;33:33;31:75;34:110;63:23;56:100;51:35;52:50;57:115</t>
  </si>
  <si>
    <t>60:33;30:10;32:25;33:50;31:90;34:110;63:23;56:100;51:35;52:50;57:115</t>
  </si>
  <si>
    <t>60:0;30:0;32:50;33:25;31:0;34:120;63:25;56:100;51:3;52:17;57:115</t>
  </si>
  <si>
    <t>60:0;30:0;32:75;33:33;31:0;34:120;63:25;56:100;51:35;52:50;57:115</t>
  </si>
  <si>
    <t>60:33;30:10;32:90;33:50;31:25;34:120;63:25;56:100;51:35;52:50;57:115</t>
  </si>
  <si>
    <t>60:0;30:0;32:0;33:25;31:0;34:130;63:35;56:100;51:3;52:17;57:115</t>
  </si>
  <si>
    <t>60:0;30:0;32:0;33:33;31:75;34:130;63:35;56:100;51:35;52:50;57:115</t>
  </si>
  <si>
    <t>60:33;30:10;32:25;33:50;31:90;34:130;63:35;56:100;51:35;52:50;57:115</t>
  </si>
  <si>
    <t>60:0;30:0;32:33;33:33;31:33;34:140;63:48;56:100;51:10;52:25;57:115</t>
  </si>
  <si>
    <t>60:0;30:0;32:50;33:50;31:50;34:140;63:48;56:100;51:35;52:50;57:115</t>
  </si>
  <si>
    <t>60:33;30:10;32:66;33:66;31:66;34:140;63:48;56:100;51:35;52:50;57:115</t>
  </si>
  <si>
    <t>60:0;30:0;32:33;33:80;31:50;34:0;63:15;56:80;51:50;52:100;57:100</t>
  </si>
  <si>
    <t>60:0;30:0;32:33;33:100;31:75;34:0;63:15;56:90;51:50;52:100;57:110</t>
  </si>
  <si>
    <t>60:25;30:0;32:50;33:100;31:90;34:15;63:15;56:90;51:50;52:100;57:110</t>
  </si>
  <si>
    <t>60:0;30:0;32:50;33:80;31:33;34:0;63:15;56:80;51:50;52:100;57:100</t>
  </si>
  <si>
    <t>60:0;30:0;32:75;33:100;31:33;34:0;63:15;56:90;51:50;52:100;57:110</t>
  </si>
  <si>
    <t>60:25;30:0;32:90;33:100;31:50;34:15;63:15;56:90;51:50;52:100;57:110</t>
  </si>
  <si>
    <t>60:0;30:0;32:50;33:80;31:50;34:0;63:15;56:80;51:50;52:100;57:100</t>
  </si>
  <si>
    <t>60:0;30:0;32:50;33:100;31:50;34:0;63:15;56:90;51:50;52:100;57:110</t>
  </si>
  <si>
    <t>60:25;30:0;32:75;33:100;31:75;34:15;63:15;56:90;51:50;52:100;57:110</t>
  </si>
  <si>
    <t>60:0;30:0;32:75;33:80;31:50;34:0;63:15;56:80;51:50;52:100;57:100</t>
  </si>
  <si>
    <t>60:0;30:0;32:75;33:100;31:50;34:0;63:15;56:90;51:50;52:100;57:110</t>
  </si>
  <si>
    <t>60:0;30:0;32:50;33:80;31:75;34:33;63:15;56:80;51:50;52:100;57:100</t>
  </si>
  <si>
    <t>60:0;30:0;32:50;33:100;31:75;34:33;63:15;56:90;51:50;52:100;57:110</t>
  </si>
  <si>
    <t>60:25;30:0;32:85;33:100;31:85;34:50;63:15;56:90;51:50;52:100;57:110</t>
  </si>
  <si>
    <t>60:0;30:30;32:0;33:0;31:0;34:0;63:20;56:90;51:80;52:140;57:80</t>
  </si>
  <si>
    <t>60:0;30:50;32:0;33:100;31:0;34:25;63:20;56:90;51:80;52:140;57:85</t>
  </si>
  <si>
    <t>60:40;30:50;32:50;33:100;31:25;34:25;63:20;56:90;51:80;52:140;57:85</t>
  </si>
  <si>
    <t>60:0;30:50;32:0;33:0;31:100;34:25;63:20;56:90;51:80;52:140;57:85</t>
  </si>
  <si>
    <t>60:40;30:50;32:25;33:50;31:135;34:25;63:20;56:90;51:80;52:140;57:85</t>
  </si>
  <si>
    <t>60:40;30:50;32:25;33:50;31:155;34:25;63:20;56:90;51:80;52:140;57:85</t>
  </si>
  <si>
    <t>60:0;30:30;32:60;33:0;31:0;34:0;63:20;56:90;51:80;52:140;57:80</t>
  </si>
  <si>
    <t>60:0;30:50;32:100;33:0;31:0;34:25;63:20;56:90;51:80;52:140;57:85</t>
  </si>
  <si>
    <t>60:40;30:50;32:110;33:25;31:50;34:25;63:20;56:90;51:80;52:140;57:85</t>
  </si>
  <si>
    <t>60:0;30:30;32:30;33:0;31:0;34:0;63:20;56:90;51:80;52:140;57:80</t>
  </si>
  <si>
    <t>60:0;30:50;32:0;33:0;31:100;34:50;63:20;56:90;51:80;52:140;57:85</t>
  </si>
  <si>
    <t>60:40;30:50;32:33;33:33;31:165;34:50;63:20;56:90;51:80;52:140;57:85</t>
  </si>
  <si>
    <t>60:0;30:0;32:0;33:0;31:60;34:0;63:10;56:125;51:90;52:140;57:100</t>
  </si>
  <si>
    <t>60:0;30:40;32:0;33:0;31:80;34:0;63:10;56:125;51:90;52:140;57:100</t>
  </si>
  <si>
    <t>60:0;30:50;32:33;33:25;31:120;34:0;63:10;56:125;51:90;52:140;57:100</t>
  </si>
  <si>
    <t>60:0;30:0;32:60;33:0;31:0;34:0;63:10;56:125;51:90;52:140;57:100</t>
  </si>
  <si>
    <t>60:0;30:40;32:80;33:0;31:0;34:0;63:10;56:125;51:90;52:140;57:100</t>
  </si>
  <si>
    <t>60:0;30:50;32:100;33:25;31:15;34:0;63:10;56:125;51:90;52:140;57:100</t>
  </si>
  <si>
    <t>60:0;30:0;32:0;33:0;31:0;34:60;63:10;56:125;51:90;52:140;57:100</t>
  </si>
  <si>
    <t>60:0;30:40;32:0;33:0;31:0;34:100;63:10;56:125;51:90;52:140;57:100</t>
  </si>
  <si>
    <t>60:0;30:50;32:33;33:25;31:15;34:110;63:10;56:125;51:90;52:140;57:100</t>
  </si>
  <si>
    <t>60:30;30:0;32:20;33:60;31:0;34:0;63:10;56:125;51:90;52:140;57:100</t>
  </si>
  <si>
    <t>60:40;30:0;32:50;33:100;31:0;34:0;63:10;56:125;51:90;52:140;57:100</t>
  </si>
  <si>
    <t>60:60;30:0;32:50;33:100;31:15;34:0;63:10;56:125;51:90;52:140;57:100</t>
  </si>
  <si>
    <t>60:0;30:0;32:0;33:50;31:50;34:50;63:20;56:115;51:30;52:60;57:120</t>
  </si>
  <si>
    <t>60:0;30:0;32:0;33:75;31:75;34:75;63:20;56:115;51:30;52:60;57:120</t>
  </si>
  <si>
    <t>60:25;30:25;32:25;33:90;31:90;34:90;63:20;56:115;51:30;52:60;57:120</t>
  </si>
  <si>
    <t>60:25;30:0;32:50;33:0;31:0;34:0;63:20;56:115;51:0;52:0;57:0</t>
  </si>
  <si>
    <t>60:50;30:0;32:50;33:0;31:0;34:50;63:20;56:115;51:;52:;57:</t>
  </si>
  <si>
    <t>60:70;30:0;32:70;33:25;31:145;34:110;63:20;56:115;51:0;52:0;57:0</t>
  </si>
  <si>
    <t>60:0;30:0;32:75;33:0;31:60;34:0;63:20;56:115;51:0;52:0;57:0</t>
  </si>
  <si>
    <t>60:0;30:0;32:100;33:0;31:75;34:0;63:20;56:115;51:45;52:60;57:</t>
  </si>
  <si>
    <t>60:25;30:0;32:115;33:25;31:0;34:50;63:20;56:115;51:45;52:60;57:0</t>
  </si>
  <si>
    <t>60:0;30:0;32:0;33:60;31:0;34:75;63:20;56:115;51:10;52:25;57:0</t>
  </si>
  <si>
    <t>60:0;30:0;32:0;33:80;31:0;34:100;63:20;56:115;51:45;52:60;57:</t>
  </si>
  <si>
    <t>60:25;30:0;32:33;33:100;31:0;34:110;63:20;56:115;51:45;52:60;57:0</t>
  </si>
  <si>
    <t>60:0;30:40;32:20;33:20;31:20;34:20;63:20;56:115;51:0;52:0;57:0</t>
  </si>
  <si>
    <t>60:0;30:60;32:0;33:0;31:0;34:0;63:20;56:115;51:;52:;57:</t>
  </si>
  <si>
    <t>60:25;30:70;32:33;33:25;31:0;34:115;63:20;56:115;51:0;52:0;57:0</t>
  </si>
  <si>
    <t>60:0;30:0;32:80;33:50;31:0;34:0;63:35;56:100;51:80;52:110;57:150</t>
  </si>
  <si>
    <t>60:0;30:0;32:100;33:70;31:0;34:0;63:35;56:100;51:80;52:110;57:150</t>
  </si>
  <si>
    <t>60:35;30:0;32:120;33:85;31:40;34:0;63:35;56:100;51:80;52:110;57:150</t>
  </si>
  <si>
    <t>60:0;30:0;32:0;33:0;31:0;34:0;63:35;56:100;51:80;52:110;57:150</t>
  </si>
  <si>
    <t>60:35;30:0;32:50;33:50;31:150;34:25;63:35;56:100;51:80;52:110;57:150</t>
  </si>
  <si>
    <t>60:35;30:0;32:125;33:50;31:50;34:25;63:35;56:100;51:80;52:110;57:150</t>
  </si>
  <si>
    <t>60:35;30:0;32:50;33:50;31:160;34:25;63:35;56:100;51:80;52:110;57:150</t>
  </si>
  <si>
    <t>60:35;30:0;32:130;33:50;31:50;34:25;63:35;56:100;51:80;52:110;57:150</t>
  </si>
  <si>
    <t>60:25;30:0;32:15;33:100;31:15;34:15;63:50;56:95;51:75;52:140;57:115</t>
  </si>
  <si>
    <t>60:0;30:0;32:40;33:0;31:0;34:0;63:3;56:80;51:30;52:75;57:65</t>
  </si>
  <si>
    <t>60:33;30:0;32:100;33:50;31:25;34:33;63:3;56:80;51:30;52:75;57:65</t>
  </si>
  <si>
    <t>60:0;30:0;32:0;33:0;31:50;34:0;63:3;56:80;51:30;52:75;57:65</t>
  </si>
  <si>
    <t>60:33;30:0;32:25;33:50;31:100;34:33;63:3;56:80;51:30;52:75;57:65</t>
  </si>
  <si>
    <t>60:33;30:0;32:25;33:100;31:75;34:33;63:3;56:80;51:30;52:75;57:65</t>
  </si>
  <si>
    <t>60:0;30:0;32:0;33:0;31:0;34:80;63:15;56:85;51:80;52:110;57:85</t>
  </si>
  <si>
    <t>60:10;30:0;32:0;33:0;31:33;34:100;63:15;56:85;51:80;52:110;57:85</t>
  </si>
  <si>
    <t>60:0;30:0;32:0;33:0;31:0;34:0;63:27;56:140;51:90;52:160;57:140</t>
  </si>
  <si>
    <t>60:66;30:0;32:0;33:100;31:40;34:66;63:27;56:140;51:90;52:160;57:140</t>
  </si>
  <si>
    <t>60:0;30:0;32:0;33:0;31:0;34:0;63:19;56:95;51:50;52:80;57:125</t>
  </si>
  <si>
    <t>60:25;30:0;32:110;33:15;31:15;34:15;63:19;56:95;51:50;52:80;57:125</t>
  </si>
  <si>
    <t>60:0;30:0;32:25;33:0;31:50;34:0;63:19;56:95;51:50;52:80;57:125</t>
  </si>
  <si>
    <t>60:25;30:0;32:50;33:15;31:150;34:15;63:19;56:95;51:50;52:80;57:125</t>
  </si>
  <si>
    <t>60:0;30:25;32:25;33:25;31:25;34:50;63:19;56:95;51:50;52:80;57:125</t>
  </si>
  <si>
    <t>60:25;30:0;32:50;33:50;31:50;34:100;63:19;56:95;51:50;52:80;57:125</t>
  </si>
  <si>
    <t>60:0;30:0;32:0;33:0;31:0;34:0;63:15;56:84;51:30;52:60;57:255</t>
  </si>
  <si>
    <t>60:0;30:0;32:50;33:25;31:0;34:0;63:15;56:90;51:30;52:60;57:150</t>
  </si>
  <si>
    <t>60:15;30:0;32:115;33:50;31:0;34:15;63:15;56:90;51:30;52:60;57:150</t>
  </si>
  <si>
    <t>60:0;30:0;32:25;33:25;31:50;34:0;63:15;56:90;51:30;52:60;57:150</t>
  </si>
  <si>
    <t>60:15;30:0;32:50;33:50;31:140;34:15;63:15;56:90;51:30;52:60;57:150</t>
  </si>
  <si>
    <t>60:0;30:0;32:0;33:50;31:25;34:0;63:6;56:95;51:65;52:130;57:140</t>
  </si>
  <si>
    <t>60:33;30:0;32:25;33:100;31:50;34:15;63:6;56:95;51:65;52:130;57:140</t>
  </si>
  <si>
    <t>60:0;30:0;32:0;33:0;31:0;34:0;63:24;56:84;51:76;52:134;57:160</t>
  </si>
  <si>
    <t>60:40;30:0;32:15;33:15;31:15;34:0;63:24;56:80;51:90;52:140;57:160</t>
  </si>
  <si>
    <t>60:75;30:0;32:33;33:33;31:33;34:0;63:24;56:80;51:90;52:140;57:160</t>
  </si>
  <si>
    <t>60:0;30:0;32:30;33:0;31:0;34:50;63:15;56:84;51:0;52:0;57:0</t>
  </si>
  <si>
    <t>60:0;30:0;32:75;33:0;31:0;34:100;63:15;56:90;51:;52:;57:</t>
  </si>
  <si>
    <t>60:33;30:0;32:125;33:0;31:50;34:110;63:15;56:90;51:0;52:0;57:0</t>
  </si>
  <si>
    <t>60:33;30:0;32:130;33:0;31:50;34:110;63:15;56:90;51:0;52:0;57:0</t>
  </si>
  <si>
    <t>60:0;30:0;32:0;33:30;31:0;34:50;63:15;56:84;51:0;52:0;57:0</t>
  </si>
  <si>
    <t>60:0;30:0;32:0;33:75;31:0;34:100;63:15;56:90;51:;52:;57:</t>
  </si>
  <si>
    <t>60:33;30:50;32:0;33:120;31:0;34:110;63:15;56:90;51:0;52:0;57:0</t>
  </si>
  <si>
    <t>60:33;30:50;32:0;33:130;31:0;34:110;63:15;56:90;51:0;52:0;57:0</t>
  </si>
  <si>
    <t>60:0;30:0;32:0;33:0;31:30;34:50;63:15;56:84;51:0;52:0;57:0</t>
  </si>
  <si>
    <t>60:0;30:0;32:0;33:0;31:75;34:100;63:15;56:90;51:;52:;57:</t>
  </si>
  <si>
    <t>60:33;30:0;32:50;33:0;31:160;34:110;63:15;56:90;51:0;52:0;57:0</t>
  </si>
  <si>
    <t>60:33;30:0;32:0;33:0;31:0;34:75;63:17;56:90;51:0;52:0;57:0</t>
  </si>
  <si>
    <t>60:33;30:0;32:0;33:25;31:25;34:25;63:15;56:105;51:50;52:90;57:200</t>
  </si>
  <si>
    <t>60:50;30:0;32:50;33:50;31:50;34:50;63:15;56:105;51:50;52:90;57:200</t>
  </si>
  <si>
    <t>60:0;30:0;32:0;33:25;31:50;34:0;63:16;56:130;51:65;52:120;57:100</t>
  </si>
  <si>
    <t>60:0;30:25;32:33;33:0;31:100;34:15;63:16;56:130;51:65;52:120;57:100</t>
  </si>
  <si>
    <t>60:0;30:25;32:33;33:0;31:120;34:15;63:16;56:130;51:65;52:120;57:100</t>
  </si>
  <si>
    <t>60:100;30:50;32:0;33:0;31:50;34:100;63:8;56:130;51:60;52:105;57:95</t>
  </si>
  <si>
    <t>60:0;30:33;32:33;33:15;31:33;34:33;63:50;56:115;51:50;52:90;57:155</t>
  </si>
  <si>
    <t>60:25;30:66;32:66;33:33;31:66;34:66;63:50;56:115;51:50;52:90;57:155</t>
  </si>
  <si>
    <t>60:0;30:33;32:33;33:15;31:100;34:33;63:50;56:115;51:50;52:90;57:120</t>
  </si>
  <si>
    <t>60:25;30:66;32:66;33:33;31:125;34:66;63:50;56:115;51:50;52:90;57:120</t>
  </si>
  <si>
    <t>60:25;30:66;32:66;33:33;31:145;34:66;63:50;56:115;51:50;52:90;57:120</t>
  </si>
  <si>
    <t>60:25;30:66;32:66;33:33;31:155;34:66;63:50;56:115;51:50;52:90;57:120</t>
  </si>
  <si>
    <t>60:70;30:0;32:0;33:100;31:0;34:50;63:28;56:115;51:45;52:115;57:120</t>
  </si>
  <si>
    <t>60:90;30:50;32:0;33:100;31:33;34:105;63:28;56:115;51:45;52:115;57:120</t>
  </si>
  <si>
    <t>60:90;30:50;32:0;33:100;31:33;34:110;63:28;56:115;51:45;52:115;57:120</t>
  </si>
  <si>
    <t>60:90;30:50;32:0;33:100;31:33;34:115;63:28;56:115;51:45;52:115;57:120</t>
  </si>
  <si>
    <t>60:0;30:50;32:0;33:25;31:50;34:0;63:39;56:75;51:45;52:90;57:105</t>
  </si>
  <si>
    <t>60:25;30:50;32:66;33:50;31:75;34:0;63:39;56:75;51:45;52:90;57:105</t>
  </si>
  <si>
    <t>60:0;30:40;32:25;33:80;31:0;34:75;63:30;56:100;51:40;52:100;57:120</t>
  </si>
  <si>
    <t>60:33;30:70;32:50;33:100;31:25;34:105;63:30;56:100;51:40;52:100;57:120</t>
  </si>
  <si>
    <t>60:33;30:70;32:50;33:100;31:25;34:110;63:30;56:100;51:40;52:100;57:120</t>
  </si>
  <si>
    <t>60:0;30:0;32:0;33:50;31:0;34:0;63:27;56:110;51:65;52:70;57:100</t>
  </si>
  <si>
    <t>60:10;30:0;32:33;33:100;31:33;34:0;63:27;56:110;51:65;52:70;57:100</t>
  </si>
  <si>
    <t>60:50;30:25;32:25;33:25;31:50;34:0;63:50;56:130;51:80;52:150;57:180</t>
  </si>
  <si>
    <t>60:75;30:50;32:140;33:50;31:75;34:0;63:50;56:130;51:80;52:150;57:180</t>
  </si>
  <si>
    <t>60:75;30:50;32:50;33:100;31:75;34:0;63:50;56:130;51:80;52:150;57:180</t>
  </si>
  <si>
    <t>60:50;30:0;32:0;33:100;31:0;34:0;63:24;56:145;51:55;52:110;57:120</t>
  </si>
  <si>
    <t>60:15;30:0;32:105;33:25;31:25;34:33;63:24;56:125;51:60;52:95;57:95</t>
  </si>
  <si>
    <t>60:15;30:0;32:110;33:25;31:25;34:33;63:24;56:125;51:60;52:95;57:95</t>
  </si>
  <si>
    <t>60:15;30:0;32:115;33:25;31:25;34:33;63:24;56:125;51:60;52:95;57:95</t>
  </si>
  <si>
    <t>60:0;30:0;32:0;33:0;31:0;34:0;63:32;56:85;51:0;52:0;57:125</t>
  </si>
  <si>
    <t>60:0;30:0;32:0;33:0;31:0;34:0;63:32;56:110;51:0;52:0;57:110</t>
  </si>
  <si>
    <t>60:15;30:0;32:105;33:25;31:25;34:33;63:32;56:110;51:0;52:0;57:110</t>
  </si>
  <si>
    <t>60:15;30:0;32:110;33:25;31:25;34:33;63:32;56:110;51:0;52:0;57:110</t>
  </si>
  <si>
    <t>60:15;30:0;32:115;33:25;31:25;34:33;63:32;56:110;51:0;52:0;57:110</t>
  </si>
  <si>
    <t>60:15;30:10;32:120;33:25;31:25;34:33;63:24;56:100;51:0;52:0;57:0</t>
  </si>
  <si>
    <t>60:15;30:10;32:125;33:25;31:25;34:33;63:24;56:100;51:0;52:0;57:0</t>
  </si>
  <si>
    <t>60:15;30:10;32:130;33:25;31:25;34:33;63:24;56:100;51:0;52:0;57:0</t>
  </si>
  <si>
    <t>60:33;30:0;32:0;33:100;31:33;34:0;63:24;56:110;51:50;52:90;57:120</t>
  </si>
  <si>
    <t>60:0;30:0;32:0;33:0;31:0;34:50;63:39;56:84;51:121;52:153;57:93</t>
  </si>
  <si>
    <t>60:0;30:25;32:25;33:25;31:25;34:50;63:39;56:120;51:110;52:140;57:160</t>
  </si>
  <si>
    <t>60:33;30:100;32:50;33:50;31:25;34:50;63:39;56:120;51:110;52:140;57:160</t>
  </si>
  <si>
    <t>60:33;30:100;32:50;33:25;31:50;34:50;63:39;56:120;51:110;52:140;57:160</t>
  </si>
  <si>
    <t>60:33;30:100;32:25;33:50;31:50;34:50;63:39;56:120;51:110;52:140;57:160</t>
  </si>
  <si>
    <t>60:33;30:100;32:50;33:50;31:50;34:25;63:39;56:120;51:110;52:140;57:160</t>
  </si>
  <si>
    <t>60:15;30:0;32:20;33:100;31:50;34:0;63:24;56:80;51:60;52:100;57:100</t>
  </si>
  <si>
    <t>60:15;30:0;32:20;33:50;31:20;34:0;63:24;56:75;51:40;52:85;57:90</t>
  </si>
  <si>
    <t>60:0;30:0;32:0;33:0;31:70;34:0;63:29;56:80;51:70;52:100;57:110</t>
  </si>
  <si>
    <t>60:45;30:0;32:33;33:33;31:140;34:25;63:29;56:80;51:70;52:100;57:110</t>
  </si>
  <si>
    <t>60:45;30:0;32:33;33:33;31:145;34:25;63:29;56:80;51:70;52:100;57:110</t>
  </si>
  <si>
    <t>60:0;30:0;32:33;33:33;31:140;34:25;63:47;56:70;51:40;52:70;57:85</t>
  </si>
  <si>
    <t>60:0;30:0;32:33;33:33;31:145;34:25;63:47;56:70;51:40;52:70;57:85</t>
  </si>
  <si>
    <t>60:40;30:0;32:25;33:100;31:25;34:105;63:27;56:115;51:70;52:110;57:75</t>
  </si>
  <si>
    <t>60:10;30:0;32:15;33:33;31:15;34:105;63:24;56:50;51:25;52:45;57:70</t>
  </si>
  <si>
    <t>60:10;30:0;32:15;33:33;31:15;34:0;63:0;56:25;51:0;52:0;57:0</t>
  </si>
  <si>
    <t>60:0;30:0;32:0;33:0;31:0;34:0;63:50;56:80;51:75;52:100;57:100</t>
  </si>
  <si>
    <t>60:33;30:0;32:50;33:25;31:130;34:0;63:50;56:120;51:75;52:100;57:100</t>
  </si>
  <si>
    <t>60:33;30:0;32:110;33:25;31:50;34:0;63:50;56:120;51:75;52:100;57:100</t>
  </si>
  <si>
    <t>60:33;30:0;32:50;33:25;31:135;34:0;63:50;56:120;51:75;52:100;57:100</t>
  </si>
  <si>
    <t>60:0;30:0;32:0;33:0;31:0;34:0;63:23;56:135;51:80;52:120;57:100</t>
  </si>
  <si>
    <t>60:50;30:0;32:120;33:25;31:50;34:0;63:23;56:135;51:80;52:120;57:100</t>
  </si>
  <si>
    <t>60:0;30:0;32:80;33:0;31:0;34:100;63:39;56:115;51:80;52:120;57:160</t>
  </si>
  <si>
    <t>60:50;30:20;32:140;33:33;31:0;34:50;63:39;56:115;51:80;52:120;57:160</t>
  </si>
  <si>
    <t>60:50;30:20;32:145;33:33;31:0;34:50;63:39;56:115;51:80;52:120;57:160</t>
  </si>
  <si>
    <t>60:0;30:0;32:110;33:25;31:25;34:0;63:37;56:110;51:0;52:0;57:0</t>
  </si>
  <si>
    <t>60:0;30:0;32:115;33:25;31:25;34:0;63:37;56:110;51:0;52:0;57:0</t>
  </si>
  <si>
    <t>60:33;30:0;32:25;33:0;31:33;34:105;63:24;56:135;51:65;52:105;57:90</t>
  </si>
  <si>
    <t>60:33;30:0;32:25;33:0;31:33;34:110;63:24;56:135;51:65;52:105;57:90</t>
  </si>
  <si>
    <t>60:40;30:0;32:66;33:100;31:25;34:25;63:29;56:120;51:55;52:120;57:120</t>
  </si>
  <si>
    <t>60:60;30:0;32:0;33:0;31:50;34:50;63:25;56:100;51:50;52:100;57:120</t>
  </si>
  <si>
    <t>60:75;30:0;32:33;33:33;31:125;34:50;63:25;56:100;51:50;52:100;57:120</t>
  </si>
  <si>
    <t>60:75;30:0;32:33;33:33;31:130;34:50;63:25;56:100;51:50;52:100;57:120</t>
  </si>
  <si>
    <t>60:75;30:0;32:33;33:33;31:135;34:50;63:25;56:100;51:50;52:100;57:120</t>
  </si>
  <si>
    <t>60:50;30:50;32:0;33:0;31:0;34:120;63:50;56:70;51:70;52:110;57:135</t>
  </si>
  <si>
    <t>60:33;30:0;32:130;33:25;31:25;34:50;63:24;56:115;51:70;52:150;57:180</t>
  </si>
  <si>
    <t>60:0;30:0;32:80;33:20;31:20;34:40;63:24;56:107;51:690000;52:1510000;57:92</t>
  </si>
  <si>
    <t>60:33;30:0;32:140;33:25;31:25;34:50;63:24;56:115;51:70;52:150;57:180</t>
  </si>
  <si>
    <t>60:33;30:0;32:60;33:60;31:140;34:75;63:29;56:115;51:60;52:135;57:160</t>
  </si>
  <si>
    <t>60:33;30:0;32:60;33:60;31:145;34:75;63:29;56:115;51:60;52:135;57:160</t>
  </si>
  <si>
    <t>60:50;30:0;32:0;33:50;31:50;34:130;63:25;56:95;51:60;52:105;57:105</t>
  </si>
  <si>
    <t>60:20;30:75;32:75;33:110;31:75;34:110;63:50;56:160;51:375;52:440;57:200</t>
  </si>
  <si>
    <t>60:50;30:75;32:110;33:75;31:75;34:75;63:50;56:140;51:370;52:380;57:215</t>
  </si>
  <si>
    <t>60:30;30:75;32:75;33:75;31:110;34:75;63:50;56:120;51:350;52:400;57:200</t>
  </si>
  <si>
    <t>60:66;30:75;32:75;33:75;31:75;34:110;63:40;56:110;51:400;52:440;57:470</t>
  </si>
  <si>
    <t>60:50;30:75;32:75;33:75;31:75;34:75;63:50;56:120;51:360;52:380;57:110</t>
  </si>
  <si>
    <t>60:50;30:75;32:75;33:75;31:110;34:75;63:55;56:150;51:330;52:380;57:250</t>
  </si>
  <si>
    <t>60:50;30:145;32:145;33:145;31:145;34:145;63:39;56:230;51:160;52:240;57:160</t>
  </si>
  <si>
    <t>60:33;30:0;32:60;33:60;31:145;34:75;63:29;56:230;51:120;52:270;57:160</t>
  </si>
  <si>
    <t>60:0;30:0;32:115;33:25;31:25;34:0;63:37;56:220;51:0;52:0;57:0</t>
  </si>
  <si>
    <t>60:90;30:0;32:0;33:70;31:0;34:0;63:22;56:120;51:90;52:120;57:70</t>
  </si>
  <si>
    <t>60:100;30:0;32:0;33:70;31:0;34:0;63:22;56:240;51:90;52:130;57:70</t>
  </si>
  <si>
    <t>60:0;30:0;32:0;33:0;31:0;34:0;63:27;56:115;51:140;52:220;57:75</t>
  </si>
  <si>
    <t>60:40;30:0;32:25;33:100;31:25;34:105;63:27;56:230;51:140;52:220;57:75</t>
  </si>
  <si>
    <t>60:0;30:0;32:0;33:0;31:0;34:0;63:23;56:135;51:160;52:240;57:100</t>
  </si>
  <si>
    <t>60:50;30:0;32:120;33:25;31:50;34:0;63:23;56:270;51:160;52:240;57:100</t>
  </si>
  <si>
    <t>60:0;30:0;32:0;33:0;31:0;34:0;63:24;56:145;51:110;52:220;57:120</t>
  </si>
  <si>
    <t>60:50;30:0;32:0;33:100;31:0;34:0;63:24;56:190;51:110;52:220;57:120</t>
  </si>
  <si>
    <t>60:0;30:33;32:33;33:15;31:33;34:33;63:50;56:115;51:100;52:180;57:155</t>
  </si>
  <si>
    <t>60:25;30:66;32:66;33:33;31:66;34:66;63:50;56:230;51:100;52:180;57:155</t>
  </si>
  <si>
    <t>60:0;30:33;32:33;33:15;31:100;34:33;63:50;56:115;51:100;52:180;57:120</t>
  </si>
  <si>
    <t>60:25;30:66;32:66;33:33;31:155;34:66;63:50;56:230;51:100;52:180;57:120</t>
  </si>
  <si>
    <t>60:20;30:0;32:0;33:0;31:0;34:0;63:40;56:125;51:110;52:220;57:130</t>
  </si>
  <si>
    <t>60:40;30:20;32:33;33:33;31:150;34:20;63:40;56:190;51:110;52:220;57:130</t>
  </si>
  <si>
    <t>60:0;30:0;32:25;33:25;31:50;34:0;63:15;56:125;51:60;52:120;57:150</t>
  </si>
  <si>
    <t>60:15;30:0;32:50;33:50;31:140;34:15;63:15;56:180;51:60;52:120;57:150</t>
  </si>
  <si>
    <t>60:0;30:0;32:0;33:50;31:25;34:0;63:6;56:115;51:130;52:260;57:140</t>
  </si>
  <si>
    <t>60:33;30:0;32:25;33:100;31:50;34:15;63:6;56:180;51:130;52:260;57:140</t>
  </si>
  <si>
    <t>60:0;30:0;32:0;33:0;31:0;34:0;63:50;56:110;51:120;52:220;57:135</t>
  </si>
  <si>
    <t>60:40;30:0;32:33;33:20;31:160;34:0;63:50;56:180;51:120;52:220;57:135</t>
  </si>
  <si>
    <t>60:33;30:70;32:50;33:100;31:25;34:110;63:30;56:260;51:40;52:100;57:120</t>
  </si>
  <si>
    <t>60:33;30:10;32:66;33:66;31:66;34:140;63:48;56:260;51:35;52:50;57:115</t>
  </si>
  <si>
    <t>60:33;30:0;32:130;33:0;31:50;34:110;63:15;56:220;51:0;52:0;57:0</t>
  </si>
  <si>
    <t>60:33;30:50;32:0;33:130;31:0;34:110;63:15;56:220;51:0;52:0;57:0</t>
  </si>
  <si>
    <t>60:33;30:0;32:50;33:0;31:160;34:110;63:15;56:220;51:0;52:0;57:0</t>
  </si>
  <si>
    <t>60:33;30:0;32:0;33:0;31:0;34:75;63:17;56:220;51:0;52:0;57:0</t>
  </si>
  <si>
    <t>60:100;30:0;32:33;33:33;31:135;34:50;63:25;56:100;51:50;52:100;57:120</t>
  </si>
  <si>
    <t>60:10;30:0;32:0;33:0;31:0;34:0;63:0;56:74;51:34;52:101;57:101</t>
  </si>
  <si>
    <t>60:30;30:0;32:0;33:0;31:0;34:0;63:0;56:0;51:99;52:99;57:99</t>
  </si>
  <si>
    <t>60:50;30:0;32:0;33:0;31:0;34:0;63:0;56:0;51:99;52:99;57:99</t>
  </si>
  <si>
    <t>60:10;30:0;32:0;33:0;31:0;34:0;63:15;56:84;51:39;52:111;57:101</t>
  </si>
  <si>
    <t>60:10;30:0;32:10;33:0;31:0;34:0;63:15;56:84;51:34;52:101;57:111</t>
  </si>
  <si>
    <t>60:10;30:0;32:0;33:0;31:0;34:0;63:0;56:79;51:39;52:106;57:106</t>
  </si>
  <si>
    <t>60:10;30:0;32:0;33:0;31:0;34:0;63:15;56:89;51:44;52:116;57:106</t>
  </si>
  <si>
    <t>60:10;30:0;32:10;33:0;31:0;34:0;63:15;56:89;51:39;52:106;57:116</t>
  </si>
  <si>
    <t>60:10;30:0;32:0;33:0;31:0;34:0;63:0;56:79;51:49;52:116;57:116</t>
  </si>
  <si>
    <t>60:10;30:0;32:0;33:0;31:0;34:0;63:0;56:84;51:44;52:111;57:111</t>
  </si>
  <si>
    <t>60:40;30:0;32:0;33:0;31:0;34:0;63:0;56:0;51:99;52:99;57:99</t>
  </si>
  <si>
    <t>60:70;30:0;32:0;33:0;31:0;34:0;63:0;56:0;51:99;52:99;57:99</t>
  </si>
  <si>
    <t>60:10;30:0;32:0;33:0;31:0;34:0;63:15;56:94;51:49;52:116;57:116</t>
  </si>
  <si>
    <t>60:10;30:0;32:0;33:0;31:0;34:0;63:0;56:84;51:54;52:126;57:111</t>
  </si>
  <si>
    <t>60:10;30:0;32:0;33:0;31:0;34:0;63:0;56:84;51:54;52:121;57:121</t>
  </si>
  <si>
    <t>60:10;30:0;32:0;33:0;31:0;34:0;63:0;56:74;51:34;52:111;57:111</t>
  </si>
  <si>
    <t>60:20;30:0;32:0;33:0;31:0;34:20;63:0;56:89;51:59;52:126;57:126</t>
  </si>
  <si>
    <t>60:80;30:0;32:0;33:0;31:0;34:0;63:0;56:0;51:99;52:99;57:99</t>
  </si>
  <si>
    <t>60:10;30:0;32:15;33:0;31:0;34:0;63:0;56:74;51:34;52:101;57:101</t>
  </si>
  <si>
    <t>60:0;30:0;32:15;33:15;31:15;34:15;63:0;56:74;51:34;52:101;57:131</t>
  </si>
  <si>
    <t>60:10;30:0;32:0;33:0;31:15;34:0;63:0;56:79;51:34;52:101;57:101</t>
  </si>
  <si>
    <t>60:10;30:0;32:0;33:0;31:0;34:0;63:0;56:74;51:34;52:121;57:121</t>
  </si>
  <si>
    <t>60:0;30:50;32:0;33:0;31:0;34:50;63:0;56:84;51:55;52:137;57:92</t>
  </si>
  <si>
    <t>60:0;30:75;32:0;33:0;31:0;34:75;63:0;56:80;51:60;52:140;57:105</t>
  </si>
  <si>
    <t>60:50;30:100;32:0;33:0;31:0;34:75;63:0;56:80;51:55;52:135;57:105</t>
  </si>
  <si>
    <t>60:0;30:0;32:0;33:0;31:0;34:50;63:0;56:84;51:51;52:138;57:93</t>
  </si>
  <si>
    <t>60:0;30:0;32:0;33:0;31:0;34:75;63:0;56:80;51:60;52:140;57:105</t>
  </si>
  <si>
    <t>60:50;30:0;32:100;33:0;31:0;34:75;63:0;56:80;51:60;52:140;57:105</t>
  </si>
  <si>
    <t>60:20;30:0;32:50;33:0;31:0;34:50;63:0;56:85;51:51;52:136;57:94</t>
  </si>
  <si>
    <t>60:50;30:0;32:75;33:0;31:0;34:75;63:0;56:80;51:60;52:140;57:105</t>
  </si>
  <si>
    <t>60:50;30:0;32:110;33:0;31:0;34:75;63:0;56:80;51:55;52:135;57:105</t>
  </si>
  <si>
    <t>60:0;30:0;32:0;33:0;31:0;34:0;63:0;56:84;51:55;52:137;57:92</t>
  </si>
  <si>
    <t>60:0;30:0;32:0;33:0;31:0;34:0;63:0;56:0;51:99;52:99;57:99</t>
  </si>
  <si>
    <t>60:15;30:0;32:0;33:0;31:15;34:15;63:0;56:84;51:83;52:206;57:72</t>
  </si>
  <si>
    <t>60:0;30:0;32:15;33:0;31:0;34:0;63:0;56:84;51:51;52:101;57:101</t>
  </si>
  <si>
    <t>60:0;30:0;32:30;33:0;31:0;34:0;63:0;56:80;51:30;52:75;57:65</t>
  </si>
  <si>
    <t>60:50;30:0;32:50;33:0;31:0;34:0;63:0;56:80;51:30;52:75;57:65</t>
  </si>
  <si>
    <t>60:0;30:0;32:0;33:0;31:0;34:0;63:0;56:84;51:51;52:101;57:101</t>
  </si>
  <si>
    <t>60:0;30:0;32:0;33:0;31:0;34:0;63:0;56:74;51:24;52:111;57:111</t>
  </si>
  <si>
    <t>60:0;30:0;32:0;33:0;31:0;34:0;63:0;56:84;51:34;52:121;57:121</t>
  </si>
  <si>
    <t>60:0;30:0;32:20;33:0;31:0;34:0;63:0;56:74;51:34;52:101;57:101</t>
  </si>
  <si>
    <t>60:0;30:0;32:25;33:0;31:0;34:0;63:0;56:84;51:34;52:101;57:101</t>
  </si>
  <si>
    <t>60:0;30:0;32:50;33:0;31:0;34:0;63:0;56:75;51:45;52:90;57:105</t>
  </si>
  <si>
    <t>60:15;30:0;32:100;33:0;31:0;34:0;63:0;56:75;51:45;52:90;57:105</t>
  </si>
  <si>
    <t>60:0;30:0;32:0;33:0;31:0;34:0;63:0;56:70;51:45;52:90;57:90</t>
  </si>
  <si>
    <t>60:15;30:0;32:100;33:0;31:40;34:0;63:0;56:70;51:45;52:90;57:90</t>
  </si>
  <si>
    <t>60:0;30:0;32:0;33:0;31:0;34:0;63:0;56:84;51:61;52:111;57:101</t>
  </si>
  <si>
    <t>60:0;30:0;32:0;33:0;31:0;34:0;63:0;56:94;51:61;52:111;57:101</t>
  </si>
  <si>
    <t>60:0;30:0;32:0;33:0;31:0;34:0;63:0;56:84;51:76;52:134;57:125</t>
  </si>
  <si>
    <t>60:0;30:0;32:0;33:0;31:0;34:0;63:0;56:80;51:90;52:140;57:110</t>
  </si>
  <si>
    <t>60:55;30:0;32:115;33:50;31:50;34:0;63:0;56:80;51:90;52:140;57:110</t>
  </si>
  <si>
    <t>60:0;30:0;32:0;33:0;31:0;34:0;63:0;56:84;51:67;52:111;57:170</t>
  </si>
  <si>
    <t>60:25;30:0;32:100;33:50;31:0;34:33;63:0;56:84;51:67;52:111;57:170</t>
  </si>
  <si>
    <t>60:0;30:0;32:0;33:0;31:0;34:0;63:0;56:84;51:67;52:101;57:175</t>
  </si>
  <si>
    <t>60:25;30:0;32:100;33:50;31:0;34:33;63:0;56:84;51:67;52:101;57:175</t>
  </si>
  <si>
    <t>60:0;30:0;32:0;33:0;31:0;34:0;63:0;56:84;51:52;52:96;57:185</t>
  </si>
  <si>
    <t>60:25;30:0;32:100;33:50;31:0;34:33;63:0;56:84;51:52;52:96;57:185</t>
  </si>
  <si>
    <t>60:0;30:0;32:0;33:0;31:0;34:0;63:0;56:84;51:57;52:94;57:145</t>
  </si>
  <si>
    <t>60:0;30:0;32:0;33:0;31:25;34:0;63:0;56:84;51:34;52:101;57:101</t>
  </si>
  <si>
    <t>60:0;30:0;32:0;33:0;31:50;34:0;63:0;56:75;51:99;52:99;57:99</t>
  </si>
  <si>
    <t>60:15;30:0;32:0;33:0;31:100;34:0;63:0;56:75;51:99;52:99;57:99</t>
  </si>
  <si>
    <t>60:0;30:0;32:0;33:0;31:0;34:0;63:0;56:85;51:69;52:151;57:92</t>
  </si>
  <si>
    <t>60:0;30:0;32:50;33:0;31:75;34:0;63:0;56:75;51:40;52:85;57:90</t>
  </si>
  <si>
    <t>60:10;30:0;32:25;33:33;31:160;34:20;63:0;56:75;51:40;52:85;57:90</t>
  </si>
  <si>
    <t>60:60;30:0;32:0;33:0;31:50;34:0;63:0;56:85;51:51;52:119;57:93</t>
  </si>
  <si>
    <t>60:60;30:0;32:0;33:0;31:50;34:50;63:0;56:100;51:50;52:100;57:120</t>
  </si>
  <si>
    <t>60:75;30:0;32:33;33:33;31:125;34:50;63:0;56:100;51:50;52:100;57:120</t>
  </si>
  <si>
    <t>60:30;30:0;32:0;33:0;31:30;34:30;63:0;56:84;51:83;52:206;57:72</t>
  </si>
  <si>
    <t>60:0;30:0;32:0;33:0;31:0;34:0;63:0;56:84;51:51;52:117;57:95</t>
  </si>
  <si>
    <t>60:0;30:0;32:0;33:0;31:0;34:0;63:0;56:95;51:55;52:110;57:130</t>
  </si>
  <si>
    <t>60:20;30:20;32:33;33:33;31:130;34:20;63:0;56:95;51:55;52:110;57:130</t>
  </si>
  <si>
    <t>60:0;30:0;32:-50;33:50;31:50;34:50;63:0;56:110;51:180;52:220;57:200</t>
  </si>
  <si>
    <t>60:66;30:0;32:-50;33:66;31:66;34:66;63:0;56:110;51:180;52:220;57:470</t>
  </si>
  <si>
    <t>60:20;30:100;32:0;33:0;31:0;34:20;63:0;56:89;51:59;52:126;57:126</t>
  </si>
  <si>
    <t>60:10;30:0;32:20;33:0;31:0;34:0;63:0;56:74;51:34;52:101;57:101</t>
  </si>
  <si>
    <t>60:30;30:0;32:50;33:0;31:0;34:0;63:0;56:0;51:99;52:99;57:99</t>
  </si>
  <si>
    <t>60:50;30:0;32:80;33:0;31:0;34:0;63:0;56:0;51:99;52:99;57:99</t>
  </si>
  <si>
    <t>60:10;30:0;32:20;33:0;31:0;34:0;63:0;56:79;51:39;52:106;57:106</t>
  </si>
  <si>
    <t>60:10;30:0;32:20;33:0;31:0;34:0;63:0;56:84;51:44;52:111;57:111</t>
  </si>
  <si>
    <t>60:40;30:0;32:50;33:0;31:0;34:0;63:0;56:0;51:99;52:99;57:99</t>
  </si>
  <si>
    <t>60:70;30:0;32:80;33:0;31:0;34:0;63:0;56:0;51:99;52:99;57:99</t>
  </si>
  <si>
    <t>60:20;30:0;32:20;33:0;31:0;34:20;63:0;56:89;51:59;52:126;57:126</t>
  </si>
  <si>
    <t>60:0;30:0;32:0;33:50;31:50;34:50;63:0;56:115;51:30;52:60;57:120</t>
  </si>
  <si>
    <t>60:0;30:0;32:0;33:75;31:75;34:75;63:0;56:115;51:30;52:60;57:120</t>
  </si>
  <si>
    <t>60:25;30:25;32:25;33:90;31:90;34:90;63:0;56:115;51:30;52:60;57:120</t>
  </si>
  <si>
    <t>60:0;30:0;32:75;33:0;31:60;34:0;63:0;56:115;51:45;52:60;57:120</t>
  </si>
  <si>
    <t>60:0;30:0;32:100;33:0;31:75;34:0;63:0;56:115;51:45;52:60;57:120</t>
  </si>
  <si>
    <t>60:25;30:0;32:115;33:25;31:0;34:50;63:0;56:115;51:45;52:60;57:120</t>
  </si>
  <si>
    <t>60:25;30:0;32:50;33:0;31:0;34:0;63:0;56:115;51:45;52:60;57:120</t>
  </si>
  <si>
    <t>60:50;30:0;32:50;33:0;31:0;34:50;63:0;56:115;51:45;52:60;57:120</t>
  </si>
  <si>
    <t>60:70;30:0;32:70;33:25;31:145;34:110;63:0;56:115;51:45;52:60;57:120</t>
  </si>
  <si>
    <t>60:0;30:0;32:0;33:0;31:0;34:0;63:0;56:84;51:71;52:101;57:94</t>
  </si>
  <si>
    <t>60:0;30:0;32:0;33:0;31:0;34:0;63:0;56:110;51:65;52:70;57:100</t>
  </si>
  <si>
    <t>60:15;30:25;32:100;33:0;31:0;34:0;63:0;56:110;51:65;52:70;57:100</t>
  </si>
  <si>
    <t>60:0;30:0;32:0;33:0;31:0;34:0;63:0;56:85;51:65;52:108;57:94</t>
  </si>
  <si>
    <t>60:0;30:0;32:0;33:0;31:0;34:0;63:0;56:80;51:60;52:100;57:100</t>
  </si>
  <si>
    <t>60:10;30:0;32:25;33:33;31:140;34:20;63:0;56:80;51:60;52:100;57:100</t>
  </si>
  <si>
    <t>60:0;30:0;32:0;33:0;31:0;34:0;63:0;56:85;51:67;52:154;57:92</t>
  </si>
  <si>
    <t>60:0;30:0;32:0;33:25;31:25;34:0;63:0;56:75;51:40;52:85;57:90</t>
  </si>
  <si>
    <t>60:10;30:0;32:25;33:75;31:75;34:20;63:0;56:75;51:40;52:85;57:90</t>
  </si>
  <si>
    <t>60:0;30:0;32:0;33:50;31:50;34:0;63:0;56:75;51:40;52:85;57:90</t>
  </si>
  <si>
    <t>60:10;30:0;32:33;33:100;31:75;34:20;63:0;56:75;51:40;52:85;57:90</t>
  </si>
  <si>
    <t>60:0;30:0;32:0;33:0;31:0;34:70;63:0;56:107;51:31;52:86;57:139</t>
  </si>
  <si>
    <t>60:0;30:0;32:0;33:0;31:0;34:70;63:0;56:70;51:70;52:110;57:135</t>
  </si>
  <si>
    <t>60:50;30:0;32:0;33:33;31:130;34:70;63:0;56:70;51:70;52:110;57:135</t>
  </si>
  <si>
    <t>60:0;30:0;32:0;33:0;31:0;34:80;63:0;56:107;51:34;52:96;57:138</t>
  </si>
  <si>
    <t>60:0;30:0;32:0;33:0;31:0;34:80;63:0;56:70;51:70;52:120;57:135</t>
  </si>
  <si>
    <t>60:50;30:0;32:0;33:33;31:150;34:80;63:0;56:70;51:70;52:120;57:135</t>
  </si>
  <si>
    <t>60:0;30:0;32:0;33:0;31:0;34:90;63:0;56:107;51:35;52:92;57:139</t>
  </si>
  <si>
    <t>60:0;30:0;32:0;33:0;31:0;34:90;63:0;56:70;51:75;52:115;57:135</t>
  </si>
  <si>
    <t>60:50;30:0;32:0;33:33;31:170;34:90;63:0;56:70;51:70;52:115;57:135</t>
  </si>
  <si>
    <t>60:20;30:0;32:50;33:0;31:0;34:70;63:0;56:160;51:43;52:99;57:138</t>
  </si>
  <si>
    <t>60:20;30:0;32:50;33:0;31:0;34:100;63:0;56:105;51:70;52:110;57:135</t>
  </si>
  <si>
    <t>60:50;30:0;32:50;33:33;31:50;34:100;63:0;56:105;51:70;52:110;57:135</t>
  </si>
  <si>
    <t>60:0;30:50;32:0;33:0;31:0;34:70;63:0;56:107;51:35;52:89;57:138</t>
  </si>
  <si>
    <t>60:0;30:50;32:0;33:0;31:0;34:100;63:0;56:70;51:70;52:110;57:135</t>
  </si>
  <si>
    <t>60:50;30:50;32:0;33:33;31:50;34:100;63:0;56:70;51:70;52:110;57:135</t>
  </si>
  <si>
    <t>60:0;30:0;32:0;33:0;31:0;34:0;63:0;56:84;51:51;52:151;57:94</t>
  </si>
  <si>
    <t>60:0;30:0;32:0;33:0;31:0;34:0;63:0;56:145;51:55;52:110;57:120</t>
  </si>
  <si>
    <t>60:50;30:0;32:0;33:100;31:0;34:0;63:0;56:145;51:55;52:110;57:120</t>
  </si>
  <si>
    <t>60:0;30:0;32:0;33:0;31:0;34:0;63:0;56:84;51:55;52:155;57:94</t>
  </si>
  <si>
    <t>60:50;30:0;32:0;33:105;31:0;34:0;63:0;56:145;51:55;52:110;57:120</t>
  </si>
  <si>
    <t>60:0;30:0;32:0;33:0;31:0;34:0;63:0;56:84;51:55;52:155;57:92</t>
  </si>
  <si>
    <t>60:50;30:0;32:0;33:110;31:0;34:0;63:0;56:145;51:55;52:110;57:120</t>
  </si>
  <si>
    <t>60:0;30:0;32:0;33:0;31:0;34:0;63:0;56:85;51:51;52:122;57:94</t>
  </si>
  <si>
    <t>60:0;30:0;32:0;33:0;31:0;34:0;63:0;56:95;51:50;52:95;57:90</t>
  </si>
  <si>
    <t>60:0;30:0;32:0;33:33;31:0;34:115;63:0;56:95;51:50;52:95;57:90</t>
  </si>
  <si>
    <t>60:0;30:0;32:0;33:0;31:0;34:0;63:0;56:84;51:47;52:147;57:93</t>
  </si>
  <si>
    <t>60:50;30:0;32:0;33:115;31:0;34:0;63:0;56:145;51:55;52:110;57:120</t>
  </si>
  <si>
    <t>60:0;30:0;32:0;33:0;31:0;34:0;63:0;56:85;51:51;52:151;57:92</t>
  </si>
  <si>
    <t>60:50;30:0;32:0;33:120;31:0;34:0;63:0;56:145;51:55;52:110;57:120</t>
  </si>
  <si>
    <t>60:0;30:0;32:0;33:0;31:50;34:0;63:0;56:80;51:30;52:75;57:65</t>
  </si>
  <si>
    <t>60:33;30:0;32:25;33:50;31:100;34:33;63:0;56:80;51:30;52:75;57:65</t>
  </si>
  <si>
    <t>60:33;30:0;32:25;33:100;31:75;34:33;63:0;56:80;51:30;52:75;57:65</t>
  </si>
  <si>
    <t>60:0;30:0;32:0;33:0;31:0;34:0;63:0;56:85;51:93;52:151;57:94</t>
  </si>
  <si>
    <t>60:0;30:0;32:0;33:0;31:0;34:0;63:0;56:135;51:70;52:105;57:100</t>
  </si>
  <si>
    <t>60:50;30:0;32:115;33:0;31:0;34:60;63:0;56:135;51:70;52:105;57:100</t>
  </si>
  <si>
    <t>60:0;30:0;32:0;33:0;31:0;34:0;63:0;56:85;51:94;52:147;57:92</t>
  </si>
  <si>
    <t>60:50;30:0;32:120;33:0;31:0;34:65;63:0;56:135;51:70;52:105;57:100</t>
  </si>
  <si>
    <t>60:0;30:0;32:0;33:33;31:0;34:105;63:0;56:95;51:50;52:95;57:90</t>
  </si>
  <si>
    <t>60:0;30:0;32:0;33:0;31:0;34:0;63:0;56:85;51:54;52:121;57:92</t>
  </si>
  <si>
    <t>60:0;30:0;32:0;33:33;31:0;34:110;63:0;56:95;51:50;52:95;57:90</t>
  </si>
  <si>
    <t>60:0;30:0;32:0;33:0;31:0;34:0;63:0;56:51;51:76;52:126;57:89</t>
  </si>
  <si>
    <t>60:0;30:0;32:0;33:0;31:0;34:0;63:0;56:60;51:75;52:130;57:85</t>
  </si>
  <si>
    <t>60:50;30:0;32:0;33:0;31:100;34:0;63:0;56:60;51:75;52:130;57:85</t>
  </si>
  <si>
    <t>60:50;30:0;32:0;33:110;31:0;34:0;63:0;56:60;51:75;52:130;57:85</t>
  </si>
  <si>
    <t>60:50;30:0;32:100;33:0;31:0;34:0;63:0;56:60;51:75;52:130;57:85</t>
  </si>
  <si>
    <t>60:0;30:0;32:0;33:0;31:0;34:0;63:0;56:51;51:81;52:141;57:93</t>
  </si>
  <si>
    <t>60:0;30:0;32:0;33:0;31:0;34:0;63:0;56:60;51:70;52:125;57:85</t>
  </si>
  <si>
    <t>60:50;30:0;32:110;33:0;31:0;34:0;63:0;56:60;51:70;52:125;57:85</t>
  </si>
  <si>
    <t>60:50;30:0;32:0;33:110;31:0;34:0;63:0;56:60;51:70;52:125;57:85</t>
  </si>
  <si>
    <t>60:0;30:0;32:0;33:0;31:0;34:0;63:0;56:51;51:81;52:161;57:94</t>
  </si>
  <si>
    <t>60:0;30:0;32:0;33:0;31:0;34:0;63:0;56:60;51:65;52:120;57:85</t>
  </si>
  <si>
    <t>60:50;30:0;32:100;33:0;31:0;34:0;63:0;56:60;51:65;52:120;57:85</t>
  </si>
  <si>
    <t>60:20;30:75;32:0;33:0;31:0;34:75;63:0;56:80;51:60;52:140;57:105</t>
  </si>
  <si>
    <t>60:0;30:0;32:50;33:50;31:50;34:0;63:18;56:85;51:0;52:0;57:0</t>
  </si>
  <si>
    <t>60:0;30:0;32:90;33:100;31:90;34:0;63:0;56:0;51:1;52:2;57:100</t>
  </si>
  <si>
    <t>怪物id</t>
  </si>
  <si>
    <t>Gold</t>
  </si>
  <si>
    <t>Jewelry A</t>
  </si>
  <si>
    <t>Jewelry B</t>
  </si>
  <si>
    <t>Jewelry C</t>
  </si>
  <si>
    <t>Chipped Gem</t>
  </si>
  <si>
    <t>Flawed Gem</t>
  </si>
  <si>
    <t>Normal Gem</t>
  </si>
  <si>
    <t>Flawless Gem</t>
  </si>
  <si>
    <t>Perfect Gem</t>
  </si>
  <si>
    <t>Ammo</t>
  </si>
  <si>
    <t>Misc 0</t>
  </si>
  <si>
    <t>Misc 1</t>
  </si>
  <si>
    <t>Misc 2</t>
  </si>
  <si>
    <t>Hpotion 1</t>
  </si>
  <si>
    <t>Hpotion 2</t>
  </si>
  <si>
    <t>Hpotion 3</t>
  </si>
  <si>
    <t>Hpotion 4</t>
  </si>
  <si>
    <t>Hpotion 5</t>
  </si>
  <si>
    <t>Hpotion 6</t>
  </si>
  <si>
    <t>Potion 1</t>
  </si>
  <si>
    <t>Potion 2</t>
  </si>
  <si>
    <t>Potion 3</t>
  </si>
  <si>
    <t>Potion 4</t>
  </si>
  <si>
    <t>Potion 5</t>
  </si>
  <si>
    <t>Potion 6</t>
  </si>
  <si>
    <t>Runes 1</t>
  </si>
  <si>
    <t>Runes 2</t>
  </si>
  <si>
    <t>Runes 3</t>
  </si>
  <si>
    <t>Runes 4</t>
  </si>
  <si>
    <t>Runes 5</t>
  </si>
  <si>
    <t>Runes 6</t>
  </si>
  <si>
    <t>Runes 7</t>
  </si>
  <si>
    <t>Runes 8</t>
  </si>
  <si>
    <t>Runes 9</t>
  </si>
  <si>
    <t>Runes 10</t>
  </si>
  <si>
    <t>Runes 11</t>
  </si>
  <si>
    <t>Runes 12</t>
  </si>
  <si>
    <t>Runes 13</t>
  </si>
  <si>
    <t>Runes 14</t>
  </si>
  <si>
    <t>Runes 15</t>
  </si>
  <si>
    <t>Runes 16</t>
  </si>
  <si>
    <t>Runes 17</t>
  </si>
  <si>
    <t>Act 1 Junk</t>
  </si>
  <si>
    <t>Act 2 Junk</t>
  </si>
  <si>
    <t>Act 3 Junk</t>
  </si>
  <si>
    <t>Act 4 Junk</t>
  </si>
  <si>
    <t>Act 5 Junk</t>
  </si>
  <si>
    <t>Act 1 (N) Junk</t>
  </si>
  <si>
    <t>Act 2 (N) Junk</t>
  </si>
  <si>
    <t>Act 3 (N) Junk</t>
  </si>
  <si>
    <t>Act 4 (N) Junk</t>
  </si>
  <si>
    <t>Act 5 (N) Junk</t>
  </si>
  <si>
    <t>Act 1 (H) Junk</t>
  </si>
  <si>
    <t>Act 2 (H) Junk</t>
  </si>
  <si>
    <t>Act 3 (H) Junk</t>
  </si>
  <si>
    <t>Act 4 (H) Junk</t>
  </si>
  <si>
    <t>Act 5 (H) Junk</t>
  </si>
  <si>
    <t>Act 1 Equip A</t>
  </si>
  <si>
    <t>Act 1 Equip B</t>
  </si>
  <si>
    <t>Act 1 Equip C</t>
  </si>
  <si>
    <t>Act 2 Equip A</t>
  </si>
  <si>
    <t>Act 2 Equip B</t>
  </si>
  <si>
    <t>Act 2 Equip C</t>
  </si>
  <si>
    <t>Act 3 Equip A</t>
  </si>
  <si>
    <t>Act 3 Equip B</t>
  </si>
  <si>
    <t>Act 3 Equip C</t>
  </si>
  <si>
    <t>Act 4 Equip A</t>
  </si>
  <si>
    <t>Act 4 Equip B</t>
  </si>
  <si>
    <t>Act 5 Equip A</t>
  </si>
  <si>
    <t>Act 5 Equip B</t>
  </si>
  <si>
    <t>Act 5 Equip C</t>
  </si>
  <si>
    <t>Act 1 (N) Equip A</t>
  </si>
  <si>
    <t>Act 1 (N) Equip B</t>
  </si>
  <si>
    <t>Act 1 (N) Equip C</t>
  </si>
  <si>
    <t>Act 2 (N) Equip A</t>
  </si>
  <si>
    <t>Act 2 (N) Equip B</t>
  </si>
  <si>
    <t>Act 2 (N) Equip C</t>
  </si>
  <si>
    <t>Act 3 (N) Equip A</t>
  </si>
  <si>
    <t>Act 3 (N) Equip B</t>
  </si>
  <si>
    <t>Act 3 (N) Equip C</t>
  </si>
  <si>
    <t>Act 4 (N) Equip A</t>
  </si>
  <si>
    <t>Act 4 (N) Equip B</t>
  </si>
  <si>
    <t>Act 4 (N) Equip C</t>
  </si>
  <si>
    <t>Act 5 (N) Equip A</t>
  </si>
  <si>
    <t>Act 5 (N) Equip B</t>
  </si>
  <si>
    <t>Act 5 (N) Equip C</t>
  </si>
  <si>
    <t>Act 1 (H) Equip A</t>
  </si>
  <si>
    <t>Act 1 (H) Equip B</t>
  </si>
  <si>
    <t>Act 1 (H) Equip C</t>
  </si>
  <si>
    <t>Act 2 (H) Equip A</t>
  </si>
  <si>
    <t>Act 2 (H) Equip B</t>
  </si>
  <si>
    <t>Act 2 (H) Equip C</t>
  </si>
  <si>
    <t>Act 3 (H) Equip A</t>
  </si>
  <si>
    <t>Act 3 (H) Equip B</t>
  </si>
  <si>
    <t>Act 3 (H) Equip C</t>
  </si>
  <si>
    <t>Act 4 (H) Equip A</t>
  </si>
  <si>
    <t>Act 4 (H) Equip B</t>
  </si>
  <si>
    <t>Act 4 (H) Equip C</t>
  </si>
  <si>
    <t>Act 5 (H) Equip A</t>
  </si>
  <si>
    <t>Act 5 (H) Equip B</t>
  </si>
  <si>
    <t>Act 5 (H) Equip C</t>
  </si>
  <si>
    <t>Act 1 Melee A</t>
  </si>
  <si>
    <t>Act 1 Melee B</t>
  </si>
  <si>
    <t>Act 1 Melee C</t>
  </si>
  <si>
    <t>Act 2 Melee A</t>
  </si>
  <si>
    <t>Act 2 Melee B</t>
  </si>
  <si>
    <t>Act 2 Melee C</t>
  </si>
  <si>
    <t>Act 3 Melee A</t>
  </si>
  <si>
    <t>Act 3 Melee B</t>
  </si>
  <si>
    <t>Act 3 Melee C</t>
  </si>
  <si>
    <t>Act 4 Melee A</t>
  </si>
  <si>
    <t>Act 4 Melee B</t>
  </si>
  <si>
    <t>Act 5 Melee A</t>
  </si>
  <si>
    <t>Act 5 Melee B</t>
  </si>
  <si>
    <t>Act 5 Melee C</t>
  </si>
  <si>
    <t>Act 1 (N) Melee A</t>
  </si>
  <si>
    <t>Act 1 (N) Melee B</t>
  </si>
  <si>
    <t>Act 2 (N) Melee A</t>
  </si>
  <si>
    <t>Act 2 (N) Melee B</t>
  </si>
  <si>
    <t>Act 3 (N) Melee A</t>
  </si>
  <si>
    <t>Act 3 (N) Melee B</t>
  </si>
  <si>
    <t>Act 4 (N) Melee A</t>
  </si>
  <si>
    <t>Act 4 (N) Melee B</t>
  </si>
  <si>
    <t>Act 5 (N) Melee A</t>
  </si>
  <si>
    <t>Act 5 (N) Melee B</t>
  </si>
  <si>
    <t>Act 5 (N) Melee C</t>
  </si>
  <si>
    <t>Act 1 (H) Melee A</t>
  </si>
  <si>
    <t>Act 1 (H) Melee B</t>
  </si>
  <si>
    <t>Act 2 (H) Melee A</t>
  </si>
  <si>
    <t>Act 2 (H) Melee B</t>
  </si>
  <si>
    <t>Act 3 (H) Melee A</t>
  </si>
  <si>
    <t>Act 3 (H) Melee B</t>
  </si>
  <si>
    <t>Act 4 (H) Melee A</t>
  </si>
  <si>
    <t>Act 4 (H) Melee B</t>
  </si>
  <si>
    <t>Act 5 (H) Melee A</t>
  </si>
  <si>
    <t>Act 5 (H) Melee B</t>
  </si>
  <si>
    <t>Act 5 (H) Melee C</t>
  </si>
  <si>
    <t>Act 1 Bow A</t>
  </si>
  <si>
    <t>Act 1 Bow B</t>
  </si>
  <si>
    <t>Act 1 Bow C</t>
  </si>
  <si>
    <t>Act 2 Bow A</t>
  </si>
  <si>
    <t>Act 2 Bow B</t>
  </si>
  <si>
    <t>Act 2 Bow C</t>
  </si>
  <si>
    <t>Act 3 Bow A</t>
  </si>
  <si>
    <t>Act 3 Bow B</t>
  </si>
  <si>
    <t>Act 3 Bow C</t>
  </si>
  <si>
    <t>Act 4 Bow A</t>
  </si>
  <si>
    <t>Act 4 Bow B</t>
  </si>
  <si>
    <t>Act 5 Bow A</t>
  </si>
  <si>
    <t>Act 5 Bow B</t>
  </si>
  <si>
    <t>Act 5 Bow C</t>
  </si>
  <si>
    <t>Act 1 (N) Bow A</t>
  </si>
  <si>
    <t>Act 1 (N) Bow B</t>
  </si>
  <si>
    <t>Act 2 (N) Bow A</t>
  </si>
  <si>
    <t>Act 2 (N) Bow B</t>
  </si>
  <si>
    <t>Act 3 (N) Bow A</t>
  </si>
  <si>
    <t>Act 3 (N) Bow B</t>
  </si>
  <si>
    <t>Act 4 (N) Bow A</t>
  </si>
  <si>
    <t>Act 4 (N) Bow B</t>
  </si>
  <si>
    <t>Act 5 (N) Bow A</t>
  </si>
  <si>
    <t>Act 5 (N) Bow B</t>
  </si>
  <si>
    <t>Act 5 (N) Bow C</t>
  </si>
  <si>
    <t>Act 1 (H) Bow A</t>
  </si>
  <si>
    <t>Act 1 (H) Bow B</t>
  </si>
  <si>
    <t>Act 2 (H) Bow A</t>
  </si>
  <si>
    <t>Act 2 (H) Bow B</t>
  </si>
  <si>
    <t>Act 3 (H) Bow A</t>
  </si>
  <si>
    <t>Act 3 (H) Bow B</t>
  </si>
  <si>
    <t>Act 4 (H) Bow A</t>
  </si>
  <si>
    <t>Act 4 (H) Bow B</t>
  </si>
  <si>
    <t>Act 5 (H) Bow A</t>
  </si>
  <si>
    <t>Act 5 (H) Bow B</t>
  </si>
  <si>
    <t>Act 5 (H) Bow C</t>
  </si>
  <si>
    <t>Act 1 Magic A</t>
  </si>
  <si>
    <t>Act 1 Magic B</t>
  </si>
  <si>
    <t>Act 1 Magic C</t>
  </si>
  <si>
    <t>Act 2 Magic A</t>
  </si>
  <si>
    <t>Act 2 Magic B</t>
  </si>
  <si>
    <t>Act 2 Magic C</t>
  </si>
  <si>
    <t>Act 3 Magic A</t>
  </si>
  <si>
    <t>Act 3 Magic B</t>
  </si>
  <si>
    <t>Act 3 Magic C</t>
  </si>
  <si>
    <t>Act 4 Magic A</t>
  </si>
  <si>
    <t>Act 4 Magic B</t>
  </si>
  <si>
    <t>Act 5 Magic A</t>
  </si>
  <si>
    <t>Act 5 Magic B</t>
  </si>
  <si>
    <t>Act 5 Magic C</t>
  </si>
  <si>
    <t>Act 1 (N) Magic A</t>
  </si>
  <si>
    <t>Act 1 (N) Magic B</t>
  </si>
  <si>
    <t>Act 2 (N) Magic A</t>
  </si>
  <si>
    <t>Act 2 (N) Magic B</t>
  </si>
  <si>
    <t>Act 3 (N) Magic A</t>
  </si>
  <si>
    <t>Act 3 (N) Magic B</t>
  </si>
  <si>
    <t>Act 4 (N) Magic A</t>
  </si>
  <si>
    <t>Act 4 (N) Magic B</t>
  </si>
  <si>
    <t>Act 5 (N) Magic A</t>
  </si>
  <si>
    <t>Act 5 (N) Magic B</t>
  </si>
  <si>
    <t>Act 5 (N) Magic C</t>
  </si>
  <si>
    <t>Act 1 (H) Magic A</t>
  </si>
  <si>
    <t>Act 1 (H) Magic B</t>
  </si>
  <si>
    <t>Act 2 (H) Magic A</t>
  </si>
  <si>
    <t>Act 2 (H) Magic B</t>
  </si>
  <si>
    <t>Act 3 (H) Magic A</t>
  </si>
  <si>
    <t>Act 3 (H) Magic B</t>
  </si>
  <si>
    <t>Act 4 (H) Magic A</t>
  </si>
  <si>
    <t>Act 4 (H) Magic B</t>
  </si>
  <si>
    <t>Act 5 (H) Magic A</t>
  </si>
  <si>
    <t>Act 5 (H) Magic B</t>
  </si>
  <si>
    <t>Act 5 (H) Magic C</t>
  </si>
  <si>
    <t>Act 1 Good</t>
  </si>
  <si>
    <t>Act 2 Good</t>
  </si>
  <si>
    <t>Act 3 Good</t>
  </si>
  <si>
    <t>Act 4 Good</t>
  </si>
  <si>
    <t>Act 5 Good</t>
  </si>
  <si>
    <t>Act 1 (N) Good</t>
  </si>
  <si>
    <t>Act 2 (N) Good</t>
  </si>
  <si>
    <t>Act 3 (N) Good</t>
  </si>
  <si>
    <t>Act 4 (N) Good</t>
  </si>
  <si>
    <t>Act 5 (N) Good</t>
  </si>
  <si>
    <t>Act 1 (H) Good</t>
  </si>
  <si>
    <t>Act 2 (H) Good</t>
  </si>
  <si>
    <t>Act 3 (H) Good</t>
  </si>
  <si>
    <t>Act 4 (H) Good</t>
  </si>
  <si>
    <t>Act 5 (H) Good</t>
  </si>
  <si>
    <t>Act 1 Chest A</t>
  </si>
  <si>
    <t>Act 1 Chest B</t>
  </si>
  <si>
    <t>Act 1 Chest C</t>
  </si>
  <si>
    <t>Act 2 Chest A</t>
  </si>
  <si>
    <t>Act 2 Chest B</t>
  </si>
  <si>
    <t>Act 2 Chest C</t>
  </si>
  <si>
    <t>Act 3 Chest A</t>
  </si>
  <si>
    <t>Act 3 Chest B</t>
  </si>
  <si>
    <t>Act 3 Chest C</t>
  </si>
  <si>
    <t>Act 4 Chest A</t>
  </si>
  <si>
    <t>Act 4 Chest B</t>
  </si>
  <si>
    <t>Act 4 Chest C</t>
  </si>
  <si>
    <t>Act 5 Chest A</t>
  </si>
  <si>
    <t>Act 5 Chest B</t>
  </si>
  <si>
    <t>Act 5 Chest C</t>
  </si>
  <si>
    <t>Act 1 (N) Chest A</t>
  </si>
  <si>
    <t>Act 1 (N) Chest B</t>
  </si>
  <si>
    <t>Act 1 (N) Chest C</t>
  </si>
  <si>
    <t>Act 2 (N) Chest A</t>
  </si>
  <si>
    <t>Act 2 (N) Chest B</t>
  </si>
  <si>
    <t>Act 2 (N) Chest C</t>
  </si>
  <si>
    <t>Act 3 (N) Chest A</t>
  </si>
  <si>
    <t>Act 3 (N) Chest B</t>
  </si>
  <si>
    <t>Act 3 (N) Chest C</t>
  </si>
  <si>
    <t>Act 4 (N) Chest A</t>
  </si>
  <si>
    <t>Act 4 (N) Chest B</t>
  </si>
  <si>
    <t>Act 4 (N) Chest C</t>
  </si>
  <si>
    <t>Act 5 (N) Chest A</t>
  </si>
  <si>
    <t>Act 5 (N) Chest B</t>
  </si>
  <si>
    <t>Act 5 (N) Chest C</t>
  </si>
  <si>
    <t>Act 1 (H) Chest A</t>
  </si>
  <si>
    <t>Act 1 (H) Chest B</t>
  </si>
  <si>
    <t>Act 1 (H) Chest C</t>
  </si>
  <si>
    <t>Act 2 (H) Chest A</t>
  </si>
  <si>
    <t>Act 2 (H) Chest B</t>
  </si>
  <si>
    <t>Act 2 (H) Chest C</t>
  </si>
  <si>
    <t>Act 3 (H) Chest A</t>
  </si>
  <si>
    <t>Act 3 (H) Chest B</t>
  </si>
  <si>
    <t>Act 3 (H) Chest C</t>
  </si>
  <si>
    <t>Act 4 (H) Chest A</t>
  </si>
  <si>
    <t>Act 4 (H) Chest B</t>
  </si>
  <si>
    <t>Act 4 (H) Chest C</t>
  </si>
  <si>
    <t>Act 5 (H) Chest A</t>
  </si>
  <si>
    <t>Act 5 (H) Chest B</t>
  </si>
  <si>
    <t>Act 5 (H) Chest C</t>
  </si>
  <si>
    <t>Act 1 H2H A</t>
  </si>
  <si>
    <t>Act 1 H2H B</t>
  </si>
  <si>
    <t>Act 1 H2H C</t>
  </si>
  <si>
    <t>Act 2 H2H A</t>
  </si>
  <si>
    <t>Act 2 H2H B</t>
  </si>
  <si>
    <t>Act 2 H2H C</t>
  </si>
  <si>
    <t>Act 3 H2H A</t>
  </si>
  <si>
    <t>Act 3 H2H B</t>
  </si>
  <si>
    <t>Act 3 H2H C</t>
  </si>
  <si>
    <t>Act 4 H2H A</t>
  </si>
  <si>
    <t>Act 4 H2H B</t>
  </si>
  <si>
    <t>Act 5 H2H A</t>
  </si>
  <si>
    <t>Act 5 H2H B</t>
  </si>
  <si>
    <t>Act 5 H2H C</t>
  </si>
  <si>
    <t>Act 1 (N) H2H A</t>
  </si>
  <si>
    <t>Act 1 (N) H2H B</t>
  </si>
  <si>
    <t>Act 1 (N) H2H C</t>
  </si>
  <si>
    <t>Act 2 (N) H2H A</t>
  </si>
  <si>
    <t>Act 2 (N) H2H B</t>
  </si>
  <si>
    <t>Act 2 (N) H2H C</t>
  </si>
  <si>
    <t>Act 3 (N) H2H A</t>
  </si>
  <si>
    <t>Act 3 (N) H2H B</t>
  </si>
  <si>
    <t>Act 3 (N) H2H C</t>
  </si>
  <si>
    <t>Act 4 (N) H2H A</t>
  </si>
  <si>
    <t>Act 4 (N) H2H B</t>
  </si>
  <si>
    <t>Act 5 (N) H2H A</t>
  </si>
  <si>
    <t>Act 5 (N) H2H B</t>
  </si>
  <si>
    <t>Act 5 (N) H2H C</t>
  </si>
  <si>
    <t>Act 1 (H) H2H A</t>
  </si>
  <si>
    <t>Act 1 (H) H2H B</t>
  </si>
  <si>
    <t>Act 1 (H) H2H C</t>
  </si>
  <si>
    <t>Act 2 (H) H2H A</t>
  </si>
  <si>
    <t>Act 2 (H) H2H B</t>
  </si>
  <si>
    <t>Act 2 (H) H2H C</t>
  </si>
  <si>
    <t>Act 3 (H) H2H A</t>
  </si>
  <si>
    <t>Act 3 (H) H2H B</t>
  </si>
  <si>
    <t>Act 3 (H) H2H C</t>
  </si>
  <si>
    <t>Act 4 (H) H2H A</t>
  </si>
  <si>
    <t>Act 4 (H) H2H B</t>
  </si>
  <si>
    <t>Act 5 (H) H2H A</t>
  </si>
  <si>
    <t>Act 5 (H) H2H B</t>
  </si>
  <si>
    <t>Act 5 (H) H2H C</t>
  </si>
  <si>
    <t>Act 1 Cast A</t>
  </si>
  <si>
    <t>Act 1 Cast B</t>
  </si>
  <si>
    <t>Act 1 Cast C</t>
  </si>
  <si>
    <t>Act 2 Cast A</t>
  </si>
  <si>
    <t>Act 2 Cast B</t>
  </si>
  <si>
    <t>Act 2 Cast C</t>
  </si>
  <si>
    <t>Act 3 Cast A</t>
  </si>
  <si>
    <t>Act 3 Cast B</t>
  </si>
  <si>
    <t>Act 3 Cast C</t>
  </si>
  <si>
    <t>Act 4 Cast A</t>
  </si>
  <si>
    <t>Act 4 Cast B</t>
  </si>
  <si>
    <t>Act 5 Cast A</t>
  </si>
  <si>
    <t>Act 5 Cast B</t>
  </si>
  <si>
    <t>Act 5 Cast C</t>
  </si>
  <si>
    <t>Act 1 (N) Cast A</t>
  </si>
  <si>
    <t>Act 1 (N) Cast B</t>
  </si>
  <si>
    <t>Act 1 (N) Cast C</t>
  </si>
  <si>
    <t>Act 2 (N) Cast A</t>
  </si>
  <si>
    <t>Act 2 (N) Cast B</t>
  </si>
  <si>
    <t>Act 2 (N) Cast C</t>
  </si>
  <si>
    <t>Act 3 (N) Cast A</t>
  </si>
  <si>
    <t>Act 3 (N) Cast B</t>
  </si>
  <si>
    <t>Act 3 (N) Cast C</t>
  </si>
  <si>
    <t>Act 4 (N) Cast A</t>
  </si>
  <si>
    <t>Act 4 (N) Cast B</t>
  </si>
  <si>
    <t>Act 5 (N) Cast A</t>
  </si>
  <si>
    <t>Act 5 (N) Cast B</t>
  </si>
  <si>
    <t>Act 5 (N) Cast C</t>
  </si>
  <si>
    <t>Act 1 (H) Cast A</t>
  </si>
  <si>
    <t>Act 1 (H) Cast B</t>
  </si>
  <si>
    <t>Act 1 (H) Cast C</t>
  </si>
  <si>
    <t>Act 2 (H) Cast A</t>
  </si>
  <si>
    <t>Act 2 (H) Cast B</t>
  </si>
  <si>
    <t>Act 2 (H) Cast C</t>
  </si>
  <si>
    <t>Act 3 (H) Cast A</t>
  </si>
  <si>
    <t>Act 3 (H) Cast B</t>
  </si>
  <si>
    <t>Act 3 (H) Cast C</t>
  </si>
  <si>
    <t>Act 4 (H) Cast A</t>
  </si>
  <si>
    <t>Act 4 (H) Cast B</t>
  </si>
  <si>
    <t>Act 5 (H) Cast A</t>
  </si>
  <si>
    <t>Act 5 (H) Cast B</t>
  </si>
  <si>
    <t>Act 5 (H) Cast C</t>
  </si>
  <si>
    <t>Act 1 Miss A</t>
  </si>
  <si>
    <t>Act 1 Miss B</t>
  </si>
  <si>
    <t>Act 1 Miss C</t>
  </si>
  <si>
    <t>Act 2 Miss A</t>
  </si>
  <si>
    <t>Act 2 Miss B</t>
  </si>
  <si>
    <t>Act 2 Miss C</t>
  </si>
  <si>
    <t>Act 3 Miss A</t>
  </si>
  <si>
    <t>Act 3 Miss B</t>
  </si>
  <si>
    <t>Act 3 Miss C</t>
  </si>
  <si>
    <t>Act 4 Miss A</t>
  </si>
  <si>
    <t>Act 4 Miss B</t>
  </si>
  <si>
    <t>Act 5 Miss A</t>
  </si>
  <si>
    <t>Act 5 Miss B</t>
  </si>
  <si>
    <t>Act 5 Miss C</t>
  </si>
  <si>
    <t>Act 1 (N) Miss A</t>
  </si>
  <si>
    <t>Act 1 (N) Miss B</t>
  </si>
  <si>
    <t>Act 1 (N) Miss C</t>
  </si>
  <si>
    <t>Act 2 (N) Miss A</t>
  </si>
  <si>
    <t>Act 2 (N) Miss B</t>
  </si>
  <si>
    <t>Act 2 (N) Miss C</t>
  </si>
  <si>
    <t>Act 3 (N) Miss A</t>
  </si>
  <si>
    <t>Act 3 (N) Miss B</t>
  </si>
  <si>
    <t>Act 3 (N) Miss C</t>
  </si>
  <si>
    <t>Act 4 (N) Miss A</t>
  </si>
  <si>
    <t>Act 4 (N) Miss B</t>
  </si>
  <si>
    <t>Act 5 (N) Miss A</t>
  </si>
  <si>
    <t>Act 5 (N) Miss B</t>
  </si>
  <si>
    <t>Act 5 (N) Miss C</t>
  </si>
  <si>
    <t>Act 1 (H) Miss A</t>
  </si>
  <si>
    <t>Act 1 (H) Miss B</t>
  </si>
  <si>
    <t>Act 1 (H) Miss C</t>
  </si>
  <si>
    <t>Act 2 (H) Miss A</t>
  </si>
  <si>
    <t>Act 2 (H) Miss B</t>
  </si>
  <si>
    <t>Act 2 (H) Miss C</t>
  </si>
  <si>
    <t>Act 3 (H) Miss A</t>
  </si>
  <si>
    <t>Act 3 (H) Miss B</t>
  </si>
  <si>
    <t>Act 3 (H) Miss C</t>
  </si>
  <si>
    <t>Act 4 (H) Miss A</t>
  </si>
  <si>
    <t>Act 4 (H) Miss B</t>
  </si>
  <si>
    <t>Act 5 (H) Miss A</t>
  </si>
  <si>
    <t>Act 5 (H) Miss B</t>
  </si>
  <si>
    <t>Act 5 (H) Miss C</t>
  </si>
  <si>
    <t>Act 1 Wraith A</t>
  </si>
  <si>
    <t>Act 1 Wraith B</t>
  </si>
  <si>
    <t>Act 1 Wraith C</t>
  </si>
  <si>
    <t>Act 2 Wraith A</t>
  </si>
  <si>
    <t>Act 2 Wraith B</t>
  </si>
  <si>
    <t>Act 2 Wraith C</t>
  </si>
  <si>
    <t>Act 3 Wraith A</t>
  </si>
  <si>
    <t>Act 3 Wraith B</t>
  </si>
  <si>
    <t>Act 3 Wraith C</t>
  </si>
  <si>
    <t>Act 4 Wraith A</t>
  </si>
  <si>
    <t>Act 4 Wraith B</t>
  </si>
  <si>
    <t>Act 5 Wraith A</t>
  </si>
  <si>
    <t>Act 5 Wraith B</t>
  </si>
  <si>
    <t>Act 5 Wraith C</t>
  </si>
  <si>
    <t>Act 1 (N) Wraith A</t>
  </si>
  <si>
    <t>Act 1 (N) Wraith B</t>
  </si>
  <si>
    <t>Act 1 (N) Wraith C</t>
  </si>
  <si>
    <t>Act 2 (N) Wraith A</t>
  </si>
  <si>
    <t>Act 2 (N) Wraith B</t>
  </si>
  <si>
    <t>Act 2 (N) Wraith C</t>
  </si>
  <si>
    <t>Act 3 (N) Wraith A</t>
  </si>
  <si>
    <t>Act 3 (N) Wraith B</t>
  </si>
  <si>
    <t>Act 3 (N) Wraith C</t>
  </si>
  <si>
    <t>Act 4 (N) Wraith A</t>
  </si>
  <si>
    <t>Act 4 (N) Wraith B</t>
  </si>
  <si>
    <t>Act 5 (N) Wraith A</t>
  </si>
  <si>
    <t>Act 5 (N) Wraith B</t>
  </si>
  <si>
    <t>Act 5 (N) Wraith C</t>
  </si>
  <si>
    <t>Act 1 (H) Wraith A</t>
  </si>
  <si>
    <t>Act 1 (H) Wraith B</t>
  </si>
  <si>
    <t>Act 1 (H) Wraith C</t>
  </si>
  <si>
    <t>Act 2 (H) Wraith A</t>
  </si>
  <si>
    <t>Act 2 (H) Wraith B</t>
  </si>
  <si>
    <t>Act 2 (H) Wraith C</t>
  </si>
  <si>
    <t>Act 3 (H) Wraith A</t>
  </si>
  <si>
    <t>Act 3 (H) Wraith B</t>
  </si>
  <si>
    <t>Act 3 (H) Wraith C</t>
  </si>
  <si>
    <t>Act 4 (H) Wraith A</t>
  </si>
  <si>
    <t>Act 4 (H) Wraith B</t>
  </si>
  <si>
    <t>Act 5 (H) Wraith A</t>
  </si>
  <si>
    <t>Act 5 (H) Wraith B</t>
  </si>
  <si>
    <t>Act 5 (H) Wraith C</t>
  </si>
  <si>
    <t>Act 1 Citem A</t>
  </si>
  <si>
    <t>Act 1 Citem B</t>
  </si>
  <si>
    <t>Act 1 Citem C</t>
  </si>
  <si>
    <t>Act 2 Citem A</t>
  </si>
  <si>
    <t>Act 2 Citem B</t>
  </si>
  <si>
    <t>Act 2 Citem C</t>
  </si>
  <si>
    <t>Act 3 Citem A</t>
  </si>
  <si>
    <t>Act 3 Citem B</t>
  </si>
  <si>
    <t>Act 3 Citem C</t>
  </si>
  <si>
    <t>Act 4 Citem A</t>
  </si>
  <si>
    <t>Act 4 Citem B</t>
  </si>
  <si>
    <t>Act 5 Citem A</t>
  </si>
  <si>
    <t>Act 5 Citem B</t>
  </si>
  <si>
    <t>Act 5 Citem C</t>
  </si>
  <si>
    <t>Act 1 (N) Citem A</t>
  </si>
  <si>
    <t>Act 1 (N) Citem B</t>
  </si>
  <si>
    <t>Act 1 (N) Citem C</t>
  </si>
  <si>
    <t>Act 2 (N) Citem A</t>
  </si>
  <si>
    <t>Act 2 (N) Citem B</t>
  </si>
  <si>
    <t>Act 2 (N) Citem C</t>
  </si>
  <si>
    <t>Act 3 (N) Citem A</t>
  </si>
  <si>
    <t>Act 3 (N) Citem B</t>
  </si>
  <si>
    <t>Act 3 (N) Citem C</t>
  </si>
  <si>
    <t>Act 4 (N) Citem A</t>
  </si>
  <si>
    <t>Act 4 (N) Citem B</t>
  </si>
  <si>
    <t>Act 5 (N) Citem A</t>
  </si>
  <si>
    <t>Act 5 (N) Citem B</t>
  </si>
  <si>
    <t>Act 5 (N) Citem C</t>
  </si>
  <si>
    <t>Act 1 (H) Citem A</t>
  </si>
  <si>
    <t>Act 1 (H) Citem B</t>
  </si>
  <si>
    <t>Act 1 (H) Citem C</t>
  </si>
  <si>
    <t>Act 2 (H) Citem A</t>
  </si>
  <si>
    <t>Act 2 (H) Citem B</t>
  </si>
  <si>
    <t>Act 2 (H) Citem C</t>
  </si>
  <si>
    <t>Act 3 (H) Citem A</t>
  </si>
  <si>
    <t>Act 3 (H) Citem B</t>
  </si>
  <si>
    <t>Act 3 (H) Citem C</t>
  </si>
  <si>
    <t>Act 4 (H) Citem A</t>
  </si>
  <si>
    <t>Act 4 (H) Citem B</t>
  </si>
  <si>
    <t>Act 5 (H) Citem A</t>
  </si>
  <si>
    <t>Act 5 (H) Citem B</t>
  </si>
  <si>
    <t>Act 5 (H) Citem C</t>
  </si>
  <si>
    <t>Act 1 Cpot A</t>
  </si>
  <si>
    <t>Act 1 Cpot B</t>
  </si>
  <si>
    <t>Act 1 Cpot C</t>
  </si>
  <si>
    <t>Act 2 Cpot A</t>
  </si>
  <si>
    <t>Act 2 Cpot B</t>
  </si>
  <si>
    <t>Act 2 Cpot C</t>
  </si>
  <si>
    <t>Act 3 Cpot A</t>
  </si>
  <si>
    <t>Act 3 Cpot B</t>
  </si>
  <si>
    <t>Act 3 Cpot C</t>
  </si>
  <si>
    <t>Act 4 Cpot A</t>
  </si>
  <si>
    <t>Act 4 Cpot B</t>
  </si>
  <si>
    <t>Act 5 Cpot A</t>
  </si>
  <si>
    <t>Act 5 Cpot B</t>
  </si>
  <si>
    <t>Act 5 Cpot C</t>
  </si>
  <si>
    <t>Act 1 (N) Cpot A</t>
  </si>
  <si>
    <t>Act 1 (N) Cpot B</t>
  </si>
  <si>
    <t>Act 1 (N) Cpot C</t>
  </si>
  <si>
    <t>Act 2 (N) Cpot A</t>
  </si>
  <si>
    <t>Act 2 (N) Cpot B</t>
  </si>
  <si>
    <t>Act 2 (N) Cpot C</t>
  </si>
  <si>
    <t>Act 3 (N) Cpot A</t>
  </si>
  <si>
    <t>Act 3 (N) Cpot B</t>
  </si>
  <si>
    <t>Act 3 (N) Cpot C</t>
  </si>
  <si>
    <t>Act 4 (N) Cpot A</t>
  </si>
  <si>
    <t>Act 4 (N) Cpot B</t>
  </si>
  <si>
    <t>Act 5 (N) Cpot A</t>
  </si>
  <si>
    <t>Act 5 (N) Cpot B</t>
  </si>
  <si>
    <t>Act 5 (N) Cpot C</t>
  </si>
  <si>
    <t>Act 1 (H) Cpot A</t>
  </si>
  <si>
    <t>Act 1 (H) Cpot B</t>
  </si>
  <si>
    <t>Act 1 (H) Cpot C</t>
  </si>
  <si>
    <t>Act 2 (H) Cpot A</t>
  </si>
  <si>
    <t>Act 2 (H) Cpot B</t>
  </si>
  <si>
    <t>Act 2 (H) Cpot C</t>
  </si>
  <si>
    <t>Act 3 (H) Cpot A</t>
  </si>
  <si>
    <t>Act 3 (H) Cpot B</t>
  </si>
  <si>
    <t>Act 3 (H) Cpot C</t>
  </si>
  <si>
    <t>Act 4 (H) Cpot A</t>
  </si>
  <si>
    <t>Act 4 (H) Cpot B</t>
  </si>
  <si>
    <t>Act 5 (H) Cpot A</t>
  </si>
  <si>
    <t>Act 5 (H) Cpot B</t>
  </si>
  <si>
    <t>Act 5 (H) Cpot C</t>
  </si>
  <si>
    <t>Act 1 Champ A</t>
  </si>
  <si>
    <t>Act 1 Champ B</t>
  </si>
  <si>
    <t>Act 1 Champ C</t>
  </si>
  <si>
    <t>Act 2 Champ A</t>
  </si>
  <si>
    <t>Act 2 Champ B</t>
  </si>
  <si>
    <t>Act 2 Champ C</t>
  </si>
  <si>
    <t>Act 3 Champ A</t>
  </si>
  <si>
    <t>Act 3 Champ B</t>
  </si>
  <si>
    <t>Act 3 Champ C</t>
  </si>
  <si>
    <t>Act 4 Champ A</t>
  </si>
  <si>
    <t>Act 4 Champ B</t>
  </si>
  <si>
    <t>Act 5 Champ A</t>
  </si>
  <si>
    <t>Act 5 Champ B</t>
  </si>
  <si>
    <t>Act 5 Champ C</t>
  </si>
  <si>
    <t>Act 1 (N) Champ A</t>
  </si>
  <si>
    <t>Act 1 (N) Champ B</t>
  </si>
  <si>
    <t>Act 1 (N) Champ C</t>
  </si>
  <si>
    <t>Act 2 (N) Champ A</t>
  </si>
  <si>
    <t>Act 2 (N) Champ B</t>
  </si>
  <si>
    <t>Act 2 (N) Champ C</t>
  </si>
  <si>
    <t>Act 3 (N) Champ A</t>
  </si>
  <si>
    <t>Act 3 (N) Champ B</t>
  </si>
  <si>
    <t>Act 3 (N) Champ C</t>
  </si>
  <si>
    <t>Act 4 (N) Champ A</t>
  </si>
  <si>
    <t>Act 4 (N) Champ B</t>
  </si>
  <si>
    <t>Act 4 (N) Champ C</t>
  </si>
  <si>
    <t>Act 5 (N) Champ A</t>
  </si>
  <si>
    <t>Act 5 (N) Champ B</t>
  </si>
  <si>
    <t>Act 5 (N) Champ C</t>
  </si>
  <si>
    <t>Act 1 (H) Champ A</t>
  </si>
  <si>
    <t>Act 1 (H) Champ B</t>
  </si>
  <si>
    <t>Act 1 (H) Champ C</t>
  </si>
  <si>
    <t>Act 2 (H) Champ A</t>
  </si>
  <si>
    <t>Act 2 (H) Champ B</t>
  </si>
  <si>
    <t>Act 2 (H) Champ C</t>
  </si>
  <si>
    <t>Act 3 (H) Champ A</t>
  </si>
  <si>
    <t>Act 3 (H) Champ B</t>
  </si>
  <si>
    <t>Act 3 (H) Champ C</t>
  </si>
  <si>
    <t>Act 4 (H) Champ A</t>
  </si>
  <si>
    <t>Act 4 (H) Champ B</t>
  </si>
  <si>
    <t>Act 5 (H) Champ A</t>
  </si>
  <si>
    <t>Act 5 (H) Champ B</t>
  </si>
  <si>
    <t>Act 5 (H) Champ C</t>
  </si>
  <si>
    <t>Act 1 Uitem A</t>
  </si>
  <si>
    <t>Act 1 Uitem B</t>
  </si>
  <si>
    <t>Act 1 Uitem C</t>
  </si>
  <si>
    <t>Act 2 Uitem A</t>
  </si>
  <si>
    <t>Act 2 Uitem B</t>
  </si>
  <si>
    <t>Act 2 Uitem C</t>
  </si>
  <si>
    <t>Act 3 Uitem A</t>
  </si>
  <si>
    <t>Act 3 Uitem B</t>
  </si>
  <si>
    <t>Act 3 Uitem C</t>
  </si>
  <si>
    <t>Act 4 Uitem A</t>
  </si>
  <si>
    <t>Act 4 Uitem B</t>
  </si>
  <si>
    <t>Act 5 Uitem A</t>
  </si>
  <si>
    <t>Act 5 Uitem B</t>
  </si>
  <si>
    <t>Act 5 Uitem C</t>
  </si>
  <si>
    <t>Act 1 (N) Uitem A</t>
  </si>
  <si>
    <t>Act 1 (N) Uitem B</t>
  </si>
  <si>
    <t>Act 1 (N) Uitem C</t>
  </si>
  <si>
    <t>Act 2 (N) Uitem A</t>
  </si>
  <si>
    <t>Act 2 (N) Uitem B</t>
  </si>
  <si>
    <t>Act 2 (N) Uitem C</t>
  </si>
  <si>
    <t>Act 3 (N) Uitem A</t>
  </si>
  <si>
    <t>Act 3 (N) Uitem B</t>
  </si>
  <si>
    <t>Act 3 (N) Uitem C</t>
  </si>
  <si>
    <t>Act 4 (N) Uitem A</t>
  </si>
  <si>
    <t>Act 4 (N) Uitem B</t>
  </si>
  <si>
    <t>Act 5 (N) Uitem A</t>
  </si>
  <si>
    <t>Act 5 (N) Uitem B</t>
  </si>
  <si>
    <t>Act 5 (N) Uitem C</t>
  </si>
  <si>
    <t>Act 1 (H) Uitem A</t>
  </si>
  <si>
    <t>Act 1 (H) Uitem B</t>
  </si>
  <si>
    <t>Act 1 (H) Uitem C</t>
  </si>
  <si>
    <t>Act 2 (H) Uitem A</t>
  </si>
  <si>
    <t>Act 2 (H) Uitem B</t>
  </si>
  <si>
    <t>Act 2 (H) Uitem C</t>
  </si>
  <si>
    <t>Act 3 (H) Uitem A</t>
  </si>
  <si>
    <t>Act 3 (H) Uitem B</t>
  </si>
  <si>
    <t>Act 3 (H) Uitem C</t>
  </si>
  <si>
    <t>Act 4 (H) Uitem A</t>
  </si>
  <si>
    <t>Act 4 (H) Uitem B</t>
  </si>
  <si>
    <t>Act 5 (H) Uitem A</t>
  </si>
  <si>
    <t>Act 5 (H) Uitem B</t>
  </si>
  <si>
    <t>Act 5 (H) Uitem C</t>
  </si>
  <si>
    <t>Act 1 Unique A</t>
  </si>
  <si>
    <t>Act 1 Unique B</t>
  </si>
  <si>
    <t>Act 1 Unique C</t>
  </si>
  <si>
    <t>Act 2 Unique A</t>
  </si>
  <si>
    <t>Act 2 Unique B</t>
  </si>
  <si>
    <t>Act 2 Unique C</t>
  </si>
  <si>
    <t>Act 3 Unique A</t>
  </si>
  <si>
    <t>Act 3 Unique B</t>
  </si>
  <si>
    <t>Act 3 Unique C</t>
  </si>
  <si>
    <t>Act 4 Unique A</t>
  </si>
  <si>
    <t>Act 4 Unique B</t>
  </si>
  <si>
    <t>Act 5 Unique A</t>
  </si>
  <si>
    <t>Act 5 Unique B</t>
  </si>
  <si>
    <t>Act 5 Unique C</t>
  </si>
  <si>
    <t>Act 1 (N) Unique A</t>
  </si>
  <si>
    <t>Act 1 (N) Unique B</t>
  </si>
  <si>
    <t>Act 1 (N) Unique C</t>
  </si>
  <si>
    <t>Act 2 (N) Unique A</t>
  </si>
  <si>
    <t>Act 2 (N) Unique B</t>
  </si>
  <si>
    <t>Act 2 (N) Unique C</t>
  </si>
  <si>
    <t>Act 3 (N) Unique A</t>
  </si>
  <si>
    <t>Act 3 (N) Unique B</t>
  </si>
  <si>
    <t>Act 3 (N) Unique C</t>
  </si>
  <si>
    <t>Act 4 (N) Unique A</t>
  </si>
  <si>
    <t>Act 4 (N) Unique B</t>
  </si>
  <si>
    <t>Act 5 (N) Unique A</t>
  </si>
  <si>
    <t>Act 5 (N) Unique B</t>
  </si>
  <si>
    <t>Act 5 (N) Unique C</t>
  </si>
  <si>
    <t>Act 1 (H) Unique A</t>
  </si>
  <si>
    <t>Act 1 (H) Unique B</t>
  </si>
  <si>
    <t>Act 1 (H) Unique C</t>
  </si>
  <si>
    <t>Act 2 (H) Unique A</t>
  </si>
  <si>
    <t>Act 2 (H) Unique B</t>
  </si>
  <si>
    <t>Act 2 (H) Unique C</t>
  </si>
  <si>
    <t>Act 3 (H) Unique A</t>
  </si>
  <si>
    <t>Act 3 (H) Unique B</t>
  </si>
  <si>
    <t>Act 3 (H) Unique C</t>
  </si>
  <si>
    <t>Act 4 (H) Unique A</t>
  </si>
  <si>
    <t>Act 4 (H) Unique B</t>
  </si>
  <si>
    <t>Act 5 (H) Unique A</t>
  </si>
  <si>
    <t>Act 5 (H) Unique B</t>
  </si>
  <si>
    <t>Act 5 (H) Unique C</t>
  </si>
  <si>
    <t>Quill 1</t>
  </si>
  <si>
    <t>Quill 2</t>
  </si>
  <si>
    <t>Quill 3</t>
  </si>
  <si>
    <t>Quill 4</t>
  </si>
  <si>
    <t>Quill 5</t>
  </si>
  <si>
    <t>Quill 1 (N)</t>
  </si>
  <si>
    <t>Quill 2 (N)</t>
  </si>
  <si>
    <t>Quill 3 (N)</t>
  </si>
  <si>
    <t>Quill 4 (N)</t>
  </si>
  <si>
    <t>Quill 5 (N)</t>
  </si>
  <si>
    <t>Quill 1 (H)</t>
  </si>
  <si>
    <t>Quill 2 (H)</t>
  </si>
  <si>
    <t>Quill 3 (H)</t>
  </si>
  <si>
    <t>Quill 4 (H)</t>
  </si>
  <si>
    <t>Quill 5 (H)</t>
  </si>
  <si>
    <t>Swarm 1</t>
  </si>
  <si>
    <t>Swarm 2</t>
  </si>
  <si>
    <t>Swarm 1 (N)</t>
  </si>
  <si>
    <t>Swarm 2 (N)</t>
  </si>
  <si>
    <t>Swarm 1 (H)</t>
  </si>
  <si>
    <t>Swarm 2 (H)</t>
  </si>
  <si>
    <t>Andariel</t>
  </si>
  <si>
    <t>Andariel (N)</t>
  </si>
  <si>
    <t>Andariel (H)</t>
  </si>
  <si>
    <t>Andarielq</t>
  </si>
  <si>
    <t>Andarielq (N)</t>
  </si>
  <si>
    <t>Andarielq (H)</t>
  </si>
  <si>
    <t>Duriel - Base</t>
  </si>
  <si>
    <t>Duriel (N) - Base</t>
  </si>
  <si>
    <t>Duriel (H) - Base</t>
  </si>
  <si>
    <t>Durielq - Base</t>
  </si>
  <si>
    <t>Durielq (N) - Base</t>
  </si>
  <si>
    <t>Durielq (H) - Base</t>
  </si>
  <si>
    <t>Radament</t>
  </si>
  <si>
    <t>Radament (N)</t>
  </si>
  <si>
    <t>Radament (H)</t>
  </si>
  <si>
    <t>Flying Scimitar</t>
  </si>
  <si>
    <t>Flying Scimitar (N)</t>
  </si>
  <si>
    <t>Flying Scimitar (H)</t>
  </si>
  <si>
    <t>Mephisto</t>
  </si>
  <si>
    <t>Mephisto (N)</t>
  </si>
  <si>
    <t>Mephisto (H)</t>
  </si>
  <si>
    <t>Mephistoq</t>
  </si>
  <si>
    <t>Mephistoq (N)</t>
  </si>
  <si>
    <t>Mephistoq (H)</t>
  </si>
  <si>
    <t>Diablo</t>
  </si>
  <si>
    <t>Diablo (N)</t>
  </si>
  <si>
    <t>Diablo (H)</t>
  </si>
  <si>
    <t>Diabloq</t>
  </si>
  <si>
    <t>Diabloq (N)</t>
  </si>
  <si>
    <t>Diabloq (H)</t>
  </si>
  <si>
    <t>Summoner</t>
  </si>
  <si>
    <t>Summoner (N)</t>
  </si>
  <si>
    <t>Summoner (H)</t>
  </si>
  <si>
    <t>Council</t>
  </si>
  <si>
    <t>Council (N)</t>
  </si>
  <si>
    <t>Council (H)</t>
  </si>
  <si>
    <t>Griswold</t>
  </si>
  <si>
    <t>Griswold (N)</t>
  </si>
  <si>
    <t>Griswold (H)</t>
  </si>
  <si>
    <t>Cow</t>
  </si>
  <si>
    <t>Cow (N)</t>
  </si>
  <si>
    <t>Cow (H)</t>
  </si>
  <si>
    <t>Trapped Soul</t>
  </si>
  <si>
    <t>Trapped Soul (N)</t>
  </si>
  <si>
    <t>Trapped Soul (H)</t>
  </si>
  <si>
    <t>Haphesto</t>
  </si>
  <si>
    <t>Haphesto (N)</t>
  </si>
  <si>
    <t>Haphesto (H)</t>
  </si>
  <si>
    <t>Nihlathak</t>
  </si>
  <si>
    <t>Nihlathak (N)</t>
  </si>
  <si>
    <t>Nihlathak (H)</t>
  </si>
  <si>
    <t>Baal</t>
  </si>
  <si>
    <t>Baal (N)</t>
  </si>
  <si>
    <t>Baal (H)</t>
  </si>
  <si>
    <t>Baalq</t>
  </si>
  <si>
    <t>Baalq (N)</t>
  </si>
  <si>
    <t>Baalq (H)</t>
  </si>
  <si>
    <t>Blood Raven</t>
  </si>
  <si>
    <t>Blood Raven (N)</t>
  </si>
  <si>
    <t>Blood Raven (H)</t>
  </si>
  <si>
    <t>Smith</t>
  </si>
  <si>
    <t>Smith (N)</t>
  </si>
  <si>
    <t>Smith (H)</t>
  </si>
  <si>
    <t>Izual</t>
  </si>
  <si>
    <t>Izual (N)</t>
  </si>
  <si>
    <t>Izual (H)</t>
  </si>
  <si>
    <t>Act 1 Super A</t>
  </si>
  <si>
    <t>Act 1 Super B</t>
  </si>
  <si>
    <t>Act 1 Super C</t>
  </si>
  <si>
    <t>Act 2 Super A</t>
  </si>
  <si>
    <t>Act 2 Super B</t>
  </si>
  <si>
    <t>Act 2 Super C</t>
  </si>
  <si>
    <t>Act 3 Super A</t>
  </si>
  <si>
    <t>Act 3 Super B</t>
  </si>
  <si>
    <t>Act 3 Super C</t>
  </si>
  <si>
    <t>Act 4 Super A</t>
  </si>
  <si>
    <t>Act 4 Super B</t>
  </si>
  <si>
    <t>Act 4 Super C</t>
  </si>
  <si>
    <t>Act 5 Super A</t>
  </si>
  <si>
    <t>Act 5 Super B</t>
  </si>
  <si>
    <t>Act 5 Super C</t>
  </si>
  <si>
    <t>Act 1 (N) Super A</t>
  </si>
  <si>
    <t>Act 1 (N) Super B</t>
  </si>
  <si>
    <t>Act 1 (N) Super C</t>
  </si>
  <si>
    <t>Act 2 (N) Super A</t>
  </si>
  <si>
    <t>Act 2 (N) Super B</t>
  </si>
  <si>
    <t>Act 2 (N) Super C</t>
  </si>
  <si>
    <t>Act 3 (N) Super A</t>
  </si>
  <si>
    <t>Act 3 (N) Super B</t>
  </si>
  <si>
    <t>Act 3 (N) Super C</t>
  </si>
  <si>
    <t>Act 4 (N) Super A</t>
  </si>
  <si>
    <t>Act 4 (N) Super B</t>
  </si>
  <si>
    <t>Act 4 (N) Super C</t>
  </si>
  <si>
    <t>Act 5 (N) Super A</t>
  </si>
  <si>
    <t>Act 5 (N) Super B</t>
  </si>
  <si>
    <t>Act 5 (N) Super C</t>
  </si>
  <si>
    <t>Act 1 (H) Super A</t>
  </si>
  <si>
    <t>Act 1 (H) Super B</t>
  </si>
  <si>
    <t>Act 1 (H) Super C</t>
  </si>
  <si>
    <t>Act 2 (H) Super A</t>
  </si>
  <si>
    <t>Act 2 (H) Super B</t>
  </si>
  <si>
    <t>Act 2 (H) Super C</t>
  </si>
  <si>
    <t>Act 3 (H) Super A</t>
  </si>
  <si>
    <t>Act 3 (H) Super B</t>
  </si>
  <si>
    <t>Act 3 (H) Super C</t>
  </si>
  <si>
    <t>Act 4 (H) Super A</t>
  </si>
  <si>
    <t>Act 4 (H) Super B</t>
  </si>
  <si>
    <t>Act 4 (H) Super C</t>
  </si>
  <si>
    <t>Act 5 (H) Super A</t>
  </si>
  <si>
    <t>Act 5 (H) Super B</t>
  </si>
  <si>
    <t>Act 5 (H) Super C</t>
  </si>
  <si>
    <t>Act 1 Super Ax</t>
  </si>
  <si>
    <t>Act 1 Super Bx</t>
  </si>
  <si>
    <t>Act 1 Super Cx</t>
  </si>
  <si>
    <t>Act 2 Super Ax</t>
  </si>
  <si>
    <t>Act 2 Super Bx</t>
  </si>
  <si>
    <t>Act 2 Super Cx</t>
  </si>
  <si>
    <t>Act 3 Super Ax</t>
  </si>
  <si>
    <t>Act 3 Super Bx</t>
  </si>
  <si>
    <t>Act 3 Super Cx</t>
  </si>
  <si>
    <t>Act 4 Super Ax</t>
  </si>
  <si>
    <t>Act 4 Super Bx</t>
  </si>
  <si>
    <t>Act 4 Super Cx</t>
  </si>
  <si>
    <t>Act 5 Super Ax</t>
  </si>
  <si>
    <t>Act 5 Super Bx</t>
  </si>
  <si>
    <t>Act 5 Super Cx</t>
  </si>
  <si>
    <t>Act 1 (N) Super Ax</t>
  </si>
  <si>
    <t>Act 1 (N) Super Bx</t>
  </si>
  <si>
    <t>Act 1 (N) Super Cx</t>
  </si>
  <si>
    <t>Act 2 (N) Super Ax</t>
  </si>
  <si>
    <t>Act 2 (N) Super Bx</t>
  </si>
  <si>
    <t>60:0</t>
  </si>
  <si>
    <t>30:0</t>
  </si>
  <si>
    <t>32:80</t>
  </si>
  <si>
    <t>33:20</t>
  </si>
  <si>
    <t>31:20</t>
  </si>
  <si>
    <t>34:40</t>
  </si>
  <si>
    <t>63:24</t>
  </si>
  <si>
    <t>56:107</t>
  </si>
  <si>
    <t>51:69</t>
  </si>
  <si>
    <t>52:151</t>
  </si>
  <si>
    <t>Act 2 (N) Super Cx</t>
  </si>
  <si>
    <t>Act 3 (N) Super Ax</t>
  </si>
  <si>
    <t>60</t>
  </si>
  <si>
    <t>Act 3 (N) Super Bx</t>
  </si>
  <si>
    <t>30</t>
  </si>
  <si>
    <t>Act 3 (N) Super Cx</t>
  </si>
  <si>
    <t>Act 4 (N) Super Ax</t>
  </si>
  <si>
    <t>33</t>
  </si>
  <si>
    <t>Act 4 (N) Super Bx</t>
  </si>
  <si>
    <t>Act 4 (N) Super Cx</t>
  </si>
  <si>
    <t>34</t>
  </si>
  <si>
    <t>Act 5 (N) Super Ax</t>
  </si>
  <si>
    <t>63</t>
  </si>
  <si>
    <t>Act 5 (N) Super Bx</t>
  </si>
  <si>
    <t>56</t>
  </si>
  <si>
    <t>Act 5 (N) Super Cx</t>
  </si>
  <si>
    <t>51</t>
  </si>
  <si>
    <t>Act 1 (H) Super Ax</t>
  </si>
  <si>
    <t>52</t>
  </si>
  <si>
    <t>Act 1 (H) Super Bx</t>
  </si>
  <si>
    <t>57</t>
  </si>
  <si>
    <t>Act 1 (H) Super Cx</t>
  </si>
  <si>
    <t>Act 2 (H) Super Ax</t>
  </si>
  <si>
    <t>Act 2 (H) Super Bx</t>
  </si>
  <si>
    <t>Act 2 (H) Super Cx</t>
  </si>
  <si>
    <t>Act 3 (H) Super Ax</t>
  </si>
  <si>
    <t>strength</t>
  </si>
  <si>
    <t>Act 3 (H) Super Bx</t>
  </si>
  <si>
    <t>energy</t>
  </si>
  <si>
    <t>Act 3 (H) Super Cx</t>
  </si>
  <si>
    <t>3</t>
  </si>
  <si>
    <t>dexterity</t>
  </si>
  <si>
    <t>Act 4 (H) Super Ax</t>
  </si>
  <si>
    <t>4</t>
  </si>
  <si>
    <t>vitality</t>
  </si>
  <si>
    <t>Act 4 (H) Super Bx</t>
  </si>
  <si>
    <t>statpts</t>
  </si>
  <si>
    <t>Act 4 (H) Super Cx</t>
  </si>
  <si>
    <t>newskills</t>
  </si>
  <si>
    <t>Act 5 (H) Super Ax</t>
  </si>
  <si>
    <t>281</t>
  </si>
  <si>
    <t>hitpoints</t>
  </si>
  <si>
    <t>Act 5 (H) Super Bx</t>
  </si>
  <si>
    <t>280</t>
  </si>
  <si>
    <t>maxhp</t>
  </si>
  <si>
    <t>Act 5 (H) Super Cx</t>
  </si>
  <si>
    <t>283</t>
  </si>
  <si>
    <t>mana</t>
  </si>
  <si>
    <t>Cow King</t>
  </si>
  <si>
    <t>282</t>
  </si>
  <si>
    <t>maxmana</t>
  </si>
  <si>
    <t>Cow King (N)</t>
  </si>
  <si>
    <t>285</t>
  </si>
  <si>
    <t>stamina</t>
  </si>
  <si>
    <t>Cow King (H)</t>
  </si>
  <si>
    <t>284</t>
  </si>
  <si>
    <t>maxstamina</t>
  </si>
  <si>
    <t>Duriel</t>
  </si>
  <si>
    <t>level</t>
  </si>
  <si>
    <t>Duriel (N)</t>
  </si>
  <si>
    <t>experience</t>
  </si>
  <si>
    <t>Duriel (H)</t>
  </si>
  <si>
    <t>gold</t>
  </si>
  <si>
    <t>Durielq</t>
  </si>
  <si>
    <t>goldbank</t>
  </si>
  <si>
    <t>Durielq (N)</t>
  </si>
  <si>
    <t>61</t>
  </si>
  <si>
    <t>item_armor_percent</t>
  </si>
  <si>
    <t>Durielq (H)</t>
  </si>
  <si>
    <t>item_maxdamage_percent</t>
  </si>
  <si>
    <t>ROP</t>
  </si>
  <si>
    <t>item_mindamage_percent</t>
  </si>
  <si>
    <t>ROP (N)</t>
  </si>
  <si>
    <t>tohit</t>
  </si>
  <si>
    <t>ROP (H)</t>
  </si>
  <si>
    <t>toblock</t>
  </si>
  <si>
    <t>Countess Rune</t>
  </si>
  <si>
    <t>mindamage</t>
  </si>
  <si>
    <t>Countess Rune (N)</t>
  </si>
  <si>
    <t>maxdamage</t>
  </si>
  <si>
    <t>Countess Rune (H)</t>
  </si>
  <si>
    <t>secondary_mindamage</t>
  </si>
  <si>
    <t>Countess Item</t>
  </si>
  <si>
    <t>secondary_maxdamage</t>
  </si>
  <si>
    <t>Countess Item (N)</t>
  </si>
  <si>
    <t>damagepercent</t>
  </si>
  <si>
    <t>Countess Item (H)</t>
  </si>
  <si>
    <t>manarecovery</t>
  </si>
  <si>
    <t>Countess</t>
  </si>
  <si>
    <t>54</t>
  </si>
  <si>
    <t>manarecoverybonus</t>
  </si>
  <si>
    <t>Countess (N)</t>
  </si>
  <si>
    <t>staminarecoverybonus</t>
  </si>
  <si>
    <t>Countess (H)</t>
  </si>
  <si>
    <t>lastexp</t>
  </si>
  <si>
    <t>Uber Andariel</t>
  </si>
  <si>
    <t>nextexp</t>
  </si>
  <si>
    <t>Uber Duriel</t>
  </si>
  <si>
    <t>armorclass</t>
  </si>
  <si>
    <t>Uber Izual</t>
  </si>
  <si>
    <t>armorclass_vs_missile</t>
  </si>
  <si>
    <t>Pandemonium Key A</t>
  </si>
  <si>
    <t>armorclass_vs_hth</t>
  </si>
  <si>
    <t>Pandemonium Key B</t>
  </si>
  <si>
    <t>58</t>
  </si>
  <si>
    <t>normal_damage_reduction</t>
  </si>
  <si>
    <t>Pandemonium Key C</t>
  </si>
  <si>
    <t>59</t>
  </si>
  <si>
    <t>magic_damage_reduction</t>
  </si>
  <si>
    <t>damageresist</t>
  </si>
  <si>
    <t>magicresist</t>
  </si>
  <si>
    <t>maxmagicresist</t>
  </si>
  <si>
    <t>fireresist</t>
  </si>
  <si>
    <t>37</t>
  </si>
  <si>
    <t>maxfireresist</t>
  </si>
  <si>
    <t>lightresist</t>
  </si>
  <si>
    <t>38</t>
  </si>
  <si>
    <t>maxlightresist</t>
  </si>
  <si>
    <t>coldresist</t>
  </si>
  <si>
    <t>36</t>
  </si>
  <si>
    <t>maxcoldresist</t>
  </si>
  <si>
    <t>poisonresist</t>
  </si>
  <si>
    <t>39</t>
  </si>
  <si>
    <t>maxpoisonresist</t>
  </si>
  <si>
    <t>damageaura</t>
  </si>
  <si>
    <t>12</t>
  </si>
  <si>
    <t>firemindam</t>
  </si>
  <si>
    <t>17</t>
  </si>
  <si>
    <t>firemaxdam</t>
  </si>
  <si>
    <t>lightmindam</t>
  </si>
  <si>
    <t>lightmaxdam</t>
  </si>
  <si>
    <t>magicmindam</t>
  </si>
  <si>
    <t>magicmaxdam</t>
  </si>
  <si>
    <t>11</t>
  </si>
  <si>
    <t>coldmindam</t>
  </si>
  <si>
    <t>16</t>
  </si>
  <si>
    <t>coldmaxdam</t>
  </si>
  <si>
    <t>coldlength</t>
  </si>
  <si>
    <t>14</t>
  </si>
  <si>
    <t>poisonmindam</t>
  </si>
  <si>
    <t>poisonmaxdam</t>
  </si>
  <si>
    <t>71</t>
  </si>
  <si>
    <t>poisonlength</t>
  </si>
  <si>
    <t>81</t>
  </si>
  <si>
    <t>lifedrainmindam</t>
  </si>
  <si>
    <t>lifedrainmaxdam</t>
  </si>
  <si>
    <t>83</t>
  </si>
  <si>
    <t>manadrainmindam</t>
  </si>
  <si>
    <t>manadrainmaxdam</t>
  </si>
  <si>
    <t>stamdrainmindam</t>
  </si>
  <si>
    <t>stamdrainmaxdam</t>
  </si>
  <si>
    <t>stunlength</t>
  </si>
  <si>
    <t>64</t>
  </si>
  <si>
    <t>velocitypercent</t>
  </si>
  <si>
    <t>89</t>
  </si>
  <si>
    <t>attackrate</t>
  </si>
  <si>
    <t>other_animrate</t>
  </si>
  <si>
    <t>quantity</t>
  </si>
  <si>
    <t>value</t>
  </si>
  <si>
    <t>durability</t>
  </si>
  <si>
    <t>maxdurability</t>
  </si>
  <si>
    <t>53</t>
  </si>
  <si>
    <t>hpregen</t>
  </si>
  <si>
    <t>item_maxdurability_percent</t>
  </si>
  <si>
    <t>86</t>
  </si>
  <si>
    <t>item_maxhp_percent</t>
  </si>
  <si>
    <t>item_maxmana_percent</t>
  </si>
  <si>
    <t>item_attackertakesdamage</t>
  </si>
  <si>
    <t>item_goldbonus</t>
  </si>
  <si>
    <t>item_magicbonus</t>
  </si>
  <si>
    <t>item_knockback</t>
  </si>
  <si>
    <t>item_timeduration</t>
  </si>
  <si>
    <t>item_addclassskills</t>
  </si>
  <si>
    <t>unsentparam1</t>
  </si>
  <si>
    <t>item_addexperience</t>
  </si>
  <si>
    <t>item_healafterkill</t>
  </si>
  <si>
    <t>item_reducedprices</t>
  </si>
  <si>
    <t>item_doubleherbduration</t>
  </si>
  <si>
    <t>66</t>
  </si>
  <si>
    <t>item_lightradius</t>
  </si>
  <si>
    <t>item_lightcolor</t>
  </si>
  <si>
    <t>item_req_percent</t>
  </si>
  <si>
    <t>item_levelreq</t>
  </si>
  <si>
    <t>88</t>
  </si>
  <si>
    <t>item_fasterattackrate</t>
  </si>
  <si>
    <t>item_levelreqpct</t>
  </si>
  <si>
    <t>lastblockframe</t>
  </si>
  <si>
    <t>item_fastermovevelocity</t>
  </si>
  <si>
    <t>item_nonclassskill</t>
  </si>
  <si>
    <t>state</t>
  </si>
  <si>
    <t>84</t>
  </si>
  <si>
    <t>item_fastergethitrate</t>
  </si>
  <si>
    <t>monster_playercount</t>
  </si>
  <si>
    <t>skill_poison_override_length</t>
  </si>
  <si>
    <t>85</t>
  </si>
  <si>
    <t>item_fasterblockrate</t>
  </si>
  <si>
    <t>skill_bypass_undead</t>
  </si>
  <si>
    <t>skill_bypass_demons</t>
  </si>
  <si>
    <t>87</t>
  </si>
  <si>
    <t>item_fastercastrate</t>
  </si>
  <si>
    <t>skill_bypass_beasts</t>
  </si>
  <si>
    <t>item_singleskill</t>
  </si>
  <si>
    <t>item_restinpeace</t>
  </si>
  <si>
    <t>curse_resistance</t>
  </si>
  <si>
    <t>73</t>
  </si>
  <si>
    <t>item_poisonlengthresist</t>
  </si>
  <si>
    <t>item_normaldamage</t>
  </si>
  <si>
    <t>item_howl</t>
  </si>
  <si>
    <t>item_stupidity</t>
  </si>
  <si>
    <t>item_damagetomana</t>
  </si>
  <si>
    <t>item_ignoretargetac</t>
  </si>
  <si>
    <t>item_fractionaltargetac</t>
  </si>
  <si>
    <t>item_preventheal</t>
  </si>
  <si>
    <t>74</t>
  </si>
  <si>
    <t>item_halffreezeduration</t>
  </si>
  <si>
    <t>62</t>
  </si>
  <si>
    <t>item_tohit_percent</t>
  </si>
  <si>
    <t>item_damagetargetac</t>
  </si>
  <si>
    <t>item_demondamage_percent</t>
  </si>
  <si>
    <t>item_undeaddamage_percent</t>
  </si>
  <si>
    <t>item_demon_tohit</t>
  </si>
  <si>
    <t>item_undead_tohit</t>
  </si>
  <si>
    <t>item_throwable</t>
  </si>
  <si>
    <t>item_elemskill</t>
  </si>
  <si>
    <t>67</t>
  </si>
  <si>
    <t>item_allskills</t>
  </si>
  <si>
    <t>item_attackertakeslightdamage</t>
  </si>
  <si>
    <t>ironmaiden_level</t>
  </si>
  <si>
    <t>lifetap_level</t>
  </si>
  <si>
    <t>thorns_percent</t>
  </si>
  <si>
    <t>bonearmor</t>
  </si>
  <si>
    <t>bonearmormax</t>
  </si>
  <si>
    <t>72</t>
  </si>
  <si>
    <t>item_freeze</t>
  </si>
  <si>
    <t>80</t>
  </si>
  <si>
    <t>item_openwounds</t>
  </si>
  <si>
    <t>79</t>
  </si>
  <si>
    <t>item_crushingblow</t>
  </si>
  <si>
    <t>item_kickdamage</t>
  </si>
  <si>
    <t>item_manaafterkill</t>
  </si>
  <si>
    <t>item_healafterdemonkill</t>
  </si>
  <si>
    <t>item_extrablood</t>
  </si>
  <si>
    <t>55</t>
  </si>
  <si>
    <t>item_deadlystrike</t>
  </si>
  <si>
    <t>42</t>
  </si>
  <si>
    <t>item_absorbfire_percent</t>
  </si>
  <si>
    <t>47</t>
  </si>
  <si>
    <t>item_absorbfire</t>
  </si>
  <si>
    <t>43</t>
  </si>
  <si>
    <t>item_absorblight_percent</t>
  </si>
  <si>
    <t>48</t>
  </si>
  <si>
    <t>item_absorblight</t>
  </si>
  <si>
    <t>40</t>
  </si>
  <si>
    <t>item_absorbmagic_percent</t>
  </si>
  <si>
    <t>45</t>
  </si>
  <si>
    <t>item_absorbmagic</t>
  </si>
  <si>
    <t>41</t>
  </si>
  <si>
    <t>item_absorbcold_percent</t>
  </si>
  <si>
    <t>46</t>
  </si>
  <si>
    <t>item_absorbcold</t>
  </si>
  <si>
    <t>item_slow</t>
  </si>
  <si>
    <t>item_aura</t>
  </si>
  <si>
    <t>item_indesctructible</t>
  </si>
  <si>
    <t>75</t>
  </si>
  <si>
    <t>item_cannotbefrozen</t>
  </si>
  <si>
    <t>item_staminadrainpct</t>
  </si>
  <si>
    <t>item_reanimate</t>
  </si>
  <si>
    <t>item_pierce</t>
  </si>
  <si>
    <t>item_magicarrow</t>
  </si>
  <si>
    <t>item_explosivearrow</t>
  </si>
  <si>
    <t>item_throw_mindamage</t>
  </si>
  <si>
    <t>item_throw_maxdamage</t>
  </si>
  <si>
    <t>skill_handofathena</t>
  </si>
  <si>
    <t>skill_staminapercent</t>
  </si>
  <si>
    <t>skill_passive_staminapercent</t>
  </si>
  <si>
    <t>skill_concentration</t>
  </si>
  <si>
    <t>skill_enchant</t>
  </si>
  <si>
    <t>skill_pierce</t>
  </si>
  <si>
    <t>skill_conviction</t>
  </si>
  <si>
    <t>skill_chillingarmor</t>
  </si>
  <si>
    <t>skill_frenzy</t>
  </si>
  <si>
    <t>skill_decrepify</t>
  </si>
  <si>
    <t>skill_armor_percent</t>
  </si>
  <si>
    <t>alignment</t>
  </si>
  <si>
    <t>target0</t>
  </si>
  <si>
    <t>target1</t>
  </si>
  <si>
    <t>goldlost</t>
  </si>
  <si>
    <t>conversion_level</t>
  </si>
  <si>
    <t>conversion_maxhp</t>
  </si>
  <si>
    <t>unit_dooverlay</t>
  </si>
  <si>
    <t>attack_vs_montype</t>
  </si>
  <si>
    <t>damage_vs_montype</t>
  </si>
  <si>
    <t>fade</t>
  </si>
  <si>
    <t>armor_override_percent</t>
  </si>
  <si>
    <t>item_addskill_tab</t>
  </si>
  <si>
    <t>item_numsockets</t>
  </si>
  <si>
    <t>item_skillonattack</t>
  </si>
  <si>
    <t>item_skillonkill</t>
  </si>
  <si>
    <t>item_skillondeath</t>
  </si>
  <si>
    <t>item_skillonhit</t>
  </si>
  <si>
    <t>item_skillonlevelup</t>
  </si>
  <si>
    <t>item_skillongethit</t>
  </si>
  <si>
    <t>item_charged_skill</t>
  </si>
  <si>
    <t>passive_mastery_gethit_rate</t>
  </si>
  <si>
    <t>passive_mastery_attack_speed</t>
  </si>
  <si>
    <t>item_armor_perlevel</t>
  </si>
  <si>
    <t>item_armorpercent_perlevel</t>
  </si>
  <si>
    <t>item_hp_perlevel</t>
  </si>
  <si>
    <t>item_mana_perlevel</t>
  </si>
  <si>
    <t>item_maxdamage_perlevel</t>
  </si>
  <si>
    <t>item_maxdamage_percent_perlevel</t>
  </si>
  <si>
    <t>item_strength_perlevel</t>
  </si>
  <si>
    <t>item_dexterity_perlevel</t>
  </si>
  <si>
    <t>item_energy_perlevel</t>
  </si>
  <si>
    <t>item_vitality_perlevel</t>
  </si>
  <si>
    <t>item_tohit_perlevel</t>
  </si>
  <si>
    <t>item_tohitpercent_perlevel</t>
  </si>
  <si>
    <t>item_cold_damagemax_perlevel</t>
  </si>
  <si>
    <t>item_fire_damagemax_perlevel</t>
  </si>
  <si>
    <t>item_ltng_damagemax_perlevel</t>
  </si>
  <si>
    <t>item_pois_damagemax_perlevel</t>
  </si>
  <si>
    <t>item_resist_cold_perlevel</t>
  </si>
  <si>
    <t>item_resist_fire_perlevel</t>
  </si>
  <si>
    <t>item_resist_ltng_perlevel</t>
  </si>
  <si>
    <t>item_resist_pois_perlevel</t>
  </si>
  <si>
    <t>item_absorb_cold_perlevel</t>
  </si>
  <si>
    <t>item_absorb_fire_perlevel</t>
  </si>
  <si>
    <t>item_absorb_ltng_perlevel</t>
  </si>
  <si>
    <t>item_absorb_pois_perlevel</t>
  </si>
  <si>
    <t>item_thorns_perlevel</t>
  </si>
  <si>
    <t>item_find_gold_perlevel</t>
  </si>
  <si>
    <t>item_find_magic_perlevel</t>
  </si>
  <si>
    <t>item_regenstamina_perlevel</t>
  </si>
  <si>
    <t>item_stamina_perlevel</t>
  </si>
  <si>
    <t>item_damage_demon_perlevel</t>
  </si>
  <si>
    <t>item_damage_undead_perlevel</t>
  </si>
  <si>
    <t>item_tohit_demon_perlevel</t>
  </si>
  <si>
    <t>item_tohit_undead_perlevel</t>
  </si>
  <si>
    <t>item_crushingblow_perlevel</t>
  </si>
  <si>
    <t>item_openwounds_perlevel</t>
  </si>
  <si>
    <t>item_kick_damage_perlevel</t>
  </si>
  <si>
    <t>item_deadlystrike_perlevel</t>
  </si>
  <si>
    <t>item_find_gems_perlevel</t>
  </si>
  <si>
    <t>item_replenish_durability</t>
  </si>
  <si>
    <t>item_replenish_quantity</t>
  </si>
  <si>
    <t>item_extra_stack</t>
  </si>
  <si>
    <t>item_find_item</t>
  </si>
  <si>
    <t>item_slash_damage</t>
  </si>
  <si>
    <t>item_slash_damage_percent</t>
  </si>
  <si>
    <t>item_crush_damage</t>
  </si>
  <si>
    <t>item_crush_damage_percent</t>
  </si>
  <si>
    <t>item_thrust_damage</t>
  </si>
  <si>
    <t>item_thrust_damage_percent</t>
  </si>
  <si>
    <t>item_absorb_slash</t>
  </si>
  <si>
    <t>item_absorb_crush</t>
  </si>
  <si>
    <t>item_absorb_thrust</t>
  </si>
  <si>
    <t>item_absorb_slash_percent</t>
  </si>
  <si>
    <t>item_absorb_crush_percent</t>
  </si>
  <si>
    <t>item_absorb_thrust_percent</t>
  </si>
  <si>
    <t>item_armor_bytime</t>
  </si>
  <si>
    <t>item_armorpercent_bytime</t>
  </si>
  <si>
    <t>item_hp_bytime</t>
  </si>
  <si>
    <t>item_mana_bytime</t>
  </si>
  <si>
    <t>item_maxdamage_bytime</t>
  </si>
  <si>
    <t>item_maxdamage_percent_bytime</t>
  </si>
  <si>
    <t>item_strength_bytime</t>
  </si>
  <si>
    <t>item_dexterity_bytime</t>
  </si>
  <si>
    <t>item_energy_bytime</t>
  </si>
  <si>
    <t>item_vitality_bytime</t>
  </si>
  <si>
    <t>item_tohit_bytime</t>
  </si>
  <si>
    <t>item_tohitpercent_bytime</t>
  </si>
  <si>
    <t>item_cold_damagemax_bytime</t>
  </si>
  <si>
    <t>item_fire_damagemax_bytime</t>
  </si>
  <si>
    <t>item_ltng_damagemax_bytime</t>
  </si>
  <si>
    <t>item_pois_damagemax_bytime</t>
  </si>
  <si>
    <t>item_resist_cold_bytime</t>
  </si>
  <si>
    <t>item_resist_fire_bytime</t>
  </si>
  <si>
    <t>item_resist_ltng_bytime</t>
  </si>
  <si>
    <t>item_resist_pois_bytime</t>
  </si>
  <si>
    <t>item_absorb_cold_bytime</t>
  </si>
  <si>
    <t>item_absorb_fire_bytime</t>
  </si>
  <si>
    <t>item_absorb_ltng_bytime</t>
  </si>
  <si>
    <t>item_absorb_pois_bytime</t>
  </si>
  <si>
    <t>item_find_gold_bytime</t>
  </si>
  <si>
    <t>item_find_magic_bytime</t>
  </si>
  <si>
    <t>item_regenstamina_bytime</t>
  </si>
  <si>
    <t>item_stamina_bytime</t>
  </si>
  <si>
    <t>item_damage_demon_bytime</t>
  </si>
  <si>
    <t>item_damage_undead_bytime</t>
  </si>
  <si>
    <t>item_tohit_demon_bytime</t>
  </si>
  <si>
    <t>item_tohit_undead_bytime</t>
  </si>
  <si>
    <t>item_crushingblow_bytime</t>
  </si>
  <si>
    <t>item_openwounds_bytime</t>
  </si>
  <si>
    <t>item_kick_damage_bytime</t>
  </si>
  <si>
    <t>item_deadlystrike_bytime</t>
  </si>
  <si>
    <t>item_find_gems_bytime</t>
  </si>
  <si>
    <t>item_pierce_cold</t>
  </si>
  <si>
    <t>item_pierce_fire</t>
  </si>
  <si>
    <t>item_pierce_ltng</t>
  </si>
  <si>
    <t>item_pierce_pois</t>
  </si>
  <si>
    <t>item_damage_vs_monster</t>
  </si>
  <si>
    <t>item_damage_percent_vs_monster</t>
  </si>
  <si>
    <t>item_tohit_vs_monster</t>
  </si>
  <si>
    <t>item_tohit_percent_vs_monster</t>
  </si>
  <si>
    <t>item_ac_vs_monster</t>
  </si>
  <si>
    <t>item_ac_percent_vs_monster</t>
  </si>
  <si>
    <t>firelength</t>
  </si>
  <si>
    <t>burningmin</t>
  </si>
  <si>
    <t>burningmax</t>
  </si>
  <si>
    <t>progressive_damage</t>
  </si>
  <si>
    <t>progressive_steal</t>
  </si>
  <si>
    <t>progressive_other</t>
  </si>
  <si>
    <t>progressive_fire</t>
  </si>
  <si>
    <t>progressive_cold</t>
  </si>
  <si>
    <t>progressive_lightning</t>
  </si>
  <si>
    <t>item_extra_charges</t>
  </si>
  <si>
    <t>progressive_tohit</t>
  </si>
  <si>
    <t>poison_count</t>
  </si>
  <si>
    <t>damage_framerate</t>
  </si>
  <si>
    <t>pierce_idx</t>
  </si>
  <si>
    <t>passive_fire_mastery</t>
  </si>
  <si>
    <t>passive_ltng_mastery</t>
  </si>
  <si>
    <t>passive_cold_mastery</t>
  </si>
  <si>
    <t>passive_pois_mastery</t>
  </si>
  <si>
    <t>passive_fire_pierce</t>
  </si>
  <si>
    <t>passive_ltng_pierce</t>
  </si>
  <si>
    <t>passive_cold_pierce</t>
  </si>
  <si>
    <t>passive_pois_pierce</t>
  </si>
  <si>
    <t>76</t>
  </si>
  <si>
    <t>passive_critical_strike</t>
  </si>
  <si>
    <t>68</t>
  </si>
  <si>
    <t>passive_dodge</t>
  </si>
  <si>
    <t>69</t>
  </si>
  <si>
    <t>passive_avoid</t>
  </si>
  <si>
    <t>70</t>
  </si>
  <si>
    <t>passive_evade</t>
  </si>
  <si>
    <t>passive_warmth</t>
  </si>
  <si>
    <t>passive_mastery_melee_th</t>
  </si>
  <si>
    <t>passive_mastery_melee_dmg</t>
  </si>
  <si>
    <t>77</t>
  </si>
  <si>
    <t>passive_mastery_melee_crit</t>
  </si>
  <si>
    <t>passive_mastery_throw_th</t>
  </si>
  <si>
    <t>passive_mastery_throw_dmg</t>
  </si>
  <si>
    <t>78</t>
  </si>
  <si>
    <t>passive_mastery_throw_crit</t>
  </si>
  <si>
    <t>passive_weaponblock</t>
  </si>
  <si>
    <t>passive_summon_resist</t>
  </si>
  <si>
    <t>modifierlist_skill</t>
  </si>
  <si>
    <t>modifierlist_level</t>
  </si>
  <si>
    <t>last_sent_hp_pct</t>
  </si>
  <si>
    <t>source_unit_type</t>
  </si>
  <si>
    <t>source_unit_id</t>
  </si>
  <si>
    <t>shortparam1</t>
  </si>
  <si>
    <t>questitemdifficulty</t>
  </si>
  <si>
    <t>passive_mag_mastery</t>
  </si>
  <si>
    <t>passive_mag_pierce</t>
  </si>
  <si>
    <t>skill_cooldown</t>
  </si>
  <si>
    <t>skill_missile_damage_scale</t>
  </si>
  <si>
    <t>shield_dmg</t>
  </si>
  <si>
    <t>weapon_dmg_per</t>
  </si>
  <si>
    <t>non_weapon_ed</t>
  </si>
  <si>
    <t>item_flat_mindmg</t>
  </si>
  <si>
    <t>item_flat_maxdmg</t>
  </si>
  <si>
    <t>人物vs怪物</t>
  </si>
  <si>
    <t>刷图速度</t>
  </si>
  <si>
    <t>砍怪刀数</t>
  </si>
  <si>
    <t>每组怪物清理时长</t>
  </si>
  <si>
    <t>怪物基础数据</t>
  </si>
  <si>
    <t>地图等级</t>
  </si>
  <si>
    <t>等级-怪物属性修正</t>
  </si>
  <si>
    <t>武器数据</t>
  </si>
  <si>
    <t>普通难度刷图</t>
  </si>
  <si>
    <t>怪物1</t>
  </si>
  <si>
    <t>怪物2</t>
  </si>
  <si>
    <t>怪物3</t>
  </si>
  <si>
    <t>怪物4</t>
  </si>
  <si>
    <t>怪物5</t>
  </si>
  <si>
    <t>属性加点:2力3体</t>
  </si>
  <si>
    <t>普通</t>
  </si>
  <si>
    <t>噩梦</t>
  </si>
  <si>
    <t>地狱</t>
  </si>
  <si>
    <t>场景等级</t>
  </si>
  <si>
    <t>普通/噩梦/地狱怪物的生命值
计算：MonLvl.txt HP * MonStats.txt MinHP / 100以及MonLvl.txt TH * MonStats.txt MaxHP / 100</t>
  </si>
  <si>
    <t>普通/噩梦/地狱怪物防御值
计算：MonLvl.txt AC * MonStats.txt AC / 100</t>
  </si>
  <si>
    <t>单手伤害</t>
  </si>
  <si>
    <t>双手伤害</t>
  </si>
  <si>
    <t>优先双手伤害</t>
  </si>
  <si>
    <t>ID</t>
  </si>
  <si>
    <t>数量</t>
  </si>
  <si>
    <t>清图时长/s</t>
  </si>
  <si>
    <t>等级</t>
  </si>
  <si>
    <t>单手武器攻击</t>
  </si>
  <si>
    <t>双手武器攻击</t>
  </si>
  <si>
    <t>伤害增加_PER</t>
  </si>
  <si>
    <t>火法伤害(算抗)</t>
  </si>
  <si>
    <t>使用技能</t>
  </si>
  <si>
    <t>怪物血量</t>
  </si>
  <si>
    <t>单手刀数</t>
  </si>
  <si>
    <t>双手刀数</t>
  </si>
  <si>
    <t>技能次数</t>
  </si>
  <si>
    <t>怪物名称</t>
  </si>
  <si>
    <r>
      <rPr>
        <sz val="11"/>
        <color theme="1"/>
        <rFont val="等线"/>
        <family val="3"/>
        <charset val="134"/>
        <scheme val="minor"/>
      </rPr>
      <t>怪物I</t>
    </r>
    <r>
      <rPr>
        <sz val="11"/>
        <color theme="1"/>
        <rFont val="等线"/>
        <family val="3"/>
        <charset val="134"/>
        <scheme val="minor"/>
      </rPr>
      <t>D</t>
    </r>
  </si>
  <si>
    <t>设定等级</t>
  </si>
  <si>
    <t>格挡</t>
  </si>
  <si>
    <t>血量</t>
  </si>
  <si>
    <t>防御</t>
  </si>
  <si>
    <r>
      <rPr>
        <sz val="11"/>
        <color theme="1"/>
        <rFont val="等线"/>
        <family val="3"/>
        <charset val="134"/>
        <scheme val="minor"/>
      </rPr>
      <t>场景I</t>
    </r>
    <r>
      <rPr>
        <sz val="11"/>
        <color theme="1"/>
        <rFont val="等线"/>
        <family val="3"/>
        <charset val="134"/>
        <scheme val="minor"/>
      </rPr>
      <t>D</t>
    </r>
  </si>
  <si>
    <t>HP_N_i</t>
  </si>
  <si>
    <t>HP_H_i</t>
  </si>
  <si>
    <t>AC_i</t>
  </si>
  <si>
    <t>AC_N_i</t>
  </si>
  <si>
    <t>AC_H_i</t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</si>
  <si>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D</t>
    </r>
  </si>
  <si>
    <t>穿戴等级</t>
  </si>
  <si>
    <t>IAS</t>
  </si>
  <si>
    <t>最小伤害值</t>
  </si>
  <si>
    <t>最大伤害值</t>
  </si>
  <si>
    <t>力量影响参数</t>
  </si>
  <si>
    <t>敏捷影响参数</t>
  </si>
  <si>
    <t>最小伤害</t>
  </si>
  <si>
    <t>最大伤害</t>
  </si>
  <si>
    <t>穿戴力量</t>
  </si>
  <si>
    <t>穿戴敏捷</t>
  </si>
  <si>
    <t>输出能力</t>
  </si>
  <si>
    <t>人物等级</t>
  </si>
  <si>
    <t>人物力量</t>
  </si>
  <si>
    <t>人物敏捷</t>
  </si>
  <si>
    <t>Act 1 -城郊荒野</t>
  </si>
  <si>
    <t>第一幕</t>
  </si>
  <si>
    <t>1,21,41</t>
  </si>
  <si>
    <t>普</t>
  </si>
  <si>
    <t>鹰眼法珠</t>
  </si>
  <si>
    <t>axe</t>
  </si>
  <si>
    <t>Act 1 -城镇废墟</t>
  </si>
  <si>
    <t>2,23,43</t>
  </si>
  <si>
    <t>圣洁之球</t>
  </si>
  <si>
    <t>攻击加成</t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</si>
  <si>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AS加成</t>
    </r>
  </si>
  <si>
    <t>基础命中</t>
  </si>
  <si>
    <t>攻击帧率</t>
  </si>
  <si>
    <t>Act 1 -黑暗森林</t>
  </si>
  <si>
    <t>5,25,45</t>
  </si>
  <si>
    <t>手斧</t>
  </si>
  <si>
    <t>Act 1 -死亡泥沼</t>
  </si>
  <si>
    <t>5,27,47</t>
  </si>
  <si>
    <t>斧</t>
  </si>
  <si>
    <r>
      <rPr>
        <sz val="11"/>
        <color theme="1"/>
        <rFont val="等线"/>
        <family val="3"/>
        <charset val="134"/>
        <scheme val="minor"/>
      </rPr>
      <t>武器I</t>
    </r>
    <r>
      <rPr>
        <sz val="11"/>
        <color theme="1"/>
        <rFont val="等线"/>
        <family val="3"/>
        <charset val="134"/>
        <scheme val="minor"/>
      </rPr>
      <t>D</t>
    </r>
  </si>
  <si>
    <t>武器力量+</t>
  </si>
  <si>
    <t>武器敏捷+</t>
  </si>
  <si>
    <t>武器IAS</t>
  </si>
  <si>
    <t>武器名称</t>
  </si>
  <si>
    <t>Act 1 -外围墓园</t>
  </si>
  <si>
    <t>7,29,49</t>
  </si>
  <si>
    <t>双刃斧</t>
  </si>
  <si>
    <t>Act 1 -教堂大殿</t>
  </si>
  <si>
    <t>9,32,52</t>
  </si>
  <si>
    <t>军镐</t>
  </si>
  <si>
    <t>禁用双持</t>
  </si>
  <si>
    <t>Act 1 -城镇废墟1层</t>
  </si>
  <si>
    <t>2,25,45</t>
  </si>
  <si>
    <t>战斧</t>
  </si>
  <si>
    <t>Act 1 -城镇废墟2层</t>
  </si>
  <si>
    <t>3,27,47</t>
  </si>
  <si>
    <t>大斧</t>
  </si>
  <si>
    <t>Act 1 -荒野地窖</t>
  </si>
  <si>
    <t>1,22,42</t>
  </si>
  <si>
    <t>宽刃斧</t>
  </si>
  <si>
    <t>Act 1 -森林洞窟</t>
  </si>
  <si>
    <t>5,28,48</t>
  </si>
  <si>
    <t>战斗斧</t>
  </si>
  <si>
    <t>Act 1 -泥沼洞窟</t>
  </si>
  <si>
    <t>6,28,48</t>
  </si>
  <si>
    <t>重斧</t>
  </si>
  <si>
    <t>wand</t>
  </si>
  <si>
    <t>场景/等级</t>
  </si>
  <si>
    <t>生命值</t>
  </si>
  <si>
    <t>综合闪避</t>
  </si>
  <si>
    <t>刀数</t>
  </si>
  <si>
    <t>攻击时间/s</t>
  </si>
  <si>
    <t>Act 1 -地下墓穴1层</t>
  </si>
  <si>
    <t>9,30,50</t>
  </si>
  <si>
    <t>巨斧</t>
  </si>
  <si>
    <t>Act 1 -地下墓穴2层</t>
  </si>
  <si>
    <t>10,32,52</t>
  </si>
  <si>
    <t>魔杖</t>
  </si>
  <si>
    <t>Act 1 -监牢01</t>
  </si>
  <si>
    <t>10,33,53</t>
  </si>
  <si>
    <t>紫杉魔杖</t>
  </si>
  <si>
    <t>Act 1 -监牢02</t>
  </si>
  <si>
    <t>11,34,54</t>
  </si>
  <si>
    <t>白骨魔杖</t>
  </si>
  <si>
    <t>club</t>
  </si>
  <si>
    <t>Act 1 -监牢03</t>
  </si>
  <si>
    <t>12,35,55</t>
  </si>
  <si>
    <t>恐怖魔杖</t>
  </si>
  <si>
    <t>scep</t>
  </si>
  <si>
    <t>Act 2 -荒漠旷野</t>
  </si>
  <si>
    <t>14,43,75</t>
  </si>
  <si>
    <t>木棒</t>
  </si>
  <si>
    <t>Act 2 -死亡峡谷</t>
  </si>
  <si>
    <t>15,44,76</t>
  </si>
  <si>
    <t>权杖</t>
  </si>
  <si>
    <t>Act 2 -安塞石林</t>
  </si>
  <si>
    <t>16,45,76</t>
  </si>
  <si>
    <t>大权杖</t>
  </si>
  <si>
    <t>Act 2 -血腥荒野</t>
  </si>
  <si>
    <t>17,46,77</t>
  </si>
  <si>
    <t>战争权杖</t>
  </si>
  <si>
    <t>mace</t>
  </si>
  <si>
    <t>Act 2 -邪教营地</t>
  </si>
  <si>
    <t>13,48,78</t>
  </si>
  <si>
    <t>狼牙棒</t>
  </si>
  <si>
    <t>Act 2 -血湖</t>
  </si>
  <si>
    <t>14,48,79</t>
  </si>
  <si>
    <t>钉锤</t>
  </si>
  <si>
    <t>Act 2 -荒漠洞穴</t>
  </si>
  <si>
    <t>13,43,74</t>
  </si>
  <si>
    <t>流星锤</t>
  </si>
  <si>
    <t>hamm</t>
  </si>
  <si>
    <t>Act 2 -失落城市一层</t>
  </si>
  <si>
    <t>12,44,79</t>
  </si>
  <si>
    <t>连枷</t>
  </si>
  <si>
    <t>Act 2 -失落城市二层</t>
  </si>
  <si>
    <t>13,45,81</t>
  </si>
  <si>
    <t>战锤</t>
  </si>
  <si>
    <t>Act 2 -峡谷密道一层</t>
  </si>
  <si>
    <t>17,45,84</t>
  </si>
  <si>
    <t>大锤</t>
  </si>
  <si>
    <t>swor</t>
  </si>
  <si>
    <t>Act 2 -峡谷密道二层</t>
  </si>
  <si>
    <t>17,46,85</t>
  </si>
  <si>
    <t>重锤</t>
  </si>
  <si>
    <t>Act 2 -记忆幻境</t>
  </si>
  <si>
    <t>短剑</t>
  </si>
  <si>
    <t>Act 2 -神殿一层</t>
  </si>
  <si>
    <t>18,48,79</t>
  </si>
  <si>
    <t>弯刀</t>
  </si>
  <si>
    <t>Act 2 -神殿二层</t>
  </si>
  <si>
    <t>19,48,79</t>
  </si>
  <si>
    <t>军刀</t>
  </si>
  <si>
    <t>Act 2 -神殿三层</t>
  </si>
  <si>
    <t>20,49,80</t>
  </si>
  <si>
    <t>弯刃剑</t>
  </si>
  <si>
    <t>Act 3 -广场遗迹</t>
  </si>
  <si>
    <t>水晶剑</t>
  </si>
  <si>
    <t>Act 3 -祭礼教堂</t>
  </si>
  <si>
    <t>阔剑</t>
  </si>
  <si>
    <t>Act 3 -虫穴一层</t>
  </si>
  <si>
    <t>长剑</t>
  </si>
  <si>
    <t>战争剑</t>
  </si>
  <si>
    <t>双手剑</t>
  </si>
  <si>
    <t>双手大剑</t>
  </si>
  <si>
    <t>巨剑</t>
  </si>
  <si>
    <t>混用剑</t>
  </si>
  <si>
    <t>蛇形剑</t>
  </si>
  <si>
    <t>knif</t>
  </si>
  <si>
    <t>重剑</t>
  </si>
  <si>
    <t>匕首</t>
  </si>
  <si>
    <t>长匕首</t>
  </si>
  <si>
    <t>波刃剑</t>
  </si>
  <si>
    <t>tkni</t>
  </si>
  <si>
    <t>短刃</t>
  </si>
  <si>
    <t>taxe</t>
  </si>
  <si>
    <t>投掷小刀</t>
  </si>
  <si>
    <t>投掷斧</t>
  </si>
  <si>
    <t>平衡飞刀</t>
  </si>
  <si>
    <t>jave</t>
  </si>
  <si>
    <t>平衡飞斧</t>
  </si>
  <si>
    <t>标枪</t>
  </si>
  <si>
    <t>长标枪</t>
  </si>
  <si>
    <t>短矛</t>
  </si>
  <si>
    <t>梭镖</t>
  </si>
  <si>
    <t>spea</t>
  </si>
  <si>
    <t>投枪</t>
  </si>
  <si>
    <t>矛</t>
  </si>
  <si>
    <t>三叉戟</t>
  </si>
  <si>
    <t>羽剑杖</t>
  </si>
  <si>
    <t>镗鈀</t>
  </si>
  <si>
    <t>pole</t>
  </si>
  <si>
    <t>尖枪</t>
  </si>
  <si>
    <t>大砍刀</t>
  </si>
  <si>
    <t>斧戟</t>
  </si>
  <si>
    <t>巨镰</t>
  </si>
  <si>
    <t>长柄斧</t>
  </si>
  <si>
    <t>斧枪</t>
  </si>
  <si>
    <t>staf</t>
  </si>
  <si>
    <t>战争镰刀</t>
  </si>
  <si>
    <t>短杖</t>
  </si>
  <si>
    <t>长杖</t>
  </si>
  <si>
    <t>多节杖</t>
  </si>
  <si>
    <t>战斗杖</t>
  </si>
  <si>
    <t>bow</t>
  </si>
  <si>
    <t>战杖</t>
  </si>
  <si>
    <t>短弓</t>
  </si>
  <si>
    <t>猎弓</t>
  </si>
  <si>
    <t>长弓</t>
  </si>
  <si>
    <t>复合弓</t>
  </si>
  <si>
    <t>第二幕</t>
  </si>
  <si>
    <t>短战弓</t>
  </si>
  <si>
    <t>长战弓</t>
  </si>
  <si>
    <t>战争短弓</t>
  </si>
  <si>
    <t>xbow</t>
  </si>
  <si>
    <t>战争长弓</t>
  </si>
  <si>
    <t>轻弩</t>
  </si>
  <si>
    <t>弩</t>
  </si>
  <si>
    <t>重弩</t>
  </si>
  <si>
    <t>tpot</t>
  </si>
  <si>
    <t>连弩</t>
  </si>
  <si>
    <t>MISSION</t>
  </si>
  <si>
    <t>爆裂瓶</t>
  </si>
  <si>
    <t>假吉得宝</t>
  </si>
  <si>
    <t>吉得宝</t>
  </si>
  <si>
    <t>怀特的腿</t>
  </si>
  <si>
    <t>魔法铁锤</t>
  </si>
  <si>
    <t>狱铁锤</t>
  </si>
  <si>
    <t>赫拉迪克法杖</t>
  </si>
  <si>
    <t>国王之杖</t>
  </si>
  <si>
    <t>克林姆的连枷</t>
  </si>
  <si>
    <t>卡哈利姆的遗愿</t>
  </si>
  <si>
    <t>拳剑</t>
  </si>
  <si>
    <t>腕刃</t>
  </si>
  <si>
    <t>斧刃拳套</t>
  </si>
  <si>
    <t>缠刃拳套</t>
  </si>
  <si>
    <t>手爪刀</t>
  </si>
  <si>
    <t>刃爪</t>
  </si>
  <si>
    <t>剪咬拳剑</t>
  </si>
  <si>
    <t>扼杀瓶</t>
  </si>
  <si>
    <t>烟熏法球</t>
  </si>
  <si>
    <t>爆炸瓶</t>
  </si>
  <si>
    <t>握扣法珠</t>
  </si>
  <si>
    <t>猎鹿弓</t>
  </si>
  <si>
    <t>处子长矛</t>
  </si>
  <si>
    <t>窒息瓶</t>
  </si>
  <si>
    <t>处子标枪</t>
  </si>
  <si>
    <t>扩展</t>
  </si>
  <si>
    <t>大棒</t>
  </si>
  <si>
    <t>角斗短剑</t>
  </si>
  <si>
    <t>战争标枪</t>
  </si>
  <si>
    <t>棍杖</t>
  </si>
  <si>
    <t>刃弓</t>
  </si>
  <si>
    <t>杰瑞德之石</t>
  </si>
  <si>
    <t>小斧</t>
  </si>
  <si>
    <t>烧制魔杖</t>
  </si>
  <si>
    <t>符文权杖</t>
  </si>
  <si>
    <t>锐匕</t>
  </si>
  <si>
    <t>战斗镖</t>
  </si>
  <si>
    <t>油瓶</t>
  </si>
  <si>
    <t>钉刺尖棒</t>
  </si>
  <si>
    <t>双曲弓</t>
  </si>
  <si>
    <t>处子长枪</t>
  </si>
  <si>
    <t>战矛</t>
  </si>
  <si>
    <t>罗佳伯长斧</t>
  </si>
  <si>
    <t>刀锋弓</t>
  </si>
  <si>
    <t>拳刃</t>
  </si>
  <si>
    <t>剁肉斧</t>
  </si>
  <si>
    <t>军斧</t>
  </si>
  <si>
    <t>法兰飞斧</t>
  </si>
  <si>
    <t>巨弩</t>
  </si>
  <si>
    <t>凸缘钉锤</t>
  </si>
  <si>
    <t>沙漠弯刀</t>
  </si>
  <si>
    <t>游侠戟</t>
  </si>
  <si>
    <t>铁头棒</t>
  </si>
  <si>
    <t>雪松弓</t>
  </si>
  <si>
    <t>瓦斯瓶</t>
  </si>
  <si>
    <t>袖匕</t>
  </si>
  <si>
    <t>叉戟枪</t>
  </si>
  <si>
    <t>腕刺</t>
  </si>
  <si>
    <t>闪光宝珠</t>
  </si>
  <si>
    <t>双锋斧</t>
  </si>
  <si>
    <t>鸦嘴锄</t>
  </si>
  <si>
    <t>娜迦斧</t>
  </si>
  <si>
    <t>芒刺斧</t>
  </si>
  <si>
    <t>塔巴战斧</t>
  </si>
  <si>
    <t>哥特斧</t>
  </si>
  <si>
    <t>古代斧</t>
  </si>
  <si>
    <t>石化魔杖</t>
  </si>
  <si>
    <t>随葬魔杖</t>
  </si>
  <si>
    <t>陪葬魔杖</t>
  </si>
  <si>
    <t>圣水喷杖</t>
  </si>
  <si>
    <t>神圣权杖</t>
  </si>
  <si>
    <t>锯齿星锤</t>
  </si>
  <si>
    <t>链子锤</t>
  </si>
  <si>
    <t>战斗锤</t>
  </si>
  <si>
    <t>战棒</t>
  </si>
  <si>
    <t>尖头锤</t>
  </si>
  <si>
    <t>段弯刀</t>
  </si>
  <si>
    <t>塔瓦弯刀</t>
  </si>
  <si>
    <t>次元之刃</t>
  </si>
  <si>
    <t>战斗剑</t>
  </si>
  <si>
    <t>符文剑</t>
  </si>
  <si>
    <t>古代剑</t>
  </si>
  <si>
    <t>西铁大剑</t>
  </si>
  <si>
    <t>达契亚镰剑</t>
  </si>
  <si>
    <t>獠牙剑</t>
  </si>
  <si>
    <t>哥特剑</t>
  </si>
  <si>
    <t>双手重剑</t>
  </si>
  <si>
    <t>行刑剑</t>
  </si>
  <si>
    <t>五指短剑</t>
  </si>
  <si>
    <t>小剑</t>
  </si>
  <si>
    <t>战镖</t>
  </si>
  <si>
    <t>飞蝠斧</t>
  </si>
  <si>
    <t>重标枪</t>
  </si>
  <si>
    <t>重梭镖</t>
  </si>
  <si>
    <t>斧刃戟枪</t>
  </si>
  <si>
    <t>h2h</t>
  </si>
  <si>
    <t>鱼叉</t>
  </si>
  <si>
    <t>战叉</t>
  </si>
  <si>
    <t>长枪</t>
  </si>
  <si>
    <t>骑枪</t>
  </si>
  <si>
    <t>钩镰枪</t>
  </si>
  <si>
    <t>战斗镰刀</t>
  </si>
  <si>
    <t>鸦喙锤戟</t>
  </si>
  <si>
    <t>恐怖镰刀</t>
  </si>
  <si>
    <t>雪松杖</t>
  </si>
  <si>
    <t>哥特杖</t>
  </si>
  <si>
    <t>h2h2</t>
  </si>
  <si>
    <t>符文杖</t>
  </si>
  <si>
    <t>双臂弓</t>
  </si>
  <si>
    <t>小型攻城弓</t>
  </si>
  <si>
    <t>大型攻城弓</t>
  </si>
  <si>
    <t>符文弓</t>
  </si>
  <si>
    <t>哥特弓</t>
  </si>
  <si>
    <t>攻城弩</t>
  </si>
  <si>
    <t>巧工弩</t>
  </si>
  <si>
    <t>仪式标枪</t>
  </si>
  <si>
    <t>刀刃拳套</t>
  </si>
  <si>
    <t>水晶之球</t>
  </si>
  <si>
    <t>白蜡木弓</t>
  </si>
  <si>
    <t>手镰</t>
  </si>
  <si>
    <t>云雾法球</t>
  </si>
  <si>
    <t>仪式矛</t>
  </si>
  <si>
    <t>大型手爪刀</t>
  </si>
  <si>
    <t>闪光之球</t>
  </si>
  <si>
    <t>仪式弓</t>
  </si>
  <si>
    <t>大型刃爪</t>
  </si>
  <si>
    <t>漩涡水晶</t>
  </si>
  <si>
    <t>仪式长枪</t>
  </si>
  <si>
    <t>精英级</t>
  </si>
  <si>
    <t>戒律棒</t>
  </si>
  <si>
    <t>女族长弓</t>
  </si>
  <si>
    <t>剪咬拳刃</t>
  </si>
  <si>
    <t>土著战斧</t>
  </si>
  <si>
    <t>亥伯龙标枪</t>
  </si>
  <si>
    <t>洗练魔杖</t>
  </si>
  <si>
    <t>蜘蛛弓</t>
  </si>
  <si>
    <t>狂野利斧</t>
  </si>
  <si>
    <t>暴君棒</t>
  </si>
  <si>
    <t>猎鹰剑</t>
  </si>
  <si>
    <t>飞斧</t>
  </si>
  <si>
    <t>弹丸弓</t>
  </si>
  <si>
    <t>骨刀</t>
  </si>
  <si>
    <t>亥伯龙矛</t>
  </si>
  <si>
    <t>拐杖</t>
  </si>
  <si>
    <t>手推剑</t>
  </si>
  <si>
    <t>传说剑</t>
  </si>
  <si>
    <t>天界石</t>
  </si>
  <si>
    <t>新月斧</t>
  </si>
  <si>
    <t>叶根刀</t>
  </si>
  <si>
    <t>食人魔斧</t>
  </si>
  <si>
    <t>利刃弓</t>
  </si>
  <si>
    <t>女族长矛</t>
  </si>
  <si>
    <t>腕剑</t>
  </si>
  <si>
    <t>强威权杖</t>
  </si>
  <si>
    <t>地狱长标枪</t>
  </si>
  <si>
    <t>加固锤</t>
  </si>
  <si>
    <t>精致剑</t>
  </si>
  <si>
    <t>暗影弓</t>
  </si>
  <si>
    <t>镀银斧</t>
  </si>
  <si>
    <t>幽灵魔杖</t>
  </si>
  <si>
    <t>飞刀</t>
  </si>
  <si>
    <t>巨型斧戟</t>
  </si>
  <si>
    <t>女族长标枪</t>
  </si>
  <si>
    <t>高地剑</t>
  </si>
  <si>
    <t>地狱长枪</t>
  </si>
  <si>
    <t>石笋杖</t>
  </si>
  <si>
    <t>蛇发女妖弩</t>
  </si>
  <si>
    <t>怪异法珠</t>
  </si>
  <si>
    <t>战争拳套</t>
  </si>
  <si>
    <t>食人魔锤</t>
  </si>
  <si>
    <t>九头蛇刃</t>
  </si>
  <si>
    <t>重弓</t>
  </si>
  <si>
    <t>双头巨人斧</t>
  </si>
  <si>
    <t>恶魔流星</t>
  </si>
  <si>
    <t>秘银刺</t>
  </si>
  <si>
    <t>炎魔剑</t>
  </si>
  <si>
    <t>炎魔矛</t>
  </si>
  <si>
    <t>砍斧</t>
  </si>
  <si>
    <t>战斗缠刃拳套</t>
  </si>
  <si>
    <t>刽子手之斧</t>
  </si>
  <si>
    <t>相位之刃</t>
  </si>
  <si>
    <t>钻石弓</t>
  </si>
  <si>
    <t>捕人枪</t>
  </si>
  <si>
    <t>接骨木杖</t>
  </si>
  <si>
    <t>尸妖魔杖</t>
  </si>
  <si>
    <t>神臂弩</t>
  </si>
  <si>
    <t>恶魔之心</t>
  </si>
  <si>
    <t>炽天使杖</t>
  </si>
  <si>
    <t>天罚之锤</t>
  </si>
  <si>
    <t>冠军剑</t>
  </si>
  <si>
    <t>翼刀</t>
  </si>
  <si>
    <t>十字军弓</t>
  </si>
  <si>
    <t>狂野钩爪</t>
  </si>
  <si>
    <t>征服剑</t>
  </si>
  <si>
    <t>仕女长之弓</t>
  </si>
  <si>
    <t>战争尖斧</t>
  </si>
  <si>
    <t>幽灵梭戟</t>
  </si>
  <si>
    <t>秘文斧</t>
  </si>
  <si>
    <t>orb</t>
  </si>
  <si>
    <t>符文刃爪</t>
  </si>
  <si>
    <t>巨神之剑</t>
  </si>
  <si>
    <t>翼斧</t>
  </si>
  <si>
    <t>防护弓</t>
  </si>
  <si>
    <t>女族长尖枪</t>
  </si>
  <si>
    <t>abow</t>
  </si>
  <si>
    <t>冠军斧</t>
  </si>
  <si>
    <t>传奇重锤</t>
  </si>
  <si>
    <t>aspe</t>
  </si>
  <si>
    <t>秘文剑</t>
  </si>
  <si>
    <t>牙刃刀</t>
  </si>
  <si>
    <t>ajav</t>
  </si>
  <si>
    <t>幽灵矛</t>
  </si>
  <si>
    <t>橡木棍</t>
  </si>
  <si>
    <t>巨神之刃</t>
  </si>
  <si>
    <t>重长柄斧</t>
  </si>
  <si>
    <t>九头蛇弓</t>
  </si>
  <si>
    <t>恶魔弩</t>
  </si>
  <si>
    <t>旋云宝珠</t>
  </si>
  <si>
    <t>剪咬手推剑</t>
  </si>
  <si>
    <t>狂战士斧</t>
  </si>
  <si>
    <t>出土魔杖</t>
  </si>
  <si>
    <t>雷霆之锤</t>
  </si>
  <si>
    <t>双股叉</t>
  </si>
  <si>
    <t>荣耀之斧</t>
  </si>
  <si>
    <t>使者杖</t>
  </si>
  <si>
    <t>神话剑</t>
  </si>
  <si>
    <t>传说匕刺</t>
  </si>
  <si>
    <t>战争长枪</t>
  </si>
  <si>
    <t>巨型砍斧</t>
  </si>
  <si>
    <t>统治者之杖</t>
  </si>
  <si>
    <t>次元碎片</t>
  </si>
  <si>
    <t>火球术</t>
  </si>
  <si>
    <t>火焰弹</t>
  </si>
  <si>
    <t>炼狱之火</t>
  </si>
  <si>
    <t>火墙</t>
  </si>
  <si>
    <t>陨石术</t>
  </si>
  <si>
    <t>火蛇</t>
  </si>
  <si>
    <t>学习等级</t>
  </si>
  <si>
    <t>第一连携</t>
  </si>
  <si>
    <t>第二连携</t>
  </si>
  <si>
    <t>命中</t>
  </si>
  <si>
    <t>伤害</t>
  </si>
  <si>
    <t>人物技能点</t>
  </si>
  <si>
    <t>技能等级</t>
  </si>
  <si>
    <t>专精等级</t>
  </si>
  <si>
    <t>技能伤害</t>
  </si>
  <si>
    <t>额外技能等级</t>
  </si>
  <si>
    <t>较大伤害</t>
  </si>
  <si>
    <t>设定火抗</t>
  </si>
  <si>
    <t>双手武器</t>
  </si>
  <si>
    <t>单手武器</t>
  </si>
  <si>
    <t>伤害增加</t>
  </si>
  <si>
    <t>火焰专精</t>
  </si>
  <si>
    <t>202:8;302:40</t>
    <phoneticPr fontId="19" type="noConversion"/>
  </si>
  <si>
    <t>0</t>
    <phoneticPr fontId="19" type="noConversion"/>
  </si>
  <si>
    <t>3000</t>
    <phoneticPr fontId="19" type="noConversion"/>
  </si>
  <si>
    <t>10000</t>
    <phoneticPr fontId="19" type="noConversion"/>
  </si>
  <si>
    <t>ai_search_i</t>
    <phoneticPr fontId="19" type="noConversion"/>
  </si>
  <si>
    <t>是否读AI里搜敌范围
否则全图搜敌
1-是
0或不填-否</t>
    <phoneticPr fontId="19" type="noConversion"/>
  </si>
  <si>
    <t>小怪</t>
    <phoneticPr fontId="19" type="noConversion"/>
  </si>
  <si>
    <t>怪物类型</t>
    <phoneticPr fontId="19" type="noConversion"/>
  </si>
  <si>
    <t>怪物ID</t>
    <phoneticPr fontId="19" type="noConversion"/>
  </si>
  <si>
    <t>怪物名</t>
    <phoneticPr fontId="19" type="noConversion"/>
  </si>
  <si>
    <t>地图</t>
    <phoneticPr fontId="19" type="noConversion"/>
  </si>
  <si>
    <t>固定词缀</t>
    <phoneticPr fontId="19" type="noConversion"/>
  </si>
  <si>
    <t>随机词缀1</t>
    <phoneticPr fontId="19" type="noConversion"/>
  </si>
  <si>
    <t>随机词缀2</t>
    <phoneticPr fontId="19" type="noConversion"/>
  </si>
  <si>
    <t>随机词缀3</t>
    <phoneticPr fontId="19" type="noConversion"/>
  </si>
  <si>
    <t>伤害类型</t>
    <phoneticPr fontId="19" type="noConversion"/>
  </si>
  <si>
    <t>物理</t>
    <phoneticPr fontId="19" type="noConversion"/>
  </si>
  <si>
    <t>火球</t>
    <phoneticPr fontId="19" type="noConversion"/>
  </si>
  <si>
    <t>冰弓</t>
    <phoneticPr fontId="19" type="noConversion"/>
  </si>
  <si>
    <t>特别强壮</t>
  </si>
  <si>
    <t>特别快速</t>
  </si>
  <si>
    <t>皮肤硬化</t>
  </si>
  <si>
    <t>精准</t>
  </si>
  <si>
    <t>多重射击</t>
  </si>
  <si>
    <t>护盾</t>
  </si>
  <si>
    <t>无法眩晕</t>
  </si>
  <si>
    <t>无法冻结</t>
  </si>
  <si>
    <t>免疫异常</t>
  </si>
  <si>
    <t>复仇者</t>
  </si>
  <si>
    <t>狂暴</t>
  </si>
  <si>
    <t>元素附体</t>
  </si>
  <si>
    <t>元素抗性</t>
  </si>
  <si>
    <t>幽灵</t>
  </si>
  <si>
    <t>冰冻强化</t>
  </si>
  <si>
    <t>火焰强化</t>
  </si>
  <si>
    <t>闪电强化</t>
  </si>
  <si>
    <t>混沌强化</t>
  </si>
  <si>
    <t>火焰护甲</t>
  </si>
  <si>
    <t>闪电护甲</t>
  </si>
  <si>
    <t>衰老</t>
  </si>
  <si>
    <t>恶毒</t>
  </si>
  <si>
    <t>【光环】物理增伤</t>
  </si>
  <si>
    <t>【光环】速度</t>
  </si>
  <si>
    <t>【光环】精准</t>
  </si>
  <si>
    <t>【光环】护盾</t>
  </si>
  <si>
    <t>【光环】生命回复</t>
  </si>
  <si>
    <t>【光环】抗性</t>
  </si>
  <si>
    <t>词缀ID</t>
    <phoneticPr fontId="19" type="noConversion"/>
  </si>
  <si>
    <t>词缀名称</t>
    <phoneticPr fontId="19" type="noConversion"/>
  </si>
  <si>
    <t>火焰强化</t>
    <phoneticPr fontId="19" type="noConversion"/>
  </si>
  <si>
    <t>固定词缀配置</t>
    <phoneticPr fontId="19" type="noConversion"/>
  </si>
  <si>
    <t>随机词缀配置</t>
    <phoneticPr fontId="19" type="noConversion"/>
  </si>
  <si>
    <t>怪物技能</t>
    <phoneticPr fontId="19" type="noConversion"/>
  </si>
  <si>
    <t>寒冰球</t>
  </si>
  <si>
    <t>电能弹</t>
  </si>
  <si>
    <t>连锁闪电</t>
  </si>
  <si>
    <t>枯萎</t>
  </si>
  <si>
    <t>猛击 左</t>
  </si>
  <si>
    <t>猛击 右</t>
  </si>
  <si>
    <t>闪电惩击</t>
  </si>
  <si>
    <t>重击</t>
  </si>
  <si>
    <t>雷神之怒</t>
  </si>
  <si>
    <t>旋风横扫</t>
  </si>
  <si>
    <t>冰霜之刃</t>
  </si>
  <si>
    <t>剑气斩</t>
  </si>
  <si>
    <t>复仇</t>
  </si>
  <si>
    <t>冰霜之锤1</t>
  </si>
  <si>
    <t>烈火斩击</t>
  </si>
  <si>
    <t>骨矛</t>
  </si>
  <si>
    <t>虚空之匕</t>
  </si>
  <si>
    <t>割裂左</t>
  </si>
  <si>
    <t>割裂右</t>
  </si>
  <si>
    <t>多重箭</t>
  </si>
  <si>
    <t>冰冻箭</t>
  </si>
  <si>
    <t>炽炎箭</t>
  </si>
  <si>
    <t>闪电枪</t>
  </si>
  <si>
    <t>腐蚀箭</t>
  </si>
  <si>
    <t>天堂之拳</t>
  </si>
  <si>
    <t>元素打击 火</t>
  </si>
  <si>
    <t>元素打击 冰</t>
  </si>
  <si>
    <t>元素打击 雷</t>
  </si>
  <si>
    <t>格挡落雷</t>
  </si>
  <si>
    <t>落雷</t>
  </si>
  <si>
    <t>格挡反射冰</t>
  </si>
  <si>
    <t>冰霜锥形攻击</t>
  </si>
  <si>
    <t>格挡电能弹</t>
  </si>
  <si>
    <t>拳击 第一下</t>
  </si>
  <si>
    <t>拳击第二下</t>
  </si>
  <si>
    <t>凿击左</t>
  </si>
  <si>
    <t>凿击右</t>
  </si>
  <si>
    <t>毒刃左</t>
  </si>
  <si>
    <t>毒刃右</t>
  </si>
  <si>
    <t>死亡挥砍</t>
  </si>
  <si>
    <t>斩击 左</t>
  </si>
  <si>
    <t>斩击 右</t>
  </si>
  <si>
    <t>碎颅 左</t>
  </si>
  <si>
    <t>碎颅 右</t>
  </si>
  <si>
    <t>残忍挥击 左</t>
  </si>
  <si>
    <t>残忍挥击 右</t>
  </si>
  <si>
    <t>狂暴之刃 左</t>
  </si>
  <si>
    <t>狂暴之刃 右</t>
  </si>
  <si>
    <t>粉碎重击 左</t>
  </si>
  <si>
    <t>粉碎重击 右</t>
  </si>
  <si>
    <t>火炬攻击</t>
  </si>
  <si>
    <t>黑洞</t>
  </si>
  <si>
    <t>蝮蛇之毒</t>
  </si>
  <si>
    <t>毒爆发表现</t>
  </si>
  <si>
    <t>召唤狼</t>
  </si>
  <si>
    <t>狼普攻</t>
  </si>
  <si>
    <t>狼吼叫</t>
  </si>
  <si>
    <t>闪避</t>
  </si>
  <si>
    <t>闪避射箭</t>
  </si>
  <si>
    <t>衰老诅咒</t>
  </si>
  <si>
    <t>虚弱诅咒</t>
  </si>
  <si>
    <t>猎神赐福</t>
  </si>
  <si>
    <t>结束一圈箭</t>
  </si>
  <si>
    <t>剧毒新星</t>
  </si>
  <si>
    <t>瘟疫之雨</t>
  </si>
  <si>
    <t>剧毒爆发</t>
  </si>
  <si>
    <t>碎骨</t>
  </si>
  <si>
    <t>诅咒爆发</t>
  </si>
  <si>
    <t>召唤骷髅战士</t>
  </si>
  <si>
    <t>骷髅士兵普攻1</t>
  </si>
  <si>
    <t>召唤骷髅弓箭手</t>
  </si>
  <si>
    <t>骷髅弓箭手普攻</t>
  </si>
  <si>
    <t>圣光</t>
  </si>
  <si>
    <t>缝合憎恶</t>
  </si>
  <si>
    <t>魔像普攻1</t>
  </si>
  <si>
    <t>魔像砸地</t>
  </si>
  <si>
    <t>护甲光环</t>
  </si>
  <si>
    <t>圣化</t>
  </si>
  <si>
    <t>圣化后残迹</t>
  </si>
  <si>
    <t>闪光</t>
  </si>
  <si>
    <t>火魔像普攻1</t>
  </si>
  <si>
    <t>火伤害</t>
  </si>
  <si>
    <t>瘟疫恶咒</t>
  </si>
  <si>
    <t>魔像普攻</t>
  </si>
  <si>
    <t>骨刺</t>
  </si>
  <si>
    <t>死亡枯萎</t>
  </si>
  <si>
    <t>混沌光环</t>
  </si>
  <si>
    <t>留毒液</t>
  </si>
  <si>
    <t>挂中毒</t>
  </si>
  <si>
    <t>碎骨诅咒</t>
  </si>
  <si>
    <t>诅咒伤害</t>
  </si>
  <si>
    <t>命运诅咒</t>
  </si>
  <si>
    <t>暗影分身</t>
  </si>
  <si>
    <t>死亡刀子</t>
  </si>
  <si>
    <t>圣焰图腾喷火</t>
  </si>
  <si>
    <t>震荡图腾波</t>
  </si>
  <si>
    <t>弩炮射击</t>
  </si>
  <si>
    <t>冰爆炸</t>
  </si>
  <si>
    <t>一圈充能弹</t>
  </si>
  <si>
    <t>毒弹</t>
  </si>
  <si>
    <t>血遁</t>
  </si>
  <si>
    <t>冲锋减伤</t>
  </si>
  <si>
    <t>冲锋击退</t>
  </si>
  <si>
    <t>疾跑</t>
  </si>
  <si>
    <t>旋涡</t>
  </si>
  <si>
    <t>周围火焰挂灼烧</t>
  </si>
  <si>
    <t>释放电弧晕眩</t>
  </si>
  <si>
    <t>范围减速</t>
  </si>
  <si>
    <t>不回血，混沌伤害</t>
  </si>
  <si>
    <t>恐惧周围</t>
  </si>
  <si>
    <t>自杀</t>
  </si>
  <si>
    <t>周期范围火</t>
  </si>
  <si>
    <t>10%扣血</t>
  </si>
  <si>
    <t>战吼波</t>
  </si>
  <si>
    <t>召唤物死亡爆炸</t>
  </si>
  <si>
    <t>灼烧死亡爆炸</t>
  </si>
  <si>
    <t>感电落雷</t>
  </si>
  <si>
    <t>散射冰弹</t>
  </si>
  <si>
    <t>神圣冲击</t>
  </si>
  <si>
    <t>罪恶忏悔</t>
  </si>
  <si>
    <t>冲刺射箭</t>
  </si>
  <si>
    <t>怪物死亡全屏加buff</t>
  </si>
  <si>
    <t>怪物死亡召唤骨魂</t>
  </si>
  <si>
    <t>死亡召唤毒池子</t>
  </si>
  <si>
    <t>召唤物死亡加buff</t>
  </si>
  <si>
    <t>5%每秒扣血</t>
  </si>
  <si>
    <t>冰碎片</t>
  </si>
  <si>
    <t>致盲</t>
  </si>
  <si>
    <t>受击火球</t>
  </si>
  <si>
    <t>踏地板</t>
  </si>
  <si>
    <t>周围火伤10-15</t>
  </si>
  <si>
    <t>周围火伤20-30</t>
  </si>
  <si>
    <t>周围火伤30-45</t>
  </si>
  <si>
    <t>3自身物理伤害</t>
  </si>
  <si>
    <t>1自身物理伤害</t>
  </si>
  <si>
    <t>发射3箭矢10-15</t>
  </si>
  <si>
    <t>发射8箭矢10-15</t>
  </si>
  <si>
    <t>落雷1单位5-10</t>
  </si>
  <si>
    <t>落雷3单位5-10</t>
  </si>
  <si>
    <t>1箭矢5-10</t>
  </si>
  <si>
    <t>3箭矢5-10</t>
  </si>
  <si>
    <t>1火球5-10</t>
  </si>
  <si>
    <t>3火球5-10</t>
  </si>
  <si>
    <t>1冰弹5-10</t>
  </si>
  <si>
    <t>3冰弹5-10</t>
  </si>
  <si>
    <t>1枯萎5-10</t>
  </si>
  <si>
    <t>3枯萎5-10</t>
  </si>
  <si>
    <t>随机词缀输出</t>
    <phoneticPr fontId="19" type="noConversion"/>
  </si>
  <si>
    <t>1:</t>
    <phoneticPr fontId="19" type="noConversion"/>
  </si>
  <si>
    <t>火焰护甲</t>
    <phoneticPr fontId="19" type="noConversion"/>
  </si>
  <si>
    <t>狂暴</t>
    <phoneticPr fontId="19" type="noConversion"/>
  </si>
  <si>
    <t>元素抗性</t>
    <phoneticPr fontId="19" type="noConversion"/>
  </si>
  <si>
    <t>冰冻强化</t>
    <phoneticPr fontId="19" type="noConversion"/>
  </si>
  <si>
    <t>冰霜护甲</t>
    <phoneticPr fontId="19" type="noConversion"/>
  </si>
  <si>
    <t>混沌强化</t>
    <phoneticPr fontId="19" type="noConversion"/>
  </si>
  <si>
    <t>恶毒</t>
    <phoneticPr fontId="19" type="noConversion"/>
  </si>
  <si>
    <t>衰老</t>
    <phoneticPr fontId="19" type="noConversion"/>
  </si>
  <si>
    <t>皮肤硬化</t>
    <phoneticPr fontId="19" type="noConversion"/>
  </si>
  <si>
    <t>特别快速</t>
    <phoneticPr fontId="19" type="noConversion"/>
  </si>
  <si>
    <t>【光环】生命回复</t>
    <phoneticPr fontId="19" type="noConversion"/>
  </si>
  <si>
    <t>【光环】精准</t>
    <phoneticPr fontId="19" type="noConversion"/>
  </si>
  <si>
    <t>【光环】速度</t>
    <phoneticPr fontId="19" type="noConversion"/>
  </si>
  <si>
    <t>【光环】抗性</t>
    <phoneticPr fontId="19" type="noConversion"/>
  </si>
  <si>
    <t>多重射击</t>
    <phoneticPr fontId="19" type="noConversion"/>
  </si>
  <si>
    <t>特别强壮</t>
    <phoneticPr fontId="19" type="noConversion"/>
  </si>
  <si>
    <t>无法冻结</t>
    <phoneticPr fontId="19" type="noConversion"/>
  </si>
  <si>
    <t>免疫异常</t>
    <phoneticPr fontId="19" type="noConversion"/>
  </si>
  <si>
    <t>【光环】物理增伤</t>
    <phoneticPr fontId="19" type="noConversion"/>
  </si>
  <si>
    <t>【光环】护盾</t>
    <phoneticPr fontId="19" type="noConversion"/>
  </si>
  <si>
    <t>生命再生</t>
    <phoneticPr fontId="19" type="noConversion"/>
  </si>
  <si>
    <t>复仇者</t>
    <phoneticPr fontId="19" type="noConversion"/>
  </si>
  <si>
    <t>1:17,23,6</t>
  </si>
  <si>
    <t>1:20,26,25</t>
  </si>
  <si>
    <t>1:20,25,11</t>
  </si>
  <si>
    <t>1:17,23,9</t>
  </si>
  <si>
    <t>1:17,23,10</t>
  </si>
  <si>
    <t>1:30,33,32</t>
  </si>
  <si>
    <t>1:34,35,31</t>
  </si>
  <si>
    <t>1:11,23,20</t>
  </si>
  <si>
    <t>1:34,20,22</t>
  </si>
  <si>
    <t>1:13,3</t>
    <phoneticPr fontId="19" type="noConversion"/>
  </si>
  <si>
    <t>1:18,22</t>
    <phoneticPr fontId="19" type="noConversion"/>
  </si>
  <si>
    <t>1:13,15</t>
    <phoneticPr fontId="19" type="noConversion"/>
  </si>
  <si>
    <t>1:25,31</t>
    <phoneticPr fontId="19" type="noConversion"/>
  </si>
  <si>
    <t>1:13,2</t>
    <phoneticPr fontId="19" type="noConversion"/>
  </si>
  <si>
    <t>1:3,17</t>
    <phoneticPr fontId="19" type="noConversion"/>
  </si>
  <si>
    <t>1:1,23</t>
    <phoneticPr fontId="19" type="noConversion"/>
  </si>
  <si>
    <t>1:26,22</t>
    <phoneticPr fontId="19" type="noConversion"/>
  </si>
  <si>
    <t>1:25,22</t>
    <phoneticPr fontId="19" type="noConversion"/>
  </si>
  <si>
    <t>野猪冲撞</t>
    <phoneticPr fontId="19" type="noConversion"/>
  </si>
  <si>
    <t>特性怪</t>
    <phoneticPr fontId="19" type="noConversion"/>
  </si>
  <si>
    <t>31511,46081</t>
    <phoneticPr fontId="19" type="noConversion"/>
  </si>
  <si>
    <t>1,1</t>
    <phoneticPr fontId="19" type="noConversion"/>
  </si>
  <si>
    <t>冰原鹿人-冲撞</t>
    <phoneticPr fontId="19" type="noConversion"/>
  </si>
  <si>
    <t>熔岩人马-冲锋</t>
    <phoneticPr fontId="19" type="noConversion"/>
  </si>
  <si>
    <t>200,600</t>
    <phoneticPr fontId="19" type="noConversion"/>
  </si>
  <si>
    <t>腐化血巢（空）</t>
    <phoneticPr fontId="19" type="noConversion"/>
  </si>
  <si>
    <t>远程蠕虫</t>
    <phoneticPr fontId="19" type="noConversion"/>
  </si>
  <si>
    <t>30001:10000,-1</t>
    <phoneticPr fontId="19" type="noConversion"/>
  </si>
  <si>
    <t>远程蠕虫分裂</t>
    <phoneticPr fontId="19" type="noConversion"/>
  </si>
  <si>
    <t>近战蠕虫</t>
    <phoneticPr fontId="19" type="noConversion"/>
  </si>
  <si>
    <t>近战</t>
    <phoneticPr fontId="19" type="noConversion"/>
  </si>
  <si>
    <t>30002:10000,-1</t>
    <phoneticPr fontId="19" type="noConversion"/>
  </si>
  <si>
    <t>近战蠕虫分裂</t>
    <phoneticPr fontId="19" type="noConversion"/>
  </si>
  <si>
    <t>30095</t>
    <phoneticPr fontId="19" type="noConversion"/>
  </si>
  <si>
    <t>沙漠毒蛛</t>
    <phoneticPr fontId="19" type="noConversion"/>
  </si>
  <si>
    <t>46021:10000,-1</t>
    <phoneticPr fontId="19" type="noConversion"/>
  </si>
  <si>
    <t>30003:10000,-1</t>
    <phoneticPr fontId="19" type="noConversion"/>
  </si>
  <si>
    <t>30097</t>
  </si>
  <si>
    <t>1508001,14,0</t>
    <phoneticPr fontId="19" type="noConversion"/>
  </si>
  <si>
    <t>突袭怪</t>
    <phoneticPr fontId="19" type="noConversion"/>
  </si>
  <si>
    <t>火元素</t>
    <phoneticPr fontId="19" type="noConversion"/>
  </si>
  <si>
    <t>冰元素</t>
    <phoneticPr fontId="19" type="noConversion"/>
  </si>
  <si>
    <t>雷元素</t>
    <phoneticPr fontId="19" type="noConversion"/>
  </si>
  <si>
    <t>540151</t>
  </si>
  <si>
    <t>540161</t>
    <phoneticPr fontId="19" type="noConversion"/>
  </si>
  <si>
    <t>540171</t>
    <phoneticPr fontId="19" type="noConversion"/>
  </si>
  <si>
    <t>50033:10000,-1</t>
    <phoneticPr fontId="19" type="noConversion"/>
  </si>
  <si>
    <t>50034:10000,-1</t>
    <phoneticPr fontId="19" type="noConversion"/>
  </si>
  <si>
    <t>50035:10000,-1</t>
    <phoneticPr fontId="19" type="noConversion"/>
  </si>
  <si>
    <t>是否调用特殊shader
1-暗金
2-蓝名
3-紫色混沌
4 召唤骷髅青色
5-boss紫红色</t>
    <phoneticPr fontId="19" type="noConversion"/>
  </si>
  <si>
    <t>1:1,2,3,4,5,7</t>
    <phoneticPr fontId="19" type="noConversion"/>
  </si>
  <si>
    <t>远程蠕虫</t>
  </si>
  <si>
    <t>远程蠕虫分裂</t>
  </si>
  <si>
    <t>近战蠕虫</t>
  </si>
  <si>
    <t>近战</t>
  </si>
  <si>
    <t>近战蠕虫分裂</t>
  </si>
  <si>
    <t>沙漠毒蛛</t>
  </si>
  <si>
    <t>冰原鹿人-冲撞</t>
  </si>
  <si>
    <t>熔岩人马-冲锋</t>
  </si>
  <si>
    <t>衰变之刃</t>
  </si>
  <si>
    <t>物理强化</t>
  </si>
  <si>
    <t>冰霜护甲</t>
  </si>
  <si>
    <t>撕裂</t>
  </si>
  <si>
    <t>灼痛</t>
  </si>
  <si>
    <t>死亡回响</t>
  </si>
  <si>
    <t>元素附体</t>
    <phoneticPr fontId="19" type="noConversion"/>
  </si>
  <si>
    <t>精准</t>
    <phoneticPr fontId="19" type="noConversion"/>
  </si>
  <si>
    <t>撕裂</t>
    <phoneticPr fontId="19" type="noConversion"/>
  </si>
  <si>
    <t>物理强化</t>
    <phoneticPr fontId="19" type="noConversion"/>
  </si>
  <si>
    <t>护盾</t>
    <phoneticPr fontId="19" type="noConversion"/>
  </si>
  <si>
    <t>闪电强化</t>
    <phoneticPr fontId="19" type="noConversion"/>
  </si>
  <si>
    <t>无法眩晕</t>
    <phoneticPr fontId="19" type="noConversion"/>
  </si>
  <si>
    <t>幽灵</t>
    <phoneticPr fontId="19" type="noConversion"/>
  </si>
  <si>
    <t>灼痛</t>
    <phoneticPr fontId="19" type="noConversion"/>
  </si>
  <si>
    <t>闪电护甲</t>
    <phoneticPr fontId="19" type="noConversion"/>
  </si>
  <si>
    <t>衰变之刃</t>
    <phoneticPr fontId="19" type="noConversion"/>
  </si>
  <si>
    <t>1:5</t>
    <phoneticPr fontId="19" type="noConversion"/>
  </si>
  <si>
    <t>1:3</t>
    <phoneticPr fontId="19" type="noConversion"/>
  </si>
  <si>
    <t>1:11</t>
    <phoneticPr fontId="19" type="noConversion"/>
  </si>
  <si>
    <t>1:6</t>
    <phoneticPr fontId="19" type="noConversion"/>
  </si>
  <si>
    <t>1:15</t>
    <phoneticPr fontId="19" type="noConversion"/>
  </si>
  <si>
    <t>1:27</t>
    <phoneticPr fontId="19" type="noConversion"/>
  </si>
  <si>
    <t>1:8</t>
    <phoneticPr fontId="19" type="noConversion"/>
  </si>
  <si>
    <t>1:10</t>
    <phoneticPr fontId="19" type="noConversion"/>
  </si>
  <si>
    <t>1:10,16</t>
    <phoneticPr fontId="19" type="noConversion"/>
  </si>
  <si>
    <t>1:13,26</t>
    <phoneticPr fontId="19" type="noConversion"/>
  </si>
  <si>
    <t>1:16</t>
    <phoneticPr fontId="19" type="noConversion"/>
  </si>
  <si>
    <t>1:12</t>
    <phoneticPr fontId="19" type="noConversion"/>
  </si>
  <si>
    <t>1:2</t>
    <phoneticPr fontId="19" type="noConversion"/>
  </si>
  <si>
    <t>1:25</t>
    <phoneticPr fontId="19" type="noConversion"/>
  </si>
  <si>
    <t>1:26</t>
    <phoneticPr fontId="19" type="noConversion"/>
  </si>
  <si>
    <t>1:7,16</t>
    <phoneticPr fontId="19" type="noConversion"/>
  </si>
  <si>
    <t>1:24,30</t>
    <phoneticPr fontId="19" type="noConversion"/>
  </si>
  <si>
    <t>1:32,30</t>
    <phoneticPr fontId="19" type="noConversion"/>
  </si>
  <si>
    <t>1:24,3</t>
    <phoneticPr fontId="19" type="noConversion"/>
  </si>
  <si>
    <t>1:15,33</t>
    <phoneticPr fontId="19" type="noConversion"/>
  </si>
  <si>
    <t>1:27,2</t>
    <phoneticPr fontId="19" type="noConversion"/>
  </si>
  <si>
    <t>1:7</t>
    <phoneticPr fontId="19" type="noConversion"/>
  </si>
  <si>
    <t>1:15,10</t>
    <phoneticPr fontId="19" type="noConversion"/>
  </si>
  <si>
    <t>1:28,27</t>
    <phoneticPr fontId="19" type="noConversion"/>
  </si>
  <si>
    <t>1:4</t>
    <phoneticPr fontId="19" type="noConversion"/>
  </si>
  <si>
    <t>1:2,35</t>
    <phoneticPr fontId="19" type="noConversion"/>
  </si>
  <si>
    <t>1:26,30</t>
    <phoneticPr fontId="19" type="noConversion"/>
  </si>
  <si>
    <t>1:34,33</t>
    <phoneticPr fontId="19" type="noConversion"/>
  </si>
  <si>
    <t>1:1,35</t>
    <phoneticPr fontId="19" type="noConversion"/>
  </si>
  <si>
    <t>1:1,33</t>
    <phoneticPr fontId="19" type="noConversion"/>
  </si>
  <si>
    <t>1:30,2</t>
    <phoneticPr fontId="19" type="noConversion"/>
  </si>
  <si>
    <t>1:6,26</t>
    <phoneticPr fontId="19" type="noConversion"/>
  </si>
  <si>
    <t>1:6,17</t>
    <phoneticPr fontId="19" type="noConversion"/>
  </si>
  <si>
    <t>1:16,32</t>
    <phoneticPr fontId="19" type="noConversion"/>
  </si>
  <si>
    <t>1:13,34</t>
    <phoneticPr fontId="19" type="noConversion"/>
  </si>
  <si>
    <t>1:13,30</t>
    <phoneticPr fontId="19" type="noConversion"/>
  </si>
  <si>
    <t>1:13</t>
    <phoneticPr fontId="19" type="noConversion"/>
  </si>
  <si>
    <t>1:9</t>
    <phoneticPr fontId="19" type="noConversion"/>
  </si>
  <si>
    <t>1:34,22</t>
    <phoneticPr fontId="19" type="noConversion"/>
  </si>
  <si>
    <t>1:22,30</t>
    <phoneticPr fontId="19" type="noConversion"/>
  </si>
  <si>
    <t>1:22</t>
    <phoneticPr fontId="19" type="noConversion"/>
  </si>
  <si>
    <t>1:13,22</t>
    <phoneticPr fontId="19" type="noConversion"/>
  </si>
  <si>
    <t>1:35,22</t>
    <phoneticPr fontId="19" type="noConversion"/>
  </si>
  <si>
    <t>1:33,10</t>
    <phoneticPr fontId="19" type="noConversion"/>
  </si>
  <si>
    <t>1:10,11</t>
    <phoneticPr fontId="19" type="noConversion"/>
  </si>
  <si>
    <t>1:15,18</t>
    <phoneticPr fontId="19" type="noConversion"/>
  </si>
  <si>
    <t>1:8,10</t>
    <phoneticPr fontId="19" type="noConversion"/>
  </si>
  <si>
    <t>13</t>
    <phoneticPr fontId="19" type="noConversion"/>
  </si>
  <si>
    <t>1:3,34</t>
    <phoneticPr fontId="19" type="noConversion"/>
  </si>
  <si>
    <t>1:4,32</t>
    <phoneticPr fontId="19" type="noConversion"/>
  </si>
  <si>
    <t>1:2,25</t>
    <phoneticPr fontId="19" type="noConversion"/>
  </si>
  <si>
    <t>1:16,26</t>
    <phoneticPr fontId="19" type="noConversion"/>
  </si>
  <si>
    <t>1:15,27</t>
    <phoneticPr fontId="19" type="noConversion"/>
  </si>
  <si>
    <t>46022:10000,-1</t>
    <phoneticPr fontId="19" type="noConversion"/>
  </si>
  <si>
    <t>13260:10000,-1</t>
    <phoneticPr fontId="19" type="noConversion"/>
  </si>
  <si>
    <t>650,100,100,100</t>
    <phoneticPr fontId="19" type="noConversion"/>
  </si>
  <si>
    <t>blue_treasureclass_i</t>
    <phoneticPr fontId="19" type="noConversion"/>
  </si>
  <si>
    <t>普通怪物精英化掉落
怪物必须是1类型
当精英化为蓝色怪物时读取</t>
    <phoneticPr fontId="19" type="noConversion"/>
  </si>
  <si>
    <t>treasureclass_i</t>
    <phoneticPr fontId="19" type="noConversion"/>
  </si>
  <si>
    <t>3600</t>
    <phoneticPr fontId="19" type="noConversion"/>
  </si>
  <si>
    <t>2500</t>
    <phoneticPr fontId="19" type="noConversion"/>
  </si>
  <si>
    <t>1200</t>
    <phoneticPr fontId="19" type="noConversion"/>
  </si>
  <si>
    <t>300</t>
    <phoneticPr fontId="19" type="noConversion"/>
  </si>
  <si>
    <t>200</t>
    <phoneticPr fontId="19" type="noConversion"/>
  </si>
  <si>
    <t>100</t>
    <phoneticPr fontId="19" type="noConversion"/>
  </si>
  <si>
    <t xml:space="preserve">  0</t>
    <phoneticPr fontId="19" type="noConversion"/>
  </si>
  <si>
    <t>13260:10000,-1;10024:10000,-1</t>
  </si>
  <si>
    <t>骷髅将领</t>
    <phoneticPr fontId="19" type="noConversion"/>
  </si>
  <si>
    <t>快速模式</t>
    <phoneticPr fontId="19" type="noConversion"/>
  </si>
  <si>
    <t>2009:10000,-1</t>
  </si>
  <si>
    <t>2009:10000,-1;31110:10000,-1;31112:10000,-1;31115:10000,-1</t>
  </si>
  <si>
    <t>2009:10000,-1;31514:10000,-1</t>
  </si>
  <si>
    <t>2009:10000,-1;31212:10000,-1</t>
  </si>
  <si>
    <t>2009:10000,-1;31234:10000,-1</t>
  </si>
  <si>
    <t>2009:10000,-1;31334:10000,-1</t>
  </si>
  <si>
    <t>2009:10000,-1;33125:10000,-1</t>
  </si>
  <si>
    <t>2009:10000,-1;33109:10000,-1</t>
  </si>
  <si>
    <t>20000:10000,-1;2009:10000,-1</t>
  </si>
  <si>
    <t>20000:10000,-1;2009:10000,-1;13260:10000,-1</t>
  </si>
  <si>
    <t>Act1极速boss</t>
    <phoneticPr fontId="19" type="noConversion"/>
  </si>
  <si>
    <t>Act2极速boss</t>
    <phoneticPr fontId="19" type="noConversion"/>
  </si>
  <si>
    <t>Act3极速boss</t>
    <phoneticPr fontId="19" type="noConversion"/>
  </si>
  <si>
    <t>Act4极速boss</t>
    <phoneticPr fontId="19" type="noConversion"/>
  </si>
  <si>
    <t>Act5极速boss</t>
    <phoneticPr fontId="19" type="noConversion"/>
  </si>
  <si>
    <t xml:space="preserve">
特殊的配置在这里
iconID</t>
    <phoneticPr fontId="19" type="noConversion"/>
  </si>
  <si>
    <t>map_icon_i</t>
    <phoneticPr fontId="19" type="noConversion"/>
  </si>
  <si>
    <t>毒液陷阱</t>
    <phoneticPr fontId="19" type="noConversion"/>
  </si>
  <si>
    <t>死亡陷阱</t>
    <phoneticPr fontId="19" type="noConversion"/>
  </si>
  <si>
    <t>200961</t>
    <phoneticPr fontId="19" type="noConversion"/>
  </si>
  <si>
    <t>汇总</t>
  </si>
  <si>
    <t>200972</t>
    <phoneticPr fontId="19" type="noConversion"/>
  </si>
  <si>
    <t>缝合巨尸</t>
    <phoneticPr fontId="19" type="noConversion"/>
  </si>
  <si>
    <t>无尽-终BOSS</t>
    <phoneticPr fontId="19" type="noConversion"/>
  </si>
  <si>
    <t>闪电箭矢 装备召唤</t>
    <phoneticPr fontId="19" type="noConversion"/>
  </si>
  <si>
    <t>20000:10000,-1;2009:10000,-1;13260:10000,-1;41047:10000,-1</t>
    <phoneticPr fontId="19" type="noConversion"/>
  </si>
  <si>
    <t>刺客儿子</t>
    <phoneticPr fontId="19" type="noConversion"/>
  </si>
  <si>
    <t>540191</t>
  </si>
  <si>
    <t>2</t>
    <phoneticPr fontId="19" type="noConversion"/>
  </si>
  <si>
    <t>刺客儿子远程</t>
    <phoneticPr fontId="19" type="noConversion"/>
  </si>
  <si>
    <t>200952,200951</t>
    <phoneticPr fontId="19" type="noConversion"/>
  </si>
  <si>
    <t>ATK_RNG_PER_i</t>
    <phoneticPr fontId="19" type="noConversion"/>
  </si>
  <si>
    <t>AOE_RNG_PER_i</t>
    <phoneticPr fontId="19" type="noConversion"/>
  </si>
  <si>
    <t>BAT_RNG_PER_i</t>
    <phoneticPr fontId="19" type="noConversion"/>
  </si>
  <si>
    <t>近战范围
430</t>
    <phoneticPr fontId="19" type="noConversion"/>
  </si>
  <si>
    <t>区域范围
432</t>
    <phoneticPr fontId="19" type="noConversion"/>
  </si>
  <si>
    <t>弹道范围
434</t>
    <phoneticPr fontId="19" type="noConversion"/>
  </si>
  <si>
    <r>
      <t>1</t>
    </r>
    <r>
      <rPr>
        <sz val="11"/>
        <color theme="1"/>
        <rFont val="等线"/>
        <family val="3"/>
        <charset val="134"/>
        <scheme val="minor"/>
      </rPr>
      <t>:</t>
    </r>
    <phoneticPr fontId="19" type="noConversion"/>
  </si>
  <si>
    <r>
      <t>;</t>
    </r>
    <r>
      <rPr>
        <sz val="11"/>
        <color theme="1"/>
        <rFont val="等线"/>
        <family val="3"/>
        <charset val="134"/>
        <scheme val="minor"/>
      </rPr>
      <t>2:</t>
    </r>
    <phoneticPr fontId="19" type="noConversion"/>
  </si>
  <si>
    <r>
      <t>;</t>
    </r>
    <r>
      <rPr>
        <sz val="11"/>
        <color theme="1"/>
        <rFont val="等线"/>
        <family val="3"/>
        <charset val="134"/>
        <scheme val="minor"/>
      </rPr>
      <t>3:</t>
    </r>
    <r>
      <rPr>
        <sz val="11"/>
        <color theme="1"/>
        <rFont val="等线"/>
        <family val="2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</si>
  <si>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4:</t>
    </r>
    <r>
      <rPr>
        <sz val="11"/>
        <color theme="1"/>
        <rFont val="等线"/>
        <family val="2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</si>
  <si>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5:</t>
    </r>
    <r>
      <rPr>
        <sz val="11"/>
        <color theme="1"/>
        <rFont val="等线"/>
        <family val="2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</si>
  <si>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6:</t>
    </r>
    <r>
      <rPr>
        <sz val="11"/>
        <color theme="1"/>
        <rFont val="等线"/>
        <family val="2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</si>
  <si>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7:</t>
    </r>
    <r>
      <rPr>
        <sz val="11"/>
        <color theme="1"/>
        <rFont val="等线"/>
        <family val="2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</si>
  <si>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8:</t>
    </r>
    <r>
      <rPr>
        <sz val="11"/>
        <color theme="1"/>
        <rFont val="等线"/>
        <family val="2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</si>
  <si>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9:</t>
    </r>
    <r>
      <rPr>
        <sz val="11"/>
        <color theme="1"/>
        <rFont val="等线"/>
        <family val="2"/>
        <scheme val="minor"/>
      </rPr>
      <t/>
    </r>
  </si>
  <si>
    <r>
      <t>;10:</t>
    </r>
    <r>
      <rPr>
        <sz val="11"/>
        <color theme="1"/>
        <rFont val="等线"/>
        <family val="2"/>
        <scheme val="minor"/>
      </rPr>
      <t/>
    </r>
    <phoneticPr fontId="19" type="noConversion"/>
  </si>
  <si>
    <t>300010</t>
    <phoneticPr fontId="19" type="noConversion"/>
  </si>
  <si>
    <t>300011</t>
    <phoneticPr fontId="19" type="noConversion"/>
  </si>
  <si>
    <t>300012</t>
    <phoneticPr fontId="19" type="noConversion"/>
  </si>
  <si>
    <t>300013</t>
    <phoneticPr fontId="19" type="noConversion"/>
  </si>
  <si>
    <t>300014</t>
    <phoneticPr fontId="19" type="noConversion"/>
  </si>
  <si>
    <t>300015</t>
    <phoneticPr fontId="19" type="noConversion"/>
  </si>
  <si>
    <t>300016</t>
    <phoneticPr fontId="19" type="noConversion"/>
  </si>
  <si>
    <t>300017</t>
    <phoneticPr fontId="19" type="noConversion"/>
  </si>
  <si>
    <t>300018</t>
    <phoneticPr fontId="19" type="noConversion"/>
  </si>
  <si>
    <t>300019</t>
    <phoneticPr fontId="19" type="noConversion"/>
  </si>
  <si>
    <t>300020</t>
    <phoneticPr fontId="19" type="noConversion"/>
  </si>
  <si>
    <t>300030</t>
  </si>
  <si>
    <t>300040</t>
  </si>
  <si>
    <t>300050</t>
  </si>
  <si>
    <t>300060</t>
  </si>
  <si>
    <t>300070</t>
  </si>
  <si>
    <t>300080</t>
  </si>
  <si>
    <t>300090</t>
  </si>
  <si>
    <t>300100</t>
  </si>
  <si>
    <t>300110</t>
  </si>
  <si>
    <t>300120</t>
  </si>
  <si>
    <t>300130</t>
  </si>
  <si>
    <t>300140</t>
  </si>
  <si>
    <t>300150</t>
  </si>
  <si>
    <t>300160</t>
  </si>
  <si>
    <t>300170</t>
  </si>
  <si>
    <t>300180</t>
  </si>
  <si>
    <t>300190</t>
  </si>
  <si>
    <t>300200</t>
  </si>
  <si>
    <t>300210</t>
  </si>
  <si>
    <t>300220</t>
  </si>
  <si>
    <t>300230</t>
  </si>
  <si>
    <t>300031</t>
  </si>
  <si>
    <t>300041</t>
  </si>
  <si>
    <t>300051</t>
  </si>
  <si>
    <t>300061</t>
  </si>
  <si>
    <t>300071</t>
  </si>
  <si>
    <t>300081</t>
  </si>
  <si>
    <t>300091</t>
  </si>
  <si>
    <t>300101</t>
  </si>
  <si>
    <t>300111</t>
  </si>
  <si>
    <t>300121</t>
  </si>
  <si>
    <t>300131</t>
  </si>
  <si>
    <t>300141</t>
  </si>
  <si>
    <t>300151</t>
  </si>
  <si>
    <t>300161</t>
  </si>
  <si>
    <t>300171</t>
  </si>
  <si>
    <t>300181</t>
  </si>
  <si>
    <t>300191</t>
  </si>
  <si>
    <t>300201</t>
  </si>
  <si>
    <t>300211</t>
  </si>
  <si>
    <t>300221</t>
  </si>
  <si>
    <t>300231</t>
  </si>
  <si>
    <r>
      <t>1:</t>
    </r>
    <r>
      <rPr>
        <sz val="11"/>
        <color theme="1"/>
        <rFont val="等线"/>
        <family val="3"/>
        <charset val="134"/>
        <scheme val="minor"/>
      </rPr>
      <t/>
    </r>
  </si>
  <si>
    <r>
      <t>;</t>
    </r>
    <r>
      <rPr>
        <sz val="11"/>
        <color theme="1"/>
        <rFont val="等线"/>
        <family val="3"/>
        <charset val="134"/>
        <scheme val="minor"/>
      </rPr>
      <t>2:</t>
    </r>
    <r>
      <rPr>
        <sz val="11"/>
        <color theme="1"/>
        <rFont val="等线"/>
        <family val="2"/>
        <scheme val="minor"/>
      </rPr>
      <t/>
    </r>
  </si>
  <si>
    <t>;10:</t>
  </si>
  <si>
    <t>300021</t>
    <phoneticPr fontId="19" type="noConversion"/>
  </si>
  <si>
    <t>300241</t>
  </si>
  <si>
    <t>300251</t>
  </si>
  <si>
    <t>300261</t>
  </si>
  <si>
    <t>300271</t>
  </si>
  <si>
    <t>300281</t>
  </si>
  <si>
    <t>300291</t>
  </si>
  <si>
    <t>300301</t>
  </si>
  <si>
    <t>300311</t>
  </si>
  <si>
    <t>300321</t>
  </si>
  <si>
    <t>300022</t>
    <phoneticPr fontId="19" type="noConversion"/>
  </si>
  <si>
    <t>300032</t>
  </si>
  <si>
    <t>300042</t>
  </si>
  <si>
    <t>300052</t>
  </si>
  <si>
    <t>300062</t>
  </si>
  <si>
    <t>300072</t>
  </si>
  <si>
    <t>300082</t>
  </si>
  <si>
    <t>300092</t>
  </si>
  <si>
    <t>300102</t>
  </si>
  <si>
    <t>300112</t>
  </si>
  <si>
    <t>300122</t>
  </si>
  <si>
    <t>300132</t>
  </si>
  <si>
    <t>300142</t>
  </si>
  <si>
    <t>300152</t>
  </si>
  <si>
    <t>300162</t>
  </si>
  <si>
    <t>300172</t>
  </si>
  <si>
    <t>300182</t>
  </si>
  <si>
    <t>300192</t>
  </si>
  <si>
    <t>300202</t>
  </si>
  <si>
    <t>300212</t>
  </si>
  <si>
    <t>300222</t>
  </si>
  <si>
    <t>300232</t>
  </si>
  <si>
    <t>300242</t>
  </si>
  <si>
    <t>300252</t>
  </si>
  <si>
    <t>300023</t>
    <phoneticPr fontId="19" type="noConversion"/>
  </si>
  <si>
    <t>300033</t>
  </si>
  <si>
    <t>300043</t>
  </si>
  <si>
    <t>300053</t>
  </si>
  <si>
    <t>300063</t>
  </si>
  <si>
    <t>300073</t>
  </si>
  <si>
    <t>300083</t>
  </si>
  <si>
    <t>300093</t>
  </si>
  <si>
    <t>300103</t>
  </si>
  <si>
    <t>300113</t>
  </si>
  <si>
    <t>300123</t>
  </si>
  <si>
    <t>300133</t>
  </si>
  <si>
    <t>300143</t>
  </si>
  <si>
    <t>300153</t>
  </si>
  <si>
    <t>300163</t>
  </si>
  <si>
    <t>300173</t>
  </si>
  <si>
    <t>300183</t>
  </si>
  <si>
    <t>300193</t>
  </si>
  <si>
    <t>300203</t>
  </si>
  <si>
    <t>300213</t>
  </si>
  <si>
    <t>300223</t>
  </si>
  <si>
    <t>300233</t>
  </si>
  <si>
    <t>300243</t>
  </si>
  <si>
    <t>300253</t>
  </si>
  <si>
    <t>300263</t>
  </si>
  <si>
    <t>300273</t>
  </si>
  <si>
    <t>300283</t>
  </si>
  <si>
    <t>300293</t>
  </si>
  <si>
    <t>300024</t>
    <phoneticPr fontId="19" type="noConversion"/>
  </si>
  <si>
    <t>300034</t>
  </si>
  <si>
    <t>300044</t>
  </si>
  <si>
    <t>300054</t>
  </si>
  <si>
    <t>300064</t>
  </si>
  <si>
    <t>300074</t>
  </si>
  <si>
    <t>300084</t>
  </si>
  <si>
    <t>300094</t>
  </si>
  <si>
    <t>300104</t>
  </si>
  <si>
    <t>300114</t>
  </si>
  <si>
    <t>300124</t>
  </si>
  <si>
    <t>300134</t>
  </si>
  <si>
    <t>300144</t>
  </si>
  <si>
    <t>300154</t>
  </si>
  <si>
    <t>300164</t>
  </si>
  <si>
    <t>300174</t>
  </si>
  <si>
    <t>300184</t>
  </si>
  <si>
    <t>300194</t>
  </si>
  <si>
    <t>300204</t>
  </si>
  <si>
    <t>300214</t>
  </si>
  <si>
    <t>300224</t>
  </si>
  <si>
    <t>300234</t>
  </si>
  <si>
    <t>300244</t>
  </si>
  <si>
    <t>300254</t>
  </si>
  <si>
    <t>300264</t>
  </si>
  <si>
    <t>300274</t>
  </si>
  <si>
    <t>300025</t>
    <phoneticPr fontId="19" type="noConversion"/>
  </si>
  <si>
    <t>300035</t>
  </si>
  <si>
    <t>300045</t>
  </si>
  <si>
    <t>300055</t>
  </si>
  <si>
    <t>300065</t>
  </si>
  <si>
    <t>300075</t>
  </si>
  <si>
    <t>300085</t>
  </si>
  <si>
    <t>300095</t>
  </si>
  <si>
    <t>300105</t>
  </si>
  <si>
    <t>300115</t>
  </si>
  <si>
    <t>300125</t>
  </si>
  <si>
    <t>300135</t>
  </si>
  <si>
    <t>300145</t>
  </si>
  <si>
    <t>300155</t>
  </si>
  <si>
    <t>300165</t>
  </si>
  <si>
    <t>300175</t>
  </si>
  <si>
    <t>300185</t>
  </si>
  <si>
    <t>300195</t>
  </si>
  <si>
    <t>300205</t>
  </si>
  <si>
    <t>300215</t>
  </si>
  <si>
    <t>300225</t>
  </si>
  <si>
    <t>300235</t>
  </si>
  <si>
    <t>300245</t>
  </si>
  <si>
    <t>300255</t>
  </si>
  <si>
    <t>300265</t>
  </si>
  <si>
    <t>300275</t>
  </si>
  <si>
    <t>300285</t>
  </si>
  <si>
    <t>300295</t>
  </si>
  <si>
    <t>300305</t>
  </si>
  <si>
    <t>300026</t>
    <phoneticPr fontId="19" type="noConversion"/>
  </si>
  <si>
    <t>300036</t>
  </si>
  <si>
    <t>300046</t>
  </si>
  <si>
    <t>300056</t>
  </si>
  <si>
    <t>300066</t>
  </si>
  <si>
    <t>300076</t>
  </si>
  <si>
    <t>300086</t>
  </si>
  <si>
    <t>300096</t>
  </si>
  <si>
    <t>300106</t>
  </si>
  <si>
    <t>300116</t>
  </si>
  <si>
    <t>300126</t>
  </si>
  <si>
    <t>300136</t>
  </si>
  <si>
    <t>300146</t>
  </si>
  <si>
    <t>300156</t>
  </si>
  <si>
    <t>300166</t>
  </si>
  <si>
    <t>300176</t>
  </si>
  <si>
    <t>300186</t>
  </si>
  <si>
    <t>300196</t>
  </si>
  <si>
    <t>300206</t>
  </si>
  <si>
    <t>300216</t>
  </si>
  <si>
    <t>300226</t>
  </si>
  <si>
    <t>300236</t>
  </si>
  <si>
    <t>300246</t>
  </si>
  <si>
    <t>300256</t>
  </si>
  <si>
    <t>300266</t>
  </si>
  <si>
    <t>300276</t>
  </si>
  <si>
    <t>300286</t>
  </si>
  <si>
    <t>300296</t>
  </si>
  <si>
    <t>300306</t>
  </si>
  <si>
    <t>300027</t>
    <phoneticPr fontId="19" type="noConversion"/>
  </si>
  <si>
    <t>300037</t>
  </si>
  <si>
    <t>300047</t>
  </si>
  <si>
    <t>300057</t>
  </si>
  <si>
    <t>300067</t>
  </si>
  <si>
    <t>300077</t>
  </si>
  <si>
    <t>300087</t>
  </si>
  <si>
    <t>300097</t>
  </si>
  <si>
    <t>300107</t>
  </si>
  <si>
    <t>300117</t>
  </si>
  <si>
    <t>300127</t>
  </si>
  <si>
    <t>300137</t>
  </si>
  <si>
    <t>300147</t>
  </si>
  <si>
    <t>300157</t>
  </si>
  <si>
    <t>300167</t>
  </si>
  <si>
    <t>300177</t>
  </si>
  <si>
    <t>300187</t>
  </si>
  <si>
    <t>300197</t>
  </si>
  <si>
    <t>300207</t>
  </si>
  <si>
    <t>300028</t>
    <phoneticPr fontId="19" type="noConversion"/>
  </si>
  <si>
    <t>300038</t>
  </si>
  <si>
    <t>300048</t>
  </si>
  <si>
    <t>300058</t>
  </si>
  <si>
    <t>300068</t>
  </si>
  <si>
    <t>300078</t>
  </si>
  <si>
    <t>300088</t>
  </si>
  <si>
    <t>300098</t>
  </si>
  <si>
    <t>300108</t>
  </si>
  <si>
    <t>300118</t>
  </si>
  <si>
    <t>300128</t>
  </si>
  <si>
    <t>300138</t>
  </si>
  <si>
    <t>300148</t>
  </si>
  <si>
    <t>300158</t>
  </si>
  <si>
    <t>300168</t>
  </si>
  <si>
    <t>300178</t>
  </si>
  <si>
    <t>300188</t>
  </si>
  <si>
    <t>300198</t>
  </si>
  <si>
    <t>300208</t>
  </si>
  <si>
    <t>300218</t>
  </si>
  <si>
    <t>300228</t>
  </si>
  <si>
    <t>300238</t>
  </si>
  <si>
    <t>300029</t>
    <phoneticPr fontId="19" type="noConversion"/>
  </si>
  <si>
    <t>300039</t>
  </si>
  <si>
    <t>300049</t>
  </si>
  <si>
    <t>300059</t>
  </si>
  <si>
    <t>300069</t>
  </si>
  <si>
    <t>300079</t>
  </si>
  <si>
    <t>300089</t>
  </si>
  <si>
    <t>300099</t>
  </si>
  <si>
    <t>300109</t>
  </si>
  <si>
    <t>300119</t>
  </si>
  <si>
    <t>300129</t>
  </si>
  <si>
    <t>300139</t>
  </si>
  <si>
    <t>300149</t>
  </si>
  <si>
    <t>300159</t>
  </si>
  <si>
    <t>300169</t>
  </si>
  <si>
    <t>300179</t>
  </si>
  <si>
    <t>300189</t>
  </si>
  <si>
    <t>300199</t>
  </si>
  <si>
    <t>300209</t>
  </si>
  <si>
    <t>300219</t>
  </si>
  <si>
    <t>300229</t>
  </si>
  <si>
    <t>300239</t>
  </si>
  <si>
    <t>300249</t>
  </si>
  <si>
    <t>300259</t>
  </si>
  <si>
    <t>300269</t>
  </si>
  <si>
    <t>300279</t>
  </si>
  <si>
    <t>300289</t>
  </si>
  <si>
    <t>300299</t>
  </si>
  <si>
    <t>300309</t>
  </si>
  <si>
    <t>300319</t>
  </si>
  <si>
    <t>300217</t>
  </si>
  <si>
    <t>300227</t>
  </si>
  <si>
    <t>300237</t>
  </si>
  <si>
    <t>300247</t>
  </si>
  <si>
    <t>300257</t>
  </si>
  <si>
    <t>300267</t>
  </si>
  <si>
    <t>300277</t>
  </si>
  <si>
    <t>300287</t>
  </si>
  <si>
    <t>300297</t>
  </si>
  <si>
    <t>300240</t>
  </si>
  <si>
    <t>300250</t>
  </si>
  <si>
    <t>300260</t>
  </si>
  <si>
    <t>300270</t>
  </si>
  <si>
    <t>300280</t>
  </si>
  <si>
    <t>300290</t>
  </si>
  <si>
    <t>300300</t>
  </si>
  <si>
    <t>300310</t>
  </si>
  <si>
    <t>300320</t>
  </si>
  <si>
    <t>300330</t>
  </si>
  <si>
    <t>300340</t>
  </si>
  <si>
    <t>300331</t>
  </si>
  <si>
    <t>300341</t>
  </si>
  <si>
    <t>300350</t>
  </si>
  <si>
    <t>300360</t>
  </si>
  <si>
    <t>300370</t>
  </si>
  <si>
    <t>300380</t>
  </si>
  <si>
    <t>300390</t>
  </si>
  <si>
    <t>300400</t>
  </si>
  <si>
    <t>300410</t>
  </si>
  <si>
    <t>300351</t>
  </si>
  <si>
    <t>300361</t>
  </si>
  <si>
    <t>300371</t>
  </si>
  <si>
    <t>300381</t>
  </si>
  <si>
    <t>300391</t>
  </si>
  <si>
    <t>300401</t>
  </si>
  <si>
    <t>300411</t>
  </si>
  <si>
    <t>300262</t>
  </si>
  <si>
    <t>300272</t>
  </si>
  <si>
    <t>300282</t>
  </si>
  <si>
    <t>300292</t>
  </si>
  <si>
    <t>300302</t>
  </si>
  <si>
    <t>300312</t>
  </si>
  <si>
    <t>300322</t>
  </si>
  <si>
    <t>300332</t>
  </si>
  <si>
    <t>300342</t>
  </si>
  <si>
    <t>300352</t>
  </si>
  <si>
    <t>300362</t>
  </si>
  <si>
    <t>300372</t>
  </si>
  <si>
    <t>300382</t>
  </si>
  <si>
    <t>300392</t>
  </si>
  <si>
    <t>300402</t>
  </si>
  <si>
    <t>300412</t>
  </si>
  <si>
    <t>300303</t>
  </si>
  <si>
    <t>300313</t>
  </si>
  <si>
    <t>300323</t>
  </si>
  <si>
    <t>300333</t>
  </si>
  <si>
    <t>300343</t>
  </si>
  <si>
    <t>300353</t>
  </si>
  <si>
    <t>300363</t>
  </si>
  <si>
    <t>300373</t>
  </si>
  <si>
    <t>300383</t>
  </si>
  <si>
    <t>300393</t>
  </si>
  <si>
    <t>300403</t>
  </si>
  <si>
    <t>300413</t>
  </si>
  <si>
    <t>300284</t>
  </si>
  <si>
    <t>300294</t>
  </si>
  <si>
    <t>300304</t>
  </si>
  <si>
    <t>300314</t>
  </si>
  <si>
    <t>300324</t>
  </si>
  <si>
    <t>300334</t>
  </si>
  <si>
    <t>300344</t>
  </si>
  <si>
    <t>300354</t>
  </si>
  <si>
    <t>300364</t>
  </si>
  <si>
    <t>300374</t>
  </si>
  <si>
    <t>300384</t>
  </si>
  <si>
    <t>300394</t>
  </si>
  <si>
    <t>300404</t>
  </si>
  <si>
    <t>300414</t>
  </si>
  <si>
    <t>300315</t>
  </si>
  <si>
    <t>300325</t>
  </si>
  <si>
    <t>300335</t>
  </si>
  <si>
    <t>300345</t>
  </si>
  <si>
    <t>300355</t>
  </si>
  <si>
    <t>300365</t>
  </si>
  <si>
    <t>300375</t>
  </si>
  <si>
    <t>300385</t>
  </si>
  <si>
    <t>300395</t>
  </si>
  <si>
    <t>300405</t>
  </si>
  <si>
    <t>300415</t>
  </si>
  <si>
    <t>300316</t>
  </si>
  <si>
    <t>300326</t>
  </si>
  <si>
    <t>300336</t>
  </si>
  <si>
    <t>300346</t>
  </si>
  <si>
    <t>300356</t>
  </si>
  <si>
    <t>300366</t>
  </si>
  <si>
    <t>300376</t>
  </si>
  <si>
    <t>300386</t>
  </si>
  <si>
    <t>300396</t>
  </si>
  <si>
    <t>300406</t>
  </si>
  <si>
    <t>300416</t>
  </si>
  <si>
    <t>300307</t>
  </si>
  <si>
    <t>300317</t>
  </si>
  <si>
    <t>300327</t>
  </si>
  <si>
    <t>300337</t>
  </si>
  <si>
    <t>300347</t>
  </si>
  <si>
    <t>300357</t>
  </si>
  <si>
    <t>300367</t>
  </si>
  <si>
    <t>300377</t>
  </si>
  <si>
    <t>300387</t>
  </si>
  <si>
    <t>300397</t>
  </si>
  <si>
    <t>300407</t>
  </si>
  <si>
    <t>300417</t>
  </si>
  <si>
    <t>300248</t>
  </si>
  <si>
    <t>300258</t>
  </si>
  <si>
    <t>300268</t>
  </si>
  <si>
    <t>300278</t>
  </si>
  <si>
    <t>300288</t>
  </si>
  <si>
    <t>300298</t>
  </si>
  <si>
    <t>300308</t>
  </si>
  <si>
    <t>300318</t>
  </si>
  <si>
    <t>300328</t>
  </si>
  <si>
    <t>300338</t>
  </si>
  <si>
    <t>300348</t>
  </si>
  <si>
    <t>300358</t>
  </si>
  <si>
    <t>300368</t>
  </si>
  <si>
    <t>300378</t>
  </si>
  <si>
    <t>300388</t>
  </si>
  <si>
    <t>300398</t>
  </si>
  <si>
    <t>300408</t>
  </si>
  <si>
    <t>300418</t>
  </si>
  <si>
    <t>300329</t>
  </si>
  <si>
    <t>300339</t>
  </si>
  <si>
    <t>300349</t>
  </si>
  <si>
    <t>300359</t>
  </si>
  <si>
    <t>300369</t>
  </si>
  <si>
    <t>300379</t>
  </si>
  <si>
    <t>300389</t>
  </si>
  <si>
    <t>300399</t>
  </si>
  <si>
    <t>300409</t>
  </si>
  <si>
    <t>300419</t>
  </si>
  <si>
    <t>骨魂1级</t>
    <phoneticPr fontId="19" type="noConversion"/>
  </si>
  <si>
    <t>骨魂2级</t>
  </si>
  <si>
    <t>骨魂3级</t>
  </si>
  <si>
    <t>骨魂4级</t>
  </si>
  <si>
    <t>骨魂5级</t>
  </si>
  <si>
    <t>骨魂6级</t>
  </si>
  <si>
    <t>骨魂7级</t>
  </si>
  <si>
    <t>骨魂8级</t>
  </si>
  <si>
    <t>骨魂9级</t>
  </si>
  <si>
    <t>骨魂10级</t>
  </si>
  <si>
    <t>1:300010;2:300011;3:300012;4:300013;5:300014;6:300015;7:300016;8:300017;9:300018;10:300019</t>
  </si>
  <si>
    <t>1:300020;2:300021;3:300022;4:300023;5:300024;6:300025;7:300026;8:300027;9:300028;10:300029</t>
  </si>
  <si>
    <t>1:300030;2:300031;3:300032;4:300033;5:300034;6:300035;7:300036;8:300037;9:300038;10:300039</t>
  </si>
  <si>
    <t>1:300040;2:300041;3:300042;4:300043;5:300044;6:300045;7:300046;8:300047;9:300048;10:300049</t>
  </si>
  <si>
    <t>1:300050;2:300051;3:300052;4:300053;5:300054;6:300055;7:300056;8:300057;9:300058;10:300059</t>
  </si>
  <si>
    <t>1:300060;2:300061;3:300062;4:300063;5:300064;6:300065;7:300066;8:300067;9:300068;10:300069</t>
  </si>
  <si>
    <t>1:300070;2:300071;3:300072;4:300073;5:300074;6:300075;7:300076;8:300077;9:300078;10:300079</t>
  </si>
  <si>
    <t>1:300080;2:300081;3:300082;4:300083;5:300084;6:300085;7:300086;8:300087;9:300088;10:300089</t>
  </si>
  <si>
    <t>1:300090;2:300091;3:300092;4:300093;5:300094;6:300095;7:300096;8:300097;9:300098;10:300099</t>
  </si>
  <si>
    <t>冰霜陷阱</t>
    <phoneticPr fontId="19" type="noConversion"/>
  </si>
  <si>
    <t>冰霜陷阱1级</t>
    <phoneticPr fontId="19" type="noConversion"/>
  </si>
  <si>
    <t>冰霜陷阱2级</t>
  </si>
  <si>
    <t>冰霜陷阱3级</t>
  </si>
  <si>
    <t>冰霜陷阱4级</t>
  </si>
  <si>
    <t>冰霜陷阱5级</t>
  </si>
  <si>
    <t>冰霜陷阱6级</t>
  </si>
  <si>
    <t>冰霜陷阱7级</t>
  </si>
  <si>
    <t>冰霜陷阱8级</t>
  </si>
  <si>
    <t>冰霜陷阱9级</t>
  </si>
  <si>
    <t>冰霜陷阱10级</t>
  </si>
  <si>
    <t>闪电陷阱</t>
    <phoneticPr fontId="19" type="noConversion"/>
  </si>
  <si>
    <t>闪电陷阱1级</t>
    <phoneticPr fontId="19" type="noConversion"/>
  </si>
  <si>
    <t>闪电陷阱2级</t>
  </si>
  <si>
    <t>闪电陷阱3级</t>
  </si>
  <si>
    <t>闪电陷阱4级</t>
  </si>
  <si>
    <t>闪电陷阱5级</t>
  </si>
  <si>
    <t>闪电陷阱6级</t>
  </si>
  <si>
    <t>闪电陷阱7级</t>
  </si>
  <si>
    <t>闪电陷阱8级</t>
  </si>
  <si>
    <t>闪电陷阱9级</t>
  </si>
  <si>
    <t>闪电陷阱10级</t>
  </si>
  <si>
    <t>火焰陷阱</t>
    <phoneticPr fontId="19" type="noConversion"/>
  </si>
  <si>
    <t>火焰陷阱1级</t>
    <phoneticPr fontId="19" type="noConversion"/>
  </si>
  <si>
    <t>火焰陷阱2级</t>
  </si>
  <si>
    <t>火焰陷阱3级</t>
  </si>
  <si>
    <t>火焰陷阱4级</t>
  </si>
  <si>
    <t>火焰陷阱5级</t>
  </si>
  <si>
    <t>火焰陷阱6级</t>
  </si>
  <si>
    <t>火焰陷阱7级</t>
  </si>
  <si>
    <t>火焰陷阱8级</t>
  </si>
  <si>
    <t>火焰陷阱9级</t>
  </si>
  <si>
    <t>火焰陷阱10级</t>
  </si>
  <si>
    <t>剑刃陷阱</t>
    <phoneticPr fontId="19" type="noConversion"/>
  </si>
  <si>
    <t>剑刃陷阱1级</t>
    <phoneticPr fontId="19" type="noConversion"/>
  </si>
  <si>
    <t>剑刃陷阱2级</t>
  </si>
  <si>
    <t>剑刃陷阱3级</t>
  </si>
  <si>
    <t>剑刃陷阱4级</t>
  </si>
  <si>
    <t>剑刃陷阱5级</t>
  </si>
  <si>
    <t>剑刃陷阱6级</t>
  </si>
  <si>
    <t>剑刃陷阱7级</t>
  </si>
  <si>
    <t>剑刃陷阱8级</t>
  </si>
  <si>
    <t>剑刃陷阱9级</t>
  </si>
  <si>
    <t>剑刃陷阱10级</t>
  </si>
  <si>
    <t>1:300100;2:300101;3:300102;4:300103;5:300104;6:300105;7:300106;8:300107;9:300108;10:300109</t>
  </si>
  <si>
    <t>1:300110;2:300111;3:300112;4:300113;5:300114;6:300115;7:300116;8:300117;9:300118;10:300119</t>
  </si>
  <si>
    <t>1:300120;2:300121;3:300122;4:300123;5:300124;6:300125;7:300126;8:300127;9:300128;10:300129</t>
  </si>
  <si>
    <t>1:300130;2:300131;3:300132;4:300133;5:300134;6:300135;7:300136;8:300137;9:300138;10:300139</t>
  </si>
  <si>
    <t>1:300140;2:300141;3:300142;4:300143;5:300144;6:300145;7:300146;8:300147;9:300148;10:300149</t>
  </si>
  <si>
    <t>高级骷髅战士1级</t>
    <phoneticPr fontId="19" type="noConversion"/>
  </si>
  <si>
    <t>高级骷髅战士2级</t>
  </si>
  <si>
    <t>高级骷髅战士3级</t>
  </si>
  <si>
    <t>高级骷髅战士4级</t>
  </si>
  <si>
    <t>高级骷髅战士5级</t>
  </si>
  <si>
    <t>高级骷髅战士6级</t>
  </si>
  <si>
    <t>高级骷髅战士7级</t>
  </si>
  <si>
    <t>高级骷髅战士8级</t>
  </si>
  <si>
    <t>高级骷髅战士9级</t>
  </si>
  <si>
    <t>高级骷髅战士10级</t>
  </si>
  <si>
    <t>135</t>
  </si>
  <si>
    <t>115</t>
  </si>
  <si>
    <t>155</t>
  </si>
  <si>
    <t>175</t>
  </si>
  <si>
    <t>195</t>
  </si>
  <si>
    <t>215</t>
  </si>
  <si>
    <t>235</t>
  </si>
  <si>
    <t>90</t>
  </si>
  <si>
    <t>200</t>
  </si>
  <si>
    <t>1:300150;2:300151;3:300152;4:300153;5:300154;6:300155;7:300156;8:300157;9:300158;10:300159</t>
  </si>
  <si>
    <t>1:300160;2:300161;3:300162;4:300163;5:300164;6:300165;7:300166;8:300167;9:300168;10:300169</t>
  </si>
  <si>
    <t>1:300170;2:300171;3:300172;4:300173;5:300174;6:300175;7:300176;8:300177;9:300178;10:300179</t>
  </si>
  <si>
    <t>1:300180;2:300181;3:300182;4:300183;5:300184;6:300185;7:300186;8:300187;9:300188;10:300189</t>
  </si>
  <si>
    <t>1:300190;2:300191;3:300192;4:300193;5:300194;6:300195;7:300196;8:300197;9:300198;10:300199</t>
  </si>
  <si>
    <t>火元素1级</t>
    <phoneticPr fontId="19" type="noConversion"/>
  </si>
  <si>
    <t>火元素2级</t>
  </si>
  <si>
    <t>火元素3级</t>
  </si>
  <si>
    <t>火元素4级</t>
  </si>
  <si>
    <t>火元素5级</t>
  </si>
  <si>
    <t>火元素6级</t>
  </si>
  <si>
    <t>火元素7级</t>
  </si>
  <si>
    <t>火元素8级</t>
  </si>
  <si>
    <t>火元素9级</t>
  </si>
  <si>
    <t>火元素10级</t>
    <phoneticPr fontId="19" type="noConversion"/>
  </si>
  <si>
    <t>冰元素1级</t>
    <phoneticPr fontId="19" type="noConversion"/>
  </si>
  <si>
    <t>冰元素2级</t>
  </si>
  <si>
    <t>冰元素3级</t>
  </si>
  <si>
    <t>冰元素4级</t>
  </si>
  <si>
    <t>冰元素5级</t>
  </si>
  <si>
    <t>冰元素6级</t>
  </si>
  <si>
    <t>冰元素7级</t>
  </si>
  <si>
    <t>冰元素8级</t>
  </si>
  <si>
    <t>冰元素9级</t>
  </si>
  <si>
    <t>冰元素10级</t>
  </si>
  <si>
    <t>雷元素1级</t>
    <phoneticPr fontId="19" type="noConversion"/>
  </si>
  <si>
    <t>雷元素2级</t>
  </si>
  <si>
    <t>雷元素3级</t>
  </si>
  <si>
    <t>雷元素4级</t>
  </si>
  <si>
    <t>雷元素5级</t>
  </si>
  <si>
    <t>雷元素6级</t>
  </si>
  <si>
    <t>雷元素7级</t>
  </si>
  <si>
    <t>雷元素8级</t>
  </si>
  <si>
    <t>雷元素9级</t>
  </si>
  <si>
    <t>雷元素10级</t>
  </si>
  <si>
    <t>毒液陷阱1级</t>
    <phoneticPr fontId="19" type="noConversion"/>
  </si>
  <si>
    <t>毒液陷阱2级</t>
  </si>
  <si>
    <t>毒液陷阱3级</t>
  </si>
  <si>
    <t>毒液陷阱4级</t>
  </si>
  <si>
    <t>毒液陷阱5级</t>
  </si>
  <si>
    <t>毒液陷阱6级</t>
  </si>
  <si>
    <t>毒液陷阱7级</t>
  </si>
  <si>
    <t>毒液陷阱8级</t>
  </si>
  <si>
    <t>毒液陷阱9级</t>
  </si>
  <si>
    <t>毒液陷阱10级</t>
  </si>
  <si>
    <t>死亡陷阱1级</t>
    <phoneticPr fontId="19" type="noConversion"/>
  </si>
  <si>
    <t>死亡陷阱2级</t>
  </si>
  <si>
    <t>死亡陷阱3级</t>
  </si>
  <si>
    <t>死亡陷阱4级</t>
  </si>
  <si>
    <t>死亡陷阱5级</t>
  </si>
  <si>
    <t>死亡陷阱6级</t>
  </si>
  <si>
    <t>死亡陷阱7级</t>
  </si>
  <si>
    <t>死亡陷阱8级</t>
  </si>
  <si>
    <t>死亡陷阱9级</t>
  </si>
  <si>
    <t>死亡陷阱10级</t>
  </si>
  <si>
    <t>刺客儿子1级</t>
    <phoneticPr fontId="19" type="noConversion"/>
  </si>
  <si>
    <t>刺客儿子2级</t>
  </si>
  <si>
    <t>刺客儿子3级</t>
  </si>
  <si>
    <t>刺客儿子4级</t>
  </si>
  <si>
    <t>刺客儿子5级</t>
  </si>
  <si>
    <t>刺客儿子6级</t>
  </si>
  <si>
    <t>刺客儿子7级</t>
  </si>
  <si>
    <t>刺客儿子8级</t>
  </si>
  <si>
    <t>刺客儿子9级</t>
  </si>
  <si>
    <t>刺客儿子10级</t>
  </si>
  <si>
    <t>刺客儿子远程1级</t>
    <phoneticPr fontId="19" type="noConversion"/>
  </si>
  <si>
    <t>刺客儿子远程2级</t>
  </si>
  <si>
    <t>刺客儿子远程3级</t>
  </si>
  <si>
    <t>刺客儿子远程4级</t>
  </si>
  <si>
    <t>刺客儿子远程5级</t>
  </si>
  <si>
    <t>刺客儿子远程6级</t>
  </si>
  <si>
    <t>刺客儿子远程7级</t>
  </si>
  <si>
    <t>刺客儿子远程8级</t>
  </si>
  <si>
    <t>刺客儿子远程9级</t>
  </si>
  <si>
    <t>刺客儿子远程10级</t>
  </si>
  <si>
    <t>20</t>
    <phoneticPr fontId="19" type="noConversion"/>
  </si>
  <si>
    <t>40</t>
    <phoneticPr fontId="19" type="noConversion"/>
  </si>
  <si>
    <t>120</t>
  </si>
  <si>
    <t>140</t>
  </si>
  <si>
    <t>160</t>
  </si>
  <si>
    <t>180</t>
  </si>
  <si>
    <t>1:300200;2:300201;3:300202;4:300203;5:300204;6:300205;7:300206;8:300207;9:300208;10:300209</t>
  </si>
  <si>
    <t>1:300210;2:300211;3:300212;4:300213;5:300214;6:300215;7:300216;8:300217;9:300218;10:300219</t>
  </si>
  <si>
    <t>1:300220;2:300221;3:300222;4:300223;5:300224;6:300225;7:300226;8:300227;9:300228;10:300229</t>
  </si>
  <si>
    <t>1:300230;2:300231;3:300232;4:300233;5:300234;6:300235;7:300236;8:300237;9:300238;10:300239</t>
  </si>
  <si>
    <t>1:300240;2:300241;3:300242;4:300243;5:300244;6:300245;7:300246;8:300247;9:300248;10:300249</t>
  </si>
  <si>
    <t>1:300250;2:300251;3:300252;4:300253;5:300254;6:300255;7:300256;8:300257;9:300258;10:300259</t>
  </si>
  <si>
    <t>1:300260;2:300261;3:300262;4:300263;5:300264;6:300265;7:300266;8:300267;9:300268;10:300269</t>
  </si>
  <si>
    <t>梦魇怪物-梦魇眼球-测试用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</si>
</sst>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9C0006"/>
      <name val="等线"/>
      <family val="3"/>
      <charset val="134"/>
      <scheme val="minor"/>
    </font>
    <font>
      <sz val="11"/>
      <color theme="1"/>
      <name val="Tahoma"/>
      <family val="2"/>
    </font>
    <font>
      <sz val="12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3"/>
      <color theme="3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3997924741355632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BAB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AD69F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F6BEF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ck">
        <color theme="4" tint="0.49998474074526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7">
    <xf numFmtId="0" fontId="0" fillId="0" borderId="0"/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12" fillId="0" borderId="0"/>
    <xf numFmtId="0" fontId="13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</cellStyleXfs>
  <cellXfs count="322">
    <xf numFmtId="0" fontId="0" fillId="0" borderId="0" xfId="0"/>
    <xf numFmtId="0" fontId="3" fillId="0" borderId="0" xfId="0" applyFont="1"/>
    <xf numFmtId="0" fontId="3" fillId="0" borderId="2" xfId="0" applyFont="1" applyBorder="1"/>
    <xf numFmtId="0" fontId="0" fillId="3" borderId="0" xfId="0" applyFill="1"/>
    <xf numFmtId="0" fontId="4" fillId="0" borderId="0" xfId="0" applyFont="1"/>
    <xf numFmtId="0" fontId="3" fillId="0" borderId="5" xfId="0" applyFont="1" applyBorder="1"/>
    <xf numFmtId="0" fontId="3" fillId="0" borderId="6" xfId="0" applyFont="1" applyBorder="1"/>
    <xf numFmtId="176" fontId="0" fillId="0" borderId="0" xfId="0" applyNumberFormat="1"/>
    <xf numFmtId="0" fontId="0" fillId="4" borderId="0" xfId="0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right"/>
    </xf>
    <xf numFmtId="0" fontId="3" fillId="6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7" fontId="3" fillId="0" borderId="1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0" fillId="5" borderId="0" xfId="0" applyFill="1"/>
    <xf numFmtId="0" fontId="0" fillId="0" borderId="16" xfId="0" applyBorder="1" applyAlignment="1">
      <alignment horizontal="center"/>
    </xf>
    <xf numFmtId="0" fontId="3" fillId="3" borderId="0" xfId="0" applyFont="1" applyFill="1" applyAlignment="1">
      <alignment horizontal="center"/>
    </xf>
    <xf numFmtId="176" fontId="0" fillId="0" borderId="0" xfId="0" applyNumberFormat="1" applyAlignment="1">
      <alignment horizontal="center"/>
    </xf>
    <xf numFmtId="0" fontId="3" fillId="8" borderId="0" xfId="0" applyFont="1" applyFill="1" applyAlignment="1">
      <alignment horizontal="left"/>
    </xf>
    <xf numFmtId="0" fontId="0" fillId="8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1" borderId="21" xfId="0" applyFont="1" applyFill="1" applyBorder="1" applyAlignment="1">
      <alignment horizontal="center"/>
    </xf>
    <xf numFmtId="0" fontId="0" fillId="0" borderId="16" xfId="0" applyBorder="1"/>
    <xf numFmtId="0" fontId="0" fillId="7" borderId="16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3" fillId="13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3" fillId="14" borderId="0" xfId="0" applyFont="1" applyFill="1" applyAlignment="1">
      <alignment horizontal="left"/>
    </xf>
    <xf numFmtId="0" fontId="0" fillId="14" borderId="26" xfId="0" applyFill="1" applyBorder="1" applyAlignment="1">
      <alignment horizontal="center"/>
    </xf>
    <xf numFmtId="0" fontId="3" fillId="14" borderId="26" xfId="0" applyFont="1" applyFill="1" applyBorder="1" applyAlignment="1">
      <alignment horizontal="left"/>
    </xf>
    <xf numFmtId="0" fontId="3" fillId="0" borderId="26" xfId="0" applyFont="1" applyBorder="1" applyAlignment="1">
      <alignment horizontal="center"/>
    </xf>
    <xf numFmtId="0" fontId="3" fillId="15" borderId="16" xfId="0" applyFont="1" applyFill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24" xfId="0" applyFont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3" fillId="17" borderId="16" xfId="0" applyFont="1" applyFill="1" applyBorder="1" applyAlignment="1">
      <alignment horizontal="center"/>
    </xf>
    <xf numFmtId="49" fontId="6" fillId="0" borderId="0" xfId="0" applyNumberFormat="1" applyFont="1" applyAlignment="1">
      <alignment horizontal="left"/>
    </xf>
    <xf numFmtId="0" fontId="0" fillId="18" borderId="16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3" fillId="20" borderId="25" xfId="1" applyBorder="1" applyAlignment="1">
      <alignment horizontal="center" vertical="center"/>
    </xf>
    <xf numFmtId="0" fontId="3" fillId="20" borderId="16" xfId="1" applyBorder="1" applyAlignment="1">
      <alignment horizontal="center" vertical="center"/>
    </xf>
    <xf numFmtId="0" fontId="3" fillId="7" borderId="29" xfId="3" applyBorder="1" applyAlignment="1">
      <alignment horizontal="center" vertical="center"/>
    </xf>
    <xf numFmtId="0" fontId="3" fillId="6" borderId="16" xfId="4" applyBorder="1" applyAlignment="1">
      <alignment horizontal="center" vertical="center"/>
    </xf>
    <xf numFmtId="0" fontId="4" fillId="6" borderId="16" xfId="4" applyFont="1" applyBorder="1" applyAlignment="1">
      <alignment horizontal="center" vertical="center"/>
    </xf>
    <xf numFmtId="0" fontId="0" fillId="18" borderId="25" xfId="0" applyFill="1" applyBorder="1" applyAlignment="1">
      <alignment horizontal="center"/>
    </xf>
    <xf numFmtId="0" fontId="3" fillId="18" borderId="16" xfId="0" applyFont="1" applyFill="1" applyBorder="1" applyAlignment="1">
      <alignment horizontal="center"/>
    </xf>
    <xf numFmtId="0" fontId="3" fillId="19" borderId="29" xfId="2" applyBorder="1" applyAlignment="1">
      <alignment horizontal="center" vertical="center"/>
    </xf>
    <xf numFmtId="0" fontId="6" fillId="19" borderId="2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6" fillId="0" borderId="29" xfId="0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0" fontId="3" fillId="7" borderId="16" xfId="3" applyBorder="1" applyAlignment="1">
      <alignment horizontal="center"/>
    </xf>
    <xf numFmtId="0" fontId="3" fillId="7" borderId="29" xfId="3" applyBorder="1" applyAlignment="1">
      <alignment horizontal="center"/>
    </xf>
    <xf numFmtId="0" fontId="6" fillId="19" borderId="16" xfId="0" applyFont="1" applyFill="1" applyBorder="1" applyAlignment="1">
      <alignment horizontal="center" vertical="center"/>
    </xf>
    <xf numFmtId="49" fontId="6" fillId="0" borderId="31" xfId="0" applyNumberFormat="1" applyFont="1" applyBorder="1" applyAlignment="1">
      <alignment horizontal="left"/>
    </xf>
    <xf numFmtId="0" fontId="3" fillId="21" borderId="29" xfId="3" applyFill="1" applyBorder="1" applyAlignment="1">
      <alignment horizontal="center" vertical="center"/>
    </xf>
    <xf numFmtId="0" fontId="3" fillId="22" borderId="29" xfId="3" applyFill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/>
    </xf>
    <xf numFmtId="0" fontId="3" fillId="20" borderId="22" xfId="1" applyBorder="1" applyAlignment="1">
      <alignment horizontal="center" vertical="center"/>
    </xf>
    <xf numFmtId="49" fontId="6" fillId="0" borderId="29" xfId="0" applyNumberFormat="1" applyFont="1" applyBorder="1" applyAlignment="1">
      <alignment horizontal="left"/>
    </xf>
    <xf numFmtId="49" fontId="6" fillId="0" borderId="32" xfId="0" applyNumberFormat="1" applyFont="1" applyBorder="1" applyAlignment="1">
      <alignment horizontal="left"/>
    </xf>
    <xf numFmtId="0" fontId="3" fillId="18" borderId="22" xfId="0" applyFont="1" applyFill="1" applyBorder="1" applyAlignment="1">
      <alignment horizontal="center"/>
    </xf>
    <xf numFmtId="0" fontId="6" fillId="19" borderId="23" xfId="0" applyFont="1" applyFill="1" applyBorder="1" applyAlignment="1">
      <alignment horizontal="center" vertical="center"/>
    </xf>
    <xf numFmtId="49" fontId="6" fillId="0" borderId="25" xfId="0" applyNumberFormat="1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49" fontId="6" fillId="19" borderId="16" xfId="0" applyNumberFormat="1" applyFont="1" applyFill="1" applyBorder="1" applyAlignment="1">
      <alignment horizontal="left"/>
    </xf>
    <xf numFmtId="49" fontId="6" fillId="7" borderId="16" xfId="0" applyNumberFormat="1" applyFont="1" applyFill="1" applyBorder="1" applyAlignment="1">
      <alignment horizontal="left"/>
    </xf>
    <xf numFmtId="49" fontId="6" fillId="18" borderId="0" xfId="0" applyNumberFormat="1" applyFont="1" applyFill="1" applyAlignment="1">
      <alignment horizontal="center"/>
    </xf>
    <xf numFmtId="0" fontId="6" fillId="0" borderId="30" xfId="0" applyFont="1" applyBorder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6" fillId="0" borderId="0" xfId="0" applyNumberFormat="1" applyFont="1"/>
    <xf numFmtId="49" fontId="7" fillId="0" borderId="16" xfId="0" applyNumberFormat="1" applyFont="1" applyBorder="1" applyAlignment="1">
      <alignment horizontal="left"/>
    </xf>
    <xf numFmtId="49" fontId="7" fillId="20" borderId="16" xfId="0" applyNumberFormat="1" applyFont="1" applyFill="1" applyBorder="1" applyAlignment="1">
      <alignment vertical="center" wrapText="1"/>
    </xf>
    <xf numFmtId="49" fontId="7" fillId="6" borderId="16" xfId="0" applyNumberFormat="1" applyFont="1" applyFill="1" applyBorder="1" applyAlignment="1">
      <alignment horizontal="center" vertical="center" wrapText="1"/>
    </xf>
    <xf numFmtId="49" fontId="7" fillId="0" borderId="16" xfId="0" applyNumberFormat="1" applyFont="1" applyBorder="1" applyAlignment="1">
      <alignment vertical="center" wrapText="1"/>
    </xf>
    <xf numFmtId="49" fontId="6" fillId="0" borderId="16" xfId="0" applyNumberFormat="1" applyFont="1" applyBorder="1" applyAlignment="1">
      <alignment horizontal="left" vertical="center" wrapText="1"/>
    </xf>
    <xf numFmtId="49" fontId="6" fillId="20" borderId="16" xfId="0" applyNumberFormat="1" applyFont="1" applyFill="1" applyBorder="1" applyAlignment="1">
      <alignment horizontal="left" vertical="center" wrapText="1"/>
    </xf>
    <xf numFmtId="49" fontId="6" fillId="6" borderId="16" xfId="0" applyNumberFormat="1" applyFont="1" applyFill="1" applyBorder="1" applyAlignment="1">
      <alignment horizontal="center" vertical="center" wrapText="1"/>
    </xf>
    <xf numFmtId="49" fontId="6" fillId="22" borderId="16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left"/>
    </xf>
    <xf numFmtId="0" fontId="6" fillId="0" borderId="16" xfId="0" applyFont="1" applyBorder="1"/>
    <xf numFmtId="0" fontId="6" fillId="23" borderId="22" xfId="0" applyFont="1" applyFill="1" applyBorder="1"/>
    <xf numFmtId="0" fontId="6" fillId="23" borderId="16" xfId="0" applyFont="1" applyFill="1" applyBorder="1"/>
    <xf numFmtId="49" fontId="6" fillId="23" borderId="16" xfId="0" applyNumberFormat="1" applyFont="1" applyFill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4" xfId="0" applyFont="1" applyFill="1" applyBorder="1"/>
    <xf numFmtId="0" fontId="6" fillId="6" borderId="16" xfId="0" applyFont="1" applyFill="1" applyBorder="1"/>
    <xf numFmtId="0" fontId="6" fillId="0" borderId="24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6" fillId="24" borderId="34" xfId="0" applyFont="1" applyFill="1" applyBorder="1"/>
    <xf numFmtId="0" fontId="6" fillId="24" borderId="16" xfId="0" applyFont="1" applyFill="1" applyBorder="1"/>
    <xf numFmtId="0" fontId="0" fillId="6" borderId="16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" fillId="25" borderId="29" xfId="0" applyFont="1" applyFill="1" applyBorder="1" applyAlignment="1">
      <alignment horizontal="center"/>
    </xf>
    <xf numFmtId="49" fontId="6" fillId="26" borderId="29" xfId="0" applyNumberFormat="1" applyFont="1" applyFill="1" applyBorder="1" applyAlignment="1">
      <alignment horizontal="center"/>
    </xf>
    <xf numFmtId="49" fontId="6" fillId="18" borderId="29" xfId="0" applyNumberFormat="1" applyFont="1" applyFill="1" applyBorder="1" applyAlignment="1">
      <alignment horizontal="center"/>
    </xf>
    <xf numFmtId="49" fontId="6" fillId="18" borderId="16" xfId="0" applyNumberFormat="1" applyFont="1" applyFill="1" applyBorder="1" applyAlignment="1">
      <alignment horizontal="center"/>
    </xf>
    <xf numFmtId="49" fontId="7" fillId="7" borderId="16" xfId="0" applyNumberFormat="1" applyFont="1" applyFill="1" applyBorder="1" applyAlignment="1">
      <alignment horizontal="center" vertical="center" wrapText="1"/>
    </xf>
    <xf numFmtId="49" fontId="7" fillId="13" borderId="22" xfId="0" applyNumberFormat="1" applyFont="1" applyFill="1" applyBorder="1" applyAlignment="1">
      <alignment horizontal="center" vertical="center" wrapText="1"/>
    </xf>
    <xf numFmtId="49" fontId="8" fillId="22" borderId="16" xfId="0" applyNumberFormat="1" applyFont="1" applyFill="1" applyBorder="1" applyAlignment="1">
      <alignment horizontal="center" vertical="center" wrapText="1"/>
    </xf>
    <xf numFmtId="49" fontId="8" fillId="7" borderId="16" xfId="0" applyNumberFormat="1" applyFont="1" applyFill="1" applyBorder="1" applyAlignment="1">
      <alignment horizontal="center" vertical="center" wrapText="1"/>
    </xf>
    <xf numFmtId="49" fontId="8" fillId="6" borderId="16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/>
    </xf>
    <xf numFmtId="0" fontId="6" fillId="4" borderId="0" xfId="0" applyFont="1" applyFill="1"/>
    <xf numFmtId="49" fontId="7" fillId="20" borderId="16" xfId="0" applyNumberFormat="1" applyFont="1" applyFill="1" applyBorder="1" applyAlignment="1">
      <alignment horizontal="center" vertical="center" wrapText="1"/>
    </xf>
    <xf numFmtId="0" fontId="7" fillId="13" borderId="24" xfId="0" applyFont="1" applyFill="1" applyBorder="1" applyAlignment="1">
      <alignment horizontal="center"/>
    </xf>
    <xf numFmtId="0" fontId="7" fillId="20" borderId="16" xfId="0" applyFont="1" applyFill="1" applyBorder="1" applyAlignment="1">
      <alignment horizontal="center"/>
    </xf>
    <xf numFmtId="49" fontId="8" fillId="20" borderId="16" xfId="0" applyNumberFormat="1" applyFont="1" applyFill="1" applyBorder="1" applyAlignment="1">
      <alignment horizontal="center" vertical="center" wrapText="1"/>
    </xf>
    <xf numFmtId="49" fontId="6" fillId="13" borderId="16" xfId="0" applyNumberFormat="1" applyFont="1" applyFill="1" applyBorder="1" applyAlignment="1">
      <alignment horizontal="center" vertical="center" wrapText="1"/>
    </xf>
    <xf numFmtId="49" fontId="6" fillId="27" borderId="16" xfId="0" applyNumberFormat="1" applyFont="1" applyFill="1" applyBorder="1" applyAlignment="1">
      <alignment horizontal="center" vertical="center" wrapText="1"/>
    </xf>
    <xf numFmtId="49" fontId="6" fillId="20" borderId="16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49" fontId="7" fillId="28" borderId="16" xfId="0" applyNumberFormat="1" applyFont="1" applyFill="1" applyBorder="1" applyAlignment="1">
      <alignment horizontal="center" vertical="center" wrapText="1"/>
    </xf>
    <xf numFmtId="49" fontId="7" fillId="29" borderId="16" xfId="0" applyNumberFormat="1" applyFont="1" applyFill="1" applyBorder="1" applyAlignment="1">
      <alignment horizontal="center" vertical="center" wrapText="1"/>
    </xf>
    <xf numFmtId="49" fontId="8" fillId="28" borderId="16" xfId="0" applyNumberFormat="1" applyFont="1" applyFill="1" applyBorder="1" applyAlignment="1">
      <alignment horizontal="center" vertical="center" wrapText="1"/>
    </xf>
    <xf numFmtId="49" fontId="8" fillId="29" borderId="16" xfId="0" applyNumberFormat="1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7" borderId="16" xfId="0" applyFont="1" applyFill="1" applyBorder="1" applyAlignment="1">
      <alignment horizontal="center" vertical="center" wrapText="1"/>
    </xf>
    <xf numFmtId="0" fontId="8" fillId="20" borderId="16" xfId="0" applyFont="1" applyFill="1" applyBorder="1" applyAlignment="1">
      <alignment horizontal="center" vertical="center" wrapText="1"/>
    </xf>
    <xf numFmtId="49" fontId="6" fillId="0" borderId="16" xfId="0" applyNumberFormat="1" applyFont="1" applyBorder="1"/>
    <xf numFmtId="0" fontId="8" fillId="0" borderId="0" xfId="0" applyFont="1" applyAlignment="1">
      <alignment horizontal="left" vertical="center"/>
    </xf>
    <xf numFmtId="0" fontId="10" fillId="0" borderId="16" xfId="0" applyFont="1" applyBorder="1" applyAlignment="1">
      <alignment horizontal="left"/>
    </xf>
    <xf numFmtId="49" fontId="7" fillId="30" borderId="24" xfId="0" applyNumberFormat="1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13" borderId="16" xfId="0" applyFont="1" applyFill="1" applyBorder="1" applyAlignment="1">
      <alignment horizontal="center" vertical="center" wrapText="1"/>
    </xf>
    <xf numFmtId="49" fontId="8" fillId="30" borderId="16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/>
    </xf>
    <xf numFmtId="49" fontId="7" fillId="7" borderId="24" xfId="0" applyNumberFormat="1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49" fontId="9" fillId="18" borderId="16" xfId="0" applyNumberFormat="1" applyFont="1" applyFill="1" applyBorder="1" applyAlignment="1">
      <alignment horizontal="center" vertical="center" wrapText="1"/>
    </xf>
    <xf numFmtId="49" fontId="6" fillId="7" borderId="16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/>
    </xf>
    <xf numFmtId="49" fontId="6" fillId="0" borderId="16" xfId="0" applyNumberFormat="1" applyFont="1" applyBorder="1" applyAlignment="1">
      <alignment horizontal="left" vertical="center"/>
    </xf>
    <xf numFmtId="49" fontId="7" fillId="31" borderId="16" xfId="0" applyNumberFormat="1" applyFont="1" applyFill="1" applyBorder="1" applyAlignment="1">
      <alignment horizontal="center" vertical="center" wrapText="1"/>
    </xf>
    <xf numFmtId="0" fontId="6" fillId="31" borderId="16" xfId="0" applyFont="1" applyFill="1" applyBorder="1" applyAlignment="1">
      <alignment horizontal="center" vertical="center" wrapText="1"/>
    </xf>
    <xf numFmtId="0" fontId="6" fillId="32" borderId="16" xfId="0" applyFont="1" applyFill="1" applyBorder="1" applyAlignment="1">
      <alignment horizontal="center" vertical="center" wrapText="1"/>
    </xf>
    <xf numFmtId="49" fontId="7" fillId="32" borderId="1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49" fontId="9" fillId="0" borderId="0" xfId="0" applyNumberFormat="1" applyFont="1" applyAlignment="1">
      <alignment horizontal="left"/>
    </xf>
    <xf numFmtId="0" fontId="10" fillId="0" borderId="29" xfId="0" applyFont="1" applyBorder="1" applyAlignment="1">
      <alignment horizontal="left"/>
    </xf>
    <xf numFmtId="0" fontId="3" fillId="18" borderId="25" xfId="0" applyFont="1" applyFill="1" applyBorder="1" applyAlignment="1">
      <alignment horizontal="center"/>
    </xf>
    <xf numFmtId="0" fontId="9" fillId="0" borderId="29" xfId="0" applyFont="1" applyBorder="1" applyAlignment="1">
      <alignment horizontal="left"/>
    </xf>
    <xf numFmtId="49" fontId="9" fillId="0" borderId="16" xfId="0" applyNumberFormat="1" applyFont="1" applyBorder="1" applyAlignment="1">
      <alignment horizontal="left"/>
    </xf>
    <xf numFmtId="0" fontId="6" fillId="0" borderId="28" xfId="0" applyFont="1" applyBorder="1"/>
    <xf numFmtId="0" fontId="8" fillId="33" borderId="0" xfId="0" applyFont="1" applyFill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33" borderId="0" xfId="0" applyFont="1" applyFill="1"/>
    <xf numFmtId="49" fontId="6" fillId="18" borderId="16" xfId="0" applyNumberFormat="1" applyFont="1" applyFill="1" applyBorder="1" applyAlignment="1">
      <alignment horizontal="left"/>
    </xf>
    <xf numFmtId="0" fontId="9" fillId="0" borderId="16" xfId="0" applyFont="1" applyBorder="1" applyAlignment="1">
      <alignment horizontal="center" vertical="center"/>
    </xf>
    <xf numFmtId="0" fontId="8" fillId="0" borderId="7" xfId="0" applyFont="1" applyBorder="1"/>
    <xf numFmtId="0" fontId="9" fillId="0" borderId="28" xfId="0" applyFont="1" applyBorder="1"/>
    <xf numFmtId="0" fontId="9" fillId="33" borderId="16" xfId="0" applyFont="1" applyFill="1" applyBorder="1" applyAlignment="1">
      <alignment horizontal="center" vertical="center"/>
    </xf>
    <xf numFmtId="0" fontId="9" fillId="0" borderId="7" xfId="0" applyFont="1" applyBorder="1"/>
    <xf numFmtId="0" fontId="6" fillId="0" borderId="33" xfId="0" applyFont="1" applyBorder="1"/>
    <xf numFmtId="0" fontId="6" fillId="33" borderId="26" xfId="0" applyFont="1" applyFill="1" applyBorder="1"/>
    <xf numFmtId="0" fontId="8" fillId="0" borderId="31" xfId="0" applyFont="1" applyBorder="1" applyAlignment="1">
      <alignment horizontal="left" vertical="center"/>
    </xf>
    <xf numFmtId="0" fontId="6" fillId="34" borderId="25" xfId="0" applyFont="1" applyFill="1" applyBorder="1" applyAlignment="1">
      <alignment horizontal="left" vertical="center"/>
    </xf>
    <xf numFmtId="0" fontId="6" fillId="34" borderId="16" xfId="0" applyFont="1" applyFill="1" applyBorder="1" applyAlignment="1">
      <alignment horizontal="left" vertical="center"/>
    </xf>
    <xf numFmtId="49" fontId="6" fillId="34" borderId="0" xfId="0" applyNumberFormat="1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24" borderId="16" xfId="0" applyFont="1" applyFill="1" applyBorder="1" applyAlignment="1">
      <alignment horizontal="left"/>
    </xf>
    <xf numFmtId="0" fontId="3" fillId="0" borderId="16" xfId="0" applyFont="1" applyBorder="1" applyAlignment="1">
      <alignment horizontal="center" vertical="center"/>
    </xf>
    <xf numFmtId="0" fontId="21" fillId="38" borderId="16" xfId="15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4" fillId="37" borderId="16" xfId="13" applyBorder="1" applyAlignment="1">
      <alignment horizontal="center" vertical="center"/>
    </xf>
    <xf numFmtId="0" fontId="5" fillId="39" borderId="0" xfId="16" applyFont="1" applyAlignment="1">
      <alignment horizontal="center"/>
    </xf>
    <xf numFmtId="0" fontId="5" fillId="39" borderId="16" xfId="16" applyFont="1" applyBorder="1" applyAlignment="1">
      <alignment horizontal="center"/>
    </xf>
    <xf numFmtId="0" fontId="6" fillId="40" borderId="32" xfId="0" applyFont="1" applyFill="1" applyBorder="1" applyAlignment="1">
      <alignment horizontal="center" vertical="center"/>
    </xf>
    <xf numFmtId="0" fontId="3" fillId="40" borderId="29" xfId="0" applyFont="1" applyFill="1" applyBorder="1" applyAlignment="1">
      <alignment horizontal="center"/>
    </xf>
    <xf numFmtId="49" fontId="6" fillId="40" borderId="7" xfId="0" applyNumberFormat="1" applyFont="1" applyFill="1" applyBorder="1" applyAlignment="1">
      <alignment horizontal="left"/>
    </xf>
    <xf numFmtId="0" fontId="6" fillId="40" borderId="24" xfId="0" applyFont="1" applyFill="1" applyBorder="1" applyAlignment="1">
      <alignment horizontal="left"/>
    </xf>
    <xf numFmtId="0" fontId="5" fillId="39" borderId="0" xfId="16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6" fillId="33" borderId="29" xfId="0" applyFont="1" applyFill="1" applyBorder="1" applyAlignment="1">
      <alignment horizontal="center" vertical="center"/>
    </xf>
    <xf numFmtId="0" fontId="3" fillId="33" borderId="16" xfId="3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49" fontId="9" fillId="4" borderId="0" xfId="0" applyNumberFormat="1" applyFont="1" applyFill="1"/>
    <xf numFmtId="49" fontId="6" fillId="4" borderId="16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49" fontId="6" fillId="4" borderId="0" xfId="0" applyNumberFormat="1" applyFont="1" applyFill="1"/>
    <xf numFmtId="0" fontId="6" fillId="4" borderId="16" xfId="0" applyFont="1" applyFill="1" applyBorder="1" applyAlignment="1">
      <alignment horizontal="center" vertical="center" wrapText="1"/>
    </xf>
    <xf numFmtId="49" fontId="7" fillId="4" borderId="16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9" fillId="0" borderId="32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32" xfId="0" applyFont="1" applyBorder="1"/>
    <xf numFmtId="0" fontId="0" fillId="0" borderId="29" xfId="0" applyBorder="1" applyAlignment="1">
      <alignment horizontal="center"/>
    </xf>
    <xf numFmtId="0" fontId="3" fillId="0" borderId="29" xfId="2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49" fontId="3" fillId="0" borderId="0" xfId="0" applyNumberFormat="1" applyFont="1"/>
    <xf numFmtId="0" fontId="3" fillId="0" borderId="38" xfId="0" applyFont="1" applyBorder="1" applyAlignment="1">
      <alignment horizontal="center"/>
    </xf>
    <xf numFmtId="0" fontId="3" fillId="41" borderId="38" xfId="0" applyFont="1" applyFill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0" xfId="0" applyFont="1" applyBorder="1"/>
    <xf numFmtId="0" fontId="8" fillId="0" borderId="0" xfId="0" applyFont="1" applyBorder="1" applyAlignment="1">
      <alignment horizontal="left" vertical="center"/>
    </xf>
    <xf numFmtId="0" fontId="0" fillId="14" borderId="0" xfId="0" applyFill="1" applyAlignment="1">
      <alignment horizontal="left"/>
    </xf>
    <xf numFmtId="0" fontId="6" fillId="42" borderId="26" xfId="0" applyFont="1" applyFill="1" applyBorder="1"/>
    <xf numFmtId="0" fontId="6" fillId="0" borderId="16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center"/>
    </xf>
    <xf numFmtId="49" fontId="6" fillId="0" borderId="16" xfId="0" applyNumberFormat="1" applyFont="1" applyFill="1" applyBorder="1" applyAlignment="1">
      <alignment horizontal="left"/>
    </xf>
    <xf numFmtId="49" fontId="6" fillId="0" borderId="16" xfId="0" applyNumberFormat="1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 vertical="center"/>
    </xf>
    <xf numFmtId="0" fontId="0" fillId="18" borderId="30" xfId="0" applyFill="1" applyBorder="1" applyAlignment="1">
      <alignment horizontal="center"/>
    </xf>
    <xf numFmtId="0" fontId="6" fillId="18" borderId="16" xfId="0" applyFont="1" applyFill="1" applyBorder="1" applyAlignment="1">
      <alignment horizontal="center" vertical="center"/>
    </xf>
    <xf numFmtId="0" fontId="7" fillId="13" borderId="22" xfId="0" applyFont="1" applyFill="1" applyBorder="1" applyAlignment="1">
      <alignment horizontal="center"/>
    </xf>
    <xf numFmtId="0" fontId="7" fillId="13" borderId="23" xfId="0" applyFont="1" applyFill="1" applyBorder="1" applyAlignment="1">
      <alignment horizontal="center"/>
    </xf>
    <xf numFmtId="0" fontId="7" fillId="13" borderId="24" xfId="0" applyFont="1" applyFill="1" applyBorder="1" applyAlignment="1">
      <alignment horizontal="center"/>
    </xf>
    <xf numFmtId="0" fontId="7" fillId="6" borderId="22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7" fillId="20" borderId="22" xfId="0" applyFont="1" applyFill="1" applyBorder="1" applyAlignment="1">
      <alignment horizontal="center"/>
    </xf>
    <xf numFmtId="0" fontId="7" fillId="20" borderId="24" xfId="0" applyFont="1" applyFill="1" applyBorder="1" applyAlignment="1">
      <alignment horizontal="center"/>
    </xf>
    <xf numFmtId="49" fontId="7" fillId="6" borderId="22" xfId="0" applyNumberFormat="1" applyFont="1" applyFill="1" applyBorder="1" applyAlignment="1">
      <alignment horizontal="center"/>
    </xf>
    <xf numFmtId="49" fontId="7" fillId="6" borderId="23" xfId="0" applyNumberFormat="1" applyFont="1" applyFill="1" applyBorder="1" applyAlignment="1">
      <alignment horizontal="center"/>
    </xf>
    <xf numFmtId="49" fontId="7" fillId="6" borderId="24" xfId="0" applyNumberFormat="1" applyFont="1" applyFill="1" applyBorder="1" applyAlignment="1">
      <alignment horizontal="center"/>
    </xf>
    <xf numFmtId="49" fontId="7" fillId="13" borderId="22" xfId="0" applyNumberFormat="1" applyFont="1" applyFill="1" applyBorder="1" applyAlignment="1">
      <alignment horizontal="center" vertical="center" wrapText="1"/>
    </xf>
    <xf numFmtId="49" fontId="7" fillId="13" borderId="23" xfId="0" applyNumberFormat="1" applyFont="1" applyFill="1" applyBorder="1" applyAlignment="1">
      <alignment horizontal="center" vertical="center" wrapText="1"/>
    </xf>
    <xf numFmtId="49" fontId="7" fillId="13" borderId="24" xfId="0" applyNumberFormat="1" applyFont="1" applyFill="1" applyBorder="1" applyAlignment="1">
      <alignment horizontal="center" vertical="center" wrapText="1"/>
    </xf>
    <xf numFmtId="49" fontId="7" fillId="6" borderId="22" xfId="0" applyNumberFormat="1" applyFont="1" applyFill="1" applyBorder="1" applyAlignment="1">
      <alignment horizontal="center" vertical="center" wrapText="1"/>
    </xf>
    <xf numFmtId="49" fontId="7" fillId="6" borderId="24" xfId="0" applyNumberFormat="1" applyFont="1" applyFill="1" applyBorder="1" applyAlignment="1">
      <alignment horizontal="center" vertical="center" wrapText="1"/>
    </xf>
    <xf numFmtId="49" fontId="7" fillId="7" borderId="22" xfId="0" applyNumberFormat="1" applyFont="1" applyFill="1" applyBorder="1" applyAlignment="1">
      <alignment horizontal="center" vertical="center" wrapText="1"/>
    </xf>
    <xf numFmtId="49" fontId="7" fillId="7" borderId="23" xfId="0" applyNumberFormat="1" applyFont="1" applyFill="1" applyBorder="1" applyAlignment="1">
      <alignment horizontal="center" vertical="center" wrapText="1"/>
    </xf>
    <xf numFmtId="49" fontId="7" fillId="7" borderId="24" xfId="0" applyNumberFormat="1" applyFont="1" applyFill="1" applyBorder="1" applyAlignment="1">
      <alignment horizontal="center" vertical="center" wrapText="1"/>
    </xf>
    <xf numFmtId="49" fontId="7" fillId="4" borderId="22" xfId="0" applyNumberFormat="1" applyFont="1" applyFill="1" applyBorder="1" applyAlignment="1">
      <alignment horizontal="center" vertical="center" wrapText="1"/>
    </xf>
    <xf numFmtId="49" fontId="7" fillId="4" borderId="24" xfId="0" applyNumberFormat="1" applyFont="1" applyFill="1" applyBorder="1" applyAlignment="1">
      <alignment horizontal="center" vertical="center" wrapText="1"/>
    </xf>
    <xf numFmtId="49" fontId="7" fillId="4" borderId="23" xfId="0" applyNumberFormat="1" applyFont="1" applyFill="1" applyBorder="1" applyAlignment="1">
      <alignment horizontal="center" vertical="center" wrapText="1"/>
    </xf>
    <xf numFmtId="49" fontId="7" fillId="7" borderId="16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18" borderId="16" xfId="0" applyFont="1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0" fillId="0" borderId="35" xfId="14" applyAlignment="1">
      <alignment horizontal="center" vertical="center"/>
    </xf>
    <xf numFmtId="0" fontId="20" fillId="0" borderId="37" xfId="14" applyBorder="1" applyAlignment="1">
      <alignment horizontal="center" vertical="center"/>
    </xf>
    <xf numFmtId="0" fontId="20" fillId="0" borderId="7" xfId="14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7" borderId="16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7">
    <cellStyle name="40% - 着色 1" xfId="1" builtinId="31"/>
    <cellStyle name="40% - 着色 2" xfId="16" builtinId="35"/>
    <cellStyle name="40% - 着色 4" xfId="3" builtinId="43"/>
    <cellStyle name="40% - 着色 6" xfId="4" builtinId="51"/>
    <cellStyle name="60% - 强调文字颜色 1 2" xfId="5" xr:uid="{00000000-0005-0000-0000-000031000000}"/>
    <cellStyle name="60% - 着色 2" xfId="2" builtinId="36"/>
    <cellStyle name="百分比 10" xfId="6" xr:uid="{00000000-0005-0000-0000-000032000000}"/>
    <cellStyle name="标题 2" xfId="14" builtinId="17"/>
    <cellStyle name="差 2" xfId="7" xr:uid="{00000000-0005-0000-0000-000033000000}"/>
    <cellStyle name="常规" xfId="0" builtinId="0"/>
    <cellStyle name="常规 10" xfId="8" xr:uid="{00000000-0005-0000-0000-000034000000}"/>
    <cellStyle name="常规 10 2 2" xfId="9" xr:uid="{00000000-0005-0000-0000-000035000000}"/>
    <cellStyle name="常规 10 2 3" xfId="10" xr:uid="{00000000-0005-0000-0000-000036000000}"/>
    <cellStyle name="常规 11 2" xfId="11" xr:uid="{00000000-0005-0000-0000-000037000000}"/>
    <cellStyle name="常规 18" xfId="12" xr:uid="{00000000-0005-0000-0000-000038000000}"/>
    <cellStyle name="好 2" xfId="13" xr:uid="{00000000-0005-0000-0000-000039000000}"/>
    <cellStyle name="适中" xfId="15" builtinId="28"/>
  </cellStyles>
  <dxfs count="6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none"/>
      </fill>
      <alignment horizontal="center"/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numFmt numFmtId="30" formatCode="@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FF0000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微软雅黑"/>
        <family val="2"/>
        <charset val="134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微软雅黑"/>
        <scheme val="none"/>
      </font>
      <alignment horizontal="left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EF6BEF"/>
      <color rgb="FFAD69F1"/>
      <color rgb="FFF565CC"/>
      <color rgb="FFFF6600"/>
      <color rgb="FFF5B487"/>
      <color rgb="FFF2A0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monster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monster_name_i" form="unqualified"/>
                  <xsd:element minOccurs="0" nillable="true" type="xsd:integer" name="monster_icon_i" form="unqualified"/>
                  <xsd:element minOccurs="0" nillable="true" type="xsd:integer" name="map_icon_i" form="unqualified"/>
                  <xsd:element minOccurs="0" nillable="true" type="xsd:integer" name="descstr_i" form="unqualified"/>
                  <xsd:element minOccurs="0" nillable="true" type="xsd:integer" name="is_part_judge_i" form="unqualified"/>
                  <xsd:element minOccurs="0" nillable="true" type="xsd:integer" name="cross_scene_i" form="unqualified"/>
                  <xsd:element minOccurs="0" nillable="true" type="xsd:integer" name="monster_type_i" form="unqualified"/>
                  <xsd:element minOccurs="0" nillable="true" type="xsd:integer" name="close_boss_i" form="unqualified"/>
                  <xsd:element minOccurs="0" nillable="true" type="xsd:integer" name="symbiosis_monster_l" form="unqualified"/>
                  <xsd:element minOccurs="0" nillable="true" type="xsd:integer" name="physical_click_i" form="unqualified"/>
                  <xsd:element minOccurs="0" nillable="true" type="xsd:integer" name="shader_i" form="unqualified"/>
                  <xsd:element minOccurs="0" nillable="true" type="xsd:integer" name="montype_i" form="unqualified"/>
                  <xsd:element minOccurs="0" nillable="true" type="xsd:integer" name="monrace_i" form="unqualified"/>
                  <xsd:element minOccurs="0" nillable="true" type="xsd:integer" name="multi_shot_i" form="unqualified"/>
                  <xsd:element minOccurs="0" nillable="true" type="xsd:integer" name="lv_i" form="unqualified"/>
                  <xsd:element minOccurs="0" nillable="true" type="xsd:integer" name="lv_n_i" form="unqualified"/>
                  <xsd:element minOccurs="0" nillable="true" type="xsd:integer" name="lv_h_i" form="unqualified"/>
                  <xsd:element minOccurs="0" nillable="true" type="xsd:integer" name="monsound_i" form="unqualified"/>
                  <xsd:element minOccurs="0" nillable="true" type="xsd:integer" name="umonsound_i" form="unqualified"/>
                  <xsd:element minOccurs="0" nillable="true" type="xsd:integer" name="symbiotic_monster_l" form="unqualified"/>
                  <xsd:element minOccurs="0" nillable="true" type="xsd:integer" name="model_id_i" form="unqualified"/>
                  <xsd:element minOccurs="0" nillable="true" type="xsd:integer" name="model_scale_i" form="unqualified"/>
                  <xsd:element minOccurs="0" nillable="true" type="xsd:integer" name="shape_i" form="unqualified"/>
                  <xsd:element minOccurs="0" nillable="true" type="xsd:integer" name="weight_i" form="unqualified"/>
                  <xsd:element minOccurs="0" nillable="true" type="xsd:integer" name="model_Logic_i" form="unqualified"/>
                  <xsd:element minOccurs="0" nillable="true" type="xsd:integer" name="through_wall_i" form="unqualified"/>
                  <xsd:element minOccurs="0" nillable="true" type="xsd:integer" name="size_i" form="unqualified"/>
                  <xsd:element minOccurs="0" nillable="true" type="xsd:integer" name="effect_size_i" form="unqualified"/>
                  <xsd:element minOccurs="0" nillable="true" type="xsd:integer" name="hit_pause_i" form="unqualified"/>
                  <xsd:element minOccurs="0" nillable="true" type="xsd:integer" name="exit_action_i" form="unqualified"/>
                  <xsd:element minOccurs="0" nillable="true" type="xsd:integer" name="exit_fx_s" form="unqualified"/>
                  <xsd:element minOccurs="0" nillable="true" type="xsd:integer" name="fx_skill_s" form="unqualified"/>
                  <xsd:element minOccurs="0" nillable="true" type="xsd:integer" name="faction_i" form="unqualified"/>
                  <xsd:element minOccurs="0" nillable="true" type="xsd:integer" name="ai_id_i" form="unqualified"/>
                  <xsd:element minOccurs="0" nillable="true" type="xsd:integer" name="search_range_i" form="unqualified"/>
                  <xsd:element minOccurs="0" nillable="true" type="xsd:integer" name="ai_search_i" form="unqualified"/>
                  <xsd:element minOccurs="0" nillable="true" type="xsd:integer" name="skill_ids_l" form="unqualified"/>
                  <xsd:element minOccurs="0" nillable="true" type="xsd:integer" name="skill_lv_l" form="unqualified"/>
                  <xsd:element minOccurs="0" nillable="true" type="xsd:integer" name="skill_ids_2_l" form="unqualified"/>
                  <xsd:element minOccurs="0" nillable="true" type="xsd:integer" name="skill_lv_2_l" form="unqualified"/>
                  <xsd:element minOccurs="0" nillable="true" type="xsd:integer" name="skill_ids_3_l" form="unqualified"/>
                  <xsd:element minOccurs="0" nillable="true" type="xsd:integer" name="skill_lv_3_l" form="unqualified"/>
                  <xsd:element minOccurs="0" nillable="true" type="xsd:string" name="skill_buff_n" form="unqualified"/>
                  <xsd:element minOccurs="0" nillable="true" type="xsd:integer" name="fly_distance_l" form="unqualified"/>
                  <xsd:element minOccurs="0" nillable="true" type="xsd:integer" name="counter_attack_n" form="unqualified"/>
                  <xsd:element minOccurs="0" nillable="true" type="xsd:integer" name="die_type_l" form="unqualified"/>
                  <xsd:element minOccurs="0" nillable="true" type="xsd:integer" name="die_special_s" form="unqualified"/>
                  <xsd:element minOccurs="0" nillable="true" type="xsd:integer" name="die_way_i" form="unqualified"/>
                  <xsd:element minOccurs="0" nillable="true" type="xsd:integer" name="die_parameter_l" form="unqualified"/>
                  <xsd:element minOccurs="0" nillable="true" type="xsd:integer" name="leave_time_i" form="unqualified"/>
                  <xsd:element minOccurs="0" nillable="true" type="xsd:integer" name="leave_fx_s" form="unqualified"/>
                  <xsd:element minOccurs="0" nillable="true" type="xsd:integer" name="appear_music_l" form="unqualified"/>
                  <xsd:element minOccurs="0" nillable="true" type="xsd:integer" name="fight_music_i" form="unqualified"/>
                  <xsd:element minOccurs="0" nillable="true" type="xsd:integer" name="property_id_i" form="unqualified"/>
                  <xsd:element minOccurs="0" nillable="true" type="xsd:string" name="summon_attri_m" form="unqualified"/>
                  <xsd:element minOccurs="0" nillable="true" type="xsd:integer" name="property_wave_m" form="unqualified"/>
                  <xsd:element minOccurs="0" nillable="true" type="xsd:integer" name="act_shift_l" form="unqualified"/>
                  <xsd:element minOccurs="0" nillable="true" type="xsd:integer" name="base_speed_l" form="unqualified"/>
                  <xsd:element minOccurs="0" nillable="true" type="xsd:integer" name="base_animation_speed_l" form="unqualified"/>
                  <xsd:element minOccurs="0" nillable="true" type="xsd:integer" name="born_face_i" form="unqualified"/>
                  <xsd:element minOccurs="0" nillable="true" type="xsd:integer" name="is_hit_range_i" form="unqualified"/>
                  <xsd:element minOccurs="0" nillable="true" type="xsd:integer" name="be_hit_point_l" form="unqualified"/>
                  <xsd:element minOccurs="0" nillable="true" type="xsd:integer" name="be_hit_radius_i" form="unqualified"/>
                  <xsd:element minOccurs="0" nillable="true" type="xsd:integer" name="be_hit_height_i" form="unqualified"/>
                  <xsd:element minOccurs="0" nillable="true" type="xsd:integer" name="break_up_action_ai_l" form="unqualified"/>
                  <xsd:element minOccurs="0" nillable="true" type="xsd:integer" name="drop_exp_i" form="unqualified"/>
                  <xsd:element minOccurs="0" nillable="true" type="xsd:integer" name="cant_be_hit_i" form="unqualified"/>
                  <xsd:element minOccurs="0" nillable="true" type="xsd:integer" name="rarity_i" form="unqualified"/>
                  <xsd:element minOccurs="0" nillable="true" type="xsd:integer" name="rarity2_i" form="unqualified"/>
                  <xsd:element minOccurs="0" nillable="true" type="xsd:integer" name="minion_l" form="unqualified"/>
                  <xsd:element minOccurs="0" nillable="true" type="xsd:integer" name="fixed_monster_group_m" form="unqualified"/>
                  <xsd:element minOccurs="0" nillable="true" type="xsd:integer" name="partymin_i" form="unqualified"/>
                  <xsd:element minOccurs="0" nillable="true" type="xsd:integer" name="partymax_i" form="unqualified"/>
                  <xsd:element minOccurs="0" nillable="true" type="xsd:integer" name="mingrp_i" form="unqualified"/>
                  <xsd:element minOccurs="0" nillable="true" type="xsd:integer" name="maxgrp_i" form="unqualified"/>
                  <xsd:element minOccurs="0" nillable="true" type="xsd:integer" name="mingrp_n_i" form="unqualified"/>
                  <xsd:element minOccurs="0" nillable="true" type="xsd:integer" name="maxgrp_n_i" form="unqualified"/>
                  <xsd:element minOccurs="0" nillable="true" type="xsd:integer" name="mingrp_h_i" form="unqualified"/>
                  <xsd:element minOccurs="0" nillable="true" type="xsd:integer" name="maxgrp_h_i" form="unqualified"/>
                  <xsd:element minOccurs="0" nillable="true" type="xsd:integer" name="mingrp_v_i" form="unqualified"/>
                  <xsd:element minOccurs="0" nillable="true" type="xsd:integer" name="maxgrp_v_i" form="unqualified"/>
                  <xsd:element minOccurs="0" nillable="true" type="xsd:integer" name="fixed_affix_l" form="unqualified"/>
                  <xsd:element minOccurs="0" nillable="true" type="xsd:string" name="random_affix_n" form="unqualified"/>
                  <xsd:element minOccurs="0" nillable="true" type="xsd:integer" name="placespawn_i" form="unqualified"/>
                  <xsd:element minOccurs="0" nillable="true" type="xsd:integer" name="spawn_i" form="unqualified"/>
                  <xsd:element minOccurs="0" nillable="true" type="xsd:string" name="spawnx_n" form="unqualified"/>
                  <xsd:element minOccurs="0" nillable="true" type="xsd:integer" name="treasureclass_i" form="unqualified"/>
                  <xsd:element minOccurs="0" nillable="true" type="xsd:integer" name="blue_treasureclass_i" form="unqualified"/>
                  <xsd:element minOccurs="0" nillable="true" type="xsd:integer" name="firstkill_treasureclass_i" form="unqualified"/>
                  <xsd:element minOccurs="0" nillable="true" type="xsd:integer" name="endless_treasureclass_i" form="unqualified"/>
                  <xsd:element minOccurs="0" nillable="true" type="xsd:integer" name="tctaskid_i" form="unqualified"/>
                  <xsd:element minOccurs="0" nillable="true" type="xsd:integer" name="tccomtaskid_i" form="unqualified"/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root">
        <xsd:complexType>
          <xsd:sequence minOccurs="0">
            <xsd:element minOccurs="0" maxOccurs="unbounded" nillable="true" name="monster_value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ATK_i" form="unqualified"/>
                  <xsd:element minOccurs="0" nillable="true" type="xsd:integer" name="HP_i" form="unqualified"/>
                  <xsd:element minOccurs="0" nillable="true" type="xsd:string" name="HP_REG_i" form="unqualified"/>
                  <xsd:element minOccurs="0" nillable="true" type="xsd:string" name="SHD_i" form="unqualified"/>
                  <xsd:element minOccurs="0" nillable="true" type="xsd:string" name="SHD_REG_i" form="unqualified"/>
                  <xsd:element minOccurs="0" nillable="true" type="xsd:integer" name="ARM_i" form="unqualified"/>
                  <xsd:element minOccurs="0" nillable="true" type="xsd:integer" name="block_rate_i" form="unqualified"/>
                  <xsd:element minOccurs="0" nillable="true" type="xsd:integer" name="EVA_RATE_PER_i" form="unqualified"/>
                  <xsd:element minOccurs="0" nillable="true" type="xsd:integer" name="PHY_DR_PER_i" form="unqualified"/>
                  <xsd:element minOccurs="0" nillable="true" type="xsd:integer" name="FIRE_RES_PER_i" form="unqualified"/>
                  <xsd:element minOccurs="0" nillable="true" type="xsd:integer" name="FIR_RES_PER_i" form="unqualified"/>
                  <xsd:element minOccurs="0" nillable="true" type="xsd:integer" name="LTN_RES_PER_i" form="unqualified"/>
                  <xsd:element minOccurs="0" nillable="true" type="xsd:integer" name="CHA_RES_PER_i" form="unqualified"/>
                  <xsd:element minOccurs="0" nillable="true" type="xsd:integer" name="ACC_PER_i" form="unqualified"/>
                  <xsd:element minOccurs="0" nillable="true" type="xsd:integer" name="CRIT_RATE_PER_i" form="unqualified"/>
                  <xsd:element minOccurs="0" nillable="true" type="xsd:integer" name="CRIT_DMG_PER_i" form="unqualified"/>
                  <xsd:element minOccurs="0" nillable="true" type="xsd:integer" name="SHLD_CD_i" form="unqualified"/>
                  <xsd:element minOccurs="0" nillable="true" type="xsd:integer" name="SPEED_PER_i" form="unqualified"/>
                  <xsd:element minOccurs="0" nillable="true" type="xsd:integer" name="BLEED_i" form="unqualified"/>
                  <xsd:element minOccurs="0" nillable="true" type="xsd:integer" name="BURN_i" form="unqualified"/>
                  <xsd:element minOccurs="0" nillable="true" type="xsd:integer" name="POISON_i" form="unqualified"/>
                  <xsd:element minOccurs="0" nillable="true" type="xsd:integer" name="ATK_RNG_PER_i" form="unqualified"/>
                  <xsd:element minOccurs="0" nillable="true" type="xsd:integer" name="AOE_RNG_PER_i" form="unqualified"/>
                  <xsd:element minOccurs="0" nillable="true" type="xsd:integer" name="BAT_RNG_PER_i" form="unqualified"/>
                </xsd:sequence>
              </xsd:complexType>
            </xsd:element>
          </xsd:sequence>
        </xsd:complexType>
      </xsd:element>
    </xsd:schema>
  </Schema>
  <Map ID="454" Name="monster" RootElement="root" SchemaID="Schema4" ShowImportExportValidationErrors="false" AutoFit="true" Append="false" PreserveSortAFLayout="true" PreserveFormat="true">
    <DataBinding FileBinding="true" ConnectionID="72" DataBindingLoadMode="1"/>
  </Map>
  <Map ID="456" Name="monster_value" RootElement="root" SchemaID="Schema5" ShowImportExportValidationErrors="false" AutoFit="true" Append="false" PreserveSortAFLayout="true" PreserveFormat="true">
    <DataBinding FileBinding="true" ConnectionID="47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xmlMaps" Target="xmlMaps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表4" displayName="表4" ref="D4:CR277" tableType="xml" totalsRowCount="1" connectionId="72">
  <autoFilter ref="D4:CR276" xr:uid="{00000000-0009-0000-0100-000004000000}"/>
  <tableColumns count="93">
    <tableColumn id="1" xr3:uid="{00000000-0010-0000-0000-000001000000}" uniqueName="id_i" name="id_i" totalsRowLabel="汇总" dataDxfId="286" totalsRowDxfId="92">
      <xmlColumnPr mapId="454" xpath="/root/monster/id_i" xmlDataType="integer"/>
    </tableColumn>
    <tableColumn id="2" xr3:uid="{00000000-0010-0000-0000-000002000000}" uniqueName="monster_name_i" name="monster_name_i" dataDxfId="285" totalsRowDxfId="91">
      <xmlColumnPr mapId="454" xpath="/root/monster/monster_name_i" xmlDataType="integer"/>
    </tableColumn>
    <tableColumn id="26" xr3:uid="{00000000-0010-0000-0000-00001A000000}" uniqueName="monster_icon_i" name="monster_icon_i" dataDxfId="284" totalsRowDxfId="90">
      <xmlColumnPr mapId="454" xpath="/root/monster/monster_icon_i" xmlDataType="integer"/>
    </tableColumn>
    <tableColumn id="99" xr3:uid="{00000000-0010-0000-0000-000063000000}" uniqueName="map_icon_i" name="map_icon_i" dataDxfId="283" totalsRowDxfId="89">
      <xmlColumnPr mapId="454" xpath="/root/monster/map_icon_i" xmlDataType="integer"/>
    </tableColumn>
    <tableColumn id="6" xr3:uid="{00000000-0010-0000-0000-000006000000}" uniqueName="descstr_i" name="descstr_i" dataDxfId="282" totalsRowDxfId="88">
      <xmlColumnPr mapId="454" xpath="/root/monster/descstr_i" xmlDataType="integer"/>
    </tableColumn>
    <tableColumn id="7" xr3:uid="{00000000-0010-0000-0000-000007000000}" uniqueName="is_part_judge_i" name="is_part_judge_i" dataDxfId="281" totalsRowDxfId="87">
      <xmlColumnPr mapId="454" xpath="/root/monster/is_part_judge_i" xmlDataType="integer"/>
    </tableColumn>
    <tableColumn id="97" xr3:uid="{00000000-0010-0000-0000-000061000000}" uniqueName="cross_scene_i" name="cross_scene_i" dataDxfId="280" totalsRowDxfId="86">
      <xmlColumnPr mapId="454" xpath="/root/monster/cross_scene_i" xmlDataType="integer"/>
    </tableColumn>
    <tableColumn id="65" xr3:uid="{00000000-0010-0000-0000-000041000000}" uniqueName="monster_type_i" name="monster_type_i" dataDxfId="279" totalsRowDxfId="85">
      <xmlColumnPr mapId="454" xpath="/root/monster/monster_type_i" xmlDataType="integer"/>
    </tableColumn>
    <tableColumn id="19" xr3:uid="{00000000-0010-0000-0000-000013000000}" uniqueName="close_boss_i" name="close_boss_i" dataDxfId="278" totalsRowDxfId="84">
      <xmlColumnPr mapId="454" xpath="/root/monster/close_boss_i" xmlDataType="integer"/>
    </tableColumn>
    <tableColumn id="38" xr3:uid="{00000000-0010-0000-0000-000026000000}" uniqueName="symbiosis_monster_l" name="symbiosis_monster_l" dataDxfId="277" totalsRowDxfId="83">
      <xmlColumnPr mapId="454" xpath="/root/monster/symbiosis_monster_l" xmlDataType="integer"/>
    </tableColumn>
    <tableColumn id="115" xr3:uid="{00000000-0010-0000-0000-000073000000}" uniqueName="physical_click_i" name="physical_click_i" dataDxfId="276" totalsRowDxfId="82">
      <xmlColumnPr mapId="454" xpath="/root/monster/physical_click_i" xmlDataType="integer"/>
    </tableColumn>
    <tableColumn id="90" xr3:uid="{00000000-0010-0000-0000-00005A000000}" uniqueName="shader_i" name="shader_i" dataDxfId="275" totalsRowDxfId="81">
      <xmlColumnPr mapId="454" xpath="/root/monster/shader_i" xmlDataType="integer"/>
    </tableColumn>
    <tableColumn id="3" xr3:uid="{00000000-0010-0000-0000-000003000000}" uniqueName="montype_i" name="montype_i" dataDxfId="274" totalsRowDxfId="80">
      <xmlColumnPr mapId="454" xpath="/root/monster/montype_i" xmlDataType="integer"/>
    </tableColumn>
    <tableColumn id="80" xr3:uid="{00000000-0010-0000-0000-000050000000}" uniqueName="monrace_i" name="monrace_i" dataDxfId="273" totalsRowDxfId="79">
      <xmlColumnPr mapId="454" xpath="/root/monster/monrace_i" xmlDataType="integer"/>
    </tableColumn>
    <tableColumn id="78" xr3:uid="{00000000-0010-0000-0000-00004E000000}" uniqueName="multi_shot_i" name="multi_shot_i" dataDxfId="272" totalsRowDxfId="78">
      <xmlColumnPr mapId="454" xpath="/root/monster/multi_shot_i" xmlDataType="integer"/>
    </tableColumn>
    <tableColumn id="8" xr3:uid="{00000000-0010-0000-0000-000008000000}" uniqueName="lv_i" name="lv_i" dataDxfId="271" totalsRowDxfId="77">
      <xmlColumnPr mapId="454" xpath="/root/monster/lv_i" xmlDataType="integer"/>
    </tableColumn>
    <tableColumn id="5" xr3:uid="{00000000-0010-0000-0000-000005000000}" uniqueName="lv_n_i" name="lv_n_i" dataDxfId="270" totalsRowDxfId="76">
      <xmlColumnPr mapId="454" xpath="/root/monster/lv_n_i" xmlDataType="integer"/>
    </tableColumn>
    <tableColumn id="4" xr3:uid="{00000000-0010-0000-0000-000004000000}" uniqueName="lv_h_i" name="lv_h_i" dataDxfId="269" totalsRowDxfId="75">
      <xmlColumnPr mapId="454" xpath="/root/monster/lv_h_i" xmlDataType="integer"/>
    </tableColumn>
    <tableColumn id="46" xr3:uid="{00000000-0010-0000-0000-00002E000000}" uniqueName="monsound_i" name="monsound_i" dataDxfId="268" totalsRowDxfId="74">
      <xmlColumnPr mapId="454" xpath="/root/monster/monsound_i" xmlDataType="integer"/>
    </tableColumn>
    <tableColumn id="47" xr3:uid="{00000000-0010-0000-0000-00002F000000}" uniqueName="umonsound_i" name="umonsound_i" dataDxfId="267" totalsRowDxfId="73">
      <xmlColumnPr mapId="454" xpath="/root/monster/umonsound_i" xmlDataType="integer"/>
    </tableColumn>
    <tableColumn id="98" xr3:uid="{00000000-0010-0000-0000-000062000000}" uniqueName="symbiotic_monster_l" name="symbiotic_monster_l" dataDxfId="266" totalsRowDxfId="72">
      <xmlColumnPr mapId="454" xpath="/root/monster/symbiotic_monster_l" xmlDataType="integer"/>
    </tableColumn>
    <tableColumn id="9" xr3:uid="{00000000-0010-0000-0000-000009000000}" uniqueName="model_id_i" name="model_id_i" dataDxfId="265" totalsRowDxfId="71">
      <xmlColumnPr mapId="454" xpath="/root/monster/model_id_i" xmlDataType="integer"/>
    </tableColumn>
    <tableColumn id="23" xr3:uid="{00000000-0010-0000-0000-000017000000}" uniqueName="model_scale_i" name="model_scale_i" dataDxfId="264" totalsRowDxfId="70">
      <xmlColumnPr mapId="454" xpath="/root/monster/model_scale_i" xmlDataType="integer"/>
    </tableColumn>
    <tableColumn id="25" xr3:uid="{00000000-0010-0000-0000-000019000000}" uniqueName="shape_i" name="shape_i" dataDxfId="263" totalsRowDxfId="69">
      <xmlColumnPr mapId="454" xpath="/root/monster/shape_i" xmlDataType="integer"/>
    </tableColumn>
    <tableColumn id="14" xr3:uid="{00000000-0010-0000-0000-00000E000000}" uniqueName="weight_i" name="weight_i" dataDxfId="262" totalsRowDxfId="68">
      <xmlColumnPr mapId="454" xpath="/root/monster/weight_i" xmlDataType="integer"/>
    </tableColumn>
    <tableColumn id="44" xr3:uid="{00000000-0010-0000-0000-00002C000000}" uniqueName="model_Logic_i" name="model_Logic_i" dataDxfId="261" totalsRowDxfId="67">
      <xmlColumnPr mapId="454" xpath="/root/monster/model_Logic_i" xmlDataType="integer"/>
    </tableColumn>
    <tableColumn id="91" xr3:uid="{00000000-0010-0000-0000-00005B000000}" uniqueName="through_wall_i" name="through_wall_i" dataDxfId="260" totalsRowDxfId="66">
      <xmlColumnPr mapId="454" xpath="/root/monster/through_wall_i" xmlDataType="integer"/>
    </tableColumn>
    <tableColumn id="83" xr3:uid="{00000000-0010-0000-0000-000053000000}" uniqueName="size_i" name="size_i" dataDxfId="259" totalsRowDxfId="65">
      <xmlColumnPr mapId="454" xpath="/root/monster/size_i" xmlDataType="integer"/>
    </tableColumn>
    <tableColumn id="88" xr3:uid="{00000000-0010-0000-0000-000058000000}" uniqueName="effect_size_i" name="effect_size_i" dataDxfId="258" totalsRowDxfId="64">
      <xmlColumnPr mapId="454" xpath="/root/monster/effect_size_i" xmlDataType="integer"/>
    </tableColumn>
    <tableColumn id="114" xr3:uid="{00000000-0010-0000-0000-000072000000}" uniqueName="hit_pause_i" name="hit_pause_i" dataDxfId="257" totalsRowDxfId="63">
      <xmlColumnPr mapId="454" xpath="/root/monster/hit_pause_i" xmlDataType="integer"/>
    </tableColumn>
    <tableColumn id="43" xr3:uid="{00000000-0010-0000-0000-00002B000000}" uniqueName="exit_action_i" name="exit_action_i" dataDxfId="256" totalsRowDxfId="62">
      <xmlColumnPr mapId="454" xpath="/root/monster/exit_action_i" xmlDataType="integer"/>
    </tableColumn>
    <tableColumn id="89" xr3:uid="{00000000-0010-0000-0000-000059000000}" uniqueName="exit_fx_s" name="exit_fx_s" dataDxfId="255" totalsRowDxfId="61">
      <xmlColumnPr mapId="454" xpath="/root/monster/exit_fx_s" xmlDataType="integer"/>
    </tableColumn>
    <tableColumn id="81" xr3:uid="{00000000-0010-0000-0000-000051000000}" uniqueName="fx_skill_s" name="fx_skill_s" dataDxfId="254" totalsRowDxfId="60">
      <xmlColumnPr mapId="454" xpath="/root/monster/fx_skill_s" xmlDataType="integer"/>
    </tableColumn>
    <tableColumn id="87" xr3:uid="{00000000-0010-0000-0000-000057000000}" uniqueName="faction_i" name="faction_i" dataDxfId="253" totalsRowDxfId="59">
      <xmlColumnPr mapId="454" xpath="/root/monster/faction_i" xmlDataType="integer"/>
    </tableColumn>
    <tableColumn id="10" xr3:uid="{00000000-0010-0000-0000-00000A000000}" uniqueName="ai_id_i" name="ai_id_i" dataDxfId="252" totalsRowDxfId="58">
      <xmlColumnPr mapId="454" xpath="/root/monster/ai_id_i" xmlDataType="integer"/>
    </tableColumn>
    <tableColumn id="36" xr3:uid="{00000000-0010-0000-0000-000024000000}" uniqueName="search_range_i" name="search_range_i" dataDxfId="251" totalsRowDxfId="57">
      <xmlColumnPr mapId="454" xpath="/root/monster/search_range_i" xmlDataType="integer"/>
    </tableColumn>
    <tableColumn id="37" xr3:uid="{00000000-0010-0000-0000-000025000000}" uniqueName="ai_search_i" name="ai_search_i" dataDxfId="250" totalsRowDxfId="56">
      <xmlColumnPr mapId="454" xpath="/root/monster/ai_search_i" xmlDataType="integer"/>
    </tableColumn>
    <tableColumn id="11" xr3:uid="{00000000-0010-0000-0000-00000B000000}" uniqueName="skill_ids_l" name="skill_ids_l" dataDxfId="249" totalsRowDxfId="55">
      <xmlColumnPr mapId="454" xpath="/root/monster/skill_ids_l" xmlDataType="integer"/>
    </tableColumn>
    <tableColumn id="32" xr3:uid="{00000000-0010-0000-0000-000020000000}" uniqueName="skill_lv_l" name="skill_lv_l" dataDxfId="248" totalsRowDxfId="54">
      <xmlColumnPr mapId="454" xpath="/root/monster/skill_lv_l" xmlDataType="integer"/>
    </tableColumn>
    <tableColumn id="30" xr3:uid="{00000000-0010-0000-0000-00001E000000}" uniqueName="skill_ids_2_l" name="skill_ids_2_l" dataDxfId="247" totalsRowDxfId="53">
      <xmlColumnPr mapId="454" xpath="/root/monster/skill_ids_2_l" xmlDataType="integer"/>
    </tableColumn>
    <tableColumn id="63" xr3:uid="{00000000-0010-0000-0000-00003F000000}" uniqueName="skill_lv_2_l" name="skill_lv_2_l" dataDxfId="246" totalsRowDxfId="52">
      <xmlColumnPr mapId="454" xpath="/root/monster/skill_lv_2_l" xmlDataType="integer"/>
    </tableColumn>
    <tableColumn id="21" xr3:uid="{00000000-0010-0000-0000-000015000000}" uniqueName="skill_ids_3_l" name="skill_ids_3_l" dataDxfId="245" totalsRowDxfId="51">
      <xmlColumnPr mapId="454" xpath="/root/monster/skill_ids_3_l" xmlDataType="integer"/>
    </tableColumn>
    <tableColumn id="64" xr3:uid="{00000000-0010-0000-0000-000040000000}" uniqueName="skill_lv_3_l" name="skill_lv_3_l" dataDxfId="244" totalsRowDxfId="50">
      <xmlColumnPr mapId="454" xpath="/root/monster/skill_lv_3_l" xmlDataType="integer"/>
    </tableColumn>
    <tableColumn id="12" xr3:uid="{00000000-0010-0000-0000-00000C000000}" uniqueName="skill_buff_n" name="skill_buff_n" dataDxfId="243" totalsRowDxfId="49">
      <xmlColumnPr mapId="454" xpath="/root/monster/skill_buff_n" xmlDataType="string"/>
    </tableColumn>
    <tableColumn id="73" xr3:uid="{00000000-0010-0000-0000-000049000000}" uniqueName="fly_distance_l" name="fly_distance_l" dataDxfId="242" totalsRowDxfId="48">
      <xmlColumnPr mapId="454" xpath="/root/monster/fly_distance_l" xmlDataType="integer"/>
    </tableColumn>
    <tableColumn id="112" xr3:uid="{00000000-0010-0000-0000-000070000000}" uniqueName="counter_attack_n" name="counter_attack_n" dataDxfId="241" totalsRowDxfId="47">
      <xmlColumnPr mapId="454" xpath="/root/monster/counter_attack_n" xmlDataType="integer"/>
    </tableColumn>
    <tableColumn id="75" xr3:uid="{00000000-0010-0000-0000-00004B000000}" uniqueName="die_type_l" name="die_type_l" dataDxfId="240" totalsRowDxfId="46">
      <xmlColumnPr mapId="454" xpath="/root/monster/die_type_l" xmlDataType="integer"/>
    </tableColumn>
    <tableColumn id="79" xr3:uid="{00000000-0010-0000-0000-00004F000000}" uniqueName="die_special_s" name="die_special_s" dataDxfId="239" totalsRowDxfId="45">
      <xmlColumnPr mapId="454" xpath="/root/monster/die_special_s" xmlDataType="integer"/>
    </tableColumn>
    <tableColumn id="84" xr3:uid="{00000000-0010-0000-0000-000054000000}" uniqueName="die_way_i" name="die_way_i" dataDxfId="238" totalsRowDxfId="44">
      <xmlColumnPr mapId="454" xpath="/root/monster/die_way_i" xmlDataType="integer"/>
    </tableColumn>
    <tableColumn id="86" xr3:uid="{00000000-0010-0000-0000-000056000000}" uniqueName="die_parameter_l" name="die_parameter_l" dataDxfId="237" totalsRowDxfId="43">
      <xmlColumnPr mapId="454" xpath="/root/monster/die_parameter_l" xmlDataType="integer"/>
    </tableColumn>
    <tableColumn id="85" xr3:uid="{00000000-0010-0000-0000-000055000000}" uniqueName="leave_time_i" name="leave_time_i" dataDxfId="236" totalsRowDxfId="42">
      <xmlColumnPr mapId="454" xpath="/root/monster/leave_time_i" xmlDataType="integer"/>
    </tableColumn>
    <tableColumn id="82" xr3:uid="{00000000-0010-0000-0000-000052000000}" uniqueName="leave_fx_s" name="leave_fx_s" dataDxfId="235" totalsRowDxfId="41">
      <xmlColumnPr mapId="454" xpath="/root/monster/leave_fx_s" xmlDataType="integer"/>
    </tableColumn>
    <tableColumn id="100" xr3:uid="{00000000-0010-0000-0000-000064000000}" uniqueName="appear_music_l" name="appear_music_l" dataDxfId="234" totalsRowDxfId="40">
      <xmlColumnPr mapId="454" xpath="/root/monster/appear_music_l" xmlDataType="integer"/>
    </tableColumn>
    <tableColumn id="92" xr3:uid="{00000000-0010-0000-0000-00005C000000}" uniqueName="fight_music_i" name="fight_music_i" dataDxfId="233" totalsRowDxfId="39">
      <xmlColumnPr mapId="454" xpath="/root/monster/fight_music_i" xmlDataType="integer"/>
    </tableColumn>
    <tableColumn id="13" xr3:uid="{00000000-0010-0000-0000-00000D000000}" uniqueName="property_id_i" name="property_id_i" dataDxfId="232" totalsRowDxfId="38">
      <xmlColumnPr mapId="454" xpath="/root/monster/property_id_i" xmlDataType="integer"/>
    </tableColumn>
    <tableColumn id="24" xr3:uid="{00000000-0010-0000-0000-000018000000}" uniqueName="summon_attri_m" name="summon_attri_m" dataDxfId="231" totalsRowDxfId="37">
      <xmlColumnPr mapId="454" xpath="/root/monster/summon_attri_m" xmlDataType="string"/>
    </tableColumn>
    <tableColumn id="116" xr3:uid="{00000000-0010-0000-0000-000074000000}" uniqueName="property_wave_m" name="property_wave_m" dataDxfId="230" totalsRowDxfId="36">
      <xmlColumnPr mapId="454" xpath="/root/monster/property_wave_m" xmlDataType="integer"/>
    </tableColumn>
    <tableColumn id="72" xr3:uid="{00000000-0010-0000-0000-000048000000}" uniqueName="act_shift_l" name="act_shift_l" dataDxfId="229" totalsRowDxfId="35">
      <xmlColumnPr mapId="454" xpath="/root/monster/act_shift_l" xmlDataType="integer"/>
    </tableColumn>
    <tableColumn id="15" xr3:uid="{00000000-0010-0000-0000-00000F000000}" uniqueName="base_speed_l" name="base_speed_l" dataDxfId="228" totalsRowDxfId="34">
      <xmlColumnPr mapId="454" xpath="/root/monster/base_speed_l" xmlDataType="integer"/>
    </tableColumn>
    <tableColumn id="42" xr3:uid="{00000000-0010-0000-0000-00002A000000}" uniqueName="base_animation_speed_l" name="base_animation_speed_l" dataDxfId="227" totalsRowDxfId="33">
      <xmlColumnPr mapId="454" xpath="/root/monster/base_animation_speed_l" xmlDataType="integer"/>
    </tableColumn>
    <tableColumn id="16" xr3:uid="{00000000-0010-0000-0000-000010000000}" uniqueName="born_face_i" name="born_face_i" dataDxfId="226" totalsRowDxfId="32">
      <xmlColumnPr mapId="454" xpath="/root/monster/born_face_i" xmlDataType="integer"/>
    </tableColumn>
    <tableColumn id="94" xr3:uid="{00000000-0010-0000-0000-00005E000000}" uniqueName="is_hit_range_i" name="is_hit_range_i" dataDxfId="225" totalsRowDxfId="31">
      <xmlColumnPr mapId="454" xpath="/root/monster/is_hit_range_i" xmlDataType="integer"/>
    </tableColumn>
    <tableColumn id="93" xr3:uid="{00000000-0010-0000-0000-00005D000000}" uniqueName="be_hit_point_l" name="be_hit_point_l" dataDxfId="224" totalsRowDxfId="30">
      <xmlColumnPr mapId="454" xpath="/root/monster/be_hit_point_l" xmlDataType="integer"/>
    </tableColumn>
    <tableColumn id="17" xr3:uid="{00000000-0010-0000-0000-000011000000}" uniqueName="be_hit_radius_i" name="be_hit_radius_i" dataDxfId="223" totalsRowDxfId="29">
      <xmlColumnPr mapId="454" xpath="/root/monster/be_hit_radius_i" xmlDataType="integer"/>
    </tableColumn>
    <tableColumn id="18" xr3:uid="{00000000-0010-0000-0000-000012000000}" uniqueName="be_hit_height_i" name="be_hit_height_i" dataDxfId="222" totalsRowDxfId="28">
      <xmlColumnPr mapId="454" xpath="/root/monster/be_hit_height_i" xmlDataType="integer"/>
    </tableColumn>
    <tableColumn id="20" xr3:uid="{00000000-0010-0000-0000-000014000000}" uniqueName="break_up_action_ai_l" name="break_up_action_ai_l" dataDxfId="221" totalsRowDxfId="27">
      <xmlColumnPr mapId="454" xpath="/root/monster/break_up_action_ai_l" xmlDataType="integer"/>
    </tableColumn>
    <tableColumn id="22" xr3:uid="{00000000-0010-0000-0000-000016000000}" uniqueName="drop_exp_i" name="drop_exp_i" dataDxfId="220" totalsRowDxfId="26">
      <xmlColumnPr mapId="454" xpath="/root/monster/drop_exp_i" xmlDataType="integer"/>
    </tableColumn>
    <tableColumn id="31" xr3:uid="{00000000-0010-0000-0000-00001F000000}" uniqueName="cant_be_hit_i" name="cant_be_hit_i" dataDxfId="219" totalsRowDxfId="25">
      <xmlColumnPr mapId="454" xpath="/root/monster/cant_be_hit_i" xmlDataType="integer"/>
    </tableColumn>
    <tableColumn id="45" xr3:uid="{00000000-0010-0000-0000-00002D000000}" uniqueName="rarity_i" name="rarity_i" dataDxfId="218" totalsRowDxfId="24">
      <xmlColumnPr mapId="454" xpath="/root/monster/rarity_i" xmlDataType="integer"/>
    </tableColumn>
    <tableColumn id="74" xr3:uid="{00000000-0010-0000-0000-00004A000000}" uniqueName="rarity2_i" name="rarity2_i" dataDxfId="217" totalsRowDxfId="23">
      <xmlColumnPr mapId="454" xpath="/root/monster/rarity2_i" xmlDataType="integer"/>
    </tableColumn>
    <tableColumn id="41" xr3:uid="{00000000-0010-0000-0000-000029000000}" uniqueName="minion_l" name="minion_l" dataDxfId="216" totalsRowDxfId="22">
      <xmlColumnPr mapId="454" xpath="/root/monster/minion_l" xmlDataType="integer"/>
    </tableColumn>
    <tableColumn id="113" xr3:uid="{00000000-0010-0000-0000-000071000000}" uniqueName="fixed_monster_group_m" name="fixed_monster_group_m" dataDxfId="215" totalsRowDxfId="21">
      <xmlColumnPr mapId="454" xpath="/root/monster/fixed_monster_group_m" xmlDataType="integer"/>
    </tableColumn>
    <tableColumn id="39" xr3:uid="{00000000-0010-0000-0000-000027000000}" uniqueName="partymin_i" name="partymin_i" dataDxfId="214" totalsRowDxfId="20">
      <xmlColumnPr mapId="454" xpath="/root/monster/partymin_i" xmlDataType="integer"/>
    </tableColumn>
    <tableColumn id="40" xr3:uid="{00000000-0010-0000-0000-000028000000}" uniqueName="partymax_i" name="partymax_i" dataDxfId="213" totalsRowDxfId="19">
      <xmlColumnPr mapId="454" xpath="/root/monster/partymax_i" xmlDataType="integer"/>
    </tableColumn>
    <tableColumn id="34" xr3:uid="{00000000-0010-0000-0000-000022000000}" uniqueName="mingrp_i" name="mingrp_i" dataDxfId="212" totalsRowDxfId="18">
      <xmlColumnPr mapId="454" xpath="/root/monster/mingrp_i" xmlDataType="integer"/>
    </tableColumn>
    <tableColumn id="35" xr3:uid="{00000000-0010-0000-0000-000023000000}" uniqueName="maxgrp_i" name="maxgrp_i" dataDxfId="211" totalsRowDxfId="17">
      <xmlColumnPr mapId="454" xpath="/root/monster/maxgrp_i" xmlDataType="integer"/>
    </tableColumn>
    <tableColumn id="68" xr3:uid="{00000000-0010-0000-0000-000044000000}" uniqueName="mingrp_n_i" name="mingrp_n_i" dataDxfId="210" totalsRowDxfId="16">
      <xmlColumnPr mapId="454" xpath="/root/monster/mingrp_n_i" xmlDataType="integer"/>
    </tableColumn>
    <tableColumn id="69" xr3:uid="{00000000-0010-0000-0000-000045000000}" uniqueName="maxgrp_n_i" name="maxgrp_n_i" dataDxfId="209" totalsRowDxfId="15">
      <xmlColumnPr mapId="454" xpath="/root/monster/maxgrp_n_i" xmlDataType="integer"/>
    </tableColumn>
    <tableColumn id="66" xr3:uid="{00000000-0010-0000-0000-000042000000}" uniqueName="mingrp_h_i" name="mingrp_h_i" dataDxfId="208" totalsRowDxfId="14">
      <xmlColumnPr mapId="454" xpath="/root/monster/mingrp_h_i" xmlDataType="integer"/>
    </tableColumn>
    <tableColumn id="67" xr3:uid="{00000000-0010-0000-0000-000043000000}" uniqueName="maxgrp_h_i" name="maxgrp_h_i" dataDxfId="207" totalsRowDxfId="13">
      <xmlColumnPr mapId="454" xpath="/root/monster/maxgrp_h_i" xmlDataType="integer"/>
    </tableColumn>
    <tableColumn id="95" xr3:uid="{00000000-0010-0000-0000-00005F000000}" uniqueName="mingrp_v_i" name="mingrp_v_i" dataDxfId="206" totalsRowDxfId="12">
      <xmlColumnPr mapId="454" xpath="/root/monster/mingrp_v_i" xmlDataType="integer"/>
    </tableColumn>
    <tableColumn id="96" xr3:uid="{00000000-0010-0000-0000-000060000000}" uniqueName="maxgrp_v_i" name="maxgrp_v_i" dataDxfId="205" totalsRowDxfId="11">
      <xmlColumnPr mapId="454" xpath="/root/monster/maxgrp_v_i" xmlDataType="integer"/>
    </tableColumn>
    <tableColumn id="70" xr3:uid="{00000000-0010-0000-0000-000046000000}" uniqueName="fixed_affix_l" name="fixed_affix_l" dataDxfId="204" totalsRowDxfId="10">
      <xmlColumnPr mapId="454" xpath="/root/monster/fixed_affix_l" xmlDataType="integer"/>
    </tableColumn>
    <tableColumn id="71" xr3:uid="{00000000-0010-0000-0000-000047000000}" uniqueName="random_affix_n" name="random_affix_n" dataDxfId="203" totalsRowDxfId="9">
      <xmlColumnPr mapId="454" xpath="/root/monster/random_affix_n" xmlDataType="string"/>
    </tableColumn>
    <tableColumn id="48" xr3:uid="{00000000-0010-0000-0000-000030000000}" uniqueName="placespawn_i" name="placespawn_i" dataDxfId="202" totalsRowDxfId="8">
      <xmlColumnPr mapId="454" xpath="/root/monster/placespawn_i" xmlDataType="integer"/>
    </tableColumn>
    <tableColumn id="49" xr3:uid="{00000000-0010-0000-0000-000031000000}" uniqueName="spawn_i" name="spawn_i" dataDxfId="201" totalsRowDxfId="7">
      <xmlColumnPr mapId="454" xpath="/root/monster/spawn_i" xmlDataType="integer"/>
    </tableColumn>
    <tableColumn id="50" xr3:uid="{00000000-0010-0000-0000-000032000000}" uniqueName="spawnx_n" name="spawnx_n" dataDxfId="200" totalsRowDxfId="6">
      <xmlColumnPr mapId="454" xpath="/root/monster/spawnx_n" xmlDataType="string"/>
    </tableColumn>
    <tableColumn id="33" xr3:uid="{00000000-0010-0000-0000-000021000000}" uniqueName="treasureclass_i" name="treasureclass_i" dataDxfId="199" totalsRowDxfId="5">
      <xmlColumnPr mapId="454" xpath="/root/monster/treasureclass_i" xmlDataType="integer"/>
    </tableColumn>
    <tableColumn id="51" xr3:uid="{827267E9-FD57-48C4-A4FF-EC04F03C8D86}" uniqueName="blue_treasureclass_i" name="blue_treasureclass_i" dataDxfId="198" totalsRowDxfId="4">
      <xmlColumnPr mapId="454" xpath="/root/monster/blue_treasureclass_i" xmlDataType="integer"/>
    </tableColumn>
    <tableColumn id="27" xr3:uid="{00000000-0010-0000-0000-00001B000000}" uniqueName="firstkill_treasureclass_i" name="firstkill_treasureclass_i" dataDxfId="197" totalsRowDxfId="3">
      <xmlColumnPr mapId="454" xpath="/root/monster/firstkill_treasureclass_i" xmlDataType="integer"/>
    </tableColumn>
    <tableColumn id="28" xr3:uid="{00000000-0010-0000-0000-00001C000000}" uniqueName="endless_treasureclass_i" name="endless_treasureclass_i" dataDxfId="196" totalsRowDxfId="2">
      <xmlColumnPr mapId="454" xpath="/root/monster/endless_treasureclass_i" xmlDataType="integer"/>
    </tableColumn>
    <tableColumn id="52" xr3:uid="{00000000-0010-0000-0000-000034000000}" uniqueName="tctaskid_i" name="tctaskid_i" dataDxfId="195" totalsRowDxfId="1">
      <xmlColumnPr mapId="454" xpath="/root/monster/tctaskid_i" xmlDataType="integer"/>
    </tableColumn>
    <tableColumn id="29" xr3:uid="{00000000-0010-0000-0000-00001D000000}" uniqueName="tccomtaskid_i" name="tccomtaskid_i" totalsRowFunction="sum" dataDxfId="194" totalsRowDxfId="0">
      <xmlColumnPr mapId="454" xpath="/root/monster/tccomtaskid_i" xmlDataType="integer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2" displayName="表2" ref="D4:AB484" tableType="xml" totalsRowShown="0" connectionId="47">
  <autoFilter ref="D4:AB484" xr:uid="{00000000-0009-0000-0100-000001000000}"/>
  <tableColumns count="25">
    <tableColumn id="1" xr3:uid="{00000000-0010-0000-0100-000001000000}" uniqueName="id_i" name="id_i" dataDxfId="117">
      <xmlColumnPr mapId="456" xpath="/root/monster_value/id_i" xmlDataType="integer"/>
    </tableColumn>
    <tableColumn id="12" xr3:uid="{00000000-0010-0000-0100-00000C000000}" uniqueName="ATK_i" name="ATK_i" dataDxfId="116">
      <xmlColumnPr mapId="456" xpath="/root/monster_value/ATK_i" xmlDataType="integer"/>
    </tableColumn>
    <tableColumn id="2" xr3:uid="{00000000-0010-0000-0100-000002000000}" uniqueName="HP_i" name="HP_i" dataDxfId="115">
      <xmlColumnPr mapId="456" xpath="/root/monster_value/HP_i" xmlDataType="integer"/>
    </tableColumn>
    <tableColumn id="17" xr3:uid="{00000000-0010-0000-0100-000011000000}" uniqueName="HP_REG_i" name="HP_REG_i" dataDxfId="114">
      <xmlColumnPr mapId="456" xpath="/root/monster_value/HP_REG_i" xmlDataType="string"/>
    </tableColumn>
    <tableColumn id="16" xr3:uid="{00000000-0010-0000-0100-000010000000}" uniqueName="SHD_i" name="SHD_i" dataDxfId="113">
      <xmlColumnPr mapId="456" xpath="/root/monster_value/SHD_i" xmlDataType="string"/>
    </tableColumn>
    <tableColumn id="18" xr3:uid="{00000000-0010-0000-0100-000012000000}" uniqueName="SHD_REG_i" name="SHD_REG_i" dataDxfId="112">
      <xmlColumnPr mapId="456" xpath="/root/monster_value/SHD_REG_i" xmlDataType="string"/>
    </tableColumn>
    <tableColumn id="10" xr3:uid="{00000000-0010-0000-0100-00000A000000}" uniqueName="ARM_i" name="ARM_i" dataDxfId="111">
      <xmlColumnPr mapId="456" xpath="/root/monster_value/ARM_i" xmlDataType="integer"/>
    </tableColumn>
    <tableColumn id="4" xr3:uid="{00000000-0010-0000-0100-000004000000}" uniqueName="block_rate_i" name="block_rate_i" dataDxfId="110">
      <xmlColumnPr mapId="456" xpath="/root/monster_value/block_rate_i" xmlDataType="integer"/>
    </tableColumn>
    <tableColumn id="11" xr3:uid="{00000000-0010-0000-0100-00000B000000}" uniqueName="EVA_RATE_PER_i" name="EVA_RATE_PER_i" dataDxfId="109">
      <xmlColumnPr mapId="456" xpath="/root/monster_value/EVA_RATE_PER_i" xmlDataType="integer"/>
    </tableColumn>
    <tableColumn id="20" xr3:uid="{00000000-0010-0000-0100-000014000000}" uniqueName="PHY_DR_PER_i" name="PHY_DR_PER_i" dataDxfId="108">
      <xmlColumnPr mapId="456" xpath="/root/monster_value/PHY_DR_PER_i" xmlDataType="integer"/>
    </tableColumn>
    <tableColumn id="21" xr3:uid="{00000000-0010-0000-0100-000015000000}" uniqueName="FIRE_RES_PER_i" name="FIRE_RES_PER_i" dataDxfId="107">
      <xmlColumnPr mapId="456" xpath="/root/monster_value/FIRE_RES_PER_i" xmlDataType="integer"/>
    </tableColumn>
    <tableColumn id="19" xr3:uid="{00000000-0010-0000-0100-000013000000}" uniqueName="FIR_RES_PER_i" name="FIR_RES_PER_i" dataDxfId="106">
      <xmlColumnPr mapId="456" xpath="/root/monster_value/FIR_RES_PER_i" xmlDataType="integer"/>
    </tableColumn>
    <tableColumn id="8" xr3:uid="{00000000-0010-0000-0100-000008000000}" uniqueName="LTN_RES_PER_i" name="LTN_RES_PER_i" dataDxfId="105">
      <xmlColumnPr mapId="456" xpath="/root/monster_value/LTN_RES_PER_i" xmlDataType="integer"/>
    </tableColumn>
    <tableColumn id="22" xr3:uid="{00000000-0010-0000-0100-000016000000}" uniqueName="CHA_RES_PER_i" name="CHA_RES_PER_i" dataDxfId="104">
      <xmlColumnPr mapId="456" xpath="/root/monster_value/CHA_RES_PER_i" xmlDataType="integer"/>
    </tableColumn>
    <tableColumn id="9" xr3:uid="{00000000-0010-0000-0100-000009000000}" uniqueName="ACC_PER_i" name="ACC_PER_i" dataDxfId="103">
      <xmlColumnPr mapId="456" xpath="/root/monster_value/ACC_PER_i" xmlDataType="integer"/>
    </tableColumn>
    <tableColumn id="3" xr3:uid="{00000000-0010-0000-0100-000003000000}" uniqueName="CRIT_RATE_PER_i" name="CRIT_RATE_PER_i" dataDxfId="102">
      <xmlColumnPr mapId="456" xpath="/root/monster_value/CRIT_RATE_PER_i" xmlDataType="integer"/>
    </tableColumn>
    <tableColumn id="7" xr3:uid="{00000000-0010-0000-0100-000007000000}" uniqueName="CRIT_DMG_PER_i" name="CRIT_DMG_PER_i" dataDxfId="101">
      <xmlColumnPr mapId="456" xpath="/root/monster_value/CRIT_DMG_PER_i" xmlDataType="integer"/>
    </tableColumn>
    <tableColumn id="5" xr3:uid="{00000000-0010-0000-0100-000005000000}" uniqueName="SHLD_CD_i" name="SHLD_CD_i" dataDxfId="100">
      <xmlColumnPr mapId="456" xpath="/root/monster_value/SHLD_CD_i" xmlDataType="integer"/>
    </tableColumn>
    <tableColumn id="6" xr3:uid="{00000000-0010-0000-0100-000006000000}" uniqueName="SPEED_PER_i" name="SPEED_PER_i" dataDxfId="99">
      <xmlColumnPr mapId="456" xpath="/root/monster_value/SPEED_PER_i" xmlDataType="integer"/>
    </tableColumn>
    <tableColumn id="13" xr3:uid="{00000000-0010-0000-0100-00000D000000}" uniqueName="BLEED_i" name="BLEED_i" dataDxfId="98">
      <xmlColumnPr mapId="456" xpath="/root/monster_value/BLEED_i" xmlDataType="integer"/>
    </tableColumn>
    <tableColumn id="14" xr3:uid="{00000000-0010-0000-0100-00000E000000}" uniqueName="BURN_i" name="BURN_i" dataDxfId="97">
      <xmlColumnPr mapId="456" xpath="/root/monster_value/BURN_i" xmlDataType="integer"/>
    </tableColumn>
    <tableColumn id="15" xr3:uid="{00000000-0010-0000-0100-00000F000000}" uniqueName="POISON_i" name="POISON_i" dataDxfId="96">
      <xmlColumnPr mapId="456" xpath="/root/monster_value/POISON_i" xmlDataType="integer"/>
    </tableColumn>
    <tableColumn id="23" xr3:uid="{1E270A0A-DA5D-4E2A-8088-D720E9143EB3}" uniqueName="ATK_RNG_PER_i" name="ATK_RNG_PER_i" dataDxfId="95">
      <xmlColumnPr mapId="456" xpath="/root/monster_value/ATK_RNG_PER_i" xmlDataType="integer"/>
    </tableColumn>
    <tableColumn id="24" xr3:uid="{BEFD17CA-1A4C-4708-A51A-A445B70554D6}" uniqueName="AOE_RNG_PER_i" name="AOE_RNG_PER_i" dataDxfId="94">
      <xmlColumnPr mapId="456" xpath="/root/monster_value/AOE_RNG_PER_i" xmlDataType="integer"/>
    </tableColumn>
    <tableColumn id="25" xr3:uid="{9D65841B-4579-4911-9BE9-F6D81FE59FBD}" uniqueName="BAT_RNG_PER_i" name="BAT_RNG_PER_i" dataDxfId="93">
      <xmlColumnPr mapId="456" xpath="/root/monster_value/BAT_RNG_PER_i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R279"/>
  <sheetViews>
    <sheetView tabSelected="1" workbookViewId="0">
      <pane xSplit="4" ySplit="5" topLeftCell="CI195" activePane="bottomRight" state="frozen"/>
      <selection pane="topRight"/>
      <selection pane="bottomLeft"/>
      <selection pane="bottomRight" activeCell="D208" sqref="D208"/>
    </sheetView>
  </sheetViews>
  <sheetFormatPr defaultColWidth="9" defaultRowHeight="16.5" x14ac:dyDescent="0.35"/>
  <cols>
    <col min="1" max="1" width="15.125" style="118" customWidth="1"/>
    <col min="2" max="2" width="18.25" style="118" customWidth="1"/>
    <col min="3" max="3" width="12.125" style="75" customWidth="1"/>
    <col min="4" max="4" width="13.25" style="118" customWidth="1"/>
    <col min="5" max="5" width="7.875" style="118" customWidth="1"/>
    <col min="6" max="6" width="5.375" style="118" customWidth="1"/>
    <col min="7" max="7" width="9.625" style="118" customWidth="1"/>
    <col min="8" max="9" width="2.625" style="118" customWidth="1"/>
    <col min="10" max="10" width="7.875" style="118" customWidth="1"/>
    <col min="11" max="11" width="22.125" style="118" customWidth="1"/>
    <col min="12" max="14" width="16.75" style="118" customWidth="1"/>
    <col min="15" max="15" width="13.875" style="118" customWidth="1"/>
    <col min="16" max="16" width="9.75" style="118" customWidth="1"/>
    <col min="17" max="17" width="8.5" style="118" customWidth="1"/>
    <col min="18" max="18" width="11.875" style="118" customWidth="1"/>
    <col min="19" max="21" width="7.5" style="119" customWidth="1"/>
    <col min="22" max="22" width="14.125" style="120" customWidth="1"/>
    <col min="23" max="23" width="13.625" style="120" customWidth="1"/>
    <col min="24" max="24" width="7.625" style="119" customWidth="1"/>
    <col min="25" max="25" width="8.25" style="120" customWidth="1"/>
    <col min="26" max="29" width="8.25" style="118" customWidth="1"/>
    <col min="30" max="30" width="5" style="118" customWidth="1"/>
    <col min="31" max="31" width="12.25" style="118" customWidth="1"/>
    <col min="32" max="33" width="12.25" style="119" customWidth="1"/>
    <col min="34" max="34" width="10.125" style="118" customWidth="1"/>
    <col min="35" max="35" width="10" style="118" customWidth="1"/>
    <col min="36" max="36" width="9.875" style="118" customWidth="1"/>
    <col min="37" max="37" width="8.375" style="118" customWidth="1"/>
    <col min="38" max="38" width="9" style="118" customWidth="1"/>
    <col min="39" max="39" width="9.5" style="118" customWidth="1"/>
    <col min="40" max="40" width="11.625" style="118" customWidth="1"/>
    <col min="41" max="41" width="27.375" style="121" customWidth="1"/>
    <col min="42" max="43" width="14.25" style="121" customWidth="1"/>
    <col min="44" max="44" width="9.375" style="121" customWidth="1"/>
    <col min="45" max="45" width="12.75" style="121" customWidth="1"/>
    <col min="46" max="46" width="9.375" style="121" customWidth="1"/>
    <col min="47" max="47" width="40.75" style="118" customWidth="1"/>
    <col min="48" max="48" width="10.375" style="118" customWidth="1"/>
    <col min="49" max="49" width="14.125" style="118" customWidth="1"/>
    <col min="50" max="50" width="9" style="118" customWidth="1"/>
    <col min="51" max="51" width="14.875" style="118" customWidth="1"/>
    <col min="52" max="52" width="16" style="118" customWidth="1"/>
    <col min="53" max="53" width="16" style="121" customWidth="1"/>
    <col min="54" max="54" width="9.875" style="119" customWidth="1"/>
    <col min="55" max="55" width="9.75" style="119" customWidth="1"/>
    <col min="56" max="56" width="12.375" style="121" customWidth="1"/>
    <col min="57" max="57" width="12.375" style="118" customWidth="1"/>
    <col min="58" max="58" width="9.25" style="118" customWidth="1"/>
    <col min="59" max="59" width="24.25" style="118" customWidth="1"/>
    <col min="60" max="60" width="40" style="118" customWidth="1"/>
    <col min="61" max="61" width="9.375" style="118" customWidth="1"/>
    <col min="62" max="62" width="14.875" style="121" customWidth="1"/>
    <col min="63" max="63" width="15.375" style="121" customWidth="1"/>
    <col min="64" max="64" width="7.25" style="118" customWidth="1"/>
    <col min="65" max="65" width="10.375" style="118" customWidth="1"/>
    <col min="66" max="66" width="9.75" style="118" customWidth="1"/>
    <col min="67" max="68" width="10.75" style="119" customWidth="1"/>
    <col min="69" max="69" width="17" style="118" customWidth="1"/>
    <col min="70" max="70" width="12.125" style="118" customWidth="1"/>
    <col min="71" max="71" width="9" style="118" customWidth="1"/>
    <col min="72" max="73" width="9.875" style="119" customWidth="1"/>
    <col min="74" max="74" width="12.125" style="121" customWidth="1"/>
    <col min="75" max="75" width="14.125" style="121" customWidth="1"/>
    <col min="76" max="76" width="7.375" style="118" customWidth="1"/>
    <col min="77" max="77" width="8.5" style="118" customWidth="1"/>
    <col min="78" max="85" width="8.25" style="118" customWidth="1"/>
    <col min="86" max="86" width="13.875" style="69" customWidth="1"/>
    <col min="87" max="87" width="13" style="121" customWidth="1"/>
    <col min="88" max="90" width="9" style="118" customWidth="1"/>
    <col min="91" max="92" width="27.75" style="109" customWidth="1"/>
    <col min="93" max="93" width="23.125" style="109" customWidth="1"/>
    <col min="94" max="94" width="24.75" style="109" customWidth="1"/>
    <col min="95" max="96" width="9.625" style="109" customWidth="1"/>
    <col min="97" max="97" width="25.375" style="118" customWidth="1"/>
    <col min="98" max="16384" width="9" style="118"/>
  </cols>
  <sheetData>
    <row r="1" spans="1:96" x14ac:dyDescent="0.35">
      <c r="A1" s="118" t="s">
        <v>0</v>
      </c>
      <c r="K1" s="118" t="s">
        <v>1</v>
      </c>
      <c r="R1" s="155"/>
      <c r="AQ1" s="234"/>
      <c r="AR1" s="234"/>
      <c r="AS1" s="234"/>
      <c r="AT1" s="234"/>
      <c r="BQ1" s="155"/>
      <c r="BT1" s="236"/>
      <c r="BU1" s="236"/>
      <c r="BV1" s="237"/>
      <c r="BW1" s="237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I1" s="121" t="s">
        <v>1</v>
      </c>
      <c r="CJ1" s="155"/>
      <c r="CK1" s="155"/>
      <c r="CL1" s="155"/>
    </row>
    <row r="2" spans="1:96" s="116" customFormat="1" x14ac:dyDescent="0.35">
      <c r="C2" s="122" t="s">
        <v>1</v>
      </c>
      <c r="D2" s="123"/>
      <c r="E2" s="124" t="s">
        <v>2</v>
      </c>
      <c r="F2" s="124" t="s">
        <v>3</v>
      </c>
      <c r="G2" s="124" t="s">
        <v>4</v>
      </c>
      <c r="H2" s="125"/>
      <c r="I2" s="125"/>
      <c r="J2" s="148" t="s">
        <v>5</v>
      </c>
      <c r="K2" s="124" t="s">
        <v>6</v>
      </c>
      <c r="L2" s="124" t="s">
        <v>7</v>
      </c>
      <c r="M2" s="124" t="s">
        <v>8</v>
      </c>
      <c r="N2" s="124" t="s">
        <v>9</v>
      </c>
      <c r="O2" s="149" t="s">
        <v>10</v>
      </c>
      <c r="P2" s="124" t="s">
        <v>11</v>
      </c>
      <c r="Q2" s="148" t="s">
        <v>12</v>
      </c>
      <c r="R2" s="156" t="s">
        <v>13</v>
      </c>
      <c r="S2" s="265" t="s">
        <v>14</v>
      </c>
      <c r="T2" s="266"/>
      <c r="U2" s="267"/>
      <c r="V2" s="268" t="s">
        <v>15</v>
      </c>
      <c r="W2" s="269"/>
      <c r="X2" s="158" t="s">
        <v>16</v>
      </c>
      <c r="Y2" s="265" t="s">
        <v>17</v>
      </c>
      <c r="Z2" s="266"/>
      <c r="AA2" s="267"/>
      <c r="AB2" s="157" t="s">
        <v>18</v>
      </c>
      <c r="AC2" s="157"/>
      <c r="AD2" s="164" t="s">
        <v>19</v>
      </c>
      <c r="AE2" s="165" t="s">
        <v>20</v>
      </c>
      <c r="AF2" s="165" t="s">
        <v>21</v>
      </c>
      <c r="AG2" s="165" t="s">
        <v>22</v>
      </c>
      <c r="AH2" s="164" t="s">
        <v>23</v>
      </c>
      <c r="AI2" s="164" t="s">
        <v>24</v>
      </c>
      <c r="AJ2" s="164" t="s">
        <v>25</v>
      </c>
      <c r="AK2" s="124" t="s">
        <v>26</v>
      </c>
      <c r="AL2" s="270" t="s">
        <v>27</v>
      </c>
      <c r="AM2" s="271"/>
      <c r="AN2" s="168"/>
      <c r="AO2" s="272" t="s">
        <v>28</v>
      </c>
      <c r="AP2" s="273"/>
      <c r="AQ2" s="273"/>
      <c r="AR2" s="273"/>
      <c r="AS2" s="273"/>
      <c r="AT2" s="274"/>
      <c r="AU2" s="148" t="s">
        <v>29</v>
      </c>
      <c r="AV2" s="156" t="s">
        <v>30</v>
      </c>
      <c r="AW2" s="156" t="s">
        <v>31</v>
      </c>
      <c r="AX2" s="124" t="s">
        <v>32</v>
      </c>
      <c r="AY2" s="275" t="s">
        <v>33</v>
      </c>
      <c r="AZ2" s="276"/>
      <c r="BA2" s="277"/>
      <c r="BB2" s="278" t="s">
        <v>34</v>
      </c>
      <c r="BC2" s="279"/>
      <c r="BD2" s="175" t="s">
        <v>35</v>
      </c>
      <c r="BE2" s="180" t="s">
        <v>36</v>
      </c>
      <c r="BF2" s="275" t="s">
        <v>37</v>
      </c>
      <c r="BG2" s="276"/>
      <c r="BH2" s="276"/>
      <c r="BI2" s="280" t="s">
        <v>38</v>
      </c>
      <c r="BJ2" s="281"/>
      <c r="BK2" s="282"/>
      <c r="BL2" s="125"/>
      <c r="BM2" s="275" t="s">
        <v>39</v>
      </c>
      <c r="BN2" s="276"/>
      <c r="BO2" s="276"/>
      <c r="BP2" s="277"/>
      <c r="BQ2" s="239" t="s">
        <v>40</v>
      </c>
      <c r="BR2" s="124" t="s">
        <v>41</v>
      </c>
      <c r="BS2" s="188" t="s">
        <v>42</v>
      </c>
      <c r="BT2" s="283" t="s">
        <v>43</v>
      </c>
      <c r="BU2" s="284"/>
      <c r="BV2" s="283" t="s">
        <v>44</v>
      </c>
      <c r="BW2" s="285"/>
      <c r="BX2" s="285"/>
      <c r="BY2" s="284"/>
      <c r="BZ2" s="283" t="s">
        <v>45</v>
      </c>
      <c r="CA2" s="285"/>
      <c r="CB2" s="285"/>
      <c r="CC2" s="285"/>
      <c r="CD2" s="285"/>
      <c r="CE2" s="285"/>
      <c r="CF2" s="285"/>
      <c r="CG2" s="284"/>
      <c r="CH2" s="286" t="s">
        <v>46</v>
      </c>
      <c r="CI2" s="286"/>
      <c r="CJ2" s="283" t="s">
        <v>47</v>
      </c>
      <c r="CK2" s="285"/>
      <c r="CL2" s="284"/>
      <c r="CM2" s="191" t="s">
        <v>48</v>
      </c>
      <c r="CN2" s="191"/>
      <c r="CO2" s="191"/>
      <c r="CP2" s="191"/>
      <c r="CQ2" s="164"/>
      <c r="CR2" s="164"/>
    </row>
    <row r="3" spans="1:96" s="117" customFormat="1" ht="126" customHeight="1" x14ac:dyDescent="0.2">
      <c r="C3" s="126"/>
      <c r="D3" s="127" t="s">
        <v>49</v>
      </c>
      <c r="E3" s="128" t="s">
        <v>50</v>
      </c>
      <c r="F3" s="128" t="s">
        <v>51</v>
      </c>
      <c r="G3" s="128" t="s">
        <v>4599</v>
      </c>
      <c r="H3" s="129" t="s">
        <v>52</v>
      </c>
      <c r="I3" s="150" t="s">
        <v>53</v>
      </c>
      <c r="J3" s="151" t="s">
        <v>54</v>
      </c>
      <c r="K3" s="152" t="s">
        <v>55</v>
      </c>
      <c r="L3" s="152" t="s">
        <v>56</v>
      </c>
      <c r="M3" s="152" t="s">
        <v>57</v>
      </c>
      <c r="N3" s="152" t="s">
        <v>58</v>
      </c>
      <c r="O3" s="153" t="s">
        <v>4488</v>
      </c>
      <c r="P3" s="152" t="s">
        <v>59</v>
      </c>
      <c r="Q3" s="151" t="s">
        <v>60</v>
      </c>
      <c r="R3" s="159" t="s">
        <v>61</v>
      </c>
      <c r="S3" s="160" t="s">
        <v>62</v>
      </c>
      <c r="T3" s="160" t="s">
        <v>63</v>
      </c>
      <c r="U3" s="160" t="s">
        <v>64</v>
      </c>
      <c r="V3" s="161" t="s">
        <v>65</v>
      </c>
      <c r="W3" s="161" t="s">
        <v>66</v>
      </c>
      <c r="X3" s="162" t="s">
        <v>67</v>
      </c>
      <c r="Y3" s="160" t="s">
        <v>68</v>
      </c>
      <c r="Z3" s="160" t="s">
        <v>69</v>
      </c>
      <c r="AA3" s="153" t="s">
        <v>70</v>
      </c>
      <c r="AB3" s="153" t="s">
        <v>71</v>
      </c>
      <c r="AC3" s="153" t="s">
        <v>72</v>
      </c>
      <c r="AD3" s="166" t="s">
        <v>73</v>
      </c>
      <c r="AE3" s="167" t="s">
        <v>74</v>
      </c>
      <c r="AF3" s="167" t="s">
        <v>75</v>
      </c>
      <c r="AG3" s="167" t="s">
        <v>76</v>
      </c>
      <c r="AH3" s="166" t="s">
        <v>77</v>
      </c>
      <c r="AI3" s="166" t="s">
        <v>78</v>
      </c>
      <c r="AJ3" s="166" t="s">
        <v>79</v>
      </c>
      <c r="AK3" s="152" t="s">
        <v>80</v>
      </c>
      <c r="AL3" s="162" t="s">
        <v>27</v>
      </c>
      <c r="AM3" s="162" t="s">
        <v>81</v>
      </c>
      <c r="AN3" s="162" t="s">
        <v>4220</v>
      </c>
      <c r="AO3" s="128" t="s">
        <v>82</v>
      </c>
      <c r="AP3" s="128" t="s">
        <v>83</v>
      </c>
      <c r="AQ3" s="235" t="s">
        <v>84</v>
      </c>
      <c r="AR3" s="235" t="s">
        <v>85</v>
      </c>
      <c r="AS3" s="235" t="s">
        <v>86</v>
      </c>
      <c r="AT3" s="235" t="s">
        <v>87</v>
      </c>
      <c r="AU3" s="170" t="s">
        <v>88</v>
      </c>
      <c r="AV3" s="171" t="s">
        <v>89</v>
      </c>
      <c r="AW3" s="171" t="s">
        <v>90</v>
      </c>
      <c r="AX3" s="176" t="s">
        <v>91</v>
      </c>
      <c r="AY3" s="177" t="s">
        <v>92</v>
      </c>
      <c r="AZ3" s="177" t="s">
        <v>93</v>
      </c>
      <c r="BA3" s="153" t="s">
        <v>94</v>
      </c>
      <c r="BB3" s="176" t="s">
        <v>95</v>
      </c>
      <c r="BC3" s="176" t="s">
        <v>96</v>
      </c>
      <c r="BD3" s="178" t="s">
        <v>97</v>
      </c>
      <c r="BE3" s="181" t="s">
        <v>98</v>
      </c>
      <c r="BF3" s="160" t="s">
        <v>99</v>
      </c>
      <c r="BG3" s="160" t="s">
        <v>100</v>
      </c>
      <c r="BH3" s="182" t="s">
        <v>101</v>
      </c>
      <c r="BI3" s="183" t="s">
        <v>102</v>
      </c>
      <c r="BJ3" s="183" t="s">
        <v>103</v>
      </c>
      <c r="BK3" s="183" t="s">
        <v>104</v>
      </c>
      <c r="BL3" s="184" t="s">
        <v>105</v>
      </c>
      <c r="BM3" s="160" t="s">
        <v>106</v>
      </c>
      <c r="BN3" s="160" t="s">
        <v>107</v>
      </c>
      <c r="BO3" s="160" t="s">
        <v>108</v>
      </c>
      <c r="BP3" s="160" t="s">
        <v>109</v>
      </c>
      <c r="BQ3" s="235" t="s">
        <v>110</v>
      </c>
      <c r="BR3" s="128" t="s">
        <v>111</v>
      </c>
      <c r="BS3" s="189" t="s">
        <v>112</v>
      </c>
      <c r="BT3" s="238" t="s">
        <v>113</v>
      </c>
      <c r="BU3" s="238" t="s">
        <v>114</v>
      </c>
      <c r="BV3" s="235" t="s">
        <v>115</v>
      </c>
      <c r="BW3" s="235" t="s">
        <v>116</v>
      </c>
      <c r="BX3" s="238" t="s">
        <v>117</v>
      </c>
      <c r="BY3" s="238" t="s">
        <v>118</v>
      </c>
      <c r="BZ3" s="238" t="s">
        <v>119</v>
      </c>
      <c r="CA3" s="238" t="s">
        <v>120</v>
      </c>
      <c r="CB3" s="238" t="s">
        <v>121</v>
      </c>
      <c r="CC3" s="238" t="s">
        <v>122</v>
      </c>
      <c r="CD3" s="238" t="s">
        <v>123</v>
      </c>
      <c r="CE3" s="238" t="s">
        <v>124</v>
      </c>
      <c r="CF3" s="238" t="s">
        <v>125</v>
      </c>
      <c r="CG3" s="238" t="s">
        <v>126</v>
      </c>
      <c r="CH3" s="183" t="s">
        <v>127</v>
      </c>
      <c r="CI3" s="183" t="s">
        <v>128</v>
      </c>
      <c r="CJ3" s="238" t="s">
        <v>129</v>
      </c>
      <c r="CK3" s="238" t="s">
        <v>130</v>
      </c>
      <c r="CL3" s="238" t="s">
        <v>131</v>
      </c>
      <c r="CM3" s="190" t="s">
        <v>132</v>
      </c>
      <c r="CN3" s="190" t="s">
        <v>4572</v>
      </c>
      <c r="CO3" s="190" t="s">
        <v>133</v>
      </c>
      <c r="CP3" s="190" t="s">
        <v>134</v>
      </c>
      <c r="CQ3" s="192" t="s">
        <v>135</v>
      </c>
      <c r="CR3" s="192" t="s">
        <v>136</v>
      </c>
    </row>
    <row r="4" spans="1:96" ht="14.25" customHeight="1" x14ac:dyDescent="0.35">
      <c r="C4" s="130"/>
      <c r="D4" s="131" t="s">
        <v>137</v>
      </c>
      <c r="E4" s="131" t="s">
        <v>138</v>
      </c>
      <c r="F4" s="131" t="s">
        <v>139</v>
      </c>
      <c r="G4" s="131" t="s">
        <v>4600</v>
      </c>
      <c r="H4" s="131" t="s">
        <v>140</v>
      </c>
      <c r="I4" s="131" t="s">
        <v>141</v>
      </c>
      <c r="J4" s="131" t="s">
        <v>142</v>
      </c>
      <c r="K4" s="131" t="s">
        <v>143</v>
      </c>
      <c r="L4" s="131" t="s">
        <v>144</v>
      </c>
      <c r="M4" s="131" t="s">
        <v>145</v>
      </c>
      <c r="N4" s="131" t="s">
        <v>146</v>
      </c>
      <c r="O4" s="131" t="s">
        <v>147</v>
      </c>
      <c r="P4" s="131" t="s">
        <v>148</v>
      </c>
      <c r="Q4" s="131" t="s">
        <v>149</v>
      </c>
      <c r="R4" s="131" t="s">
        <v>150</v>
      </c>
      <c r="S4" s="163" t="s">
        <v>151</v>
      </c>
      <c r="T4" s="163" t="s">
        <v>152</v>
      </c>
      <c r="U4" s="163" t="s">
        <v>153</v>
      </c>
      <c r="V4" s="135" t="s">
        <v>154</v>
      </c>
      <c r="W4" s="135" t="s">
        <v>155</v>
      </c>
      <c r="X4" s="163" t="s">
        <v>156</v>
      </c>
      <c r="Y4" s="135" t="s">
        <v>157</v>
      </c>
      <c r="Z4" s="131" t="s">
        <v>158</v>
      </c>
      <c r="AA4" s="131" t="s">
        <v>159</v>
      </c>
      <c r="AB4" s="131" t="s">
        <v>160</v>
      </c>
      <c r="AC4" s="131" t="s">
        <v>161</v>
      </c>
      <c r="AD4" s="131" t="s">
        <v>162</v>
      </c>
      <c r="AE4" s="131" t="s">
        <v>163</v>
      </c>
      <c r="AF4" s="163" t="s">
        <v>164</v>
      </c>
      <c r="AG4" s="163" t="s">
        <v>165</v>
      </c>
      <c r="AH4" s="131" t="s">
        <v>166</v>
      </c>
      <c r="AI4" s="131" t="s">
        <v>167</v>
      </c>
      <c r="AJ4" s="131" t="s">
        <v>168</v>
      </c>
      <c r="AK4" s="131" t="s">
        <v>169</v>
      </c>
      <c r="AL4" s="131" t="s">
        <v>170</v>
      </c>
      <c r="AM4" s="131" t="s">
        <v>171</v>
      </c>
      <c r="AN4" s="131" t="s">
        <v>4219</v>
      </c>
      <c r="AO4" s="172" t="s">
        <v>172</v>
      </c>
      <c r="AP4" s="172" t="s">
        <v>173</v>
      </c>
      <c r="AQ4" s="172" t="s">
        <v>174</v>
      </c>
      <c r="AR4" s="172" t="s">
        <v>175</v>
      </c>
      <c r="AS4" s="172" t="s">
        <v>176</v>
      </c>
      <c r="AT4" s="172" t="s">
        <v>177</v>
      </c>
      <c r="AU4" s="131" t="s">
        <v>178</v>
      </c>
      <c r="AV4" s="131" t="s">
        <v>179</v>
      </c>
      <c r="AW4" s="131" t="s">
        <v>180</v>
      </c>
      <c r="AX4" s="131" t="s">
        <v>181</v>
      </c>
      <c r="AY4" s="131" t="s">
        <v>182</v>
      </c>
      <c r="AZ4" s="163" t="s">
        <v>183</v>
      </c>
      <c r="BA4" s="172" t="s">
        <v>184</v>
      </c>
      <c r="BB4" s="163" t="s">
        <v>185</v>
      </c>
      <c r="BC4" s="163" t="s">
        <v>186</v>
      </c>
      <c r="BD4" s="172" t="s">
        <v>187</v>
      </c>
      <c r="BE4" s="131" t="s">
        <v>188</v>
      </c>
      <c r="BF4" s="131" t="s">
        <v>189</v>
      </c>
      <c r="BG4" s="131" t="s">
        <v>190</v>
      </c>
      <c r="BH4" s="131" t="s">
        <v>191</v>
      </c>
      <c r="BI4" s="131" t="s">
        <v>192</v>
      </c>
      <c r="BJ4" s="172" t="s">
        <v>193</v>
      </c>
      <c r="BK4" s="172" t="s">
        <v>194</v>
      </c>
      <c r="BL4" s="131" t="s">
        <v>195</v>
      </c>
      <c r="BM4" s="131" t="s">
        <v>196</v>
      </c>
      <c r="BN4" s="131" t="s">
        <v>197</v>
      </c>
      <c r="BO4" s="163" t="s">
        <v>198</v>
      </c>
      <c r="BP4" s="163" t="s">
        <v>199</v>
      </c>
      <c r="BQ4" s="131" t="s">
        <v>200</v>
      </c>
      <c r="BR4" s="131" t="s">
        <v>201</v>
      </c>
      <c r="BS4" s="131" t="s">
        <v>202</v>
      </c>
      <c r="BT4" s="163" t="s">
        <v>203</v>
      </c>
      <c r="BU4" s="163" t="s">
        <v>204</v>
      </c>
      <c r="BV4" s="172" t="s">
        <v>205</v>
      </c>
      <c r="BW4" s="172" t="s">
        <v>206</v>
      </c>
      <c r="BX4" s="131" t="s">
        <v>207</v>
      </c>
      <c r="BY4" s="131" t="s">
        <v>208</v>
      </c>
      <c r="BZ4" s="131" t="s">
        <v>209</v>
      </c>
      <c r="CA4" s="131" t="s">
        <v>210</v>
      </c>
      <c r="CB4" s="131" t="s">
        <v>211</v>
      </c>
      <c r="CC4" s="131" t="s">
        <v>212</v>
      </c>
      <c r="CD4" s="131" t="s">
        <v>213</v>
      </c>
      <c r="CE4" s="131" t="s">
        <v>214</v>
      </c>
      <c r="CF4" s="131" t="s">
        <v>215</v>
      </c>
      <c r="CG4" s="131" t="s">
        <v>216</v>
      </c>
      <c r="CH4" s="179" t="s">
        <v>217</v>
      </c>
      <c r="CI4" s="172" t="s">
        <v>218</v>
      </c>
      <c r="CJ4" s="131" t="s">
        <v>219</v>
      </c>
      <c r="CK4" s="131" t="s">
        <v>220</v>
      </c>
      <c r="CL4" s="131" t="s">
        <v>221</v>
      </c>
      <c r="CM4" s="109" t="s">
        <v>4573</v>
      </c>
      <c r="CN4" s="109" t="s">
        <v>4571</v>
      </c>
      <c r="CO4" s="109" t="s">
        <v>222</v>
      </c>
      <c r="CP4" s="109" t="s">
        <v>223</v>
      </c>
      <c r="CQ4" s="109" t="s">
        <v>224</v>
      </c>
      <c r="CR4" s="101" t="s">
        <v>225</v>
      </c>
    </row>
    <row r="5" spans="1:96" ht="15.75" customHeight="1" x14ac:dyDescent="0.35">
      <c r="A5" s="132" t="s">
        <v>226</v>
      </c>
      <c r="B5" s="133" t="s">
        <v>227</v>
      </c>
      <c r="C5" s="134" t="s">
        <v>228</v>
      </c>
      <c r="D5" s="135">
        <v>0</v>
      </c>
      <c r="E5" s="135">
        <v>0</v>
      </c>
      <c r="F5" s="135">
        <v>0</v>
      </c>
      <c r="G5" s="135">
        <v>0</v>
      </c>
      <c r="H5" s="135">
        <v>0</v>
      </c>
      <c r="I5" s="135">
        <v>0</v>
      </c>
      <c r="J5" s="135">
        <v>0</v>
      </c>
      <c r="K5" s="135">
        <v>0</v>
      </c>
      <c r="L5" s="135">
        <v>0</v>
      </c>
      <c r="M5" s="135">
        <v>0</v>
      </c>
      <c r="N5" s="135">
        <v>0</v>
      </c>
      <c r="O5" s="135">
        <v>0</v>
      </c>
      <c r="P5" s="135">
        <v>0</v>
      </c>
      <c r="Q5" s="135">
        <v>1</v>
      </c>
      <c r="R5" s="135">
        <v>0</v>
      </c>
      <c r="S5" s="163">
        <v>0</v>
      </c>
      <c r="T5" s="163">
        <v>0</v>
      </c>
      <c r="U5" s="163">
        <v>0</v>
      </c>
      <c r="V5" s="135">
        <v>0</v>
      </c>
      <c r="W5" s="135">
        <v>0</v>
      </c>
      <c r="X5" s="163">
        <v>0</v>
      </c>
      <c r="Y5" s="135">
        <v>0</v>
      </c>
      <c r="Z5" s="135">
        <v>1000</v>
      </c>
      <c r="AA5" s="135">
        <v>0</v>
      </c>
      <c r="AB5" s="135">
        <v>1</v>
      </c>
      <c r="AC5" s="135"/>
      <c r="AD5" s="135">
        <v>0</v>
      </c>
      <c r="AE5" s="135">
        <v>0</v>
      </c>
      <c r="AF5" s="163">
        <v>1</v>
      </c>
      <c r="AG5" s="163">
        <v>1</v>
      </c>
      <c r="AH5" s="135">
        <v>2000</v>
      </c>
      <c r="AI5" s="135">
        <v>0</v>
      </c>
      <c r="AJ5" s="135">
        <v>0</v>
      </c>
      <c r="AK5" s="135">
        <v>0</v>
      </c>
      <c r="AL5" s="135">
        <v>0</v>
      </c>
      <c r="AM5" s="135">
        <v>0</v>
      </c>
      <c r="AN5" s="135">
        <v>0</v>
      </c>
      <c r="AO5" s="130">
        <v>0</v>
      </c>
      <c r="AP5" s="135" t="s">
        <v>229</v>
      </c>
      <c r="AQ5" s="135">
        <v>0</v>
      </c>
      <c r="AR5" s="135" t="s">
        <v>229</v>
      </c>
      <c r="AS5" s="135">
        <v>0</v>
      </c>
      <c r="AT5" s="135" t="s">
        <v>229</v>
      </c>
      <c r="AU5" s="130" t="s">
        <v>230</v>
      </c>
      <c r="AV5" s="135" t="s">
        <v>231</v>
      </c>
      <c r="AW5" s="135" t="s">
        <v>230</v>
      </c>
      <c r="AX5" s="135" t="s">
        <v>231</v>
      </c>
      <c r="AY5" s="135" t="s">
        <v>232</v>
      </c>
      <c r="AZ5" s="135">
        <v>1</v>
      </c>
      <c r="BA5" s="135" t="s">
        <v>233</v>
      </c>
      <c r="BB5" s="163">
        <v>2000</v>
      </c>
      <c r="BC5" s="163" t="s">
        <v>232</v>
      </c>
      <c r="BD5" s="135" t="s">
        <v>234</v>
      </c>
      <c r="BE5" s="135" t="s">
        <v>235</v>
      </c>
      <c r="BF5" s="135">
        <v>0</v>
      </c>
      <c r="BG5" s="130" t="s">
        <v>236</v>
      </c>
      <c r="BH5" s="179" t="s">
        <v>237</v>
      </c>
      <c r="BI5" s="135" t="s">
        <v>231</v>
      </c>
      <c r="BJ5" s="130" t="s">
        <v>238</v>
      </c>
      <c r="BK5" s="135" t="s">
        <v>239</v>
      </c>
      <c r="BL5" s="135">
        <v>0</v>
      </c>
      <c r="BM5" s="135">
        <v>0</v>
      </c>
      <c r="BN5" s="135" t="s">
        <v>240</v>
      </c>
      <c r="BO5" s="163">
        <v>0</v>
      </c>
      <c r="BP5" s="163">
        <v>0</v>
      </c>
      <c r="BQ5" s="135" t="s">
        <v>241</v>
      </c>
      <c r="BR5" s="135">
        <v>1</v>
      </c>
      <c r="BS5" s="135">
        <v>0</v>
      </c>
      <c r="BT5" s="163">
        <v>0</v>
      </c>
      <c r="BU5" s="163">
        <v>0</v>
      </c>
      <c r="BV5" s="135">
        <v>0</v>
      </c>
      <c r="BW5" s="135" t="s">
        <v>230</v>
      </c>
      <c r="BX5" s="135">
        <v>0</v>
      </c>
      <c r="BY5" s="135">
        <v>0</v>
      </c>
      <c r="BZ5" s="135">
        <v>0</v>
      </c>
      <c r="CA5" s="135">
        <v>0</v>
      </c>
      <c r="CB5" s="135">
        <v>0</v>
      </c>
      <c r="CC5" s="135">
        <v>0</v>
      </c>
      <c r="CD5" s="135">
        <v>0</v>
      </c>
      <c r="CE5" s="135">
        <v>0</v>
      </c>
      <c r="CF5" s="135">
        <v>0</v>
      </c>
      <c r="CG5" s="135">
        <v>0</v>
      </c>
      <c r="CH5" s="163">
        <v>0</v>
      </c>
      <c r="CI5" s="130" t="s">
        <v>230</v>
      </c>
      <c r="CJ5" s="135">
        <v>0</v>
      </c>
      <c r="CK5" s="135">
        <v>0</v>
      </c>
      <c r="CL5" s="130" t="s">
        <v>230</v>
      </c>
      <c r="CM5" s="193">
        <v>0</v>
      </c>
      <c r="CN5" s="193">
        <v>0</v>
      </c>
      <c r="CO5" s="193">
        <v>0</v>
      </c>
      <c r="CP5" s="193">
        <v>0</v>
      </c>
      <c r="CQ5" s="193">
        <v>0</v>
      </c>
      <c r="CR5" s="193">
        <v>0</v>
      </c>
    </row>
    <row r="6" spans="1:96" ht="15.75" customHeight="1" x14ac:dyDescent="0.35">
      <c r="A6" s="136" t="s">
        <v>242</v>
      </c>
      <c r="B6" s="137" t="s">
        <v>243</v>
      </c>
      <c r="C6" s="75" t="s">
        <v>244</v>
      </c>
      <c r="D6" s="138">
        <v>100</v>
      </c>
      <c r="E6" s="135">
        <v>70051</v>
      </c>
      <c r="F6" s="135"/>
      <c r="G6" s="139"/>
      <c r="H6" s="135">
        <v>0</v>
      </c>
      <c r="I6" s="135"/>
      <c r="J6" s="135"/>
      <c r="K6" s="135">
        <v>1</v>
      </c>
      <c r="L6" s="135"/>
      <c r="M6" s="139"/>
      <c r="N6" s="139"/>
      <c r="O6" s="154"/>
      <c r="P6" s="135">
        <v>1</v>
      </c>
      <c r="Q6" s="135">
        <v>3</v>
      </c>
      <c r="R6" s="135"/>
      <c r="S6" s="163">
        <v>1</v>
      </c>
      <c r="T6" s="163">
        <v>1</v>
      </c>
      <c r="U6" s="163">
        <v>1</v>
      </c>
      <c r="V6" s="135"/>
      <c r="W6" s="135"/>
      <c r="X6" s="163"/>
      <c r="Y6" s="135">
        <v>4081</v>
      </c>
      <c r="Z6" s="135">
        <v>1000</v>
      </c>
      <c r="AA6" s="135">
        <v>100</v>
      </c>
      <c r="AB6" s="135">
        <v>1</v>
      </c>
      <c r="AC6" s="135"/>
      <c r="AD6" s="135"/>
      <c r="AE6" s="135"/>
      <c r="AF6" s="163">
        <v>1</v>
      </c>
      <c r="AG6" s="169">
        <v>100</v>
      </c>
      <c r="AH6" s="135"/>
      <c r="AI6" s="135"/>
      <c r="AJ6" s="135"/>
      <c r="AK6" s="135">
        <v>0</v>
      </c>
      <c r="AL6" s="135">
        <v>21001</v>
      </c>
      <c r="AM6" s="135">
        <v>4000</v>
      </c>
      <c r="AN6" s="135"/>
      <c r="AO6" s="130" t="s">
        <v>245</v>
      </c>
      <c r="AP6" s="130">
        <v>1</v>
      </c>
      <c r="AQ6" s="130" t="s">
        <v>245</v>
      </c>
      <c r="AR6" s="130" t="s">
        <v>246</v>
      </c>
      <c r="AS6" s="130" t="s">
        <v>245</v>
      </c>
      <c r="AT6" s="130" t="s">
        <v>246</v>
      </c>
      <c r="AU6" s="130" t="s">
        <v>247</v>
      </c>
      <c r="AV6" s="130"/>
      <c r="AW6" s="104" t="s">
        <v>248</v>
      </c>
      <c r="AX6" s="130" t="s">
        <v>249</v>
      </c>
      <c r="AY6" s="163" t="s">
        <v>250</v>
      </c>
      <c r="AZ6" s="135">
        <v>2</v>
      </c>
      <c r="BA6" s="130"/>
      <c r="BB6" s="179"/>
      <c r="BC6" s="179"/>
      <c r="BD6" s="104"/>
      <c r="BE6" s="130"/>
      <c r="BF6" s="135">
        <v>10011</v>
      </c>
      <c r="BG6" s="130"/>
      <c r="BH6" s="185"/>
      <c r="BI6" s="130" t="s">
        <v>251</v>
      </c>
      <c r="BJ6" s="130" t="s">
        <v>252</v>
      </c>
      <c r="BK6" s="130" t="s">
        <v>253</v>
      </c>
      <c r="BL6" s="135"/>
      <c r="BM6" s="135"/>
      <c r="BN6" s="135"/>
      <c r="BO6" s="163">
        <v>50</v>
      </c>
      <c r="BP6" s="163">
        <v>200</v>
      </c>
      <c r="BQ6" s="130" t="s">
        <v>241</v>
      </c>
      <c r="BR6" s="135">
        <v>1</v>
      </c>
      <c r="BS6" s="135"/>
      <c r="BT6" s="163">
        <v>50</v>
      </c>
      <c r="BU6" s="163">
        <v>50</v>
      </c>
      <c r="BV6" s="130"/>
      <c r="BW6" s="104"/>
      <c r="BX6" s="135"/>
      <c r="BY6" s="135"/>
      <c r="BZ6" s="135">
        <v>3</v>
      </c>
      <c r="CA6" s="135">
        <v>4</v>
      </c>
      <c r="CB6" s="135">
        <v>4</v>
      </c>
      <c r="CC6" s="135">
        <v>4</v>
      </c>
      <c r="CD6" s="135">
        <v>4</v>
      </c>
      <c r="CE6" s="135">
        <v>5</v>
      </c>
      <c r="CF6" s="135">
        <v>4</v>
      </c>
      <c r="CG6" s="135">
        <v>4</v>
      </c>
      <c r="CH6" s="163"/>
      <c r="CI6" s="130"/>
      <c r="CJ6" s="135"/>
      <c r="CK6" s="135"/>
      <c r="CL6" s="130"/>
      <c r="CM6" s="193">
        <v>100005</v>
      </c>
      <c r="CN6" s="193"/>
      <c r="CO6" s="193"/>
      <c r="CP6" s="193"/>
      <c r="CQ6" s="193"/>
      <c r="CR6" s="193"/>
    </row>
    <row r="7" spans="1:96" ht="15.75" customHeight="1" x14ac:dyDescent="0.35">
      <c r="A7" s="136" t="s">
        <v>242</v>
      </c>
      <c r="B7" s="137" t="s">
        <v>254</v>
      </c>
      <c r="C7" s="75" t="s">
        <v>244</v>
      </c>
      <c r="D7" s="138">
        <v>101</v>
      </c>
      <c r="E7" s="135">
        <v>70052</v>
      </c>
      <c r="F7" s="135"/>
      <c r="G7" s="139"/>
      <c r="H7" s="135">
        <v>0</v>
      </c>
      <c r="I7" s="135"/>
      <c r="J7" s="135"/>
      <c r="K7" s="135">
        <v>1</v>
      </c>
      <c r="L7" s="135"/>
      <c r="M7" s="139"/>
      <c r="N7" s="139"/>
      <c r="O7" s="154"/>
      <c r="P7" s="135">
        <v>1</v>
      </c>
      <c r="Q7" s="135">
        <v>3</v>
      </c>
      <c r="R7" s="135"/>
      <c r="S7" s="163">
        <v>1</v>
      </c>
      <c r="T7" s="163">
        <v>1</v>
      </c>
      <c r="U7" s="163">
        <v>1</v>
      </c>
      <c r="V7" s="135"/>
      <c r="W7" s="135"/>
      <c r="X7" s="163"/>
      <c r="Y7" s="135">
        <v>1540</v>
      </c>
      <c r="Z7" s="135">
        <v>1000</v>
      </c>
      <c r="AA7" s="135">
        <v>200</v>
      </c>
      <c r="AB7" s="135">
        <v>1</v>
      </c>
      <c r="AC7" s="135"/>
      <c r="AD7" s="135"/>
      <c r="AE7" s="135"/>
      <c r="AF7" s="163">
        <v>1</v>
      </c>
      <c r="AG7" s="169">
        <v>100</v>
      </c>
      <c r="AH7" s="135"/>
      <c r="AI7" s="135"/>
      <c r="AJ7" s="135"/>
      <c r="AK7" s="135">
        <v>0</v>
      </c>
      <c r="AL7" s="135">
        <v>21001</v>
      </c>
      <c r="AM7" s="135">
        <v>4000</v>
      </c>
      <c r="AN7" s="135"/>
      <c r="AO7" s="130" t="s">
        <v>255</v>
      </c>
      <c r="AP7" s="130">
        <v>1</v>
      </c>
      <c r="AQ7" s="130" t="s">
        <v>255</v>
      </c>
      <c r="AR7" s="130" t="s">
        <v>246</v>
      </c>
      <c r="AS7" s="130" t="s">
        <v>255</v>
      </c>
      <c r="AT7" s="130" t="s">
        <v>246</v>
      </c>
      <c r="AU7" s="130" t="s">
        <v>256</v>
      </c>
      <c r="AV7" s="130"/>
      <c r="AW7" s="104" t="s">
        <v>248</v>
      </c>
      <c r="AX7" s="130" t="s">
        <v>249</v>
      </c>
      <c r="AY7" s="163"/>
      <c r="AZ7" s="135"/>
      <c r="BA7" s="130"/>
      <c r="BB7" s="179"/>
      <c r="BC7" s="179"/>
      <c r="BD7" s="104"/>
      <c r="BE7" s="130"/>
      <c r="BF7" s="135">
        <v>10011</v>
      </c>
      <c r="BG7" s="130"/>
      <c r="BH7" s="185"/>
      <c r="BI7" s="130" t="s">
        <v>251</v>
      </c>
      <c r="BJ7" s="130" t="s">
        <v>252</v>
      </c>
      <c r="BK7" s="130" t="s">
        <v>253</v>
      </c>
      <c r="BL7" s="135"/>
      <c r="BM7" s="135"/>
      <c r="BN7" s="135"/>
      <c r="BO7" s="163">
        <v>50</v>
      </c>
      <c r="BP7" s="163">
        <v>200</v>
      </c>
      <c r="BQ7" s="130" t="s">
        <v>241</v>
      </c>
      <c r="BR7" s="135">
        <v>1</v>
      </c>
      <c r="BS7" s="135"/>
      <c r="BT7" s="163">
        <v>50</v>
      </c>
      <c r="BU7" s="163">
        <v>50</v>
      </c>
      <c r="BV7" s="130"/>
      <c r="BW7" s="104"/>
      <c r="BX7" s="135"/>
      <c r="BY7" s="135"/>
      <c r="BZ7" s="135">
        <v>3</v>
      </c>
      <c r="CA7" s="135">
        <v>4</v>
      </c>
      <c r="CB7" s="135">
        <v>4</v>
      </c>
      <c r="CC7" s="135">
        <v>4</v>
      </c>
      <c r="CD7" s="135">
        <v>4</v>
      </c>
      <c r="CE7" s="135">
        <v>5</v>
      </c>
      <c r="CF7" s="135">
        <v>4</v>
      </c>
      <c r="CG7" s="135">
        <v>4</v>
      </c>
      <c r="CH7" s="163"/>
      <c r="CI7" s="130"/>
      <c r="CJ7" s="135"/>
      <c r="CK7" s="135"/>
      <c r="CL7" s="130"/>
      <c r="CM7" s="193">
        <v>100005</v>
      </c>
      <c r="CN7" s="193"/>
      <c r="CO7" s="193"/>
      <c r="CP7" s="193"/>
      <c r="CQ7" s="193"/>
      <c r="CR7" s="193"/>
    </row>
    <row r="8" spans="1:96" ht="15.75" customHeight="1" x14ac:dyDescent="0.35">
      <c r="A8" s="136" t="s">
        <v>242</v>
      </c>
      <c r="B8" s="137" t="s">
        <v>257</v>
      </c>
      <c r="C8" s="75" t="s">
        <v>258</v>
      </c>
      <c r="D8" s="138">
        <v>102</v>
      </c>
      <c r="E8" s="135">
        <v>70053</v>
      </c>
      <c r="F8" s="135"/>
      <c r="G8" s="139"/>
      <c r="H8" s="135">
        <v>0</v>
      </c>
      <c r="I8" s="135"/>
      <c r="J8" s="135"/>
      <c r="K8" s="135">
        <v>1</v>
      </c>
      <c r="L8" s="135"/>
      <c r="M8" s="139"/>
      <c r="N8" s="139"/>
      <c r="O8" s="154"/>
      <c r="P8" s="135">
        <v>1</v>
      </c>
      <c r="Q8" s="135">
        <v>3</v>
      </c>
      <c r="R8" s="135"/>
      <c r="S8" s="163">
        <v>1</v>
      </c>
      <c r="T8" s="163">
        <v>1</v>
      </c>
      <c r="U8" s="163">
        <v>1</v>
      </c>
      <c r="V8" s="135"/>
      <c r="W8" s="135"/>
      <c r="X8" s="163"/>
      <c r="Y8" s="135">
        <v>12202</v>
      </c>
      <c r="Z8" s="135">
        <v>1000</v>
      </c>
      <c r="AA8" s="135">
        <v>10</v>
      </c>
      <c r="AB8" s="135">
        <v>1</v>
      </c>
      <c r="AC8" s="135"/>
      <c r="AD8" s="135"/>
      <c r="AE8" s="135"/>
      <c r="AF8" s="163">
        <v>1</v>
      </c>
      <c r="AG8" s="169">
        <v>100</v>
      </c>
      <c r="AH8" s="135"/>
      <c r="AI8" s="135"/>
      <c r="AJ8" s="135"/>
      <c r="AK8" s="135">
        <v>0</v>
      </c>
      <c r="AL8" s="135">
        <v>10002</v>
      </c>
      <c r="AM8" s="135">
        <v>4000</v>
      </c>
      <c r="AN8" s="135"/>
      <c r="AO8" s="130" t="s">
        <v>259</v>
      </c>
      <c r="AP8" s="130">
        <v>1</v>
      </c>
      <c r="AQ8" s="130" t="s">
        <v>259</v>
      </c>
      <c r="AR8" s="130" t="s">
        <v>246</v>
      </c>
      <c r="AS8" s="130" t="s">
        <v>259</v>
      </c>
      <c r="AT8" s="130" t="s">
        <v>246</v>
      </c>
      <c r="AU8" s="130" t="s">
        <v>260</v>
      </c>
      <c r="AV8" s="130"/>
      <c r="AW8" s="104" t="s">
        <v>248</v>
      </c>
      <c r="AX8" s="130" t="s">
        <v>249</v>
      </c>
      <c r="AY8" s="163"/>
      <c r="AZ8" s="135"/>
      <c r="BA8" s="130"/>
      <c r="BB8" s="179"/>
      <c r="BC8" s="179"/>
      <c r="BD8" s="104"/>
      <c r="BE8" s="130"/>
      <c r="BF8" s="135">
        <v>10011</v>
      </c>
      <c r="BG8" s="130"/>
      <c r="BH8" s="185"/>
      <c r="BI8" s="130" t="s">
        <v>261</v>
      </c>
      <c r="BJ8" s="130" t="s">
        <v>262</v>
      </c>
      <c r="BK8" s="130" t="s">
        <v>253</v>
      </c>
      <c r="BL8" s="135"/>
      <c r="BM8" s="135"/>
      <c r="BN8" s="135"/>
      <c r="BO8" s="163">
        <v>50</v>
      </c>
      <c r="BP8" s="163">
        <v>200</v>
      </c>
      <c r="BQ8" s="130" t="s">
        <v>241</v>
      </c>
      <c r="BR8" s="135">
        <v>1</v>
      </c>
      <c r="BS8" s="135"/>
      <c r="BT8" s="163">
        <v>50</v>
      </c>
      <c r="BU8" s="163">
        <v>50</v>
      </c>
      <c r="BV8" s="130"/>
      <c r="BW8" s="104"/>
      <c r="BX8" s="135"/>
      <c r="BY8" s="135"/>
      <c r="BZ8" s="135">
        <v>3</v>
      </c>
      <c r="CA8" s="135">
        <v>4</v>
      </c>
      <c r="CB8" s="135">
        <v>4</v>
      </c>
      <c r="CC8" s="135">
        <v>4</v>
      </c>
      <c r="CD8" s="135">
        <v>4</v>
      </c>
      <c r="CE8" s="135">
        <v>5</v>
      </c>
      <c r="CF8" s="135">
        <v>4</v>
      </c>
      <c r="CG8" s="135">
        <v>4</v>
      </c>
      <c r="CH8" s="163"/>
      <c r="CI8" s="130"/>
      <c r="CJ8" s="135"/>
      <c r="CK8" s="135"/>
      <c r="CL8" s="130"/>
      <c r="CM8" s="193">
        <v>100005</v>
      </c>
      <c r="CN8" s="193"/>
      <c r="CO8" s="193"/>
      <c r="CP8" s="193"/>
      <c r="CQ8" s="193"/>
      <c r="CR8" s="193"/>
    </row>
    <row r="9" spans="1:96" ht="15.75" customHeight="1" x14ac:dyDescent="0.35">
      <c r="A9" s="140" t="s">
        <v>263</v>
      </c>
      <c r="B9" s="141" t="s">
        <v>264</v>
      </c>
      <c r="D9" s="138">
        <v>1001</v>
      </c>
      <c r="E9" s="135">
        <v>70031</v>
      </c>
      <c r="F9" s="135"/>
      <c r="G9" s="139">
        <v>301</v>
      </c>
      <c r="H9" s="135"/>
      <c r="I9" s="135"/>
      <c r="J9" s="135"/>
      <c r="K9" s="135">
        <v>2</v>
      </c>
      <c r="L9" s="139"/>
      <c r="M9" s="139"/>
      <c r="N9" s="139"/>
      <c r="O9" s="154">
        <v>1</v>
      </c>
      <c r="P9" s="135">
        <v>2</v>
      </c>
      <c r="Q9" s="135">
        <v>3</v>
      </c>
      <c r="R9" s="135"/>
      <c r="S9" s="163">
        <v>1</v>
      </c>
      <c r="T9" s="163">
        <v>1</v>
      </c>
      <c r="U9" s="163">
        <v>1</v>
      </c>
      <c r="V9" s="135"/>
      <c r="W9" s="135"/>
      <c r="X9" s="163"/>
      <c r="Y9" s="135">
        <v>1347</v>
      </c>
      <c r="Z9" s="135">
        <v>1000</v>
      </c>
      <c r="AA9" s="135">
        <v>300</v>
      </c>
      <c r="AB9" s="135">
        <v>3</v>
      </c>
      <c r="AC9" s="135"/>
      <c r="AD9" s="135"/>
      <c r="AE9" s="135"/>
      <c r="AF9" s="163">
        <v>1</v>
      </c>
      <c r="AG9" s="169">
        <v>100</v>
      </c>
      <c r="AH9" s="135"/>
      <c r="AI9" s="135"/>
      <c r="AJ9" s="135"/>
      <c r="AK9" s="135">
        <v>0</v>
      </c>
      <c r="AL9" s="135">
        <v>20004</v>
      </c>
      <c r="AM9" s="135">
        <v>1000</v>
      </c>
      <c r="AN9" s="135"/>
      <c r="AO9" s="130" t="s">
        <v>265</v>
      </c>
      <c r="AP9" s="130" t="s">
        <v>246</v>
      </c>
      <c r="AQ9" s="130" t="s">
        <v>265</v>
      </c>
      <c r="AR9" s="130" t="s">
        <v>246</v>
      </c>
      <c r="AS9" s="130" t="s">
        <v>265</v>
      </c>
      <c r="AT9" s="130" t="s">
        <v>246</v>
      </c>
      <c r="AU9" s="130"/>
      <c r="AV9" s="130" t="s">
        <v>266</v>
      </c>
      <c r="AW9" s="104" t="s">
        <v>248</v>
      </c>
      <c r="AX9" s="130" t="s">
        <v>249</v>
      </c>
      <c r="AY9" s="130"/>
      <c r="AZ9" s="130"/>
      <c r="BA9" s="130"/>
      <c r="BB9" s="179"/>
      <c r="BC9" s="179"/>
      <c r="BD9" s="104"/>
      <c r="BE9" s="130"/>
      <c r="BF9" s="186">
        <v>1001</v>
      </c>
      <c r="BG9" s="130"/>
      <c r="BH9" s="185" t="s">
        <v>267</v>
      </c>
      <c r="BI9" s="130" t="s">
        <v>268</v>
      </c>
      <c r="BJ9" s="130" t="s">
        <v>4570</v>
      </c>
      <c r="BK9" s="130" t="s">
        <v>253</v>
      </c>
      <c r="BL9" s="135"/>
      <c r="BM9" s="135"/>
      <c r="BN9" s="135"/>
      <c r="BO9" s="163">
        <v>150</v>
      </c>
      <c r="BP9" s="163">
        <v>200</v>
      </c>
      <c r="BQ9" s="130" t="s">
        <v>241</v>
      </c>
      <c r="BR9" s="135">
        <v>1</v>
      </c>
      <c r="BS9" s="135"/>
      <c r="BT9" s="163">
        <v>50</v>
      </c>
      <c r="BU9" s="163">
        <v>50</v>
      </c>
      <c r="BV9" s="130"/>
      <c r="BW9" s="104"/>
      <c r="BX9" s="135"/>
      <c r="BY9" s="135"/>
      <c r="BZ9" s="135">
        <v>3</v>
      </c>
      <c r="CA9" s="135">
        <v>3</v>
      </c>
      <c r="CB9" s="135">
        <v>2</v>
      </c>
      <c r="CC9" s="135">
        <v>3</v>
      </c>
      <c r="CD9" s="135">
        <v>6</v>
      </c>
      <c r="CE9" s="135">
        <v>8</v>
      </c>
      <c r="CF9" s="135">
        <v>2</v>
      </c>
      <c r="CG9" s="135">
        <v>3</v>
      </c>
      <c r="CH9" s="163"/>
      <c r="CI9" s="130"/>
      <c r="CJ9" s="135"/>
      <c r="CK9" s="135"/>
      <c r="CL9" s="130"/>
      <c r="CM9" s="193">
        <v>116001</v>
      </c>
      <c r="CN9" s="193"/>
      <c r="CO9" s="193"/>
      <c r="CP9" s="193">
        <v>116001</v>
      </c>
      <c r="CQ9" s="193"/>
      <c r="CR9" s="193"/>
    </row>
    <row r="10" spans="1:96" ht="15.75" customHeight="1" x14ac:dyDescent="0.35">
      <c r="A10" s="140" t="s">
        <v>263</v>
      </c>
      <c r="B10" s="141" t="s">
        <v>270</v>
      </c>
      <c r="D10" s="138">
        <v>1002</v>
      </c>
      <c r="E10" s="135">
        <v>70011</v>
      </c>
      <c r="F10" s="135"/>
      <c r="G10" s="139"/>
      <c r="H10" s="135">
        <v>0</v>
      </c>
      <c r="I10" s="135"/>
      <c r="J10" s="135"/>
      <c r="K10" s="135">
        <v>1</v>
      </c>
      <c r="L10" s="135"/>
      <c r="M10" s="139"/>
      <c r="N10" s="139"/>
      <c r="O10" s="154"/>
      <c r="P10" s="135">
        <v>3</v>
      </c>
      <c r="Q10" s="135">
        <v>3</v>
      </c>
      <c r="R10" s="135"/>
      <c r="S10" s="163">
        <v>1</v>
      </c>
      <c r="T10" s="163">
        <v>1</v>
      </c>
      <c r="U10" s="163">
        <v>1</v>
      </c>
      <c r="V10" s="135"/>
      <c r="W10" s="135"/>
      <c r="X10" s="163"/>
      <c r="Y10" s="135">
        <v>1202</v>
      </c>
      <c r="Z10" s="135">
        <v>1000</v>
      </c>
      <c r="AA10" s="135">
        <v>200</v>
      </c>
      <c r="AB10" s="135">
        <v>1</v>
      </c>
      <c r="AC10" s="135"/>
      <c r="AD10" s="135"/>
      <c r="AE10" s="135"/>
      <c r="AF10" s="163">
        <v>1</v>
      </c>
      <c r="AG10" s="169">
        <v>100</v>
      </c>
      <c r="AH10" s="135"/>
      <c r="AI10" s="135"/>
      <c r="AJ10" s="135"/>
      <c r="AK10" s="135">
        <v>0</v>
      </c>
      <c r="AL10" s="135">
        <v>21001</v>
      </c>
      <c r="AM10" s="135">
        <v>1000</v>
      </c>
      <c r="AN10" s="135"/>
      <c r="AO10" s="130" t="s">
        <v>271</v>
      </c>
      <c r="AP10" s="130" t="s">
        <v>272</v>
      </c>
      <c r="AQ10" s="130" t="s">
        <v>271</v>
      </c>
      <c r="AR10" s="130" t="s">
        <v>272</v>
      </c>
      <c r="AS10" s="130" t="s">
        <v>271</v>
      </c>
      <c r="AT10" s="130" t="s">
        <v>272</v>
      </c>
      <c r="AU10" s="130"/>
      <c r="AV10" s="130" t="s">
        <v>273</v>
      </c>
      <c r="AW10" s="104" t="s">
        <v>248</v>
      </c>
      <c r="AX10" s="130" t="s">
        <v>249</v>
      </c>
      <c r="AY10" s="130"/>
      <c r="AZ10" s="130"/>
      <c r="BA10" s="130"/>
      <c r="BB10" s="179"/>
      <c r="BC10" s="179"/>
      <c r="BD10" s="104"/>
      <c r="BE10" s="130"/>
      <c r="BF10" s="138">
        <v>10521</v>
      </c>
      <c r="BG10" s="130"/>
      <c r="BH10" s="185" t="s">
        <v>274</v>
      </c>
      <c r="BI10" s="130" t="s">
        <v>251</v>
      </c>
      <c r="BJ10" s="130" t="s">
        <v>275</v>
      </c>
      <c r="BK10" s="130" t="s">
        <v>253</v>
      </c>
      <c r="BL10" s="135"/>
      <c r="BM10" s="135"/>
      <c r="BN10" s="135"/>
      <c r="BO10" s="163">
        <v>100</v>
      </c>
      <c r="BP10" s="163">
        <v>200</v>
      </c>
      <c r="BQ10" s="130" t="s">
        <v>241</v>
      </c>
      <c r="BR10" s="135">
        <v>1</v>
      </c>
      <c r="BS10" s="135"/>
      <c r="BT10" s="163">
        <v>50</v>
      </c>
      <c r="BU10" s="163">
        <v>10</v>
      </c>
      <c r="BV10" s="130"/>
      <c r="BW10" s="104"/>
      <c r="BX10" s="135"/>
      <c r="BY10" s="135"/>
      <c r="BZ10" s="135">
        <v>2</v>
      </c>
      <c r="CA10" s="135">
        <v>2</v>
      </c>
      <c r="CB10" s="135">
        <v>3</v>
      </c>
      <c r="CC10" s="135">
        <v>3</v>
      </c>
      <c r="CD10" s="135">
        <v>4</v>
      </c>
      <c r="CE10" s="135">
        <v>4</v>
      </c>
      <c r="CF10" s="135">
        <v>3</v>
      </c>
      <c r="CG10" s="135">
        <v>3</v>
      </c>
      <c r="CH10" s="163"/>
      <c r="CI10" s="130"/>
      <c r="CJ10" s="135"/>
      <c r="CK10" s="135"/>
      <c r="CL10" s="130"/>
      <c r="CM10" s="193">
        <v>100005</v>
      </c>
      <c r="CN10" s="193"/>
      <c r="CO10" s="193"/>
      <c r="CP10" s="193">
        <v>100005</v>
      </c>
      <c r="CQ10" s="193"/>
      <c r="CR10" s="193"/>
    </row>
    <row r="11" spans="1:96" ht="15.75" customHeight="1" x14ac:dyDescent="0.35">
      <c r="A11" s="140" t="s">
        <v>263</v>
      </c>
      <c r="B11" s="141" t="s">
        <v>276</v>
      </c>
      <c r="D11" s="138">
        <v>1003</v>
      </c>
      <c r="E11" s="135">
        <v>70054</v>
      </c>
      <c r="F11" s="135"/>
      <c r="G11" s="139"/>
      <c r="H11" s="135">
        <v>0</v>
      </c>
      <c r="I11" s="135"/>
      <c r="J11" s="135"/>
      <c r="K11" s="135">
        <v>1</v>
      </c>
      <c r="L11" s="135"/>
      <c r="M11" s="139"/>
      <c r="N11" s="139"/>
      <c r="O11" s="154"/>
      <c r="P11" s="135">
        <v>1</v>
      </c>
      <c r="Q11" s="135">
        <v>3</v>
      </c>
      <c r="R11" s="135"/>
      <c r="S11" s="163">
        <v>1</v>
      </c>
      <c r="T11" s="163">
        <v>1</v>
      </c>
      <c r="U11" s="163">
        <v>1</v>
      </c>
      <c r="V11" s="135"/>
      <c r="W11" s="135"/>
      <c r="X11" s="163"/>
      <c r="Y11" s="135">
        <v>4081</v>
      </c>
      <c r="Z11" s="135">
        <v>1000</v>
      </c>
      <c r="AA11" s="135">
        <v>100</v>
      </c>
      <c r="AB11" s="135">
        <v>1</v>
      </c>
      <c r="AC11" s="135"/>
      <c r="AD11" s="135"/>
      <c r="AE11" s="135"/>
      <c r="AF11" s="163">
        <v>1</v>
      </c>
      <c r="AG11" s="169">
        <v>100</v>
      </c>
      <c r="AH11" s="135"/>
      <c r="AI11" s="135"/>
      <c r="AJ11" s="135"/>
      <c r="AK11" s="135">
        <v>0</v>
      </c>
      <c r="AL11" s="135">
        <v>21001</v>
      </c>
      <c r="AM11" s="135">
        <v>4000</v>
      </c>
      <c r="AN11" s="135"/>
      <c r="AO11" s="130" t="s">
        <v>245</v>
      </c>
      <c r="AP11" s="130">
        <v>1</v>
      </c>
      <c r="AQ11" s="130" t="s">
        <v>245</v>
      </c>
      <c r="AR11" s="130" t="s">
        <v>246</v>
      </c>
      <c r="AS11" s="130" t="s">
        <v>245</v>
      </c>
      <c r="AT11" s="130" t="s">
        <v>246</v>
      </c>
      <c r="AU11" s="130" t="s">
        <v>277</v>
      </c>
      <c r="AV11" s="130"/>
      <c r="AW11" s="104" t="s">
        <v>248</v>
      </c>
      <c r="AX11" s="130" t="s">
        <v>249</v>
      </c>
      <c r="AY11" s="163" t="s">
        <v>250</v>
      </c>
      <c r="AZ11" s="135">
        <v>2</v>
      </c>
      <c r="BA11" s="130"/>
      <c r="BB11" s="179"/>
      <c r="BC11" s="179"/>
      <c r="BD11" s="104"/>
      <c r="BE11" s="130"/>
      <c r="BF11" s="135">
        <v>10011</v>
      </c>
      <c r="BG11" s="130"/>
      <c r="BH11" s="185"/>
      <c r="BI11" s="130" t="s">
        <v>261</v>
      </c>
      <c r="BJ11" s="130" t="s">
        <v>275</v>
      </c>
      <c r="BK11" s="130" t="s">
        <v>253</v>
      </c>
      <c r="BL11" s="135"/>
      <c r="BM11" s="135"/>
      <c r="BN11" s="135"/>
      <c r="BO11" s="163">
        <v>50</v>
      </c>
      <c r="BP11" s="163">
        <v>200</v>
      </c>
      <c r="BQ11" s="130" t="s">
        <v>241</v>
      </c>
      <c r="BR11" s="135">
        <v>1</v>
      </c>
      <c r="BS11" s="135"/>
      <c r="BT11" s="163">
        <v>50</v>
      </c>
      <c r="BU11" s="163">
        <v>50</v>
      </c>
      <c r="BV11" s="130"/>
      <c r="BW11" s="104"/>
      <c r="BX11" s="135"/>
      <c r="BY11" s="135"/>
      <c r="BZ11" s="135">
        <v>3</v>
      </c>
      <c r="CA11" s="135">
        <v>4</v>
      </c>
      <c r="CB11" s="135">
        <v>4</v>
      </c>
      <c r="CC11" s="135">
        <v>4</v>
      </c>
      <c r="CD11" s="135">
        <v>4</v>
      </c>
      <c r="CE11" s="135">
        <v>5</v>
      </c>
      <c r="CF11" s="135">
        <v>4</v>
      </c>
      <c r="CG11" s="135">
        <v>4</v>
      </c>
      <c r="CH11" s="163"/>
      <c r="CI11" s="130"/>
      <c r="CJ11" s="135"/>
      <c r="CK11" s="135"/>
      <c r="CL11" s="130"/>
      <c r="CM11" s="193">
        <v>100005</v>
      </c>
      <c r="CN11" s="193"/>
      <c r="CO11" s="193"/>
      <c r="CP11" s="193">
        <v>100005</v>
      </c>
      <c r="CQ11" s="193"/>
      <c r="CR11" s="193"/>
    </row>
    <row r="12" spans="1:96" ht="15.75" customHeight="1" x14ac:dyDescent="0.35">
      <c r="A12" s="140" t="s">
        <v>263</v>
      </c>
      <c r="B12" s="141" t="s">
        <v>278</v>
      </c>
      <c r="D12" s="138">
        <v>1004</v>
      </c>
      <c r="E12" s="135">
        <v>70118</v>
      </c>
      <c r="F12" s="135"/>
      <c r="G12" s="139"/>
      <c r="H12" s="135"/>
      <c r="I12" s="135"/>
      <c r="J12" s="135"/>
      <c r="K12" s="135">
        <v>1</v>
      </c>
      <c r="L12" s="135"/>
      <c r="M12" s="139"/>
      <c r="N12" s="139"/>
      <c r="O12" s="154"/>
      <c r="P12" s="135">
        <v>1</v>
      </c>
      <c r="Q12" s="135">
        <v>1</v>
      </c>
      <c r="R12" s="135"/>
      <c r="S12" s="163">
        <v>1</v>
      </c>
      <c r="T12" s="163">
        <v>1</v>
      </c>
      <c r="U12" s="163">
        <v>1</v>
      </c>
      <c r="V12" s="135"/>
      <c r="W12" s="135"/>
      <c r="X12" s="163"/>
      <c r="Y12" s="135">
        <v>4070</v>
      </c>
      <c r="Z12" s="135">
        <v>1000</v>
      </c>
      <c r="AA12" s="135">
        <v>100</v>
      </c>
      <c r="AB12" s="135">
        <v>1</v>
      </c>
      <c r="AC12" s="135"/>
      <c r="AD12" s="135"/>
      <c r="AE12" s="135"/>
      <c r="AF12" s="163">
        <v>1</v>
      </c>
      <c r="AG12" s="169">
        <v>100</v>
      </c>
      <c r="AH12" s="135"/>
      <c r="AI12" s="135"/>
      <c r="AJ12" s="135"/>
      <c r="AK12" s="135">
        <v>0</v>
      </c>
      <c r="AL12" s="135">
        <v>21099</v>
      </c>
      <c r="AM12" s="135">
        <v>1000</v>
      </c>
      <c r="AN12" s="135"/>
      <c r="AO12" s="130" t="s">
        <v>279</v>
      </c>
      <c r="AP12" s="130" t="s">
        <v>246</v>
      </c>
      <c r="AQ12" s="130" t="s">
        <v>279</v>
      </c>
      <c r="AR12" s="130" t="s">
        <v>246</v>
      </c>
      <c r="AS12" s="130" t="s">
        <v>279</v>
      </c>
      <c r="AT12" s="130" t="s">
        <v>246</v>
      </c>
      <c r="AU12" s="130" t="s">
        <v>4569</v>
      </c>
      <c r="AV12" s="130"/>
      <c r="AW12" s="104" t="s">
        <v>248</v>
      </c>
      <c r="AX12" s="130" t="s">
        <v>249</v>
      </c>
      <c r="AY12" s="130"/>
      <c r="AZ12" s="130"/>
      <c r="BA12" s="130"/>
      <c r="BB12" s="179"/>
      <c r="BC12" s="179"/>
      <c r="BD12" s="104"/>
      <c r="BE12" s="130"/>
      <c r="BF12" s="138">
        <v>11501</v>
      </c>
      <c r="BG12" s="130"/>
      <c r="BH12" s="185" t="s">
        <v>274</v>
      </c>
      <c r="BI12" s="130" t="s">
        <v>280</v>
      </c>
      <c r="BJ12" s="130" t="s">
        <v>269</v>
      </c>
      <c r="BK12" s="130" t="s">
        <v>253</v>
      </c>
      <c r="BL12" s="135"/>
      <c r="BM12" s="135"/>
      <c r="BN12" s="135"/>
      <c r="BO12" s="163">
        <v>100</v>
      </c>
      <c r="BP12" s="163">
        <v>200</v>
      </c>
      <c r="BQ12" s="130" t="s">
        <v>241</v>
      </c>
      <c r="BR12" s="135">
        <v>1</v>
      </c>
      <c r="BS12" s="135"/>
      <c r="BT12" s="163">
        <v>50</v>
      </c>
      <c r="BU12" s="163">
        <v>40</v>
      </c>
      <c r="BV12" s="130"/>
      <c r="BW12" s="104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63"/>
      <c r="CI12" s="130"/>
      <c r="CJ12" s="135"/>
      <c r="CK12" s="135"/>
      <c r="CL12" s="130"/>
      <c r="CM12" s="193">
        <v>100005</v>
      </c>
      <c r="CN12" s="193"/>
      <c r="CO12" s="193"/>
      <c r="CP12" s="193">
        <v>100005</v>
      </c>
      <c r="CQ12" s="193"/>
      <c r="CR12" s="193"/>
    </row>
    <row r="13" spans="1:96" ht="15.75" customHeight="1" x14ac:dyDescent="0.35">
      <c r="A13" s="140" t="s">
        <v>281</v>
      </c>
      <c r="B13" s="141" t="s">
        <v>282</v>
      </c>
      <c r="D13" s="138">
        <v>1011</v>
      </c>
      <c r="E13" s="135">
        <v>70118</v>
      </c>
      <c r="F13" s="135"/>
      <c r="G13" s="139"/>
      <c r="H13" s="135"/>
      <c r="I13" s="135"/>
      <c r="J13" s="135"/>
      <c r="K13" s="135">
        <v>1</v>
      </c>
      <c r="L13" s="135"/>
      <c r="M13" s="139"/>
      <c r="N13" s="139"/>
      <c r="O13" s="154"/>
      <c r="P13" s="135">
        <v>1</v>
      </c>
      <c r="Q13" s="135">
        <v>1</v>
      </c>
      <c r="R13" s="135"/>
      <c r="S13" s="163">
        <v>1</v>
      </c>
      <c r="T13" s="163">
        <v>1</v>
      </c>
      <c r="U13" s="163">
        <v>1</v>
      </c>
      <c r="V13" s="135"/>
      <c r="W13" s="135"/>
      <c r="X13" s="163"/>
      <c r="Y13" s="135">
        <v>1101</v>
      </c>
      <c r="Z13" s="135">
        <v>1000</v>
      </c>
      <c r="AA13" s="135">
        <v>100</v>
      </c>
      <c r="AB13" s="135">
        <v>1</v>
      </c>
      <c r="AC13" s="135"/>
      <c r="AD13" s="135"/>
      <c r="AE13" s="135"/>
      <c r="AF13" s="163">
        <v>1</v>
      </c>
      <c r="AG13" s="169">
        <v>100</v>
      </c>
      <c r="AH13" s="135"/>
      <c r="AI13" s="135"/>
      <c r="AJ13" s="135"/>
      <c r="AK13" s="135">
        <v>0</v>
      </c>
      <c r="AL13" s="135">
        <v>12007</v>
      </c>
      <c r="AM13" s="135">
        <v>1000</v>
      </c>
      <c r="AN13" s="135"/>
      <c r="AO13" s="130" t="s">
        <v>279</v>
      </c>
      <c r="AP13" s="130" t="s">
        <v>246</v>
      </c>
      <c r="AQ13" s="130" t="s">
        <v>279</v>
      </c>
      <c r="AR13" s="130" t="s">
        <v>246</v>
      </c>
      <c r="AS13" s="130" t="s">
        <v>279</v>
      </c>
      <c r="AT13" s="130" t="s">
        <v>246</v>
      </c>
      <c r="AU13" s="130" t="s">
        <v>283</v>
      </c>
      <c r="AV13" s="130"/>
      <c r="AW13" s="104" t="s">
        <v>248</v>
      </c>
      <c r="AX13" s="130" t="s">
        <v>249</v>
      </c>
      <c r="AY13" s="130"/>
      <c r="AZ13" s="130"/>
      <c r="BA13" s="130"/>
      <c r="BB13" s="179"/>
      <c r="BC13" s="179"/>
      <c r="BD13" s="104"/>
      <c r="BE13" s="130"/>
      <c r="BF13" s="138">
        <v>11501</v>
      </c>
      <c r="BG13" s="130"/>
      <c r="BH13" s="185" t="s">
        <v>274</v>
      </c>
      <c r="BI13" s="130" t="s">
        <v>280</v>
      </c>
      <c r="BJ13" s="130" t="s">
        <v>269</v>
      </c>
      <c r="BK13" s="130" t="s">
        <v>253</v>
      </c>
      <c r="BL13" s="135"/>
      <c r="BM13" s="135"/>
      <c r="BN13" s="135"/>
      <c r="BO13" s="163">
        <v>100</v>
      </c>
      <c r="BP13" s="163">
        <v>200</v>
      </c>
      <c r="BQ13" s="130" t="s">
        <v>241</v>
      </c>
      <c r="BR13" s="135">
        <v>1</v>
      </c>
      <c r="BS13" s="135"/>
      <c r="BT13" s="163">
        <v>50</v>
      </c>
      <c r="BU13" s="163">
        <v>40</v>
      </c>
      <c r="BV13" s="130"/>
      <c r="BW13" s="104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63"/>
      <c r="CI13" s="130"/>
      <c r="CJ13" s="135"/>
      <c r="CK13" s="135"/>
      <c r="CL13" s="130"/>
      <c r="CM13" s="193"/>
      <c r="CN13" s="193"/>
      <c r="CO13" s="193"/>
      <c r="CP13" s="193"/>
      <c r="CQ13" s="193"/>
      <c r="CR13" s="193"/>
    </row>
    <row r="14" spans="1:96" ht="15.75" customHeight="1" x14ac:dyDescent="0.35">
      <c r="A14" s="287" t="s">
        <v>284</v>
      </c>
      <c r="B14" s="68" t="s">
        <v>285</v>
      </c>
      <c r="D14" s="138">
        <v>10001</v>
      </c>
      <c r="E14" s="135">
        <v>70001</v>
      </c>
      <c r="F14" s="135"/>
      <c r="G14" s="139"/>
      <c r="H14" s="135">
        <v>0</v>
      </c>
      <c r="I14" s="135"/>
      <c r="J14" s="135"/>
      <c r="K14" s="135">
        <v>1</v>
      </c>
      <c r="L14" s="135"/>
      <c r="M14" s="139"/>
      <c r="N14" s="139"/>
      <c r="O14" s="154"/>
      <c r="P14" s="135">
        <v>1</v>
      </c>
      <c r="Q14" s="135">
        <v>1</v>
      </c>
      <c r="R14" s="135"/>
      <c r="S14" s="163">
        <v>1</v>
      </c>
      <c r="T14" s="163">
        <v>1</v>
      </c>
      <c r="U14" s="163">
        <v>1</v>
      </c>
      <c r="V14" s="135"/>
      <c r="W14" s="135"/>
      <c r="X14" s="163"/>
      <c r="Y14" s="135">
        <v>1002</v>
      </c>
      <c r="Z14" s="135">
        <v>1000</v>
      </c>
      <c r="AA14" s="135">
        <v>200</v>
      </c>
      <c r="AB14" s="135">
        <v>1</v>
      </c>
      <c r="AC14" s="135"/>
      <c r="AD14" s="135"/>
      <c r="AE14" s="135"/>
      <c r="AF14" s="163">
        <v>1</v>
      </c>
      <c r="AG14" s="169">
        <v>100</v>
      </c>
      <c r="AH14" s="135"/>
      <c r="AI14" s="135"/>
      <c r="AJ14" s="135"/>
      <c r="AK14" s="135">
        <v>0</v>
      </c>
      <c r="AL14" s="135">
        <v>21001</v>
      </c>
      <c r="AM14" s="135">
        <v>1000</v>
      </c>
      <c r="AN14" s="135"/>
      <c r="AO14" s="130" t="s">
        <v>271</v>
      </c>
      <c r="AP14" s="130" t="s">
        <v>272</v>
      </c>
      <c r="AQ14" s="130" t="s">
        <v>286</v>
      </c>
      <c r="AR14" s="130" t="s">
        <v>272</v>
      </c>
      <c r="AS14" s="130" t="s">
        <v>286</v>
      </c>
      <c r="AT14" s="130" t="s">
        <v>272</v>
      </c>
      <c r="AU14" s="130"/>
      <c r="AV14" s="130"/>
      <c r="AW14" s="104" t="s">
        <v>248</v>
      </c>
      <c r="AX14" s="130" t="s">
        <v>249</v>
      </c>
      <c r="AY14" s="130"/>
      <c r="AZ14" s="130"/>
      <c r="BA14" s="130"/>
      <c r="BB14" s="179"/>
      <c r="BC14" s="179"/>
      <c r="BD14" s="104"/>
      <c r="BE14" s="130"/>
      <c r="BF14" s="138">
        <v>10001</v>
      </c>
      <c r="BG14" s="130"/>
      <c r="BH14" s="185" t="s">
        <v>274</v>
      </c>
      <c r="BI14" s="130" t="s">
        <v>261</v>
      </c>
      <c r="BJ14" s="130" t="s">
        <v>287</v>
      </c>
      <c r="BK14" s="130" t="s">
        <v>253</v>
      </c>
      <c r="BL14" s="135"/>
      <c r="BM14" s="135"/>
      <c r="BN14" s="135"/>
      <c r="BO14" s="163">
        <v>50</v>
      </c>
      <c r="BP14" s="163">
        <v>200</v>
      </c>
      <c r="BQ14" s="130" t="s">
        <v>241</v>
      </c>
      <c r="BR14" s="135">
        <v>1</v>
      </c>
      <c r="BS14" s="135"/>
      <c r="BT14" s="163">
        <v>50</v>
      </c>
      <c r="BU14" s="163">
        <v>50</v>
      </c>
      <c r="BV14" s="130"/>
      <c r="BW14" s="104"/>
      <c r="BX14" s="135"/>
      <c r="BY14" s="135"/>
      <c r="BZ14" s="135">
        <v>3</v>
      </c>
      <c r="CA14" s="135">
        <v>4</v>
      </c>
      <c r="CB14" s="135">
        <v>4</v>
      </c>
      <c r="CC14" s="135">
        <v>4</v>
      </c>
      <c r="CD14" s="135">
        <v>4</v>
      </c>
      <c r="CE14" s="135">
        <v>5</v>
      </c>
      <c r="CF14" s="135">
        <v>4</v>
      </c>
      <c r="CG14" s="135">
        <v>4</v>
      </c>
      <c r="CH14" s="163">
        <v>1</v>
      </c>
      <c r="CI14" s="130" t="s">
        <v>4516</v>
      </c>
      <c r="CJ14" s="135"/>
      <c r="CK14" s="135"/>
      <c r="CL14" s="130"/>
      <c r="CM14" s="193">
        <v>100005</v>
      </c>
      <c r="CN14" s="193">
        <v>100057</v>
      </c>
      <c r="CO14" s="193"/>
      <c r="CP14" s="193">
        <v>100005</v>
      </c>
      <c r="CQ14" s="193"/>
      <c r="CR14" s="193"/>
    </row>
    <row r="15" spans="1:96" ht="15.75" customHeight="1" x14ac:dyDescent="0.35">
      <c r="A15" s="292"/>
      <c r="B15" s="68" t="s">
        <v>288</v>
      </c>
      <c r="D15" s="138">
        <v>10011</v>
      </c>
      <c r="E15" s="135">
        <v>70002</v>
      </c>
      <c r="F15" s="135"/>
      <c r="G15" s="139"/>
      <c r="H15" s="135">
        <v>0</v>
      </c>
      <c r="I15" s="135"/>
      <c r="J15" s="135"/>
      <c r="K15" s="135">
        <v>1</v>
      </c>
      <c r="L15" s="135"/>
      <c r="M15" s="139"/>
      <c r="N15" s="139"/>
      <c r="O15" s="154"/>
      <c r="P15" s="135">
        <v>1</v>
      </c>
      <c r="Q15" s="135">
        <v>1</v>
      </c>
      <c r="R15" s="135"/>
      <c r="S15" s="163">
        <v>1</v>
      </c>
      <c r="T15" s="163">
        <v>1</v>
      </c>
      <c r="U15" s="163">
        <v>1</v>
      </c>
      <c r="V15" s="135"/>
      <c r="W15" s="135"/>
      <c r="X15" s="163"/>
      <c r="Y15" s="135">
        <v>1095</v>
      </c>
      <c r="Z15" s="135">
        <v>1300</v>
      </c>
      <c r="AA15" s="135">
        <v>200</v>
      </c>
      <c r="AB15" s="135">
        <v>2</v>
      </c>
      <c r="AC15" s="135"/>
      <c r="AD15" s="135"/>
      <c r="AE15" s="135"/>
      <c r="AF15" s="163">
        <v>1</v>
      </c>
      <c r="AG15" s="169">
        <v>100</v>
      </c>
      <c r="AH15" s="135"/>
      <c r="AI15" s="135"/>
      <c r="AJ15" s="135"/>
      <c r="AK15" s="135">
        <v>0</v>
      </c>
      <c r="AL15" s="135">
        <v>21001</v>
      </c>
      <c r="AM15" s="135">
        <v>1000</v>
      </c>
      <c r="AN15" s="135"/>
      <c r="AO15" s="130" t="s">
        <v>271</v>
      </c>
      <c r="AP15" s="130" t="s">
        <v>272</v>
      </c>
      <c r="AQ15" s="130" t="s">
        <v>286</v>
      </c>
      <c r="AR15" s="130" t="s">
        <v>272</v>
      </c>
      <c r="AS15" s="130" t="s">
        <v>286</v>
      </c>
      <c r="AT15" s="130" t="s">
        <v>272</v>
      </c>
      <c r="AU15" s="130"/>
      <c r="AV15" s="130"/>
      <c r="AW15" s="104" t="s">
        <v>248</v>
      </c>
      <c r="AX15" s="130" t="s">
        <v>249</v>
      </c>
      <c r="AY15" s="130"/>
      <c r="AZ15" s="130"/>
      <c r="BA15" s="130"/>
      <c r="BB15" s="179"/>
      <c r="BC15" s="179"/>
      <c r="BD15" s="104"/>
      <c r="BE15" s="130"/>
      <c r="BF15" s="138">
        <v>10011</v>
      </c>
      <c r="BG15" s="130"/>
      <c r="BH15" s="185" t="s">
        <v>274</v>
      </c>
      <c r="BI15" s="130" t="s">
        <v>289</v>
      </c>
      <c r="BJ15" s="130" t="s">
        <v>287</v>
      </c>
      <c r="BK15" s="130" t="s">
        <v>253</v>
      </c>
      <c r="BL15" s="135"/>
      <c r="BM15" s="135"/>
      <c r="BN15" s="135"/>
      <c r="BO15" s="163">
        <v>50</v>
      </c>
      <c r="BP15" s="163">
        <v>200</v>
      </c>
      <c r="BQ15" s="130" t="s">
        <v>241</v>
      </c>
      <c r="BR15" s="135">
        <v>1</v>
      </c>
      <c r="BS15" s="135"/>
      <c r="BT15" s="163">
        <v>50</v>
      </c>
      <c r="BU15" s="163">
        <v>50</v>
      </c>
      <c r="BV15" s="130"/>
      <c r="BW15" s="104"/>
      <c r="BX15" s="135"/>
      <c r="BY15" s="135"/>
      <c r="BZ15" s="135">
        <v>3</v>
      </c>
      <c r="CA15" s="135">
        <v>4</v>
      </c>
      <c r="CB15" s="135">
        <v>4</v>
      </c>
      <c r="CC15" s="135">
        <v>4</v>
      </c>
      <c r="CD15" s="135">
        <v>5</v>
      </c>
      <c r="CE15" s="135">
        <v>6</v>
      </c>
      <c r="CF15" s="135">
        <v>4</v>
      </c>
      <c r="CG15" s="135">
        <v>4</v>
      </c>
      <c r="CH15" s="163">
        <v>3</v>
      </c>
      <c r="CI15" s="130" t="s">
        <v>4515</v>
      </c>
      <c r="CJ15" s="135"/>
      <c r="CK15" s="135"/>
      <c r="CL15" s="130"/>
      <c r="CM15" s="193">
        <v>100005</v>
      </c>
      <c r="CN15" s="193">
        <v>100057</v>
      </c>
      <c r="CO15" s="193"/>
      <c r="CP15" s="193">
        <v>100005</v>
      </c>
      <c r="CQ15" s="193"/>
      <c r="CR15" s="193"/>
    </row>
    <row r="16" spans="1:96" ht="15.75" customHeight="1" x14ac:dyDescent="0.35">
      <c r="A16" s="292"/>
      <c r="B16" s="71" t="s">
        <v>290</v>
      </c>
      <c r="D16" s="138">
        <v>10021</v>
      </c>
      <c r="E16" s="135">
        <v>70003</v>
      </c>
      <c r="F16" s="135"/>
      <c r="G16" s="139"/>
      <c r="H16" s="135">
        <v>0</v>
      </c>
      <c r="I16" s="135"/>
      <c r="J16" s="135"/>
      <c r="K16" s="135">
        <v>1</v>
      </c>
      <c r="L16" s="135"/>
      <c r="M16" s="139"/>
      <c r="N16" s="139"/>
      <c r="O16" s="154"/>
      <c r="P16" s="135">
        <v>1</v>
      </c>
      <c r="Q16" s="135">
        <v>1</v>
      </c>
      <c r="R16" s="135"/>
      <c r="S16" s="163">
        <v>1</v>
      </c>
      <c r="T16" s="163">
        <v>1</v>
      </c>
      <c r="U16" s="163">
        <v>1</v>
      </c>
      <c r="V16" s="135"/>
      <c r="W16" s="135"/>
      <c r="X16" s="163"/>
      <c r="Y16" s="135">
        <v>1040</v>
      </c>
      <c r="Z16" s="135">
        <v>1000</v>
      </c>
      <c r="AA16" s="135">
        <v>200</v>
      </c>
      <c r="AB16" s="135">
        <v>1</v>
      </c>
      <c r="AC16" s="135"/>
      <c r="AD16" s="135"/>
      <c r="AE16" s="135"/>
      <c r="AF16" s="163">
        <v>1</v>
      </c>
      <c r="AG16" s="169">
        <v>100</v>
      </c>
      <c r="AH16" s="135"/>
      <c r="AI16" s="135"/>
      <c r="AJ16" s="135"/>
      <c r="AK16" s="135">
        <v>0</v>
      </c>
      <c r="AL16" s="135">
        <v>21003</v>
      </c>
      <c r="AM16" s="135">
        <v>1000</v>
      </c>
      <c r="AN16" s="135"/>
      <c r="AO16" s="130" t="s">
        <v>291</v>
      </c>
      <c r="AP16" s="130" t="s">
        <v>272</v>
      </c>
      <c r="AQ16" s="130" t="s">
        <v>292</v>
      </c>
      <c r="AR16" s="130" t="s">
        <v>272</v>
      </c>
      <c r="AS16" s="130" t="s">
        <v>292</v>
      </c>
      <c r="AT16" s="130" t="s">
        <v>272</v>
      </c>
      <c r="AU16" s="130"/>
      <c r="AV16" s="130"/>
      <c r="AW16" s="104" t="s">
        <v>248</v>
      </c>
      <c r="AX16" s="130" t="s">
        <v>249</v>
      </c>
      <c r="AY16" s="130"/>
      <c r="AZ16" s="130"/>
      <c r="BA16" s="130"/>
      <c r="BB16" s="179"/>
      <c r="BC16" s="179"/>
      <c r="BD16" s="104"/>
      <c r="BE16" s="130"/>
      <c r="BF16" s="138">
        <v>10021</v>
      </c>
      <c r="BG16" s="130"/>
      <c r="BH16" s="185" t="s">
        <v>274</v>
      </c>
      <c r="BI16" s="130" t="s">
        <v>293</v>
      </c>
      <c r="BJ16" s="130" t="s">
        <v>294</v>
      </c>
      <c r="BK16" s="130" t="s">
        <v>253</v>
      </c>
      <c r="BL16" s="135"/>
      <c r="BM16" s="135"/>
      <c r="BN16" s="135"/>
      <c r="BO16" s="163">
        <v>100</v>
      </c>
      <c r="BP16" s="163">
        <v>200</v>
      </c>
      <c r="BQ16" s="130" t="s">
        <v>241</v>
      </c>
      <c r="BR16" s="135">
        <v>1</v>
      </c>
      <c r="BS16" s="135"/>
      <c r="BT16" s="163">
        <v>50</v>
      </c>
      <c r="BU16" s="163">
        <v>50</v>
      </c>
      <c r="BV16" s="130"/>
      <c r="BW16" s="104"/>
      <c r="BX16" s="135"/>
      <c r="BY16" s="135"/>
      <c r="BZ16" s="135">
        <v>2</v>
      </c>
      <c r="CA16" s="135">
        <v>3</v>
      </c>
      <c r="CB16" s="135">
        <v>3</v>
      </c>
      <c r="CC16" s="135">
        <v>4</v>
      </c>
      <c r="CD16" s="135">
        <v>4</v>
      </c>
      <c r="CE16" s="135">
        <v>5</v>
      </c>
      <c r="CF16" s="135">
        <v>3</v>
      </c>
      <c r="CG16" s="135">
        <v>4</v>
      </c>
      <c r="CH16" s="163">
        <v>1</v>
      </c>
      <c r="CI16" s="130" t="s">
        <v>4517</v>
      </c>
      <c r="CJ16" s="135"/>
      <c r="CK16" s="135"/>
      <c r="CL16" s="130"/>
      <c r="CM16" s="193">
        <v>100005</v>
      </c>
      <c r="CN16" s="193">
        <v>100057</v>
      </c>
      <c r="CO16" s="193"/>
      <c r="CP16" s="193">
        <v>100005</v>
      </c>
      <c r="CQ16" s="193"/>
      <c r="CR16" s="193"/>
    </row>
    <row r="17" spans="1:96" ht="15.75" customHeight="1" x14ac:dyDescent="0.35">
      <c r="A17" s="292"/>
      <c r="B17" s="71" t="s">
        <v>295</v>
      </c>
      <c r="D17" s="138">
        <v>10031</v>
      </c>
      <c r="E17" s="135">
        <v>70004</v>
      </c>
      <c r="F17" s="135"/>
      <c r="G17" s="139"/>
      <c r="H17" s="135">
        <v>0</v>
      </c>
      <c r="I17" s="135"/>
      <c r="J17" s="135"/>
      <c r="K17" s="135">
        <v>1</v>
      </c>
      <c r="L17" s="139"/>
      <c r="M17" s="139"/>
      <c r="N17" s="139"/>
      <c r="O17" s="154"/>
      <c r="P17" s="135">
        <v>1</v>
      </c>
      <c r="Q17" s="135">
        <v>1</v>
      </c>
      <c r="R17" s="135"/>
      <c r="S17" s="163">
        <v>1</v>
      </c>
      <c r="T17" s="163">
        <v>1</v>
      </c>
      <c r="U17" s="163">
        <v>1</v>
      </c>
      <c r="V17" s="135"/>
      <c r="W17" s="135"/>
      <c r="X17" s="163"/>
      <c r="Y17" s="135">
        <v>1004</v>
      </c>
      <c r="Z17" s="135">
        <v>1000</v>
      </c>
      <c r="AA17" s="135">
        <v>200</v>
      </c>
      <c r="AB17" s="135">
        <v>1</v>
      </c>
      <c r="AC17" s="135"/>
      <c r="AD17" s="135"/>
      <c r="AE17" s="135"/>
      <c r="AF17" s="163">
        <v>1</v>
      </c>
      <c r="AG17" s="169">
        <v>100</v>
      </c>
      <c r="AH17" s="135"/>
      <c r="AI17" s="135"/>
      <c r="AJ17" s="135"/>
      <c r="AK17" s="135">
        <v>0</v>
      </c>
      <c r="AL17" s="135">
        <v>21009</v>
      </c>
      <c r="AM17" s="135">
        <v>1000</v>
      </c>
      <c r="AN17" s="135"/>
      <c r="AO17" s="130" t="s">
        <v>296</v>
      </c>
      <c r="AP17" s="130">
        <v>1</v>
      </c>
      <c r="AQ17" s="130" t="s">
        <v>296</v>
      </c>
      <c r="AR17" s="130">
        <v>1</v>
      </c>
      <c r="AS17" s="130" t="s">
        <v>296</v>
      </c>
      <c r="AT17" s="130">
        <v>1</v>
      </c>
      <c r="AU17" s="130"/>
      <c r="AV17" s="130"/>
      <c r="AW17" s="104" t="s">
        <v>248</v>
      </c>
      <c r="AX17" s="130" t="s">
        <v>249</v>
      </c>
      <c r="AY17" s="130"/>
      <c r="AZ17" s="130"/>
      <c r="BA17" s="130"/>
      <c r="BB17" s="179"/>
      <c r="BC17" s="179"/>
      <c r="BD17" s="104"/>
      <c r="BE17" s="130"/>
      <c r="BF17" s="138">
        <v>10031</v>
      </c>
      <c r="BG17" s="130"/>
      <c r="BH17" s="185" t="s">
        <v>274</v>
      </c>
      <c r="BI17" s="130" t="s">
        <v>261</v>
      </c>
      <c r="BJ17" s="130" t="s">
        <v>297</v>
      </c>
      <c r="BK17" s="130" t="s">
        <v>253</v>
      </c>
      <c r="BL17" s="135"/>
      <c r="BM17" s="135"/>
      <c r="BN17" s="135"/>
      <c r="BO17" s="163">
        <v>100</v>
      </c>
      <c r="BP17" s="163">
        <v>200</v>
      </c>
      <c r="BQ17" s="130" t="s">
        <v>241</v>
      </c>
      <c r="BR17" s="135">
        <v>1</v>
      </c>
      <c r="BS17" s="135"/>
      <c r="BT17" s="163">
        <v>50</v>
      </c>
      <c r="BU17" s="163">
        <v>50</v>
      </c>
      <c r="BV17" s="130"/>
      <c r="BW17" s="104"/>
      <c r="BX17" s="135"/>
      <c r="BY17" s="135"/>
      <c r="BZ17" s="135">
        <v>2</v>
      </c>
      <c r="CA17" s="135">
        <v>3</v>
      </c>
      <c r="CB17" s="135">
        <v>3</v>
      </c>
      <c r="CC17" s="135">
        <v>3</v>
      </c>
      <c r="CD17" s="135">
        <v>3</v>
      </c>
      <c r="CE17" s="135">
        <v>4</v>
      </c>
      <c r="CF17" s="135">
        <v>3</v>
      </c>
      <c r="CG17" s="135">
        <v>3</v>
      </c>
      <c r="CH17" s="163">
        <v>4</v>
      </c>
      <c r="CI17" s="130" t="s">
        <v>4518</v>
      </c>
      <c r="CJ17" s="135"/>
      <c r="CK17" s="135"/>
      <c r="CL17" s="130"/>
      <c r="CM17" s="193">
        <v>100005</v>
      </c>
      <c r="CN17" s="193">
        <v>100057</v>
      </c>
      <c r="CO17" s="193"/>
      <c r="CP17" s="193">
        <v>100005</v>
      </c>
      <c r="CQ17" s="193"/>
      <c r="CR17" s="193"/>
    </row>
    <row r="18" spans="1:96" ht="15.75" customHeight="1" x14ac:dyDescent="0.35">
      <c r="A18" s="292"/>
      <c r="B18" s="71" t="s">
        <v>298</v>
      </c>
      <c r="D18" s="138">
        <v>10041</v>
      </c>
      <c r="E18" s="135">
        <v>70005</v>
      </c>
      <c r="F18" s="135"/>
      <c r="G18" s="139"/>
      <c r="H18" s="135"/>
      <c r="I18" s="135"/>
      <c r="J18" s="135"/>
      <c r="K18" s="135">
        <v>1</v>
      </c>
      <c r="L18" s="135"/>
      <c r="M18" s="139"/>
      <c r="N18" s="139"/>
      <c r="O18" s="154"/>
      <c r="P18" s="135">
        <v>1</v>
      </c>
      <c r="Q18" s="135">
        <v>1</v>
      </c>
      <c r="R18" s="135"/>
      <c r="S18" s="163">
        <v>1</v>
      </c>
      <c r="T18" s="163">
        <v>1</v>
      </c>
      <c r="U18" s="163">
        <v>1</v>
      </c>
      <c r="V18" s="135"/>
      <c r="W18" s="135"/>
      <c r="X18" s="163"/>
      <c r="Y18" s="135">
        <v>1020</v>
      </c>
      <c r="Z18" s="135">
        <v>1000</v>
      </c>
      <c r="AA18" s="135">
        <v>300</v>
      </c>
      <c r="AB18" s="135">
        <v>1</v>
      </c>
      <c r="AC18" s="135"/>
      <c r="AD18" s="135"/>
      <c r="AE18" s="135"/>
      <c r="AF18" s="163">
        <v>1</v>
      </c>
      <c r="AG18" s="169">
        <v>100</v>
      </c>
      <c r="AH18" s="135"/>
      <c r="AI18" s="135"/>
      <c r="AJ18" s="135"/>
      <c r="AK18" s="135">
        <v>0</v>
      </c>
      <c r="AL18" s="135">
        <v>21005</v>
      </c>
      <c r="AM18" s="135">
        <v>1000</v>
      </c>
      <c r="AN18" s="135"/>
      <c r="AO18" s="130" t="s">
        <v>299</v>
      </c>
      <c r="AP18" s="130">
        <v>1</v>
      </c>
      <c r="AQ18" s="130" t="s">
        <v>299</v>
      </c>
      <c r="AR18" s="130">
        <v>1</v>
      </c>
      <c r="AS18" s="130" t="s">
        <v>299</v>
      </c>
      <c r="AT18" s="130">
        <v>1</v>
      </c>
      <c r="AU18" s="130"/>
      <c r="AV18" s="130" t="s">
        <v>266</v>
      </c>
      <c r="AW18" s="104" t="s">
        <v>248</v>
      </c>
      <c r="AX18" s="130" t="s">
        <v>249</v>
      </c>
      <c r="AY18" s="130"/>
      <c r="AZ18" s="130"/>
      <c r="BA18" s="130"/>
      <c r="BB18" s="179"/>
      <c r="BC18" s="179"/>
      <c r="BD18" s="104"/>
      <c r="BE18" s="130"/>
      <c r="BF18" s="138">
        <v>10041</v>
      </c>
      <c r="BG18" s="130"/>
      <c r="BH18" s="185" t="s">
        <v>274</v>
      </c>
      <c r="BI18" s="130" t="s">
        <v>280</v>
      </c>
      <c r="BJ18" s="130" t="s">
        <v>300</v>
      </c>
      <c r="BK18" s="130" t="s">
        <v>253</v>
      </c>
      <c r="BL18" s="135"/>
      <c r="BM18" s="135"/>
      <c r="BN18" s="135"/>
      <c r="BO18" s="163">
        <v>100</v>
      </c>
      <c r="BP18" s="163">
        <v>200</v>
      </c>
      <c r="BQ18" s="130" t="s">
        <v>241</v>
      </c>
      <c r="BR18" s="135">
        <v>1</v>
      </c>
      <c r="BS18" s="135"/>
      <c r="BT18" s="163">
        <v>50</v>
      </c>
      <c r="BU18" s="163">
        <v>40</v>
      </c>
      <c r="BV18" s="130"/>
      <c r="BW18" s="104"/>
      <c r="BX18" s="135"/>
      <c r="BY18" s="135"/>
      <c r="BZ18" s="135">
        <v>1</v>
      </c>
      <c r="CA18" s="135">
        <v>1</v>
      </c>
      <c r="CB18" s="135">
        <v>1</v>
      </c>
      <c r="CC18" s="135">
        <v>1</v>
      </c>
      <c r="CD18" s="135">
        <v>1</v>
      </c>
      <c r="CE18" s="135">
        <v>1</v>
      </c>
      <c r="CF18" s="135">
        <v>1</v>
      </c>
      <c r="CG18" s="135">
        <v>1</v>
      </c>
      <c r="CH18" s="163">
        <v>14</v>
      </c>
      <c r="CI18" s="130" t="s">
        <v>4519</v>
      </c>
      <c r="CJ18" s="135"/>
      <c r="CK18" s="135"/>
      <c r="CL18" s="130"/>
      <c r="CM18" s="193">
        <v>100005</v>
      </c>
      <c r="CN18" s="193">
        <v>100057</v>
      </c>
      <c r="CO18" s="193"/>
      <c r="CP18" s="193">
        <v>100005</v>
      </c>
      <c r="CQ18" s="193"/>
      <c r="CR18" s="193"/>
    </row>
    <row r="19" spans="1:96" ht="15.75" customHeight="1" x14ac:dyDescent="0.35">
      <c r="A19" s="292"/>
      <c r="B19" s="71" t="s">
        <v>301</v>
      </c>
      <c r="D19" s="138">
        <v>10051</v>
      </c>
      <c r="E19" s="135">
        <v>70006</v>
      </c>
      <c r="F19" s="135"/>
      <c r="G19" s="135"/>
      <c r="H19" s="135">
        <v>0</v>
      </c>
      <c r="I19" s="135"/>
      <c r="J19" s="135"/>
      <c r="K19" s="135">
        <v>1</v>
      </c>
      <c r="L19" s="135"/>
      <c r="M19" s="135"/>
      <c r="N19" s="135"/>
      <c r="O19" s="154"/>
      <c r="P19" s="135">
        <v>1</v>
      </c>
      <c r="Q19" s="135">
        <v>1</v>
      </c>
      <c r="R19" s="135"/>
      <c r="S19" s="163">
        <v>1</v>
      </c>
      <c r="T19" s="163">
        <v>1</v>
      </c>
      <c r="U19" s="163">
        <v>1</v>
      </c>
      <c r="V19" s="135"/>
      <c r="W19" s="135"/>
      <c r="X19" s="163"/>
      <c r="Y19" s="135">
        <v>1007</v>
      </c>
      <c r="Z19" s="135">
        <v>1000</v>
      </c>
      <c r="AA19" s="135">
        <v>200</v>
      </c>
      <c r="AB19" s="135">
        <v>1</v>
      </c>
      <c r="AC19" s="135"/>
      <c r="AD19" s="135"/>
      <c r="AE19" s="135"/>
      <c r="AF19" s="163">
        <v>1</v>
      </c>
      <c r="AG19" s="163">
        <v>100</v>
      </c>
      <c r="AH19" s="135"/>
      <c r="AI19" s="135"/>
      <c r="AJ19" s="135"/>
      <c r="AK19" s="135">
        <v>0</v>
      </c>
      <c r="AL19" s="135">
        <v>21007</v>
      </c>
      <c r="AM19" s="135">
        <v>1000</v>
      </c>
      <c r="AN19" s="135"/>
      <c r="AO19" s="130" t="s">
        <v>271</v>
      </c>
      <c r="AP19" s="130" t="s">
        <v>272</v>
      </c>
      <c r="AQ19" s="130" t="s">
        <v>302</v>
      </c>
      <c r="AR19" s="130" t="s">
        <v>272</v>
      </c>
      <c r="AS19" s="130" t="s">
        <v>302</v>
      </c>
      <c r="AT19" s="130" t="s">
        <v>272</v>
      </c>
      <c r="AU19" s="130"/>
      <c r="AV19" s="130" t="s">
        <v>266</v>
      </c>
      <c r="AW19" s="130" t="s">
        <v>248</v>
      </c>
      <c r="AX19" s="130" t="s">
        <v>249</v>
      </c>
      <c r="AY19" s="130"/>
      <c r="AZ19" s="130"/>
      <c r="BA19" s="130"/>
      <c r="BB19" s="179"/>
      <c r="BC19" s="179"/>
      <c r="BD19" s="130"/>
      <c r="BE19" s="130"/>
      <c r="BF19" s="138">
        <v>10051</v>
      </c>
      <c r="BG19" s="130"/>
      <c r="BH19" s="185" t="s">
        <v>274</v>
      </c>
      <c r="BI19" s="130" t="s">
        <v>261</v>
      </c>
      <c r="BJ19" s="130" t="s">
        <v>269</v>
      </c>
      <c r="BK19" s="130" t="s">
        <v>253</v>
      </c>
      <c r="BL19" s="135"/>
      <c r="BM19" s="135"/>
      <c r="BN19" s="135"/>
      <c r="BO19" s="163">
        <v>100</v>
      </c>
      <c r="BP19" s="163">
        <v>200</v>
      </c>
      <c r="BQ19" s="130" t="s">
        <v>241</v>
      </c>
      <c r="BR19" s="135">
        <v>1</v>
      </c>
      <c r="BS19" s="135"/>
      <c r="BT19" s="163">
        <v>50</v>
      </c>
      <c r="BU19" s="163">
        <v>50</v>
      </c>
      <c r="BV19" s="130"/>
      <c r="BW19" s="130"/>
      <c r="BX19" s="135"/>
      <c r="BY19" s="135"/>
      <c r="BZ19" s="135">
        <v>3</v>
      </c>
      <c r="CA19" s="135">
        <v>4</v>
      </c>
      <c r="CB19" s="135">
        <v>4</v>
      </c>
      <c r="CC19" s="135">
        <v>4</v>
      </c>
      <c r="CD19" s="135">
        <v>4</v>
      </c>
      <c r="CE19" s="135">
        <v>5</v>
      </c>
      <c r="CF19" s="135">
        <v>4</v>
      </c>
      <c r="CG19" s="135">
        <v>4</v>
      </c>
      <c r="CH19" s="163">
        <v>11</v>
      </c>
      <c r="CI19" s="130" t="s">
        <v>4520</v>
      </c>
      <c r="CJ19" s="135"/>
      <c r="CK19" s="135"/>
      <c r="CL19" s="130"/>
      <c r="CM19" s="193">
        <v>100005</v>
      </c>
      <c r="CN19" s="193">
        <v>100057</v>
      </c>
      <c r="CO19" s="193"/>
      <c r="CP19" s="193">
        <v>100005</v>
      </c>
      <c r="CQ19" s="193"/>
      <c r="CR19" s="193"/>
    </row>
    <row r="20" spans="1:96" ht="15.75" customHeight="1" x14ac:dyDescent="0.35">
      <c r="A20" s="292"/>
      <c r="B20" s="71" t="s">
        <v>303</v>
      </c>
      <c r="D20" s="138">
        <v>10061</v>
      </c>
      <c r="E20" s="135">
        <v>70007</v>
      </c>
      <c r="F20" s="135"/>
      <c r="G20" s="139"/>
      <c r="H20" s="135">
        <v>0</v>
      </c>
      <c r="I20" s="135"/>
      <c r="J20" s="135"/>
      <c r="K20" s="135">
        <v>1</v>
      </c>
      <c r="L20" s="135"/>
      <c r="M20" s="139"/>
      <c r="N20" s="139"/>
      <c r="O20" s="154"/>
      <c r="P20" s="135">
        <v>1</v>
      </c>
      <c r="Q20" s="135">
        <v>1</v>
      </c>
      <c r="R20" s="135"/>
      <c r="S20" s="163">
        <v>1</v>
      </c>
      <c r="T20" s="163">
        <v>1</v>
      </c>
      <c r="U20" s="163">
        <v>1</v>
      </c>
      <c r="V20" s="135"/>
      <c r="W20" s="135"/>
      <c r="X20" s="163"/>
      <c r="Y20" s="135">
        <v>1003</v>
      </c>
      <c r="Z20" s="135">
        <v>1000</v>
      </c>
      <c r="AA20" s="135">
        <v>200</v>
      </c>
      <c r="AB20" s="135">
        <v>2</v>
      </c>
      <c r="AC20" s="135"/>
      <c r="AD20" s="135"/>
      <c r="AE20" s="135"/>
      <c r="AF20" s="163">
        <v>1</v>
      </c>
      <c r="AG20" s="169">
        <v>100</v>
      </c>
      <c r="AH20" s="135"/>
      <c r="AI20" s="135"/>
      <c r="AJ20" s="135"/>
      <c r="AK20" s="135">
        <v>0</v>
      </c>
      <c r="AL20" s="135">
        <v>21003</v>
      </c>
      <c r="AM20" s="135">
        <v>1000</v>
      </c>
      <c r="AN20" s="135"/>
      <c r="AO20" s="130" t="s">
        <v>304</v>
      </c>
      <c r="AP20" s="130" t="s">
        <v>272</v>
      </c>
      <c r="AQ20" s="130" t="s">
        <v>305</v>
      </c>
      <c r="AR20" s="130" t="s">
        <v>272</v>
      </c>
      <c r="AS20" s="130" t="s">
        <v>305</v>
      </c>
      <c r="AT20" s="130" t="s">
        <v>272</v>
      </c>
      <c r="AU20" s="130"/>
      <c r="AV20" s="130"/>
      <c r="AW20" s="104" t="s">
        <v>248</v>
      </c>
      <c r="AX20" s="130" t="s">
        <v>249</v>
      </c>
      <c r="AY20" s="130"/>
      <c r="AZ20" s="130"/>
      <c r="BA20" s="130"/>
      <c r="BB20" s="179"/>
      <c r="BC20" s="179"/>
      <c r="BD20" s="104"/>
      <c r="BE20" s="130"/>
      <c r="BF20" s="138">
        <v>10061</v>
      </c>
      <c r="BG20" s="130"/>
      <c r="BH20" s="185" t="s">
        <v>274</v>
      </c>
      <c r="BI20" s="130" t="s">
        <v>261</v>
      </c>
      <c r="BJ20" s="130" t="s">
        <v>287</v>
      </c>
      <c r="BK20" s="130" t="s">
        <v>253</v>
      </c>
      <c r="BL20" s="135"/>
      <c r="BM20" s="135"/>
      <c r="BN20" s="135"/>
      <c r="BO20" s="163">
        <v>100</v>
      </c>
      <c r="BP20" s="163">
        <v>200</v>
      </c>
      <c r="BQ20" s="130" t="s">
        <v>241</v>
      </c>
      <c r="BR20" s="135">
        <v>1</v>
      </c>
      <c r="BS20" s="135"/>
      <c r="BT20" s="163">
        <v>50</v>
      </c>
      <c r="BU20" s="163">
        <v>50</v>
      </c>
      <c r="BV20" s="130"/>
      <c r="BW20" s="104"/>
      <c r="BX20" s="135"/>
      <c r="BY20" s="135"/>
      <c r="BZ20" s="135">
        <v>2</v>
      </c>
      <c r="CA20" s="135">
        <v>3</v>
      </c>
      <c r="CB20" s="135">
        <v>3</v>
      </c>
      <c r="CC20" s="135">
        <v>4</v>
      </c>
      <c r="CD20" s="135">
        <v>4</v>
      </c>
      <c r="CE20" s="135">
        <v>5</v>
      </c>
      <c r="CF20" s="135">
        <v>3</v>
      </c>
      <c r="CG20" s="135">
        <v>4</v>
      </c>
      <c r="CH20" s="163">
        <v>1</v>
      </c>
      <c r="CI20" s="130" t="s">
        <v>4517</v>
      </c>
      <c r="CJ20" s="135"/>
      <c r="CK20" s="135"/>
      <c r="CL20" s="130"/>
      <c r="CM20" s="193">
        <v>100005</v>
      </c>
      <c r="CN20" s="193">
        <v>100057</v>
      </c>
      <c r="CO20" s="193"/>
      <c r="CP20" s="193">
        <v>100005</v>
      </c>
      <c r="CQ20" s="193"/>
      <c r="CR20" s="193"/>
    </row>
    <row r="21" spans="1:96" ht="15.75" customHeight="1" x14ac:dyDescent="0.35">
      <c r="A21" s="292"/>
      <c r="B21" s="71" t="s">
        <v>306</v>
      </c>
      <c r="D21" s="138">
        <v>10071</v>
      </c>
      <c r="E21" s="135">
        <v>70008</v>
      </c>
      <c r="F21" s="135"/>
      <c r="G21" s="139"/>
      <c r="H21" s="135">
        <v>0</v>
      </c>
      <c r="I21" s="135"/>
      <c r="J21" s="135"/>
      <c r="K21" s="135">
        <v>1</v>
      </c>
      <c r="L21" s="135"/>
      <c r="M21" s="139"/>
      <c r="N21" s="139"/>
      <c r="O21" s="154"/>
      <c r="P21" s="135">
        <v>1</v>
      </c>
      <c r="Q21" s="135">
        <v>1</v>
      </c>
      <c r="R21" s="135"/>
      <c r="S21" s="163">
        <v>1</v>
      </c>
      <c r="T21" s="163">
        <v>1</v>
      </c>
      <c r="U21" s="163">
        <v>1</v>
      </c>
      <c r="V21" s="135"/>
      <c r="W21" s="135"/>
      <c r="X21" s="163"/>
      <c r="Y21" s="135">
        <v>1041</v>
      </c>
      <c r="Z21" s="135">
        <v>1000</v>
      </c>
      <c r="AA21" s="135">
        <v>200</v>
      </c>
      <c r="AB21" s="135">
        <v>2</v>
      </c>
      <c r="AC21" s="135"/>
      <c r="AD21" s="135"/>
      <c r="AE21" s="135"/>
      <c r="AF21" s="163">
        <v>1</v>
      </c>
      <c r="AG21" s="169">
        <v>100</v>
      </c>
      <c r="AH21" s="135"/>
      <c r="AI21" s="135"/>
      <c r="AJ21" s="135"/>
      <c r="AK21" s="135">
        <v>0</v>
      </c>
      <c r="AL21" s="135">
        <v>21003</v>
      </c>
      <c r="AM21" s="135">
        <v>1000</v>
      </c>
      <c r="AN21" s="135"/>
      <c r="AO21" s="130" t="s">
        <v>291</v>
      </c>
      <c r="AP21" s="130" t="s">
        <v>272</v>
      </c>
      <c r="AQ21" s="130" t="s">
        <v>292</v>
      </c>
      <c r="AR21" s="130" t="s">
        <v>272</v>
      </c>
      <c r="AS21" s="130" t="s">
        <v>292</v>
      </c>
      <c r="AT21" s="130" t="s">
        <v>272</v>
      </c>
      <c r="AU21" s="130"/>
      <c r="AV21" s="130"/>
      <c r="AW21" s="104" t="s">
        <v>248</v>
      </c>
      <c r="AX21" s="130" t="s">
        <v>249</v>
      </c>
      <c r="AY21" s="130"/>
      <c r="AZ21" s="130"/>
      <c r="BA21" s="130"/>
      <c r="BB21" s="179"/>
      <c r="BC21" s="179"/>
      <c r="BD21" s="104"/>
      <c r="BE21" s="130"/>
      <c r="BF21" s="138">
        <v>10071</v>
      </c>
      <c r="BG21" s="130"/>
      <c r="BH21" s="185" t="s">
        <v>274</v>
      </c>
      <c r="BI21" s="130" t="s">
        <v>293</v>
      </c>
      <c r="BJ21" s="130" t="s">
        <v>294</v>
      </c>
      <c r="BK21" s="130" t="s">
        <v>253</v>
      </c>
      <c r="BL21" s="135"/>
      <c r="BM21" s="135"/>
      <c r="BN21" s="135"/>
      <c r="BO21" s="163">
        <v>100</v>
      </c>
      <c r="BP21" s="163">
        <v>200</v>
      </c>
      <c r="BQ21" s="130" t="s">
        <v>241</v>
      </c>
      <c r="BR21" s="135">
        <v>1</v>
      </c>
      <c r="BS21" s="135"/>
      <c r="BT21" s="163">
        <v>50</v>
      </c>
      <c r="BU21" s="163">
        <v>50</v>
      </c>
      <c r="BV21" s="130"/>
      <c r="BW21" s="104"/>
      <c r="BX21" s="135"/>
      <c r="BY21" s="135"/>
      <c r="BZ21" s="135">
        <v>2</v>
      </c>
      <c r="CA21" s="135">
        <v>3</v>
      </c>
      <c r="CB21" s="135">
        <v>3</v>
      </c>
      <c r="CC21" s="135">
        <v>4</v>
      </c>
      <c r="CD21" s="135">
        <v>4</v>
      </c>
      <c r="CE21" s="135">
        <v>5</v>
      </c>
      <c r="CF21" s="135">
        <v>3</v>
      </c>
      <c r="CG21" s="135">
        <v>4</v>
      </c>
      <c r="CH21" s="163">
        <v>25</v>
      </c>
      <c r="CI21" s="130" t="s">
        <v>4521</v>
      </c>
      <c r="CJ21" s="135"/>
      <c r="CK21" s="135"/>
      <c r="CL21" s="130"/>
      <c r="CM21" s="193">
        <v>100005</v>
      </c>
      <c r="CN21" s="193">
        <v>100057</v>
      </c>
      <c r="CO21" s="193"/>
      <c r="CP21" s="193">
        <v>100005</v>
      </c>
      <c r="CQ21" s="193"/>
      <c r="CR21" s="193"/>
    </row>
    <row r="22" spans="1:96" ht="15.75" customHeight="1" x14ac:dyDescent="0.35">
      <c r="A22" s="292"/>
      <c r="B22" s="142" t="s">
        <v>307</v>
      </c>
      <c r="D22" s="138">
        <v>10501</v>
      </c>
      <c r="E22" s="135">
        <v>70009</v>
      </c>
      <c r="F22" s="135"/>
      <c r="G22" s="135"/>
      <c r="H22" s="135">
        <v>0</v>
      </c>
      <c r="I22" s="135"/>
      <c r="J22" s="135"/>
      <c r="K22" s="135">
        <v>1</v>
      </c>
      <c r="L22" s="135"/>
      <c r="M22" s="135"/>
      <c r="N22" s="135"/>
      <c r="O22" s="154"/>
      <c r="P22" s="135">
        <v>1</v>
      </c>
      <c r="Q22" s="135">
        <v>3</v>
      </c>
      <c r="R22" s="135"/>
      <c r="S22" s="163">
        <v>1</v>
      </c>
      <c r="T22" s="163">
        <v>1</v>
      </c>
      <c r="U22" s="163">
        <v>1</v>
      </c>
      <c r="V22" s="135"/>
      <c r="W22" s="135"/>
      <c r="X22" s="163"/>
      <c r="Y22" s="135">
        <v>1101</v>
      </c>
      <c r="Z22" s="135">
        <v>1000</v>
      </c>
      <c r="AA22" s="135">
        <v>200</v>
      </c>
      <c r="AB22" s="135">
        <v>1</v>
      </c>
      <c r="AC22" s="135"/>
      <c r="AD22" s="135"/>
      <c r="AE22" s="135"/>
      <c r="AF22" s="163">
        <v>1</v>
      </c>
      <c r="AG22" s="163">
        <v>100</v>
      </c>
      <c r="AH22" s="135"/>
      <c r="AI22" s="135"/>
      <c r="AJ22" s="135"/>
      <c r="AK22" s="135">
        <v>0</v>
      </c>
      <c r="AL22" s="135">
        <v>21010</v>
      </c>
      <c r="AM22" s="135">
        <v>1000</v>
      </c>
      <c r="AN22" s="135"/>
      <c r="AO22" s="130" t="s">
        <v>308</v>
      </c>
      <c r="AP22" s="130" t="s">
        <v>246</v>
      </c>
      <c r="AQ22" s="130" t="s">
        <v>309</v>
      </c>
      <c r="AR22" s="130" t="s">
        <v>246</v>
      </c>
      <c r="AS22" s="130" t="s">
        <v>309</v>
      </c>
      <c r="AT22" s="130" t="s">
        <v>246</v>
      </c>
      <c r="AU22" s="130"/>
      <c r="AV22" s="130" t="s">
        <v>266</v>
      </c>
      <c r="AW22" s="130" t="s">
        <v>248</v>
      </c>
      <c r="AX22" s="130" t="s">
        <v>249</v>
      </c>
      <c r="AY22" s="130"/>
      <c r="AZ22" s="130"/>
      <c r="BA22" s="130"/>
      <c r="BB22" s="179"/>
      <c r="BC22" s="179"/>
      <c r="BD22" s="130"/>
      <c r="BE22" s="130"/>
      <c r="BF22" s="138">
        <v>10501</v>
      </c>
      <c r="BG22" s="130"/>
      <c r="BH22" s="185" t="s">
        <v>274</v>
      </c>
      <c r="BI22" s="130" t="s">
        <v>280</v>
      </c>
      <c r="BJ22" s="130" t="s">
        <v>287</v>
      </c>
      <c r="BK22" s="130" t="s">
        <v>253</v>
      </c>
      <c r="BL22" s="135"/>
      <c r="BM22" s="135"/>
      <c r="BN22" s="135"/>
      <c r="BO22" s="163">
        <v>50</v>
      </c>
      <c r="BP22" s="163">
        <v>200</v>
      </c>
      <c r="BQ22" s="130" t="s">
        <v>241</v>
      </c>
      <c r="BR22" s="135">
        <v>1</v>
      </c>
      <c r="BS22" s="135"/>
      <c r="BT22" s="163">
        <v>50</v>
      </c>
      <c r="BU22" s="163">
        <v>40</v>
      </c>
      <c r="BV22" s="130"/>
      <c r="BW22" s="130"/>
      <c r="BX22" s="135"/>
      <c r="BY22" s="135"/>
      <c r="BZ22" s="135">
        <v>2</v>
      </c>
      <c r="CA22" s="135">
        <v>3</v>
      </c>
      <c r="CB22" s="135">
        <v>4</v>
      </c>
      <c r="CC22" s="135">
        <v>4</v>
      </c>
      <c r="CD22" s="135">
        <v>5</v>
      </c>
      <c r="CE22" s="135">
        <v>5</v>
      </c>
      <c r="CF22" s="135">
        <v>4</v>
      </c>
      <c r="CG22" s="135">
        <v>4</v>
      </c>
      <c r="CH22" s="163">
        <v>5</v>
      </c>
      <c r="CI22" s="130" t="s">
        <v>4522</v>
      </c>
      <c r="CJ22" s="135"/>
      <c r="CK22" s="135"/>
      <c r="CL22" s="130"/>
      <c r="CM22" s="193">
        <v>100005</v>
      </c>
      <c r="CN22" s="193">
        <v>100057</v>
      </c>
      <c r="CO22" s="193"/>
      <c r="CP22" s="193">
        <v>100005</v>
      </c>
      <c r="CQ22" s="193"/>
      <c r="CR22" s="193"/>
    </row>
    <row r="23" spans="1:96" ht="15.75" customHeight="1" x14ac:dyDescent="0.35">
      <c r="A23" s="292"/>
      <c r="B23" s="142" t="s">
        <v>310</v>
      </c>
      <c r="D23" s="138">
        <v>10511</v>
      </c>
      <c r="E23" s="135">
        <v>70010</v>
      </c>
      <c r="F23" s="135"/>
      <c r="G23" s="139"/>
      <c r="H23" s="135">
        <v>0</v>
      </c>
      <c r="I23" s="135"/>
      <c r="J23" s="135"/>
      <c r="K23" s="135">
        <v>1</v>
      </c>
      <c r="L23" s="135"/>
      <c r="M23" s="139"/>
      <c r="N23" s="139"/>
      <c r="O23" s="154"/>
      <c r="P23" s="135">
        <v>1</v>
      </c>
      <c r="Q23" s="135">
        <v>3</v>
      </c>
      <c r="R23" s="135"/>
      <c r="S23" s="163">
        <v>1</v>
      </c>
      <c r="T23" s="163">
        <v>1</v>
      </c>
      <c r="U23" s="163">
        <v>1</v>
      </c>
      <c r="V23" s="135"/>
      <c r="W23" s="135"/>
      <c r="X23" s="163"/>
      <c r="Y23" s="135">
        <v>1104</v>
      </c>
      <c r="Z23" s="135">
        <v>1000</v>
      </c>
      <c r="AA23" s="135">
        <v>200</v>
      </c>
      <c r="AB23" s="135">
        <v>1</v>
      </c>
      <c r="AC23" s="135"/>
      <c r="AD23" s="135"/>
      <c r="AE23" s="135"/>
      <c r="AF23" s="163">
        <v>1</v>
      </c>
      <c r="AG23" s="169">
        <v>100</v>
      </c>
      <c r="AH23" s="135"/>
      <c r="AI23" s="135"/>
      <c r="AJ23" s="135"/>
      <c r="AK23" s="135">
        <v>0</v>
      </c>
      <c r="AL23" s="135">
        <v>21011</v>
      </c>
      <c r="AM23" s="135">
        <v>1100</v>
      </c>
      <c r="AN23" s="135"/>
      <c r="AO23" s="130" t="s">
        <v>311</v>
      </c>
      <c r="AP23" s="130" t="s">
        <v>246</v>
      </c>
      <c r="AQ23" s="130" t="s">
        <v>312</v>
      </c>
      <c r="AR23" s="130" t="s">
        <v>246</v>
      </c>
      <c r="AS23" s="130" t="s">
        <v>312</v>
      </c>
      <c r="AT23" s="130" t="s">
        <v>246</v>
      </c>
      <c r="AU23" s="130"/>
      <c r="AV23" s="130" t="s">
        <v>266</v>
      </c>
      <c r="AW23" s="104" t="s">
        <v>248</v>
      </c>
      <c r="AX23" s="130" t="s">
        <v>249</v>
      </c>
      <c r="AY23" s="130"/>
      <c r="AZ23" s="130"/>
      <c r="BA23" s="130"/>
      <c r="BB23" s="179"/>
      <c r="BC23" s="179"/>
      <c r="BD23" s="104"/>
      <c r="BE23" s="130"/>
      <c r="BF23" s="138">
        <v>10511</v>
      </c>
      <c r="BG23" s="130"/>
      <c r="BH23" s="185" t="s">
        <v>274</v>
      </c>
      <c r="BI23" s="130" t="s">
        <v>313</v>
      </c>
      <c r="BJ23" s="130" t="s">
        <v>300</v>
      </c>
      <c r="BK23" s="130" t="s">
        <v>253</v>
      </c>
      <c r="BL23" s="135"/>
      <c r="BM23" s="135"/>
      <c r="BN23" s="135"/>
      <c r="BO23" s="163">
        <v>100</v>
      </c>
      <c r="BP23" s="163">
        <v>200</v>
      </c>
      <c r="BQ23" s="130" t="s">
        <v>241</v>
      </c>
      <c r="BR23" s="135">
        <v>1</v>
      </c>
      <c r="BS23" s="135"/>
      <c r="BT23" s="163">
        <v>50</v>
      </c>
      <c r="BU23" s="163">
        <v>50</v>
      </c>
      <c r="BV23" s="130"/>
      <c r="BW23" s="104"/>
      <c r="BX23" s="135"/>
      <c r="BY23" s="135"/>
      <c r="BZ23" s="135">
        <v>1</v>
      </c>
      <c r="CA23" s="135">
        <v>1</v>
      </c>
      <c r="CB23" s="135">
        <v>1</v>
      </c>
      <c r="CC23" s="135">
        <v>2</v>
      </c>
      <c r="CD23" s="135">
        <v>2</v>
      </c>
      <c r="CE23" s="135">
        <v>2</v>
      </c>
      <c r="CF23" s="135">
        <v>1</v>
      </c>
      <c r="CG23" s="135">
        <v>2</v>
      </c>
      <c r="CH23" s="163">
        <v>5</v>
      </c>
      <c r="CI23" s="130" t="s">
        <v>4523</v>
      </c>
      <c r="CJ23" s="135"/>
      <c r="CK23" s="135"/>
      <c r="CL23" s="130"/>
      <c r="CM23" s="193">
        <v>100005</v>
      </c>
      <c r="CN23" s="193">
        <v>100057</v>
      </c>
      <c r="CO23" s="193"/>
      <c r="CP23" s="193">
        <v>100005</v>
      </c>
      <c r="CQ23" s="193"/>
      <c r="CR23" s="193"/>
    </row>
    <row r="24" spans="1:96" ht="15.75" customHeight="1" x14ac:dyDescent="0.35">
      <c r="A24" s="292"/>
      <c r="B24" s="142" t="s">
        <v>314</v>
      </c>
      <c r="D24" s="138">
        <v>10521</v>
      </c>
      <c r="E24" s="135">
        <v>70011</v>
      </c>
      <c r="F24" s="135"/>
      <c r="G24" s="139"/>
      <c r="H24" s="135">
        <v>0</v>
      </c>
      <c r="I24" s="135"/>
      <c r="J24" s="135"/>
      <c r="K24" s="135">
        <v>1</v>
      </c>
      <c r="L24" s="135"/>
      <c r="M24" s="139"/>
      <c r="N24" s="139"/>
      <c r="O24" s="154"/>
      <c r="P24" s="135">
        <v>3</v>
      </c>
      <c r="Q24" s="135">
        <v>3</v>
      </c>
      <c r="R24" s="135"/>
      <c r="S24" s="163">
        <v>1</v>
      </c>
      <c r="T24" s="163">
        <v>1</v>
      </c>
      <c r="U24" s="163">
        <v>1</v>
      </c>
      <c r="V24" s="135"/>
      <c r="W24" s="135"/>
      <c r="X24" s="163"/>
      <c r="Y24" s="135">
        <v>1202</v>
      </c>
      <c r="Z24" s="135">
        <v>1000</v>
      </c>
      <c r="AA24" s="135">
        <v>200</v>
      </c>
      <c r="AB24" s="135">
        <v>1</v>
      </c>
      <c r="AC24" s="135"/>
      <c r="AD24" s="135"/>
      <c r="AE24" s="135"/>
      <c r="AF24" s="163">
        <v>1</v>
      </c>
      <c r="AG24" s="169">
        <v>100</v>
      </c>
      <c r="AH24" s="135"/>
      <c r="AI24" s="135"/>
      <c r="AJ24" s="135"/>
      <c r="AK24" s="135">
        <v>0</v>
      </c>
      <c r="AL24" s="135">
        <v>21001</v>
      </c>
      <c r="AM24" s="135">
        <v>1000</v>
      </c>
      <c r="AN24" s="135"/>
      <c r="AO24" s="130" t="s">
        <v>271</v>
      </c>
      <c r="AP24" s="130" t="s">
        <v>272</v>
      </c>
      <c r="AQ24" s="130" t="s">
        <v>271</v>
      </c>
      <c r="AR24" s="130" t="s">
        <v>272</v>
      </c>
      <c r="AS24" s="130" t="s">
        <v>271</v>
      </c>
      <c r="AT24" s="130" t="s">
        <v>272</v>
      </c>
      <c r="AU24" s="130"/>
      <c r="AV24" s="130" t="s">
        <v>273</v>
      </c>
      <c r="AW24" s="104" t="s">
        <v>248</v>
      </c>
      <c r="AX24" s="130" t="s">
        <v>249</v>
      </c>
      <c r="AY24" s="130"/>
      <c r="AZ24" s="130"/>
      <c r="BA24" s="130"/>
      <c r="BB24" s="179"/>
      <c r="BC24" s="179"/>
      <c r="BD24" s="104"/>
      <c r="BE24" s="130"/>
      <c r="BF24" s="138">
        <v>10521</v>
      </c>
      <c r="BG24" s="130"/>
      <c r="BH24" s="185" t="s">
        <v>274</v>
      </c>
      <c r="BI24" s="130" t="s">
        <v>251</v>
      </c>
      <c r="BJ24" s="130" t="s">
        <v>275</v>
      </c>
      <c r="BK24" s="130" t="s">
        <v>253</v>
      </c>
      <c r="BL24" s="135"/>
      <c r="BM24" s="135"/>
      <c r="BN24" s="135"/>
      <c r="BO24" s="163">
        <v>100</v>
      </c>
      <c r="BP24" s="163">
        <v>200</v>
      </c>
      <c r="BQ24" s="130" t="s">
        <v>241</v>
      </c>
      <c r="BR24" s="135">
        <v>1</v>
      </c>
      <c r="BS24" s="135"/>
      <c r="BT24" s="163">
        <v>50</v>
      </c>
      <c r="BU24" s="163">
        <v>10</v>
      </c>
      <c r="BV24" s="130"/>
      <c r="BW24" s="104"/>
      <c r="BX24" s="135"/>
      <c r="BY24" s="135"/>
      <c r="BZ24" s="135">
        <v>2</v>
      </c>
      <c r="CA24" s="135">
        <v>2</v>
      </c>
      <c r="CB24" s="135">
        <v>3</v>
      </c>
      <c r="CC24" s="135">
        <v>3</v>
      </c>
      <c r="CD24" s="135">
        <v>4</v>
      </c>
      <c r="CE24" s="135">
        <v>4</v>
      </c>
      <c r="CF24" s="135">
        <v>3</v>
      </c>
      <c r="CG24" s="135">
        <v>3</v>
      </c>
      <c r="CH24" s="163">
        <v>5</v>
      </c>
      <c r="CI24" s="130" t="s">
        <v>4524</v>
      </c>
      <c r="CJ24" s="135"/>
      <c r="CK24" s="135"/>
      <c r="CL24" s="130"/>
      <c r="CM24" s="193">
        <v>100005</v>
      </c>
      <c r="CN24" s="193">
        <v>100057</v>
      </c>
      <c r="CO24" s="193"/>
      <c r="CP24" s="193">
        <v>100005</v>
      </c>
      <c r="CQ24" s="193"/>
      <c r="CR24" s="193"/>
    </row>
    <row r="25" spans="1:96" ht="15.75" customHeight="1" x14ac:dyDescent="0.35">
      <c r="A25" s="292"/>
      <c r="B25" s="142" t="s">
        <v>315</v>
      </c>
      <c r="D25" s="138">
        <v>10531</v>
      </c>
      <c r="E25" s="135">
        <v>70012</v>
      </c>
      <c r="F25" s="135"/>
      <c r="G25" s="135"/>
      <c r="H25" s="135">
        <v>0</v>
      </c>
      <c r="I25" s="135"/>
      <c r="J25" s="135"/>
      <c r="K25" s="135">
        <v>1</v>
      </c>
      <c r="L25" s="135"/>
      <c r="M25" s="135"/>
      <c r="N25" s="135"/>
      <c r="O25" s="154"/>
      <c r="P25" s="135">
        <v>1</v>
      </c>
      <c r="Q25" s="135">
        <v>3</v>
      </c>
      <c r="R25" s="135"/>
      <c r="S25" s="163">
        <v>1</v>
      </c>
      <c r="T25" s="163">
        <v>1</v>
      </c>
      <c r="U25" s="163">
        <v>1</v>
      </c>
      <c r="V25" s="135"/>
      <c r="W25" s="135"/>
      <c r="X25" s="163"/>
      <c r="Y25" s="135">
        <v>11101</v>
      </c>
      <c r="Z25" s="135">
        <v>1000</v>
      </c>
      <c r="AA25" s="135">
        <v>300</v>
      </c>
      <c r="AB25" s="135">
        <v>1</v>
      </c>
      <c r="AC25" s="135"/>
      <c r="AD25" s="135"/>
      <c r="AE25" s="135"/>
      <c r="AF25" s="163">
        <v>1</v>
      </c>
      <c r="AG25" s="163">
        <v>100</v>
      </c>
      <c r="AH25" s="135"/>
      <c r="AI25" s="135"/>
      <c r="AJ25" s="135"/>
      <c r="AK25" s="135">
        <v>0</v>
      </c>
      <c r="AL25" s="135">
        <v>21014</v>
      </c>
      <c r="AM25" s="135">
        <v>1000</v>
      </c>
      <c r="AN25" s="135"/>
      <c r="AO25" s="130" t="s">
        <v>316</v>
      </c>
      <c r="AP25" s="130" t="s">
        <v>272</v>
      </c>
      <c r="AQ25" s="130" t="s">
        <v>317</v>
      </c>
      <c r="AR25" s="130" t="s">
        <v>272</v>
      </c>
      <c r="AS25" s="130" t="s">
        <v>317</v>
      </c>
      <c r="AT25" s="130" t="s">
        <v>272</v>
      </c>
      <c r="AU25" s="130"/>
      <c r="AV25" s="130"/>
      <c r="AW25" s="130" t="s">
        <v>248</v>
      </c>
      <c r="AX25" s="130" t="s">
        <v>249</v>
      </c>
      <c r="AY25" s="130" t="s">
        <v>318</v>
      </c>
      <c r="AZ25" s="130">
        <v>1</v>
      </c>
      <c r="BA25" s="130" t="s">
        <v>319</v>
      </c>
      <c r="BB25" s="179"/>
      <c r="BC25" s="179"/>
      <c r="BD25" s="130"/>
      <c r="BE25" s="130"/>
      <c r="BF25" s="138">
        <v>10531</v>
      </c>
      <c r="BG25" s="130"/>
      <c r="BH25" s="185" t="s">
        <v>274</v>
      </c>
      <c r="BI25" s="130" t="s">
        <v>280</v>
      </c>
      <c r="BJ25" s="130" t="s">
        <v>297</v>
      </c>
      <c r="BK25" s="130" t="s">
        <v>253</v>
      </c>
      <c r="BL25" s="135"/>
      <c r="BM25" s="135"/>
      <c r="BN25" s="135"/>
      <c r="BO25" s="163">
        <v>100</v>
      </c>
      <c r="BP25" s="163">
        <v>200</v>
      </c>
      <c r="BQ25" s="130" t="s">
        <v>241</v>
      </c>
      <c r="BR25" s="135">
        <v>1</v>
      </c>
      <c r="BS25" s="135"/>
      <c r="BT25" s="163">
        <v>50</v>
      </c>
      <c r="BU25" s="163">
        <v>50</v>
      </c>
      <c r="BV25" s="130"/>
      <c r="BW25" s="130"/>
      <c r="BX25" s="135"/>
      <c r="BY25" s="135"/>
      <c r="BZ25" s="135">
        <v>3</v>
      </c>
      <c r="CA25" s="135">
        <v>4</v>
      </c>
      <c r="CB25" s="135">
        <v>4</v>
      </c>
      <c r="CC25" s="135">
        <v>5</v>
      </c>
      <c r="CD25" s="135">
        <v>5</v>
      </c>
      <c r="CE25" s="135">
        <v>6</v>
      </c>
      <c r="CF25" s="135">
        <v>4</v>
      </c>
      <c r="CG25" s="135">
        <v>5</v>
      </c>
      <c r="CH25" s="163">
        <v>10</v>
      </c>
      <c r="CI25" s="130" t="s">
        <v>4452</v>
      </c>
      <c r="CJ25" s="135"/>
      <c r="CK25" s="135"/>
      <c r="CL25" s="130"/>
      <c r="CM25" s="193">
        <v>100005</v>
      </c>
      <c r="CN25" s="193">
        <v>100057</v>
      </c>
      <c r="CO25" s="193"/>
      <c r="CP25" s="193">
        <v>100005</v>
      </c>
      <c r="CQ25" s="193"/>
      <c r="CR25" s="193"/>
    </row>
    <row r="26" spans="1:96" ht="15.75" customHeight="1" x14ac:dyDescent="0.35">
      <c r="A26" s="292"/>
      <c r="B26" s="73" t="s">
        <v>320</v>
      </c>
      <c r="D26" s="138">
        <v>10541</v>
      </c>
      <c r="E26" s="135">
        <v>70013</v>
      </c>
      <c r="F26" s="135"/>
      <c r="G26" s="139"/>
      <c r="H26" s="135"/>
      <c r="I26" s="135"/>
      <c r="J26" s="135"/>
      <c r="K26" s="135">
        <v>1</v>
      </c>
      <c r="L26" s="135"/>
      <c r="M26" s="139"/>
      <c r="N26" s="139"/>
      <c r="O26" s="154"/>
      <c r="P26" s="135">
        <v>2</v>
      </c>
      <c r="Q26" s="135">
        <v>3</v>
      </c>
      <c r="R26" s="135"/>
      <c r="S26" s="163">
        <v>1</v>
      </c>
      <c r="T26" s="163">
        <v>1</v>
      </c>
      <c r="U26" s="163">
        <v>1</v>
      </c>
      <c r="V26" s="135"/>
      <c r="W26" s="135"/>
      <c r="X26" s="163"/>
      <c r="Y26" s="154">
        <v>1613</v>
      </c>
      <c r="Z26" s="135">
        <v>1000</v>
      </c>
      <c r="AA26" s="135">
        <v>200</v>
      </c>
      <c r="AB26" s="135">
        <v>1</v>
      </c>
      <c r="AC26" s="135"/>
      <c r="AD26" s="135"/>
      <c r="AE26" s="135"/>
      <c r="AF26" s="163">
        <v>1</v>
      </c>
      <c r="AG26" s="169">
        <v>100</v>
      </c>
      <c r="AH26" s="135"/>
      <c r="AI26" s="135"/>
      <c r="AJ26" s="135"/>
      <c r="AK26" s="135">
        <v>0</v>
      </c>
      <c r="AL26" s="135">
        <v>21001</v>
      </c>
      <c r="AM26" s="135">
        <v>1000</v>
      </c>
      <c r="AN26" s="135"/>
      <c r="AO26" s="130" t="s">
        <v>271</v>
      </c>
      <c r="AP26" s="130" t="s">
        <v>272</v>
      </c>
      <c r="AQ26" s="130" t="s">
        <v>271</v>
      </c>
      <c r="AR26" s="130" t="s">
        <v>272</v>
      </c>
      <c r="AS26" s="130" t="s">
        <v>271</v>
      </c>
      <c r="AT26" s="130" t="s">
        <v>272</v>
      </c>
      <c r="AU26" s="130"/>
      <c r="AV26" s="130" t="s">
        <v>266</v>
      </c>
      <c r="AW26" s="104" t="s">
        <v>248</v>
      </c>
      <c r="AX26" s="130" t="s">
        <v>249</v>
      </c>
      <c r="AY26" s="130"/>
      <c r="AZ26" s="130"/>
      <c r="BA26" s="130"/>
      <c r="BB26" s="179"/>
      <c r="BC26" s="179"/>
      <c r="BD26" s="104"/>
      <c r="BE26" s="130"/>
      <c r="BF26" s="138">
        <v>10541</v>
      </c>
      <c r="BG26" s="130"/>
      <c r="BH26" s="185" t="s">
        <v>274</v>
      </c>
      <c r="BI26" s="187" t="s">
        <v>268</v>
      </c>
      <c r="BJ26" s="130" t="s">
        <v>300</v>
      </c>
      <c r="BK26" s="130" t="s">
        <v>253</v>
      </c>
      <c r="BL26" s="130"/>
      <c r="BM26" s="135"/>
      <c r="BN26" s="135"/>
      <c r="BO26" s="163">
        <v>100</v>
      </c>
      <c r="BP26" s="163">
        <v>200</v>
      </c>
      <c r="BQ26" s="130" t="s">
        <v>241</v>
      </c>
      <c r="BR26" s="135">
        <v>1</v>
      </c>
      <c r="BS26" s="135"/>
      <c r="BT26" s="163">
        <v>50</v>
      </c>
      <c r="BU26" s="163">
        <v>30</v>
      </c>
      <c r="BV26" s="130"/>
      <c r="BW26" s="130"/>
      <c r="BX26" s="130"/>
      <c r="BY26" s="135"/>
      <c r="BZ26" s="135">
        <v>1</v>
      </c>
      <c r="CA26" s="135">
        <v>1</v>
      </c>
      <c r="CB26" s="135">
        <v>1</v>
      </c>
      <c r="CC26" s="135">
        <v>1</v>
      </c>
      <c r="CD26" s="135">
        <v>1</v>
      </c>
      <c r="CE26" s="135">
        <v>1</v>
      </c>
      <c r="CF26" s="135">
        <v>1</v>
      </c>
      <c r="CG26" s="135">
        <v>1</v>
      </c>
      <c r="CH26" s="163"/>
      <c r="CI26" s="130" t="s">
        <v>4560</v>
      </c>
      <c r="CJ26" s="130"/>
      <c r="CK26" s="135"/>
      <c r="CL26" s="130"/>
      <c r="CM26" s="193">
        <v>100005</v>
      </c>
      <c r="CN26" s="193">
        <v>100057</v>
      </c>
      <c r="CO26" s="193"/>
      <c r="CP26" s="193">
        <v>100005</v>
      </c>
      <c r="CQ26" s="193"/>
      <c r="CR26" s="193"/>
    </row>
    <row r="27" spans="1:96" ht="15.75" customHeight="1" x14ac:dyDescent="0.35">
      <c r="A27" s="292"/>
      <c r="B27" s="74" t="s">
        <v>321</v>
      </c>
      <c r="D27" s="138">
        <v>10551</v>
      </c>
      <c r="E27" s="135">
        <v>70014</v>
      </c>
      <c r="F27" s="135"/>
      <c r="G27" s="139"/>
      <c r="H27" s="135">
        <v>0</v>
      </c>
      <c r="I27" s="135"/>
      <c r="J27" s="135"/>
      <c r="K27" s="135">
        <v>11</v>
      </c>
      <c r="L27" s="135"/>
      <c r="M27" s="139"/>
      <c r="N27" s="139"/>
      <c r="O27" s="154"/>
      <c r="P27" s="135">
        <v>1</v>
      </c>
      <c r="Q27" s="135">
        <v>1</v>
      </c>
      <c r="R27" s="135"/>
      <c r="S27" s="163">
        <v>1</v>
      </c>
      <c r="T27" s="163">
        <v>1</v>
      </c>
      <c r="U27" s="163">
        <v>1</v>
      </c>
      <c r="V27" s="135"/>
      <c r="W27" s="135"/>
      <c r="X27" s="163"/>
      <c r="Y27" s="135">
        <v>1020</v>
      </c>
      <c r="Z27" s="135">
        <v>1000</v>
      </c>
      <c r="AA27" s="135">
        <v>300</v>
      </c>
      <c r="AB27" s="135">
        <v>1</v>
      </c>
      <c r="AC27" s="135"/>
      <c r="AD27" s="135"/>
      <c r="AE27" s="135"/>
      <c r="AF27" s="163">
        <v>1</v>
      </c>
      <c r="AG27" s="169">
        <v>100</v>
      </c>
      <c r="AH27" s="135"/>
      <c r="AI27" s="135"/>
      <c r="AJ27" s="135"/>
      <c r="AK27" s="135">
        <v>0</v>
      </c>
      <c r="AL27" s="135">
        <v>23023</v>
      </c>
      <c r="AM27" s="135">
        <v>1000</v>
      </c>
      <c r="AN27" s="135"/>
      <c r="AO27" s="130" t="s">
        <v>271</v>
      </c>
      <c r="AP27" s="130" t="s">
        <v>272</v>
      </c>
      <c r="AQ27" s="130" t="s">
        <v>286</v>
      </c>
      <c r="AR27" s="130" t="s">
        <v>272</v>
      </c>
      <c r="AS27" s="130" t="s">
        <v>286</v>
      </c>
      <c r="AT27" s="130" t="s">
        <v>272</v>
      </c>
      <c r="AU27" s="130"/>
      <c r="AV27" s="130"/>
      <c r="AW27" s="104" t="s">
        <v>248</v>
      </c>
      <c r="AX27" s="130" t="s">
        <v>249</v>
      </c>
      <c r="AY27" s="130"/>
      <c r="AZ27" s="130"/>
      <c r="BA27" s="130"/>
      <c r="BB27" s="179"/>
      <c r="BC27" s="179"/>
      <c r="BD27" s="104"/>
      <c r="BE27" s="130"/>
      <c r="BF27" s="135">
        <v>10551</v>
      </c>
      <c r="BG27" s="130"/>
      <c r="BH27" s="185" t="s">
        <v>274</v>
      </c>
      <c r="BI27" s="187" t="s">
        <v>289</v>
      </c>
      <c r="BJ27" s="130" t="s">
        <v>252</v>
      </c>
      <c r="BK27" s="130" t="s">
        <v>253</v>
      </c>
      <c r="BL27" s="130"/>
      <c r="BM27" s="135"/>
      <c r="BN27" s="135"/>
      <c r="BO27" s="163">
        <v>50</v>
      </c>
      <c r="BP27" s="163">
        <v>200</v>
      </c>
      <c r="BQ27" s="130" t="s">
        <v>241</v>
      </c>
      <c r="BR27" s="135">
        <v>1</v>
      </c>
      <c r="BS27" s="135"/>
      <c r="BT27" s="163">
        <v>50</v>
      </c>
      <c r="BU27" s="163">
        <v>50</v>
      </c>
      <c r="BV27" s="130"/>
      <c r="BW27" s="104"/>
      <c r="BX27" s="130"/>
      <c r="BY27" s="135"/>
      <c r="BZ27" s="135">
        <v>3</v>
      </c>
      <c r="CA27" s="135">
        <v>4</v>
      </c>
      <c r="CB27" s="135">
        <v>4</v>
      </c>
      <c r="CC27" s="135">
        <v>4</v>
      </c>
      <c r="CD27" s="135">
        <v>5</v>
      </c>
      <c r="CE27" s="135">
        <v>6</v>
      </c>
      <c r="CF27" s="135">
        <v>4</v>
      </c>
      <c r="CG27" s="135">
        <v>4</v>
      </c>
      <c r="CH27" s="163"/>
      <c r="CI27" s="130"/>
      <c r="CJ27" s="130"/>
      <c r="CK27" s="135"/>
      <c r="CL27" s="130"/>
      <c r="CM27" s="193">
        <v>100005</v>
      </c>
      <c r="CN27" s="193">
        <v>100057</v>
      </c>
      <c r="CO27" s="193"/>
      <c r="CP27" s="193">
        <v>100005</v>
      </c>
      <c r="CQ27" s="193"/>
      <c r="CR27" s="193"/>
    </row>
    <row r="28" spans="1:96" ht="15.75" customHeight="1" x14ac:dyDescent="0.35">
      <c r="A28" s="292"/>
      <c r="B28" s="76" t="s">
        <v>322</v>
      </c>
      <c r="D28" s="138">
        <v>10601</v>
      </c>
      <c r="E28" s="135">
        <v>70015</v>
      </c>
      <c r="F28" s="135"/>
      <c r="G28" s="139"/>
      <c r="H28" s="135">
        <v>0</v>
      </c>
      <c r="I28" s="135"/>
      <c r="J28" s="135"/>
      <c r="K28" s="135">
        <v>2</v>
      </c>
      <c r="L28" s="135"/>
      <c r="M28" s="139"/>
      <c r="N28" s="139"/>
      <c r="O28" s="154">
        <v>1</v>
      </c>
      <c r="P28" s="135">
        <v>1</v>
      </c>
      <c r="Q28" s="135">
        <v>1</v>
      </c>
      <c r="R28" s="135"/>
      <c r="S28" s="163">
        <v>1</v>
      </c>
      <c r="T28" s="163">
        <v>1</v>
      </c>
      <c r="U28" s="163">
        <v>1</v>
      </c>
      <c r="V28" s="135"/>
      <c r="W28" s="135"/>
      <c r="X28" s="163"/>
      <c r="Y28" s="135">
        <v>1003</v>
      </c>
      <c r="Z28" s="135">
        <v>1300</v>
      </c>
      <c r="AA28" s="135">
        <v>200</v>
      </c>
      <c r="AB28" s="135">
        <v>2</v>
      </c>
      <c r="AC28" s="135"/>
      <c r="AD28" s="135"/>
      <c r="AE28" s="135">
        <v>4</v>
      </c>
      <c r="AF28" s="163">
        <v>1</v>
      </c>
      <c r="AG28" s="169">
        <v>100</v>
      </c>
      <c r="AH28" s="135"/>
      <c r="AI28" s="135"/>
      <c r="AJ28" s="135"/>
      <c r="AK28" s="135">
        <v>0</v>
      </c>
      <c r="AL28" s="135">
        <v>21003</v>
      </c>
      <c r="AM28" s="135">
        <v>1000</v>
      </c>
      <c r="AN28" s="135"/>
      <c r="AO28" s="130" t="s">
        <v>323</v>
      </c>
      <c r="AP28" s="130" t="s">
        <v>272</v>
      </c>
      <c r="AQ28" s="130" t="s">
        <v>323</v>
      </c>
      <c r="AR28" s="130" t="s">
        <v>272</v>
      </c>
      <c r="AS28" s="130" t="s">
        <v>323</v>
      </c>
      <c r="AT28" s="130" t="s">
        <v>272</v>
      </c>
      <c r="AU28" s="130" t="s">
        <v>4584</v>
      </c>
      <c r="AV28" s="130"/>
      <c r="AW28" s="104" t="s">
        <v>248</v>
      </c>
      <c r="AX28" s="130" t="s">
        <v>249</v>
      </c>
      <c r="AY28" s="130"/>
      <c r="AZ28" s="130"/>
      <c r="BA28" s="130"/>
      <c r="BB28" s="179"/>
      <c r="BC28" s="179"/>
      <c r="BD28" s="104"/>
      <c r="BE28" s="130"/>
      <c r="BF28" s="138">
        <v>10601</v>
      </c>
      <c r="BG28" s="130"/>
      <c r="BH28" s="185" t="s">
        <v>324</v>
      </c>
      <c r="BI28" s="130" t="s">
        <v>261</v>
      </c>
      <c r="BJ28" s="130" t="s">
        <v>275</v>
      </c>
      <c r="BK28" s="130" t="s">
        <v>253</v>
      </c>
      <c r="BL28" s="135"/>
      <c r="BM28" s="135"/>
      <c r="BN28" s="135"/>
      <c r="BO28" s="163">
        <v>100</v>
      </c>
      <c r="BP28" s="163">
        <v>200</v>
      </c>
      <c r="BQ28" s="130" t="s">
        <v>241</v>
      </c>
      <c r="BR28" s="135">
        <v>2</v>
      </c>
      <c r="BS28" s="135"/>
      <c r="BT28" s="163">
        <v>50</v>
      </c>
      <c r="BU28" s="163">
        <v>50</v>
      </c>
      <c r="BV28" s="130"/>
      <c r="BW28" s="104"/>
      <c r="BX28" s="135"/>
      <c r="BY28" s="135"/>
      <c r="BZ28" s="135">
        <v>2</v>
      </c>
      <c r="CA28" s="135">
        <v>3</v>
      </c>
      <c r="CB28" s="135">
        <v>3</v>
      </c>
      <c r="CC28" s="135">
        <v>4</v>
      </c>
      <c r="CD28" s="135">
        <v>4</v>
      </c>
      <c r="CE28" s="135">
        <v>5</v>
      </c>
      <c r="CF28" s="135">
        <v>3</v>
      </c>
      <c r="CG28" s="135">
        <v>4</v>
      </c>
      <c r="CH28" s="163"/>
      <c r="CI28" s="130" t="s">
        <v>4448</v>
      </c>
      <c r="CJ28" s="135"/>
      <c r="CK28" s="135"/>
      <c r="CL28" s="130"/>
      <c r="CM28" s="193">
        <v>110101</v>
      </c>
      <c r="CN28" s="193"/>
      <c r="CO28" s="193"/>
      <c r="CP28" s="193">
        <v>110101</v>
      </c>
      <c r="CQ28" s="193"/>
      <c r="CR28" s="193"/>
    </row>
    <row r="29" spans="1:96" ht="15.75" customHeight="1" x14ac:dyDescent="0.35">
      <c r="A29" s="292"/>
      <c r="B29" s="76" t="s">
        <v>326</v>
      </c>
      <c r="D29" s="138">
        <v>10611</v>
      </c>
      <c r="E29" s="135">
        <v>70016</v>
      </c>
      <c r="F29" s="135"/>
      <c r="G29" s="139"/>
      <c r="H29" s="135"/>
      <c r="I29" s="135"/>
      <c r="J29" s="135"/>
      <c r="K29" s="135">
        <v>2</v>
      </c>
      <c r="L29" s="135"/>
      <c r="M29" s="139"/>
      <c r="N29" s="139"/>
      <c r="O29" s="154">
        <v>1</v>
      </c>
      <c r="P29" s="135">
        <v>1</v>
      </c>
      <c r="Q29" s="135">
        <v>1</v>
      </c>
      <c r="R29" s="135"/>
      <c r="S29" s="163">
        <v>1</v>
      </c>
      <c r="T29" s="163">
        <v>1</v>
      </c>
      <c r="U29" s="163">
        <v>1</v>
      </c>
      <c r="V29" s="135"/>
      <c r="W29" s="135"/>
      <c r="X29" s="163"/>
      <c r="Y29" s="135">
        <v>1020</v>
      </c>
      <c r="Z29" s="135">
        <v>1300</v>
      </c>
      <c r="AA29" s="135">
        <v>300</v>
      </c>
      <c r="AB29" s="135">
        <v>2</v>
      </c>
      <c r="AC29" s="135"/>
      <c r="AD29" s="135"/>
      <c r="AE29" s="135">
        <v>4</v>
      </c>
      <c r="AF29" s="163">
        <v>1</v>
      </c>
      <c r="AG29" s="169">
        <v>100</v>
      </c>
      <c r="AH29" s="135"/>
      <c r="AI29" s="135"/>
      <c r="AJ29" s="135"/>
      <c r="AK29" s="135">
        <v>0</v>
      </c>
      <c r="AL29" s="135">
        <v>21005</v>
      </c>
      <c r="AM29" s="135">
        <v>1000</v>
      </c>
      <c r="AN29" s="135"/>
      <c r="AO29" s="130" t="s">
        <v>327</v>
      </c>
      <c r="AP29" s="130" t="s">
        <v>272</v>
      </c>
      <c r="AQ29" s="130" t="s">
        <v>328</v>
      </c>
      <c r="AR29" s="130" t="s">
        <v>329</v>
      </c>
      <c r="AS29" s="130" t="s">
        <v>328</v>
      </c>
      <c r="AT29" s="130" t="s">
        <v>329</v>
      </c>
      <c r="AU29" s="130" t="s">
        <v>4584</v>
      </c>
      <c r="AV29" s="130" t="s">
        <v>266</v>
      </c>
      <c r="AW29" s="104" t="s">
        <v>248</v>
      </c>
      <c r="AX29" s="130" t="s">
        <v>249</v>
      </c>
      <c r="AY29" s="130"/>
      <c r="AZ29" s="130"/>
      <c r="BA29" s="130"/>
      <c r="BB29" s="179"/>
      <c r="BC29" s="179"/>
      <c r="BD29" s="104"/>
      <c r="BE29" s="130"/>
      <c r="BF29" s="138">
        <v>10611</v>
      </c>
      <c r="BG29" s="130"/>
      <c r="BH29" s="185" t="s">
        <v>324</v>
      </c>
      <c r="BI29" s="130" t="s">
        <v>280</v>
      </c>
      <c r="BJ29" s="130" t="s">
        <v>297</v>
      </c>
      <c r="BK29" s="130" t="s">
        <v>253</v>
      </c>
      <c r="BL29" s="135"/>
      <c r="BM29" s="135"/>
      <c r="BN29" s="135"/>
      <c r="BO29" s="163">
        <v>100</v>
      </c>
      <c r="BP29" s="163">
        <v>200</v>
      </c>
      <c r="BQ29" s="130" t="s">
        <v>241</v>
      </c>
      <c r="BR29" s="135">
        <v>2</v>
      </c>
      <c r="BS29" s="135"/>
      <c r="BT29" s="163">
        <v>50</v>
      </c>
      <c r="BU29" s="163">
        <v>40</v>
      </c>
      <c r="BV29" s="130"/>
      <c r="BW29" s="104"/>
      <c r="BX29" s="135"/>
      <c r="BY29" s="135"/>
      <c r="BZ29" s="135">
        <v>1</v>
      </c>
      <c r="CA29" s="135">
        <v>1</v>
      </c>
      <c r="CB29" s="135">
        <v>1</v>
      </c>
      <c r="CC29" s="135">
        <v>1</v>
      </c>
      <c r="CD29" s="135">
        <v>1</v>
      </c>
      <c r="CE29" s="135">
        <v>1</v>
      </c>
      <c r="CF29" s="135">
        <v>1</v>
      </c>
      <c r="CG29" s="135">
        <v>1</v>
      </c>
      <c r="CH29" s="163">
        <v>35</v>
      </c>
      <c r="CI29" s="130" t="s">
        <v>4449</v>
      </c>
      <c r="CJ29" s="135"/>
      <c r="CK29" s="135"/>
      <c r="CL29" s="130"/>
      <c r="CM29" s="193">
        <v>110102</v>
      </c>
      <c r="CN29" s="193"/>
      <c r="CO29" s="193"/>
      <c r="CP29" s="193">
        <v>110102</v>
      </c>
      <c r="CQ29" s="193"/>
      <c r="CR29" s="193"/>
    </row>
    <row r="30" spans="1:96" ht="15.75" customHeight="1" x14ac:dyDescent="0.35">
      <c r="A30" s="292"/>
      <c r="B30" s="76" t="s">
        <v>330</v>
      </c>
      <c r="D30" s="138">
        <v>10621</v>
      </c>
      <c r="E30" s="135">
        <v>70017</v>
      </c>
      <c r="F30" s="135"/>
      <c r="G30" s="139"/>
      <c r="H30" s="135">
        <v>0</v>
      </c>
      <c r="I30" s="135"/>
      <c r="J30" s="135"/>
      <c r="K30" s="135">
        <v>2</v>
      </c>
      <c r="L30" s="139"/>
      <c r="M30" s="139"/>
      <c r="N30" s="139"/>
      <c r="O30" s="154">
        <v>1</v>
      </c>
      <c r="P30" s="135">
        <v>1</v>
      </c>
      <c r="Q30" s="135">
        <v>1</v>
      </c>
      <c r="R30" s="135"/>
      <c r="S30" s="163">
        <v>1</v>
      </c>
      <c r="T30" s="163">
        <v>1</v>
      </c>
      <c r="U30" s="163">
        <v>1</v>
      </c>
      <c r="V30" s="135"/>
      <c r="W30" s="135"/>
      <c r="X30" s="163"/>
      <c r="Y30" s="135">
        <v>1004</v>
      </c>
      <c r="Z30" s="135">
        <v>1500</v>
      </c>
      <c r="AA30" s="135">
        <v>200</v>
      </c>
      <c r="AB30" s="135">
        <v>2</v>
      </c>
      <c r="AC30" s="135"/>
      <c r="AD30" s="135"/>
      <c r="AE30" s="135">
        <v>4</v>
      </c>
      <c r="AF30" s="163">
        <v>1</v>
      </c>
      <c r="AG30" s="169">
        <v>100</v>
      </c>
      <c r="AH30" s="135"/>
      <c r="AI30" s="135"/>
      <c r="AJ30" s="135"/>
      <c r="AK30" s="135">
        <v>0</v>
      </c>
      <c r="AL30" s="135">
        <v>21009</v>
      </c>
      <c r="AM30" s="135">
        <v>1000</v>
      </c>
      <c r="AN30" s="135"/>
      <c r="AO30" s="130" t="s">
        <v>331</v>
      </c>
      <c r="AP30" s="130" t="s">
        <v>272</v>
      </c>
      <c r="AQ30" s="130" t="s">
        <v>331</v>
      </c>
      <c r="AR30" s="130" t="s">
        <v>272</v>
      </c>
      <c r="AS30" s="130" t="s">
        <v>331</v>
      </c>
      <c r="AT30" s="130" t="s">
        <v>272</v>
      </c>
      <c r="AU30" s="130" t="s">
        <v>4584</v>
      </c>
      <c r="AV30" s="130"/>
      <c r="AW30" s="104" t="s">
        <v>248</v>
      </c>
      <c r="AX30" s="130" t="s">
        <v>249</v>
      </c>
      <c r="AY30" s="130"/>
      <c r="AZ30" s="130"/>
      <c r="BA30" s="130"/>
      <c r="BB30" s="179"/>
      <c r="BC30" s="179"/>
      <c r="BD30" s="104"/>
      <c r="BE30" s="130"/>
      <c r="BF30" s="138">
        <v>10621</v>
      </c>
      <c r="BG30" s="130"/>
      <c r="BH30" s="185" t="s">
        <v>324</v>
      </c>
      <c r="BI30" s="130" t="s">
        <v>261</v>
      </c>
      <c r="BJ30" s="130" t="s">
        <v>297</v>
      </c>
      <c r="BK30" s="130" t="s">
        <v>253</v>
      </c>
      <c r="BL30" s="135"/>
      <c r="BM30" s="135"/>
      <c r="BN30" s="135"/>
      <c r="BO30" s="163">
        <v>100</v>
      </c>
      <c r="BP30" s="163">
        <v>200</v>
      </c>
      <c r="BQ30" s="130" t="s">
        <v>241</v>
      </c>
      <c r="BR30" s="135">
        <v>2</v>
      </c>
      <c r="BS30" s="135"/>
      <c r="BT30" s="163">
        <v>50</v>
      </c>
      <c r="BU30" s="163">
        <v>50</v>
      </c>
      <c r="BV30" s="130"/>
      <c r="BW30" s="104"/>
      <c r="BX30" s="135"/>
      <c r="BY30" s="135"/>
      <c r="BZ30" s="135">
        <v>2</v>
      </c>
      <c r="CA30" s="135">
        <v>3</v>
      </c>
      <c r="CB30" s="135">
        <v>3</v>
      </c>
      <c r="CC30" s="135">
        <v>3</v>
      </c>
      <c r="CD30" s="135">
        <v>3</v>
      </c>
      <c r="CE30" s="135">
        <v>4</v>
      </c>
      <c r="CF30" s="135">
        <v>3</v>
      </c>
      <c r="CG30" s="135">
        <v>3</v>
      </c>
      <c r="CH30" s="163">
        <v>32</v>
      </c>
      <c r="CI30" s="130" t="s">
        <v>4439</v>
      </c>
      <c r="CJ30" s="135"/>
      <c r="CK30" s="135"/>
      <c r="CL30" s="130"/>
      <c r="CM30" s="193">
        <v>110103</v>
      </c>
      <c r="CN30" s="193"/>
      <c r="CO30" s="193"/>
      <c r="CP30" s="193">
        <v>110103</v>
      </c>
      <c r="CQ30" s="193"/>
      <c r="CR30" s="193"/>
    </row>
    <row r="31" spans="1:96" ht="15.75" customHeight="1" x14ac:dyDescent="0.35">
      <c r="A31" s="292"/>
      <c r="B31" s="77" t="s">
        <v>333</v>
      </c>
      <c r="D31" s="138">
        <v>10701</v>
      </c>
      <c r="E31" s="135">
        <v>70018</v>
      </c>
      <c r="F31" s="135"/>
      <c r="G31" s="139">
        <v>302</v>
      </c>
      <c r="H31" s="135">
        <v>0</v>
      </c>
      <c r="I31" s="135"/>
      <c r="J31" s="135"/>
      <c r="K31" s="135">
        <v>3</v>
      </c>
      <c r="L31" s="135"/>
      <c r="M31" s="138">
        <v>10811</v>
      </c>
      <c r="N31" s="139"/>
      <c r="O31" s="154">
        <v>5</v>
      </c>
      <c r="P31" s="135">
        <v>1</v>
      </c>
      <c r="Q31" s="135">
        <v>1</v>
      </c>
      <c r="R31" s="135"/>
      <c r="S31" s="163">
        <v>1</v>
      </c>
      <c r="T31" s="163">
        <v>1</v>
      </c>
      <c r="U31" s="163">
        <v>1</v>
      </c>
      <c r="V31" s="135"/>
      <c r="W31" s="135"/>
      <c r="X31" s="163"/>
      <c r="Y31" s="135">
        <v>1005</v>
      </c>
      <c r="Z31" s="135">
        <v>1500</v>
      </c>
      <c r="AA31" s="135">
        <v>300</v>
      </c>
      <c r="AB31" s="135">
        <v>3</v>
      </c>
      <c r="AC31" s="135"/>
      <c r="AD31" s="135"/>
      <c r="AE31" s="135">
        <v>4</v>
      </c>
      <c r="AF31" s="163">
        <v>1</v>
      </c>
      <c r="AG31" s="169">
        <v>100</v>
      </c>
      <c r="AH31" s="135"/>
      <c r="AI31" s="135"/>
      <c r="AJ31" s="135"/>
      <c r="AK31" s="135">
        <v>0</v>
      </c>
      <c r="AL31" s="135">
        <v>21005</v>
      </c>
      <c r="AM31" s="135">
        <v>1000</v>
      </c>
      <c r="AN31" s="135"/>
      <c r="AO31" s="130" t="s">
        <v>334</v>
      </c>
      <c r="AP31" s="130" t="s">
        <v>329</v>
      </c>
      <c r="AQ31" s="130" t="s">
        <v>334</v>
      </c>
      <c r="AR31" s="130" t="s">
        <v>329</v>
      </c>
      <c r="AS31" s="130" t="s">
        <v>334</v>
      </c>
      <c r="AT31" s="130" t="s">
        <v>329</v>
      </c>
      <c r="AU31" s="130" t="s">
        <v>4584</v>
      </c>
      <c r="AV31" s="130"/>
      <c r="AW31" s="104" t="s">
        <v>248</v>
      </c>
      <c r="AX31" s="130" t="s">
        <v>249</v>
      </c>
      <c r="AY31" s="130"/>
      <c r="AZ31" s="130"/>
      <c r="BA31" s="130"/>
      <c r="BB31" s="179"/>
      <c r="BC31" s="179"/>
      <c r="BD31" s="104"/>
      <c r="BE31" s="130" t="s">
        <v>335</v>
      </c>
      <c r="BF31" s="138">
        <v>10701</v>
      </c>
      <c r="BG31" s="130"/>
      <c r="BH31" s="185" t="s">
        <v>324</v>
      </c>
      <c r="BI31" s="130" t="s">
        <v>261</v>
      </c>
      <c r="BJ31" s="130" t="s">
        <v>336</v>
      </c>
      <c r="BK31" s="130" t="s">
        <v>253</v>
      </c>
      <c r="BL31" s="135"/>
      <c r="BM31" s="135"/>
      <c r="BN31" s="135"/>
      <c r="BO31" s="163">
        <v>100</v>
      </c>
      <c r="BP31" s="163">
        <v>200</v>
      </c>
      <c r="BQ31" s="130" t="s">
        <v>241</v>
      </c>
      <c r="BR31" s="135">
        <v>3</v>
      </c>
      <c r="BS31" s="135"/>
      <c r="BT31" s="163">
        <v>50</v>
      </c>
      <c r="BU31" s="163">
        <v>50</v>
      </c>
      <c r="BV31" s="130"/>
      <c r="BW31" s="104"/>
      <c r="BX31" s="135"/>
      <c r="BY31" s="135"/>
      <c r="BZ31" s="135">
        <v>1</v>
      </c>
      <c r="CA31" s="135">
        <v>1</v>
      </c>
      <c r="CB31" s="135">
        <v>1</v>
      </c>
      <c r="CC31" s="135">
        <v>1</v>
      </c>
      <c r="CD31" s="135">
        <v>1</v>
      </c>
      <c r="CE31" s="135">
        <v>1</v>
      </c>
      <c r="CF31" s="135">
        <v>1</v>
      </c>
      <c r="CG31" s="135">
        <v>1</v>
      </c>
      <c r="CH31" s="163"/>
      <c r="CI31" s="130"/>
      <c r="CJ31" s="135"/>
      <c r="CK31" s="135"/>
      <c r="CL31" s="130"/>
      <c r="CM31" s="193">
        <v>110201</v>
      </c>
      <c r="CN31" s="193"/>
      <c r="CO31" s="193">
        <v>100064</v>
      </c>
      <c r="CP31" s="193">
        <v>110201</v>
      </c>
      <c r="CQ31" s="193"/>
      <c r="CR31" s="193"/>
    </row>
    <row r="32" spans="1:96" ht="15.75" customHeight="1" x14ac:dyDescent="0.35">
      <c r="A32" s="292"/>
      <c r="B32" s="77" t="s">
        <v>337</v>
      </c>
      <c r="D32" s="138">
        <v>10711</v>
      </c>
      <c r="E32" s="135">
        <v>70019</v>
      </c>
      <c r="F32" s="135"/>
      <c r="G32" s="139">
        <v>302</v>
      </c>
      <c r="H32" s="135">
        <v>0</v>
      </c>
      <c r="I32" s="135"/>
      <c r="J32" s="135"/>
      <c r="K32" s="135">
        <v>3</v>
      </c>
      <c r="L32" s="135"/>
      <c r="M32" s="138">
        <v>10812</v>
      </c>
      <c r="N32" s="135"/>
      <c r="O32" s="154">
        <v>5</v>
      </c>
      <c r="P32" s="135">
        <v>1</v>
      </c>
      <c r="Q32" s="135">
        <v>3</v>
      </c>
      <c r="R32" s="135"/>
      <c r="S32" s="163">
        <v>1</v>
      </c>
      <c r="T32" s="163">
        <v>1</v>
      </c>
      <c r="U32" s="163">
        <v>1</v>
      </c>
      <c r="V32" s="135"/>
      <c r="W32" s="135"/>
      <c r="X32" s="163"/>
      <c r="Y32" s="135">
        <v>1092</v>
      </c>
      <c r="Z32" s="135">
        <v>1000</v>
      </c>
      <c r="AA32" s="135">
        <v>500</v>
      </c>
      <c r="AB32" s="135">
        <v>3</v>
      </c>
      <c r="AC32" s="135"/>
      <c r="AD32" s="135"/>
      <c r="AE32" s="135">
        <v>4</v>
      </c>
      <c r="AF32" s="163">
        <v>1</v>
      </c>
      <c r="AG32" s="163">
        <v>100</v>
      </c>
      <c r="AH32" s="135">
        <v>2000</v>
      </c>
      <c r="AI32" s="135"/>
      <c r="AJ32" s="135" t="s">
        <v>338</v>
      </c>
      <c r="AK32" s="135">
        <v>0</v>
      </c>
      <c r="AL32" s="135">
        <v>21005</v>
      </c>
      <c r="AM32" s="135">
        <v>1000</v>
      </c>
      <c r="AN32" s="135"/>
      <c r="AO32" s="130" t="s">
        <v>339</v>
      </c>
      <c r="AP32" s="130" t="s">
        <v>329</v>
      </c>
      <c r="AQ32" s="130" t="s">
        <v>339</v>
      </c>
      <c r="AR32" s="130" t="s">
        <v>329</v>
      </c>
      <c r="AS32" s="130" t="s">
        <v>339</v>
      </c>
      <c r="AT32" s="130" t="s">
        <v>340</v>
      </c>
      <c r="AU32" s="130" t="s">
        <v>4584</v>
      </c>
      <c r="AV32" s="130"/>
      <c r="AW32" s="130" t="s">
        <v>248</v>
      </c>
      <c r="AX32" s="130" t="s">
        <v>249</v>
      </c>
      <c r="AY32" s="130"/>
      <c r="AZ32" s="130"/>
      <c r="BA32" s="130"/>
      <c r="BB32" s="179"/>
      <c r="BC32" s="179"/>
      <c r="BD32" s="130"/>
      <c r="BE32" s="130" t="s">
        <v>335</v>
      </c>
      <c r="BF32" s="138">
        <v>10711</v>
      </c>
      <c r="BG32" s="130"/>
      <c r="BH32" s="185" t="s">
        <v>324</v>
      </c>
      <c r="BI32" s="130" t="s">
        <v>341</v>
      </c>
      <c r="BJ32" s="130" t="s">
        <v>336</v>
      </c>
      <c r="BK32" s="130" t="s">
        <v>253</v>
      </c>
      <c r="BL32" s="135"/>
      <c r="BM32" s="135"/>
      <c r="BN32" s="135"/>
      <c r="BO32" s="163">
        <v>100</v>
      </c>
      <c r="BP32" s="163">
        <v>200</v>
      </c>
      <c r="BQ32" s="130" t="s">
        <v>241</v>
      </c>
      <c r="BR32" s="135">
        <v>3</v>
      </c>
      <c r="BS32" s="135"/>
      <c r="BT32" s="163">
        <v>50</v>
      </c>
      <c r="BU32" s="163">
        <v>50</v>
      </c>
      <c r="BV32" s="130"/>
      <c r="BW32" s="130"/>
      <c r="BX32" s="135"/>
      <c r="BY32" s="135"/>
      <c r="BZ32" s="135">
        <v>1</v>
      </c>
      <c r="CA32" s="135">
        <v>1</v>
      </c>
      <c r="CB32" s="135">
        <v>1</v>
      </c>
      <c r="CC32" s="135">
        <v>1</v>
      </c>
      <c r="CD32" s="135">
        <v>1</v>
      </c>
      <c r="CE32" s="135">
        <v>1</v>
      </c>
      <c r="CF32" s="135">
        <v>1</v>
      </c>
      <c r="CG32" s="135">
        <v>1</v>
      </c>
      <c r="CH32" s="163"/>
      <c r="CI32" s="130"/>
      <c r="CJ32" s="135"/>
      <c r="CK32" s="135"/>
      <c r="CL32" s="130"/>
      <c r="CM32" s="193">
        <v>110202</v>
      </c>
      <c r="CN32" s="193"/>
      <c r="CO32" s="193"/>
      <c r="CP32" s="193">
        <v>110202</v>
      </c>
      <c r="CQ32" s="193"/>
      <c r="CR32" s="193"/>
    </row>
    <row r="33" spans="1:96" ht="15.75" customHeight="1" x14ac:dyDescent="0.35">
      <c r="A33" s="292"/>
      <c r="B33" s="77" t="s">
        <v>342</v>
      </c>
      <c r="D33" s="138">
        <v>10721</v>
      </c>
      <c r="E33" s="135">
        <v>70020</v>
      </c>
      <c r="F33" s="135"/>
      <c r="G33" s="139">
        <v>302</v>
      </c>
      <c r="H33" s="135">
        <v>0</v>
      </c>
      <c r="I33" s="135"/>
      <c r="J33" s="135"/>
      <c r="K33" s="135">
        <v>3</v>
      </c>
      <c r="L33" s="135"/>
      <c r="M33" s="138">
        <v>10813</v>
      </c>
      <c r="N33" s="139"/>
      <c r="O33" s="154">
        <v>5</v>
      </c>
      <c r="P33" s="135">
        <v>2</v>
      </c>
      <c r="Q33" s="135">
        <v>3</v>
      </c>
      <c r="R33" s="135"/>
      <c r="S33" s="163">
        <v>1</v>
      </c>
      <c r="T33" s="163">
        <v>1</v>
      </c>
      <c r="U33" s="163">
        <v>1</v>
      </c>
      <c r="V33" s="135"/>
      <c r="W33" s="135"/>
      <c r="X33" s="163"/>
      <c r="Y33" s="135">
        <v>1093</v>
      </c>
      <c r="Z33" s="135">
        <v>1500</v>
      </c>
      <c r="AA33" s="135">
        <v>400</v>
      </c>
      <c r="AB33" s="135">
        <v>3</v>
      </c>
      <c r="AC33" s="135"/>
      <c r="AD33" s="135"/>
      <c r="AE33" s="135">
        <v>4</v>
      </c>
      <c r="AF33" s="163">
        <v>2</v>
      </c>
      <c r="AG33" s="169">
        <v>150</v>
      </c>
      <c r="AH33" s="135">
        <v>5300</v>
      </c>
      <c r="AI33" s="135"/>
      <c r="AJ33" s="135"/>
      <c r="AK33" s="135">
        <v>0</v>
      </c>
      <c r="AL33" s="135">
        <v>8002</v>
      </c>
      <c r="AM33" s="135">
        <v>1100</v>
      </c>
      <c r="AN33" s="135"/>
      <c r="AO33" s="130" t="s">
        <v>343</v>
      </c>
      <c r="AP33" s="130" t="s">
        <v>340</v>
      </c>
      <c r="AQ33" s="130" t="s">
        <v>343</v>
      </c>
      <c r="AR33" s="130" t="s">
        <v>340</v>
      </c>
      <c r="AS33" s="130" t="s">
        <v>343</v>
      </c>
      <c r="AT33" s="130" t="s">
        <v>340</v>
      </c>
      <c r="AU33" s="130" t="s">
        <v>4584</v>
      </c>
      <c r="AV33" s="130"/>
      <c r="AW33" s="104" t="s">
        <v>248</v>
      </c>
      <c r="AX33" s="130" t="s">
        <v>249</v>
      </c>
      <c r="AY33" s="130" t="s">
        <v>344</v>
      </c>
      <c r="AZ33" s="130"/>
      <c r="BA33" s="130"/>
      <c r="BB33" s="179"/>
      <c r="BC33" s="179"/>
      <c r="BD33" s="104"/>
      <c r="BE33" s="130" t="s">
        <v>335</v>
      </c>
      <c r="BF33" s="138">
        <v>10721</v>
      </c>
      <c r="BG33" s="130"/>
      <c r="BH33" s="185" t="s">
        <v>324</v>
      </c>
      <c r="BI33" s="130" t="s">
        <v>345</v>
      </c>
      <c r="BJ33" s="130" t="s">
        <v>336</v>
      </c>
      <c r="BK33" s="130" t="s">
        <v>253</v>
      </c>
      <c r="BL33" s="135"/>
      <c r="BM33" s="135"/>
      <c r="BN33" s="135"/>
      <c r="BO33" s="163">
        <v>100</v>
      </c>
      <c r="BP33" s="163">
        <v>200</v>
      </c>
      <c r="BQ33" s="130" t="s">
        <v>241</v>
      </c>
      <c r="BR33" s="135">
        <v>3</v>
      </c>
      <c r="BS33" s="135"/>
      <c r="BT33" s="163">
        <v>50</v>
      </c>
      <c r="BU33" s="163">
        <v>50</v>
      </c>
      <c r="BV33" s="130"/>
      <c r="BW33" s="104"/>
      <c r="BX33" s="135"/>
      <c r="BY33" s="135"/>
      <c r="BZ33" s="135">
        <v>1</v>
      </c>
      <c r="CA33" s="135">
        <v>1</v>
      </c>
      <c r="CB33" s="135">
        <v>1</v>
      </c>
      <c r="CC33" s="135">
        <v>1</v>
      </c>
      <c r="CD33" s="135">
        <v>1</v>
      </c>
      <c r="CE33" s="135">
        <v>1</v>
      </c>
      <c r="CF33" s="135">
        <v>1</v>
      </c>
      <c r="CG33" s="135">
        <v>1</v>
      </c>
      <c r="CH33" s="163"/>
      <c r="CI33" s="130"/>
      <c r="CJ33" s="135"/>
      <c r="CK33" s="135"/>
      <c r="CL33" s="130"/>
      <c r="CM33" s="193">
        <v>110203</v>
      </c>
      <c r="CN33" s="193"/>
      <c r="CO33" s="193"/>
      <c r="CP33" s="193">
        <v>110203</v>
      </c>
      <c r="CQ33" s="193"/>
      <c r="CR33" s="193"/>
    </row>
    <row r="34" spans="1:96" ht="15.75" customHeight="1" x14ac:dyDescent="0.35">
      <c r="A34" s="292"/>
      <c r="B34" s="143" t="s">
        <v>346</v>
      </c>
      <c r="D34" s="138">
        <v>10731</v>
      </c>
      <c r="E34" s="135">
        <v>70021</v>
      </c>
      <c r="F34" s="135"/>
      <c r="G34" s="139">
        <v>302</v>
      </c>
      <c r="H34" s="135"/>
      <c r="I34" s="135"/>
      <c r="J34" s="135"/>
      <c r="K34" s="135">
        <v>3</v>
      </c>
      <c r="L34" s="139">
        <v>1</v>
      </c>
      <c r="M34" s="138">
        <v>10814</v>
      </c>
      <c r="N34" s="139"/>
      <c r="O34" s="154">
        <v>5</v>
      </c>
      <c r="P34" s="135">
        <v>2</v>
      </c>
      <c r="Q34" s="135">
        <v>3</v>
      </c>
      <c r="R34" s="135"/>
      <c r="S34" s="163">
        <v>1</v>
      </c>
      <c r="T34" s="163">
        <v>1</v>
      </c>
      <c r="U34" s="163">
        <v>1</v>
      </c>
      <c r="V34" s="135"/>
      <c r="W34" s="135"/>
      <c r="X34" s="163"/>
      <c r="Y34" s="135">
        <v>1094</v>
      </c>
      <c r="Z34" s="135">
        <v>1800</v>
      </c>
      <c r="AA34" s="135">
        <v>400</v>
      </c>
      <c r="AB34" s="135">
        <v>3</v>
      </c>
      <c r="AC34" s="135"/>
      <c r="AD34" s="135"/>
      <c r="AE34" s="135">
        <v>4</v>
      </c>
      <c r="AF34" s="163">
        <v>1</v>
      </c>
      <c r="AG34" s="169">
        <v>100</v>
      </c>
      <c r="AH34" s="135"/>
      <c r="AI34" s="135"/>
      <c r="AJ34" s="135"/>
      <c r="AK34" s="135">
        <v>0</v>
      </c>
      <c r="AL34" s="135">
        <v>21010</v>
      </c>
      <c r="AM34" s="135">
        <v>1000</v>
      </c>
      <c r="AN34" s="135"/>
      <c r="AO34" s="130" t="s">
        <v>347</v>
      </c>
      <c r="AP34" s="130">
        <v>1</v>
      </c>
      <c r="AQ34" s="130" t="s">
        <v>347</v>
      </c>
      <c r="AR34" s="130">
        <v>1</v>
      </c>
      <c r="AS34" s="130" t="s">
        <v>347</v>
      </c>
      <c r="AT34" s="130">
        <v>1</v>
      </c>
      <c r="AU34" s="130" t="s">
        <v>4585</v>
      </c>
      <c r="AV34" s="130"/>
      <c r="AW34" s="104" t="s">
        <v>248</v>
      </c>
      <c r="AX34" s="130" t="s">
        <v>249</v>
      </c>
      <c r="AY34" s="130"/>
      <c r="AZ34" s="130"/>
      <c r="BA34" s="130"/>
      <c r="BB34" s="179"/>
      <c r="BC34" s="179"/>
      <c r="BD34" s="104"/>
      <c r="BE34" s="130" t="s">
        <v>335</v>
      </c>
      <c r="BF34" s="138">
        <v>10731</v>
      </c>
      <c r="BG34" s="130"/>
      <c r="BH34" s="185" t="s">
        <v>324</v>
      </c>
      <c r="BI34" s="130" t="s">
        <v>251</v>
      </c>
      <c r="BJ34" s="130" t="s">
        <v>336</v>
      </c>
      <c r="BK34" s="130" t="s">
        <v>253</v>
      </c>
      <c r="BL34" s="135"/>
      <c r="BM34" s="135"/>
      <c r="BN34" s="135"/>
      <c r="BO34" s="163">
        <v>100</v>
      </c>
      <c r="BP34" s="163">
        <v>200</v>
      </c>
      <c r="BQ34" s="130" t="s">
        <v>241</v>
      </c>
      <c r="BR34" s="135">
        <v>3</v>
      </c>
      <c r="BS34" s="135"/>
      <c r="BT34" s="163">
        <v>50</v>
      </c>
      <c r="BU34" s="163">
        <v>40</v>
      </c>
      <c r="BV34" s="130"/>
      <c r="BW34" s="104"/>
      <c r="BX34" s="135"/>
      <c r="BY34" s="135"/>
      <c r="BZ34" s="135">
        <v>1</v>
      </c>
      <c r="CA34" s="135">
        <v>2</v>
      </c>
      <c r="CB34" s="135">
        <v>1</v>
      </c>
      <c r="CC34" s="135">
        <v>2</v>
      </c>
      <c r="CD34" s="135">
        <v>1</v>
      </c>
      <c r="CE34" s="135">
        <v>1</v>
      </c>
      <c r="CF34" s="135">
        <v>1</v>
      </c>
      <c r="CG34" s="135">
        <v>1</v>
      </c>
      <c r="CH34" s="163"/>
      <c r="CI34" s="130"/>
      <c r="CJ34" s="135"/>
      <c r="CK34" s="135"/>
      <c r="CL34" s="130"/>
      <c r="CM34" s="193">
        <v>110204</v>
      </c>
      <c r="CN34" s="193"/>
      <c r="CO34" s="193"/>
      <c r="CP34" s="193">
        <v>110204</v>
      </c>
      <c r="CQ34" s="193"/>
      <c r="CR34" s="193"/>
    </row>
    <row r="35" spans="1:96" ht="15.75" customHeight="1" x14ac:dyDescent="0.35">
      <c r="A35" s="292"/>
      <c r="B35" s="25" t="s">
        <v>288</v>
      </c>
      <c r="C35" s="75" t="s">
        <v>4583</v>
      </c>
      <c r="D35" s="138">
        <v>10790</v>
      </c>
      <c r="E35" s="135">
        <v>70002</v>
      </c>
      <c r="F35" s="135"/>
      <c r="G35" s="139"/>
      <c r="H35" s="135">
        <v>0</v>
      </c>
      <c r="I35" s="135"/>
      <c r="J35" s="135"/>
      <c r="K35" s="135">
        <v>1</v>
      </c>
      <c r="L35" s="135"/>
      <c r="M35" s="139"/>
      <c r="N35" s="139"/>
      <c r="O35" s="154"/>
      <c r="P35" s="135">
        <v>1</v>
      </c>
      <c r="Q35" s="135">
        <v>1</v>
      </c>
      <c r="R35" s="135"/>
      <c r="S35" s="163">
        <v>1</v>
      </c>
      <c r="T35" s="163">
        <v>1</v>
      </c>
      <c r="U35" s="163">
        <v>1</v>
      </c>
      <c r="V35" s="135"/>
      <c r="W35" s="135"/>
      <c r="X35" s="163"/>
      <c r="Y35" s="135">
        <v>1095</v>
      </c>
      <c r="Z35" s="135">
        <v>1300</v>
      </c>
      <c r="AA35" s="135">
        <v>200</v>
      </c>
      <c r="AB35" s="135">
        <v>2</v>
      </c>
      <c r="AC35" s="135"/>
      <c r="AD35" s="135"/>
      <c r="AE35" s="135"/>
      <c r="AF35" s="163">
        <v>1</v>
      </c>
      <c r="AG35" s="169">
        <v>100</v>
      </c>
      <c r="AH35" s="135"/>
      <c r="AI35" s="135"/>
      <c r="AJ35" s="135"/>
      <c r="AK35" s="135">
        <v>0</v>
      </c>
      <c r="AL35" s="135">
        <v>21001</v>
      </c>
      <c r="AM35" s="135">
        <v>1000</v>
      </c>
      <c r="AN35" s="135"/>
      <c r="AO35" s="130" t="s">
        <v>271</v>
      </c>
      <c r="AP35" s="130" t="s">
        <v>272</v>
      </c>
      <c r="AQ35" s="130" t="s">
        <v>286</v>
      </c>
      <c r="AR35" s="130" t="s">
        <v>272</v>
      </c>
      <c r="AS35" s="130" t="s">
        <v>286</v>
      </c>
      <c r="AT35" s="130" t="s">
        <v>272</v>
      </c>
      <c r="AU35" s="130"/>
      <c r="AV35" s="130"/>
      <c r="AW35" s="104" t="s">
        <v>248</v>
      </c>
      <c r="AX35" s="130" t="s">
        <v>249</v>
      </c>
      <c r="AY35" s="130"/>
      <c r="AZ35" s="130"/>
      <c r="BA35" s="130"/>
      <c r="BB35" s="179"/>
      <c r="BC35" s="179"/>
      <c r="BD35" s="104"/>
      <c r="BE35" s="130"/>
      <c r="BF35" s="138">
        <v>10011</v>
      </c>
      <c r="BG35" s="130"/>
      <c r="BH35" s="185" t="s">
        <v>274</v>
      </c>
      <c r="BI35" s="130" t="s">
        <v>289</v>
      </c>
      <c r="BJ35" s="130" t="s">
        <v>287</v>
      </c>
      <c r="BK35" s="130" t="s">
        <v>253</v>
      </c>
      <c r="BL35" s="135"/>
      <c r="BM35" s="135"/>
      <c r="BN35" s="135"/>
      <c r="BO35" s="163">
        <v>50</v>
      </c>
      <c r="BP35" s="163">
        <v>200</v>
      </c>
      <c r="BQ35" s="130" t="s">
        <v>241</v>
      </c>
      <c r="BR35" s="135">
        <v>1</v>
      </c>
      <c r="BS35" s="135"/>
      <c r="BT35" s="163">
        <v>50</v>
      </c>
      <c r="BU35" s="163">
        <v>50</v>
      </c>
      <c r="BV35" s="130"/>
      <c r="BW35" s="104"/>
      <c r="BX35" s="135"/>
      <c r="BY35" s="135"/>
      <c r="BZ35" s="135">
        <v>3</v>
      </c>
      <c r="CA35" s="135">
        <v>4</v>
      </c>
      <c r="CB35" s="135">
        <v>4</v>
      </c>
      <c r="CC35" s="135">
        <v>4</v>
      </c>
      <c r="CD35" s="135">
        <v>5</v>
      </c>
      <c r="CE35" s="135">
        <v>6</v>
      </c>
      <c r="CF35" s="135">
        <v>4</v>
      </c>
      <c r="CG35" s="135">
        <v>4</v>
      </c>
      <c r="CH35" s="163">
        <v>3</v>
      </c>
      <c r="CI35" s="130" t="s">
        <v>4515</v>
      </c>
      <c r="CJ35" s="135"/>
      <c r="CK35" s="135"/>
      <c r="CL35" s="130"/>
      <c r="CM35" s="193">
        <v>100005</v>
      </c>
      <c r="CN35" s="193">
        <v>100057</v>
      </c>
      <c r="CO35" s="193"/>
      <c r="CP35" s="193">
        <v>100005</v>
      </c>
      <c r="CQ35" s="193"/>
      <c r="CR35" s="193"/>
    </row>
    <row r="36" spans="1:96" ht="15.75" customHeight="1" x14ac:dyDescent="0.35">
      <c r="A36" s="292"/>
      <c r="B36" s="25" t="s">
        <v>4582</v>
      </c>
      <c r="C36" s="75" t="s">
        <v>4583</v>
      </c>
      <c r="D36" s="138">
        <v>10791</v>
      </c>
      <c r="E36" s="135">
        <v>70018</v>
      </c>
      <c r="F36" s="135"/>
      <c r="G36" s="139">
        <v>302</v>
      </c>
      <c r="H36" s="135">
        <v>0</v>
      </c>
      <c r="I36" s="135"/>
      <c r="J36" s="135"/>
      <c r="K36" s="135">
        <v>3</v>
      </c>
      <c r="L36" s="135"/>
      <c r="M36" s="138">
        <v>10811</v>
      </c>
      <c r="N36" s="139"/>
      <c r="O36" s="154">
        <v>5</v>
      </c>
      <c r="P36" s="135">
        <v>1</v>
      </c>
      <c r="Q36" s="135">
        <v>1</v>
      </c>
      <c r="R36" s="135"/>
      <c r="S36" s="163">
        <v>1</v>
      </c>
      <c r="T36" s="163">
        <v>1</v>
      </c>
      <c r="U36" s="163">
        <v>1</v>
      </c>
      <c r="V36" s="135"/>
      <c r="W36" s="135"/>
      <c r="X36" s="163"/>
      <c r="Y36" s="135">
        <v>1005</v>
      </c>
      <c r="Z36" s="135">
        <v>1500</v>
      </c>
      <c r="AA36" s="135">
        <v>300</v>
      </c>
      <c r="AB36" s="135">
        <v>3</v>
      </c>
      <c r="AC36" s="135"/>
      <c r="AD36" s="135"/>
      <c r="AE36" s="135">
        <v>4</v>
      </c>
      <c r="AF36" s="163">
        <v>1</v>
      </c>
      <c r="AG36" s="169">
        <v>100</v>
      </c>
      <c r="AH36" s="135"/>
      <c r="AI36" s="135"/>
      <c r="AJ36" s="135"/>
      <c r="AK36" s="135">
        <v>0</v>
      </c>
      <c r="AL36" s="135">
        <v>21005</v>
      </c>
      <c r="AM36" s="135">
        <v>1000</v>
      </c>
      <c r="AN36" s="135"/>
      <c r="AO36" s="130" t="s">
        <v>334</v>
      </c>
      <c r="AP36" s="130" t="s">
        <v>329</v>
      </c>
      <c r="AQ36" s="130" t="s">
        <v>334</v>
      </c>
      <c r="AR36" s="130" t="s">
        <v>329</v>
      </c>
      <c r="AS36" s="130" t="s">
        <v>334</v>
      </c>
      <c r="AT36" s="130" t="s">
        <v>329</v>
      </c>
      <c r="AU36" s="130" t="s">
        <v>4584</v>
      </c>
      <c r="AV36" s="130"/>
      <c r="AW36" s="104" t="s">
        <v>248</v>
      </c>
      <c r="AX36" s="130" t="s">
        <v>249</v>
      </c>
      <c r="AY36" s="130"/>
      <c r="AZ36" s="130"/>
      <c r="BA36" s="130"/>
      <c r="BB36" s="179"/>
      <c r="BC36" s="179"/>
      <c r="BD36" s="104"/>
      <c r="BE36" s="130" t="s">
        <v>335</v>
      </c>
      <c r="BF36" s="138">
        <v>10701</v>
      </c>
      <c r="BG36" s="130"/>
      <c r="BH36" s="185" t="s">
        <v>324</v>
      </c>
      <c r="BI36" s="130" t="s">
        <v>261</v>
      </c>
      <c r="BJ36" s="130" t="s">
        <v>336</v>
      </c>
      <c r="BK36" s="130" t="s">
        <v>253</v>
      </c>
      <c r="BL36" s="135"/>
      <c r="BM36" s="135"/>
      <c r="BN36" s="135"/>
      <c r="BO36" s="163">
        <v>100</v>
      </c>
      <c r="BP36" s="163">
        <v>200</v>
      </c>
      <c r="BQ36" s="130" t="s">
        <v>241</v>
      </c>
      <c r="BR36" s="135">
        <v>3</v>
      </c>
      <c r="BS36" s="135"/>
      <c r="BT36" s="163">
        <v>50</v>
      </c>
      <c r="BU36" s="163">
        <v>50</v>
      </c>
      <c r="BV36" s="130"/>
      <c r="BW36" s="104"/>
      <c r="BX36" s="135"/>
      <c r="BY36" s="135"/>
      <c r="BZ36" s="135">
        <v>1</v>
      </c>
      <c r="CA36" s="135">
        <v>1</v>
      </c>
      <c r="CB36" s="135">
        <v>1</v>
      </c>
      <c r="CC36" s="135">
        <v>1</v>
      </c>
      <c r="CD36" s="135">
        <v>1</v>
      </c>
      <c r="CE36" s="135">
        <v>1</v>
      </c>
      <c r="CF36" s="135">
        <v>1</v>
      </c>
      <c r="CG36" s="135">
        <v>1</v>
      </c>
      <c r="CH36" s="163"/>
      <c r="CI36" s="130"/>
      <c r="CJ36" s="135"/>
      <c r="CK36" s="135"/>
      <c r="CL36" s="130"/>
      <c r="CM36" s="193">
        <v>1200000</v>
      </c>
      <c r="CN36" s="193"/>
      <c r="CO36" s="193">
        <v>100064</v>
      </c>
      <c r="CP36" s="193">
        <v>1200000</v>
      </c>
      <c r="CQ36" s="193"/>
      <c r="CR36" s="193"/>
    </row>
    <row r="37" spans="1:96" ht="15.75" customHeight="1" x14ac:dyDescent="0.35">
      <c r="A37" s="292"/>
      <c r="B37" s="34" t="s">
        <v>337</v>
      </c>
      <c r="C37" s="75" t="s">
        <v>4583</v>
      </c>
      <c r="D37" s="138">
        <v>10792</v>
      </c>
      <c r="E37" s="135">
        <v>70019</v>
      </c>
      <c r="F37" s="135"/>
      <c r="G37" s="139">
        <v>302</v>
      </c>
      <c r="H37" s="135">
        <v>0</v>
      </c>
      <c r="I37" s="135"/>
      <c r="J37" s="135"/>
      <c r="K37" s="135">
        <v>3</v>
      </c>
      <c r="L37" s="135"/>
      <c r="M37" s="138">
        <v>10812</v>
      </c>
      <c r="N37" s="135"/>
      <c r="O37" s="154">
        <v>5</v>
      </c>
      <c r="P37" s="135">
        <v>1</v>
      </c>
      <c r="Q37" s="135">
        <v>3</v>
      </c>
      <c r="R37" s="135"/>
      <c r="S37" s="163">
        <v>1</v>
      </c>
      <c r="T37" s="163">
        <v>1</v>
      </c>
      <c r="U37" s="163">
        <v>1</v>
      </c>
      <c r="V37" s="135"/>
      <c r="W37" s="135"/>
      <c r="X37" s="163"/>
      <c r="Y37" s="135">
        <v>1092</v>
      </c>
      <c r="Z37" s="135">
        <v>1000</v>
      </c>
      <c r="AA37" s="135">
        <v>500</v>
      </c>
      <c r="AB37" s="135">
        <v>3</v>
      </c>
      <c r="AC37" s="135"/>
      <c r="AD37" s="135"/>
      <c r="AE37" s="135">
        <v>4</v>
      </c>
      <c r="AF37" s="163">
        <v>1</v>
      </c>
      <c r="AG37" s="163">
        <v>100</v>
      </c>
      <c r="AH37" s="135">
        <v>2000</v>
      </c>
      <c r="AI37" s="135"/>
      <c r="AJ37" s="135" t="s">
        <v>338</v>
      </c>
      <c r="AK37" s="135">
        <v>0</v>
      </c>
      <c r="AL37" s="135">
        <v>21005</v>
      </c>
      <c r="AM37" s="135">
        <v>1000</v>
      </c>
      <c r="AN37" s="135"/>
      <c r="AO37" s="130" t="s">
        <v>339</v>
      </c>
      <c r="AP37" s="130" t="s">
        <v>329</v>
      </c>
      <c r="AQ37" s="130" t="s">
        <v>339</v>
      </c>
      <c r="AR37" s="130" t="s">
        <v>329</v>
      </c>
      <c r="AS37" s="130" t="s">
        <v>339</v>
      </c>
      <c r="AT37" s="130" t="s">
        <v>340</v>
      </c>
      <c r="AU37" s="130" t="s">
        <v>4584</v>
      </c>
      <c r="AV37" s="130"/>
      <c r="AW37" s="130" t="s">
        <v>248</v>
      </c>
      <c r="AX37" s="130" t="s">
        <v>249</v>
      </c>
      <c r="AY37" s="130"/>
      <c r="AZ37" s="130"/>
      <c r="BA37" s="130"/>
      <c r="BB37" s="179"/>
      <c r="BC37" s="179"/>
      <c r="BD37" s="130"/>
      <c r="BE37" s="130" t="s">
        <v>335</v>
      </c>
      <c r="BF37" s="138">
        <v>10711</v>
      </c>
      <c r="BG37" s="130"/>
      <c r="BH37" s="185" t="s">
        <v>324</v>
      </c>
      <c r="BI37" s="130" t="s">
        <v>341</v>
      </c>
      <c r="BJ37" s="130" t="s">
        <v>336</v>
      </c>
      <c r="BK37" s="130" t="s">
        <v>253</v>
      </c>
      <c r="BL37" s="135"/>
      <c r="BM37" s="135"/>
      <c r="BN37" s="135"/>
      <c r="BO37" s="163">
        <v>100</v>
      </c>
      <c r="BP37" s="163">
        <v>200</v>
      </c>
      <c r="BQ37" s="130" t="s">
        <v>241</v>
      </c>
      <c r="BR37" s="135">
        <v>3</v>
      </c>
      <c r="BS37" s="135"/>
      <c r="BT37" s="163">
        <v>50</v>
      </c>
      <c r="BU37" s="163">
        <v>50</v>
      </c>
      <c r="BV37" s="130"/>
      <c r="BW37" s="130"/>
      <c r="BX37" s="135"/>
      <c r="BY37" s="135"/>
      <c r="BZ37" s="135">
        <v>1</v>
      </c>
      <c r="CA37" s="135">
        <v>1</v>
      </c>
      <c r="CB37" s="135">
        <v>1</v>
      </c>
      <c r="CC37" s="135">
        <v>1</v>
      </c>
      <c r="CD37" s="135">
        <v>1</v>
      </c>
      <c r="CE37" s="135">
        <v>1</v>
      </c>
      <c r="CF37" s="135">
        <v>1</v>
      </c>
      <c r="CG37" s="135">
        <v>1</v>
      </c>
      <c r="CH37" s="163"/>
      <c r="CI37" s="130"/>
      <c r="CJ37" s="135"/>
      <c r="CK37" s="135"/>
      <c r="CL37" s="130"/>
      <c r="CM37" s="193">
        <v>1200001</v>
      </c>
      <c r="CN37" s="193"/>
      <c r="CO37" s="193"/>
      <c r="CP37" s="193">
        <v>1200001</v>
      </c>
      <c r="CQ37" s="193"/>
      <c r="CR37" s="193"/>
    </row>
    <row r="38" spans="1:96" ht="15.75" customHeight="1" x14ac:dyDescent="0.35">
      <c r="A38" s="292"/>
      <c r="B38" s="34" t="s">
        <v>342</v>
      </c>
      <c r="C38" s="75" t="s">
        <v>4583</v>
      </c>
      <c r="D38" s="138">
        <v>10793</v>
      </c>
      <c r="E38" s="135">
        <v>70020</v>
      </c>
      <c r="F38" s="135"/>
      <c r="G38" s="139">
        <v>302</v>
      </c>
      <c r="H38" s="135">
        <v>0</v>
      </c>
      <c r="I38" s="135"/>
      <c r="J38" s="135"/>
      <c r="K38" s="135">
        <v>3</v>
      </c>
      <c r="L38" s="135"/>
      <c r="M38" s="138">
        <v>10813</v>
      </c>
      <c r="N38" s="139"/>
      <c r="O38" s="154">
        <v>5</v>
      </c>
      <c r="P38" s="135">
        <v>2</v>
      </c>
      <c r="Q38" s="135">
        <v>3</v>
      </c>
      <c r="R38" s="135"/>
      <c r="S38" s="163">
        <v>1</v>
      </c>
      <c r="T38" s="163">
        <v>1</v>
      </c>
      <c r="U38" s="163">
        <v>1</v>
      </c>
      <c r="V38" s="135"/>
      <c r="W38" s="135"/>
      <c r="X38" s="163"/>
      <c r="Y38" s="135">
        <v>1093</v>
      </c>
      <c r="Z38" s="135">
        <v>1500</v>
      </c>
      <c r="AA38" s="135">
        <v>400</v>
      </c>
      <c r="AB38" s="135">
        <v>3</v>
      </c>
      <c r="AC38" s="135"/>
      <c r="AD38" s="135"/>
      <c r="AE38" s="135">
        <v>4</v>
      </c>
      <c r="AF38" s="163">
        <v>2</v>
      </c>
      <c r="AG38" s="169">
        <v>150</v>
      </c>
      <c r="AH38" s="135">
        <v>5300</v>
      </c>
      <c r="AI38" s="135"/>
      <c r="AJ38" s="135"/>
      <c r="AK38" s="135">
        <v>0</v>
      </c>
      <c r="AL38" s="135">
        <v>8002</v>
      </c>
      <c r="AM38" s="135">
        <v>1100</v>
      </c>
      <c r="AN38" s="135"/>
      <c r="AO38" s="130" t="s">
        <v>343</v>
      </c>
      <c r="AP38" s="130" t="s">
        <v>340</v>
      </c>
      <c r="AQ38" s="130" t="s">
        <v>343</v>
      </c>
      <c r="AR38" s="130" t="s">
        <v>340</v>
      </c>
      <c r="AS38" s="130" t="s">
        <v>343</v>
      </c>
      <c r="AT38" s="130" t="s">
        <v>340</v>
      </c>
      <c r="AU38" s="130" t="s">
        <v>4584</v>
      </c>
      <c r="AV38" s="130"/>
      <c r="AW38" s="104" t="s">
        <v>248</v>
      </c>
      <c r="AX38" s="130" t="s">
        <v>249</v>
      </c>
      <c r="AY38" s="130" t="s">
        <v>344</v>
      </c>
      <c r="AZ38" s="130"/>
      <c r="BA38" s="130"/>
      <c r="BB38" s="179"/>
      <c r="BC38" s="179"/>
      <c r="BD38" s="104"/>
      <c r="BE38" s="130" t="s">
        <v>335</v>
      </c>
      <c r="BF38" s="138">
        <v>10721</v>
      </c>
      <c r="BG38" s="130"/>
      <c r="BH38" s="185" t="s">
        <v>324</v>
      </c>
      <c r="BI38" s="130" t="s">
        <v>345</v>
      </c>
      <c r="BJ38" s="130" t="s">
        <v>336</v>
      </c>
      <c r="BK38" s="130" t="s">
        <v>253</v>
      </c>
      <c r="BL38" s="135"/>
      <c r="BM38" s="135"/>
      <c r="BN38" s="135"/>
      <c r="BO38" s="163">
        <v>100</v>
      </c>
      <c r="BP38" s="163">
        <v>200</v>
      </c>
      <c r="BQ38" s="130" t="s">
        <v>241</v>
      </c>
      <c r="BR38" s="135">
        <v>3</v>
      </c>
      <c r="BS38" s="135"/>
      <c r="BT38" s="163">
        <v>50</v>
      </c>
      <c r="BU38" s="163">
        <v>50</v>
      </c>
      <c r="BV38" s="130"/>
      <c r="BW38" s="104"/>
      <c r="BX38" s="135"/>
      <c r="BY38" s="135"/>
      <c r="BZ38" s="135">
        <v>1</v>
      </c>
      <c r="CA38" s="135">
        <v>1</v>
      </c>
      <c r="CB38" s="135">
        <v>1</v>
      </c>
      <c r="CC38" s="135">
        <v>1</v>
      </c>
      <c r="CD38" s="135">
        <v>1</v>
      </c>
      <c r="CE38" s="135">
        <v>1</v>
      </c>
      <c r="CF38" s="135">
        <v>1</v>
      </c>
      <c r="CG38" s="135">
        <v>1</v>
      </c>
      <c r="CH38" s="163"/>
      <c r="CI38" s="130"/>
      <c r="CJ38" s="135"/>
      <c r="CK38" s="135"/>
      <c r="CL38" s="130"/>
      <c r="CM38" s="193">
        <v>1200002</v>
      </c>
      <c r="CN38" s="193"/>
      <c r="CO38" s="193"/>
      <c r="CP38" s="193">
        <v>1200002</v>
      </c>
      <c r="CQ38" s="193"/>
      <c r="CR38" s="193"/>
    </row>
    <row r="39" spans="1:96" ht="15.75" customHeight="1" x14ac:dyDescent="0.35">
      <c r="A39" s="292"/>
      <c r="B39" s="246" t="s">
        <v>346</v>
      </c>
      <c r="C39" s="75" t="s">
        <v>4583</v>
      </c>
      <c r="D39" s="138">
        <v>10794</v>
      </c>
      <c r="E39" s="135">
        <v>70021</v>
      </c>
      <c r="F39" s="135"/>
      <c r="G39" s="139">
        <v>302</v>
      </c>
      <c r="H39" s="135"/>
      <c r="I39" s="135"/>
      <c r="J39" s="135"/>
      <c r="K39" s="135">
        <v>3</v>
      </c>
      <c r="L39" s="139">
        <v>1</v>
      </c>
      <c r="M39" s="138">
        <v>10814</v>
      </c>
      <c r="N39" s="139"/>
      <c r="O39" s="154">
        <v>5</v>
      </c>
      <c r="P39" s="135">
        <v>2</v>
      </c>
      <c r="Q39" s="135">
        <v>3</v>
      </c>
      <c r="R39" s="135"/>
      <c r="S39" s="163">
        <v>1</v>
      </c>
      <c r="T39" s="163">
        <v>1</v>
      </c>
      <c r="U39" s="163">
        <v>1</v>
      </c>
      <c r="V39" s="135"/>
      <c r="W39" s="135"/>
      <c r="X39" s="163"/>
      <c r="Y39" s="135">
        <v>1094</v>
      </c>
      <c r="Z39" s="135">
        <v>1800</v>
      </c>
      <c r="AA39" s="135">
        <v>400</v>
      </c>
      <c r="AB39" s="135">
        <v>3</v>
      </c>
      <c r="AC39" s="135"/>
      <c r="AD39" s="135"/>
      <c r="AE39" s="135">
        <v>4</v>
      </c>
      <c r="AF39" s="163">
        <v>1</v>
      </c>
      <c r="AG39" s="169">
        <v>100</v>
      </c>
      <c r="AH39" s="135"/>
      <c r="AI39" s="135"/>
      <c r="AJ39" s="135"/>
      <c r="AK39" s="135">
        <v>0</v>
      </c>
      <c r="AL39" s="135">
        <v>21010</v>
      </c>
      <c r="AM39" s="135">
        <v>1000</v>
      </c>
      <c r="AN39" s="135"/>
      <c r="AO39" s="130" t="s">
        <v>347</v>
      </c>
      <c r="AP39" s="130">
        <v>1</v>
      </c>
      <c r="AQ39" s="130" t="s">
        <v>347</v>
      </c>
      <c r="AR39" s="130">
        <v>1</v>
      </c>
      <c r="AS39" s="130" t="s">
        <v>347</v>
      </c>
      <c r="AT39" s="130">
        <v>1</v>
      </c>
      <c r="AU39" s="130" t="s">
        <v>4585</v>
      </c>
      <c r="AV39" s="130"/>
      <c r="AW39" s="104" t="s">
        <v>248</v>
      </c>
      <c r="AX39" s="130" t="s">
        <v>249</v>
      </c>
      <c r="AY39" s="130"/>
      <c r="AZ39" s="130"/>
      <c r="BA39" s="130"/>
      <c r="BB39" s="179"/>
      <c r="BC39" s="179"/>
      <c r="BD39" s="104"/>
      <c r="BE39" s="130" t="s">
        <v>335</v>
      </c>
      <c r="BF39" s="138">
        <v>10731</v>
      </c>
      <c r="BG39" s="130"/>
      <c r="BH39" s="185" t="s">
        <v>324</v>
      </c>
      <c r="BI39" s="130" t="s">
        <v>251</v>
      </c>
      <c r="BJ39" s="130" t="s">
        <v>336</v>
      </c>
      <c r="BK39" s="130" t="s">
        <v>253</v>
      </c>
      <c r="BL39" s="135"/>
      <c r="BM39" s="135"/>
      <c r="BN39" s="135"/>
      <c r="BO39" s="163">
        <v>100</v>
      </c>
      <c r="BP39" s="163">
        <v>200</v>
      </c>
      <c r="BQ39" s="130" t="s">
        <v>241</v>
      </c>
      <c r="BR39" s="135">
        <v>3</v>
      </c>
      <c r="BS39" s="135"/>
      <c r="BT39" s="163">
        <v>50</v>
      </c>
      <c r="BU39" s="163">
        <v>40</v>
      </c>
      <c r="BV39" s="130"/>
      <c r="BW39" s="104"/>
      <c r="BX39" s="135"/>
      <c r="BY39" s="135"/>
      <c r="BZ39" s="135">
        <v>1</v>
      </c>
      <c r="CA39" s="135">
        <v>2</v>
      </c>
      <c r="CB39" s="135">
        <v>1</v>
      </c>
      <c r="CC39" s="135">
        <v>2</v>
      </c>
      <c r="CD39" s="135">
        <v>1</v>
      </c>
      <c r="CE39" s="135">
        <v>1</v>
      </c>
      <c r="CF39" s="135">
        <v>1</v>
      </c>
      <c r="CG39" s="135">
        <v>1</v>
      </c>
      <c r="CH39" s="163"/>
      <c r="CI39" s="130"/>
      <c r="CJ39" s="135"/>
      <c r="CK39" s="135"/>
      <c r="CL39" s="130"/>
      <c r="CM39" s="193">
        <v>1200003</v>
      </c>
      <c r="CN39" s="193"/>
      <c r="CO39" s="193"/>
      <c r="CP39" s="193">
        <v>1200003</v>
      </c>
      <c r="CQ39" s="193"/>
      <c r="CR39" s="193"/>
    </row>
    <row r="40" spans="1:96" ht="15.75" customHeight="1" x14ac:dyDescent="0.35">
      <c r="A40" s="292"/>
      <c r="B40" s="25" t="s">
        <v>4582</v>
      </c>
      <c r="C40" s="75" t="s">
        <v>4607</v>
      </c>
      <c r="D40" s="138">
        <v>10950</v>
      </c>
      <c r="E40" s="135">
        <v>70018</v>
      </c>
      <c r="F40" s="135"/>
      <c r="G40" s="139">
        <v>302</v>
      </c>
      <c r="H40" s="135">
        <v>0</v>
      </c>
      <c r="I40" s="135"/>
      <c r="J40" s="135"/>
      <c r="K40" s="135">
        <v>3</v>
      </c>
      <c r="L40" s="135">
        <v>1</v>
      </c>
      <c r="M40" s="138">
        <v>10811</v>
      </c>
      <c r="N40" s="139"/>
      <c r="O40" s="154">
        <v>5</v>
      </c>
      <c r="P40" s="135">
        <v>1</v>
      </c>
      <c r="Q40" s="135">
        <v>1</v>
      </c>
      <c r="R40" s="135"/>
      <c r="S40" s="163">
        <v>1</v>
      </c>
      <c r="T40" s="163">
        <v>1</v>
      </c>
      <c r="U40" s="163">
        <v>1</v>
      </c>
      <c r="V40" s="135"/>
      <c r="W40" s="135"/>
      <c r="X40" s="163"/>
      <c r="Y40" s="135">
        <v>1005</v>
      </c>
      <c r="Z40" s="135">
        <v>1500</v>
      </c>
      <c r="AA40" s="135">
        <v>300</v>
      </c>
      <c r="AB40" s="135">
        <v>3</v>
      </c>
      <c r="AC40" s="135"/>
      <c r="AD40" s="135"/>
      <c r="AE40" s="135">
        <v>4</v>
      </c>
      <c r="AF40" s="163">
        <v>1</v>
      </c>
      <c r="AG40" s="169">
        <v>100</v>
      </c>
      <c r="AH40" s="135"/>
      <c r="AI40" s="135"/>
      <c r="AJ40" s="135"/>
      <c r="AK40" s="135">
        <v>0</v>
      </c>
      <c r="AL40" s="135">
        <v>21005</v>
      </c>
      <c r="AM40" s="135">
        <v>1000</v>
      </c>
      <c r="AN40" s="135"/>
      <c r="AO40" s="130" t="s">
        <v>334</v>
      </c>
      <c r="AP40" s="130" t="s">
        <v>329</v>
      </c>
      <c r="AQ40" s="130" t="s">
        <v>334</v>
      </c>
      <c r="AR40" s="130" t="s">
        <v>329</v>
      </c>
      <c r="AS40" s="130" t="s">
        <v>334</v>
      </c>
      <c r="AT40" s="130" t="s">
        <v>329</v>
      </c>
      <c r="AU40" s="130" t="s">
        <v>4584</v>
      </c>
      <c r="AV40" s="130"/>
      <c r="AW40" s="104" t="s">
        <v>248</v>
      </c>
      <c r="AX40" s="130" t="s">
        <v>249</v>
      </c>
      <c r="AY40" s="130"/>
      <c r="AZ40" s="130"/>
      <c r="BA40" s="130"/>
      <c r="BB40" s="179"/>
      <c r="BC40" s="179"/>
      <c r="BD40" s="104"/>
      <c r="BE40" s="130" t="s">
        <v>335</v>
      </c>
      <c r="BF40" s="138">
        <v>10701</v>
      </c>
      <c r="BG40" s="130"/>
      <c r="BH40" s="185" t="s">
        <v>324</v>
      </c>
      <c r="BI40" s="130" t="s">
        <v>261</v>
      </c>
      <c r="BJ40" s="130" t="s">
        <v>336</v>
      </c>
      <c r="BK40" s="130" t="s">
        <v>253</v>
      </c>
      <c r="BL40" s="135"/>
      <c r="BM40" s="135"/>
      <c r="BN40" s="135"/>
      <c r="BO40" s="163">
        <v>100</v>
      </c>
      <c r="BP40" s="163">
        <v>200</v>
      </c>
      <c r="BQ40" s="130" t="s">
        <v>241</v>
      </c>
      <c r="BR40" s="135">
        <v>3</v>
      </c>
      <c r="BS40" s="135"/>
      <c r="BT40" s="163">
        <v>50</v>
      </c>
      <c r="BU40" s="163">
        <v>50</v>
      </c>
      <c r="BV40" s="130"/>
      <c r="BW40" s="104"/>
      <c r="BX40" s="135"/>
      <c r="BY40" s="135"/>
      <c r="BZ40" s="135">
        <v>1</v>
      </c>
      <c r="CA40" s="135">
        <v>1</v>
      </c>
      <c r="CB40" s="135">
        <v>1</v>
      </c>
      <c r="CC40" s="135">
        <v>1</v>
      </c>
      <c r="CD40" s="135">
        <v>1</v>
      </c>
      <c r="CE40" s="135">
        <v>1</v>
      </c>
      <c r="CF40" s="135">
        <v>1</v>
      </c>
      <c r="CG40" s="135">
        <v>1</v>
      </c>
      <c r="CH40" s="163"/>
      <c r="CI40" s="130"/>
      <c r="CJ40" s="135"/>
      <c r="CK40" s="135"/>
      <c r="CL40" s="130"/>
      <c r="CM40" s="263">
        <v>1210000</v>
      </c>
      <c r="CN40" s="264"/>
      <c r="CO40" s="264"/>
      <c r="CP40" s="263">
        <v>1210000</v>
      </c>
      <c r="CQ40" s="193"/>
      <c r="CR40" s="193"/>
    </row>
    <row r="41" spans="1:96" ht="15.75" customHeight="1" x14ac:dyDescent="0.35">
      <c r="A41" s="292"/>
      <c r="B41" s="25" t="s">
        <v>4606</v>
      </c>
      <c r="C41" s="75" t="s">
        <v>4607</v>
      </c>
      <c r="D41" s="138">
        <v>10951</v>
      </c>
      <c r="E41" s="135">
        <v>70019</v>
      </c>
      <c r="F41" s="135"/>
      <c r="G41" s="139">
        <v>302</v>
      </c>
      <c r="H41" s="135">
        <v>0</v>
      </c>
      <c r="I41" s="135"/>
      <c r="J41" s="135"/>
      <c r="K41" s="135">
        <v>3</v>
      </c>
      <c r="L41" s="135">
        <v>1</v>
      </c>
      <c r="M41" s="138">
        <v>10812</v>
      </c>
      <c r="N41" s="135"/>
      <c r="O41" s="154">
        <v>5</v>
      </c>
      <c r="P41" s="135">
        <v>1</v>
      </c>
      <c r="Q41" s="135">
        <v>3</v>
      </c>
      <c r="R41" s="135"/>
      <c r="S41" s="163">
        <v>1</v>
      </c>
      <c r="T41" s="163">
        <v>1</v>
      </c>
      <c r="U41" s="163">
        <v>1</v>
      </c>
      <c r="V41" s="135"/>
      <c r="W41" s="135"/>
      <c r="X41" s="163"/>
      <c r="Y41" s="135">
        <v>1092</v>
      </c>
      <c r="Z41" s="135">
        <v>1000</v>
      </c>
      <c r="AA41" s="135">
        <v>500</v>
      </c>
      <c r="AB41" s="135">
        <v>3</v>
      </c>
      <c r="AC41" s="135"/>
      <c r="AD41" s="135"/>
      <c r="AE41" s="135">
        <v>4</v>
      </c>
      <c r="AF41" s="163">
        <v>1</v>
      </c>
      <c r="AG41" s="163">
        <v>100</v>
      </c>
      <c r="AH41" s="135">
        <v>2000</v>
      </c>
      <c r="AI41" s="135"/>
      <c r="AJ41" s="135" t="s">
        <v>338</v>
      </c>
      <c r="AK41" s="135">
        <v>0</v>
      </c>
      <c r="AL41" s="135">
        <v>21005</v>
      </c>
      <c r="AM41" s="135">
        <v>1000</v>
      </c>
      <c r="AN41" s="135"/>
      <c r="AO41" s="130" t="s">
        <v>339</v>
      </c>
      <c r="AP41" s="130" t="s">
        <v>329</v>
      </c>
      <c r="AQ41" s="130" t="s">
        <v>339</v>
      </c>
      <c r="AR41" s="130" t="s">
        <v>329</v>
      </c>
      <c r="AS41" s="130" t="s">
        <v>339</v>
      </c>
      <c r="AT41" s="130" t="s">
        <v>340</v>
      </c>
      <c r="AU41" s="130" t="s">
        <v>4584</v>
      </c>
      <c r="AV41" s="130"/>
      <c r="AW41" s="130" t="s">
        <v>248</v>
      </c>
      <c r="AX41" s="130" t="s">
        <v>249</v>
      </c>
      <c r="AY41" s="130"/>
      <c r="AZ41" s="130"/>
      <c r="BA41" s="130"/>
      <c r="BB41" s="179"/>
      <c r="BC41" s="179"/>
      <c r="BD41" s="130"/>
      <c r="BE41" s="130" t="s">
        <v>335</v>
      </c>
      <c r="BF41" s="138">
        <v>10711</v>
      </c>
      <c r="BG41" s="130"/>
      <c r="BH41" s="185" t="s">
        <v>324</v>
      </c>
      <c r="BI41" s="130" t="s">
        <v>341</v>
      </c>
      <c r="BJ41" s="130" t="s">
        <v>336</v>
      </c>
      <c r="BK41" s="130" t="s">
        <v>253</v>
      </c>
      <c r="BL41" s="135"/>
      <c r="BM41" s="135"/>
      <c r="BN41" s="135"/>
      <c r="BO41" s="163">
        <v>100</v>
      </c>
      <c r="BP41" s="163">
        <v>200</v>
      </c>
      <c r="BQ41" s="130" t="s">
        <v>241</v>
      </c>
      <c r="BR41" s="135">
        <v>3</v>
      </c>
      <c r="BS41" s="135"/>
      <c r="BT41" s="163">
        <v>50</v>
      </c>
      <c r="BU41" s="163">
        <v>50</v>
      </c>
      <c r="BV41" s="130"/>
      <c r="BW41" s="130"/>
      <c r="BX41" s="135"/>
      <c r="BY41" s="135"/>
      <c r="BZ41" s="135">
        <v>1</v>
      </c>
      <c r="CA41" s="135">
        <v>1</v>
      </c>
      <c r="CB41" s="135">
        <v>1</v>
      </c>
      <c r="CC41" s="135">
        <v>1</v>
      </c>
      <c r="CD41" s="135">
        <v>1</v>
      </c>
      <c r="CE41" s="135">
        <v>1</v>
      </c>
      <c r="CF41" s="135">
        <v>1</v>
      </c>
      <c r="CG41" s="135">
        <v>1</v>
      </c>
      <c r="CH41" s="163"/>
      <c r="CI41" s="130"/>
      <c r="CJ41" s="135"/>
      <c r="CK41" s="135"/>
      <c r="CL41" s="130"/>
      <c r="CM41" s="248">
        <v>1210000</v>
      </c>
      <c r="CN41" s="193"/>
      <c r="CO41" s="193"/>
      <c r="CP41" s="248">
        <v>1210000</v>
      </c>
      <c r="CQ41" s="193"/>
      <c r="CR41" s="193"/>
    </row>
    <row r="42" spans="1:96" ht="15.75" customHeight="1" x14ac:dyDescent="0.35">
      <c r="A42" s="292"/>
      <c r="B42" s="34" t="s">
        <v>342</v>
      </c>
      <c r="C42" s="75" t="s">
        <v>4607</v>
      </c>
      <c r="D42" s="138">
        <v>10952</v>
      </c>
      <c r="E42" s="135">
        <v>70020</v>
      </c>
      <c r="F42" s="135"/>
      <c r="G42" s="139">
        <v>302</v>
      </c>
      <c r="H42" s="135">
        <v>0</v>
      </c>
      <c r="I42" s="135"/>
      <c r="J42" s="135"/>
      <c r="K42" s="135">
        <v>3</v>
      </c>
      <c r="L42" s="135">
        <v>1</v>
      </c>
      <c r="M42" s="138">
        <v>10813</v>
      </c>
      <c r="N42" s="139"/>
      <c r="O42" s="154">
        <v>5</v>
      </c>
      <c r="P42" s="135">
        <v>2</v>
      </c>
      <c r="Q42" s="135">
        <v>3</v>
      </c>
      <c r="R42" s="135"/>
      <c r="S42" s="163">
        <v>1</v>
      </c>
      <c r="T42" s="163">
        <v>1</v>
      </c>
      <c r="U42" s="163">
        <v>1</v>
      </c>
      <c r="V42" s="135"/>
      <c r="W42" s="135"/>
      <c r="X42" s="163"/>
      <c r="Y42" s="135">
        <v>1093</v>
      </c>
      <c r="Z42" s="135">
        <v>1500</v>
      </c>
      <c r="AA42" s="135">
        <v>400</v>
      </c>
      <c r="AB42" s="135">
        <v>3</v>
      </c>
      <c r="AC42" s="135"/>
      <c r="AD42" s="135"/>
      <c r="AE42" s="135">
        <v>4</v>
      </c>
      <c r="AF42" s="163">
        <v>2</v>
      </c>
      <c r="AG42" s="169">
        <v>150</v>
      </c>
      <c r="AH42" s="135">
        <v>5300</v>
      </c>
      <c r="AI42" s="135"/>
      <c r="AJ42" s="135"/>
      <c r="AK42" s="135">
        <v>0</v>
      </c>
      <c r="AL42" s="135">
        <v>8002</v>
      </c>
      <c r="AM42" s="135">
        <v>1100</v>
      </c>
      <c r="AN42" s="135"/>
      <c r="AO42" s="130" t="s">
        <v>343</v>
      </c>
      <c r="AP42" s="130" t="s">
        <v>340</v>
      </c>
      <c r="AQ42" s="130" t="s">
        <v>343</v>
      </c>
      <c r="AR42" s="130" t="s">
        <v>340</v>
      </c>
      <c r="AS42" s="130" t="s">
        <v>343</v>
      </c>
      <c r="AT42" s="130" t="s">
        <v>340</v>
      </c>
      <c r="AU42" s="130" t="s">
        <v>4584</v>
      </c>
      <c r="AV42" s="130"/>
      <c r="AW42" s="104" t="s">
        <v>248</v>
      </c>
      <c r="AX42" s="130" t="s">
        <v>249</v>
      </c>
      <c r="AY42" s="130" t="s">
        <v>344</v>
      </c>
      <c r="AZ42" s="130"/>
      <c r="BA42" s="130"/>
      <c r="BB42" s="179"/>
      <c r="BC42" s="179"/>
      <c r="BD42" s="104"/>
      <c r="BE42" s="130" t="s">
        <v>335</v>
      </c>
      <c r="BF42" s="138">
        <v>10721</v>
      </c>
      <c r="BG42" s="130"/>
      <c r="BH42" s="185" t="s">
        <v>324</v>
      </c>
      <c r="BI42" s="130" t="s">
        <v>345</v>
      </c>
      <c r="BJ42" s="130" t="s">
        <v>336</v>
      </c>
      <c r="BK42" s="130" t="s">
        <v>253</v>
      </c>
      <c r="BL42" s="135"/>
      <c r="BM42" s="135"/>
      <c r="BN42" s="135"/>
      <c r="BO42" s="163">
        <v>100</v>
      </c>
      <c r="BP42" s="163">
        <v>200</v>
      </c>
      <c r="BQ42" s="130" t="s">
        <v>241</v>
      </c>
      <c r="BR42" s="135">
        <v>3</v>
      </c>
      <c r="BS42" s="135"/>
      <c r="BT42" s="163">
        <v>50</v>
      </c>
      <c r="BU42" s="163">
        <v>50</v>
      </c>
      <c r="BV42" s="130"/>
      <c r="BW42" s="104"/>
      <c r="BX42" s="135"/>
      <c r="BY42" s="135"/>
      <c r="BZ42" s="135">
        <v>1</v>
      </c>
      <c r="CA42" s="135">
        <v>1</v>
      </c>
      <c r="CB42" s="135">
        <v>1</v>
      </c>
      <c r="CC42" s="135">
        <v>1</v>
      </c>
      <c r="CD42" s="135">
        <v>1</v>
      </c>
      <c r="CE42" s="135">
        <v>1</v>
      </c>
      <c r="CF42" s="135">
        <v>1</v>
      </c>
      <c r="CG42" s="135">
        <v>1</v>
      </c>
      <c r="CH42" s="163"/>
      <c r="CI42" s="130"/>
      <c r="CJ42" s="135"/>
      <c r="CK42" s="135"/>
      <c r="CL42" s="130"/>
      <c r="CM42" s="248">
        <v>1210001</v>
      </c>
      <c r="CN42" s="193"/>
      <c r="CO42" s="193"/>
      <c r="CP42" s="248">
        <v>1210001</v>
      </c>
      <c r="CQ42" s="193"/>
      <c r="CR42" s="193"/>
    </row>
    <row r="43" spans="1:96" ht="15.75" customHeight="1" x14ac:dyDescent="0.35">
      <c r="A43" s="292"/>
      <c r="B43" s="246" t="s">
        <v>346</v>
      </c>
      <c r="C43" s="75" t="s">
        <v>4607</v>
      </c>
      <c r="D43" s="138">
        <v>10953</v>
      </c>
      <c r="E43" s="135">
        <v>70021</v>
      </c>
      <c r="F43" s="135"/>
      <c r="G43" s="139">
        <v>302</v>
      </c>
      <c r="H43" s="135"/>
      <c r="I43" s="135"/>
      <c r="J43" s="135"/>
      <c r="K43" s="135">
        <v>3</v>
      </c>
      <c r="L43" s="139">
        <v>1</v>
      </c>
      <c r="M43" s="138">
        <v>10814</v>
      </c>
      <c r="N43" s="139"/>
      <c r="O43" s="154">
        <v>5</v>
      </c>
      <c r="P43" s="135">
        <v>2</v>
      </c>
      <c r="Q43" s="135">
        <v>3</v>
      </c>
      <c r="R43" s="135"/>
      <c r="S43" s="163">
        <v>1</v>
      </c>
      <c r="T43" s="163">
        <v>1</v>
      </c>
      <c r="U43" s="163">
        <v>1</v>
      </c>
      <c r="V43" s="135"/>
      <c r="W43" s="135"/>
      <c r="X43" s="163"/>
      <c r="Y43" s="135">
        <v>1094</v>
      </c>
      <c r="Z43" s="135">
        <v>1800</v>
      </c>
      <c r="AA43" s="135">
        <v>400</v>
      </c>
      <c r="AB43" s="135">
        <v>3</v>
      </c>
      <c r="AC43" s="135"/>
      <c r="AD43" s="135"/>
      <c r="AE43" s="135">
        <v>4</v>
      </c>
      <c r="AF43" s="163">
        <v>1</v>
      </c>
      <c r="AG43" s="169">
        <v>100</v>
      </c>
      <c r="AH43" s="135"/>
      <c r="AI43" s="135"/>
      <c r="AJ43" s="135"/>
      <c r="AK43" s="135">
        <v>0</v>
      </c>
      <c r="AL43" s="135">
        <v>21010</v>
      </c>
      <c r="AM43" s="135">
        <v>1000</v>
      </c>
      <c r="AN43" s="135"/>
      <c r="AO43" s="130" t="s">
        <v>347</v>
      </c>
      <c r="AP43" s="130">
        <v>1</v>
      </c>
      <c r="AQ43" s="130" t="s">
        <v>347</v>
      </c>
      <c r="AR43" s="130">
        <v>1</v>
      </c>
      <c r="AS43" s="130" t="s">
        <v>347</v>
      </c>
      <c r="AT43" s="130">
        <v>1</v>
      </c>
      <c r="AU43" s="130" t="s">
        <v>4585</v>
      </c>
      <c r="AV43" s="130"/>
      <c r="AW43" s="104" t="s">
        <v>248</v>
      </c>
      <c r="AX43" s="130" t="s">
        <v>249</v>
      </c>
      <c r="AY43" s="130"/>
      <c r="AZ43" s="130"/>
      <c r="BA43" s="130"/>
      <c r="BB43" s="179"/>
      <c r="BC43" s="179"/>
      <c r="BD43" s="104"/>
      <c r="BE43" s="130" t="s">
        <v>335</v>
      </c>
      <c r="BF43" s="138">
        <v>10731</v>
      </c>
      <c r="BG43" s="130"/>
      <c r="BH43" s="185" t="s">
        <v>324</v>
      </c>
      <c r="BI43" s="130" t="s">
        <v>251</v>
      </c>
      <c r="BJ43" s="130" t="s">
        <v>336</v>
      </c>
      <c r="BK43" s="130" t="s">
        <v>253</v>
      </c>
      <c r="BL43" s="135"/>
      <c r="BM43" s="135"/>
      <c r="BN43" s="135"/>
      <c r="BO43" s="163">
        <v>100</v>
      </c>
      <c r="BP43" s="163">
        <v>200</v>
      </c>
      <c r="BQ43" s="130" t="s">
        <v>241</v>
      </c>
      <c r="BR43" s="135">
        <v>3</v>
      </c>
      <c r="BS43" s="135"/>
      <c r="BT43" s="163">
        <v>50</v>
      </c>
      <c r="BU43" s="163">
        <v>40</v>
      </c>
      <c r="BV43" s="130"/>
      <c r="BW43" s="104"/>
      <c r="BX43" s="135"/>
      <c r="BY43" s="135"/>
      <c r="BZ43" s="135">
        <v>1</v>
      </c>
      <c r="CA43" s="135">
        <v>2</v>
      </c>
      <c r="CB43" s="135">
        <v>1</v>
      </c>
      <c r="CC43" s="135">
        <v>2</v>
      </c>
      <c r="CD43" s="135">
        <v>1</v>
      </c>
      <c r="CE43" s="135">
        <v>1</v>
      </c>
      <c r="CF43" s="135">
        <v>1</v>
      </c>
      <c r="CG43" s="135">
        <v>1</v>
      </c>
      <c r="CH43" s="163"/>
      <c r="CI43" s="130"/>
      <c r="CJ43" s="135"/>
      <c r="CK43" s="135"/>
      <c r="CL43" s="130"/>
      <c r="CM43" s="248">
        <v>1210002</v>
      </c>
      <c r="CN43" s="193"/>
      <c r="CO43" s="193"/>
      <c r="CP43" s="248">
        <v>1210002</v>
      </c>
      <c r="CQ43" s="193"/>
      <c r="CR43" s="193"/>
    </row>
    <row r="44" spans="1:96" ht="15.75" customHeight="1" x14ac:dyDescent="0.35">
      <c r="A44" s="293"/>
      <c r="B44" s="144" t="s">
        <v>348</v>
      </c>
      <c r="D44" s="138">
        <v>10991</v>
      </c>
      <c r="E44" s="135">
        <v>70032</v>
      </c>
      <c r="F44" s="135"/>
      <c r="G44" s="139"/>
      <c r="H44" s="135"/>
      <c r="I44" s="135"/>
      <c r="J44" s="135"/>
      <c r="K44" s="135">
        <v>2</v>
      </c>
      <c r="L44" s="135"/>
      <c r="M44" s="139"/>
      <c r="N44" s="139"/>
      <c r="O44" s="154">
        <v>1</v>
      </c>
      <c r="P44" s="135">
        <v>1</v>
      </c>
      <c r="Q44" s="135">
        <v>1</v>
      </c>
      <c r="R44" s="135"/>
      <c r="S44" s="163">
        <v>1</v>
      </c>
      <c r="T44" s="163">
        <v>1</v>
      </c>
      <c r="U44" s="163">
        <v>1</v>
      </c>
      <c r="V44" s="135"/>
      <c r="W44" s="135"/>
      <c r="X44" s="163"/>
      <c r="Y44" s="135">
        <v>1020</v>
      </c>
      <c r="Z44" s="135">
        <v>1300</v>
      </c>
      <c r="AA44" s="135">
        <v>300</v>
      </c>
      <c r="AB44" s="135">
        <v>2</v>
      </c>
      <c r="AC44" s="135"/>
      <c r="AD44" s="135"/>
      <c r="AE44" s="135">
        <v>4</v>
      </c>
      <c r="AF44" s="163">
        <v>1</v>
      </c>
      <c r="AG44" s="169">
        <v>100</v>
      </c>
      <c r="AH44" s="135"/>
      <c r="AI44" s="135"/>
      <c r="AJ44" s="135"/>
      <c r="AK44" s="135">
        <v>0</v>
      </c>
      <c r="AL44" s="135">
        <v>21005</v>
      </c>
      <c r="AM44" s="135">
        <v>1000</v>
      </c>
      <c r="AN44" s="135"/>
      <c r="AO44" s="130" t="s">
        <v>327</v>
      </c>
      <c r="AP44" s="130" t="s">
        <v>272</v>
      </c>
      <c r="AQ44" s="130" t="s">
        <v>328</v>
      </c>
      <c r="AR44" s="130" t="s">
        <v>329</v>
      </c>
      <c r="AS44" s="130" t="s">
        <v>328</v>
      </c>
      <c r="AT44" s="130" t="s">
        <v>329</v>
      </c>
      <c r="AU44" s="130" t="s">
        <v>4584</v>
      </c>
      <c r="AV44" s="130" t="s">
        <v>266</v>
      </c>
      <c r="AW44" s="104" t="s">
        <v>248</v>
      </c>
      <c r="AX44" s="130" t="s">
        <v>249</v>
      </c>
      <c r="AY44" s="130"/>
      <c r="AZ44" s="130"/>
      <c r="BA44" s="130"/>
      <c r="BB44" s="179"/>
      <c r="BC44" s="179"/>
      <c r="BD44" s="104"/>
      <c r="BE44" s="130"/>
      <c r="BF44" s="138">
        <v>10611</v>
      </c>
      <c r="BG44" s="130"/>
      <c r="BH44" s="185" t="s">
        <v>324</v>
      </c>
      <c r="BI44" s="130" t="s">
        <v>280</v>
      </c>
      <c r="BJ44" s="130" t="s">
        <v>297</v>
      </c>
      <c r="BK44" s="130" t="s">
        <v>253</v>
      </c>
      <c r="BL44" s="135"/>
      <c r="BM44" s="135"/>
      <c r="BN44" s="135"/>
      <c r="BO44" s="163">
        <v>100</v>
      </c>
      <c r="BP44" s="163">
        <v>200</v>
      </c>
      <c r="BQ44" s="130" t="s">
        <v>241</v>
      </c>
      <c r="BR44" s="135">
        <v>2</v>
      </c>
      <c r="BS44" s="135"/>
      <c r="BT44" s="163">
        <v>50</v>
      </c>
      <c r="BU44" s="163">
        <v>40</v>
      </c>
      <c r="BV44" s="130"/>
      <c r="BW44" s="104"/>
      <c r="BX44" s="135"/>
      <c r="BY44" s="135"/>
      <c r="BZ44" s="135">
        <v>1</v>
      </c>
      <c r="CA44" s="135">
        <v>1</v>
      </c>
      <c r="CB44" s="135">
        <v>1</v>
      </c>
      <c r="CC44" s="135">
        <v>1</v>
      </c>
      <c r="CD44" s="135">
        <v>1</v>
      </c>
      <c r="CE44" s="135">
        <v>1</v>
      </c>
      <c r="CF44" s="135">
        <v>1</v>
      </c>
      <c r="CG44" s="135">
        <v>1</v>
      </c>
      <c r="CH44" s="163"/>
      <c r="CI44" s="130"/>
      <c r="CJ44" s="135"/>
      <c r="CK44" s="135"/>
      <c r="CL44" s="130"/>
      <c r="CM44" s="193">
        <v>200103</v>
      </c>
      <c r="CN44" s="193"/>
      <c r="CO44" s="193"/>
      <c r="CP44" s="193">
        <v>200103</v>
      </c>
      <c r="CQ44" s="193"/>
      <c r="CR44" s="193"/>
    </row>
    <row r="45" spans="1:96" ht="15.75" customHeight="1" x14ac:dyDescent="0.35">
      <c r="A45" s="294" t="s">
        <v>349</v>
      </c>
      <c r="B45" s="145" t="s">
        <v>350</v>
      </c>
      <c r="C45" s="91"/>
      <c r="D45" s="138">
        <v>10800</v>
      </c>
      <c r="E45" s="135">
        <v>70022</v>
      </c>
      <c r="F45" s="135"/>
      <c r="G45" s="135"/>
      <c r="H45" s="135"/>
      <c r="I45" s="135"/>
      <c r="J45" s="135"/>
      <c r="K45" s="135">
        <v>1</v>
      </c>
      <c r="L45" s="135"/>
      <c r="M45" s="135"/>
      <c r="N45" s="135"/>
      <c r="O45" s="154"/>
      <c r="P45" s="135">
        <v>1</v>
      </c>
      <c r="Q45" s="135">
        <v>1</v>
      </c>
      <c r="R45" s="135"/>
      <c r="S45" s="163">
        <v>1</v>
      </c>
      <c r="T45" s="163">
        <v>1</v>
      </c>
      <c r="U45" s="163">
        <v>1</v>
      </c>
      <c r="V45" s="135"/>
      <c r="W45" s="135"/>
      <c r="X45" s="163"/>
      <c r="Y45" s="135">
        <v>1020</v>
      </c>
      <c r="Z45" s="135">
        <v>1000</v>
      </c>
      <c r="AA45" s="135">
        <v>300</v>
      </c>
      <c r="AB45" s="135">
        <v>1</v>
      </c>
      <c r="AC45" s="135"/>
      <c r="AD45" s="135"/>
      <c r="AE45" s="135"/>
      <c r="AF45" s="163">
        <v>1</v>
      </c>
      <c r="AG45" s="163">
        <v>100</v>
      </c>
      <c r="AH45" s="135"/>
      <c r="AI45" s="135"/>
      <c r="AJ45" s="135"/>
      <c r="AK45" s="135">
        <v>0</v>
      </c>
      <c r="AL45" s="135">
        <v>21005</v>
      </c>
      <c r="AM45" s="135">
        <v>1000</v>
      </c>
      <c r="AN45" s="135"/>
      <c r="AO45" s="130" t="s">
        <v>328</v>
      </c>
      <c r="AP45" s="130" t="s">
        <v>329</v>
      </c>
      <c r="AQ45" s="130" t="s">
        <v>328</v>
      </c>
      <c r="AR45" s="130" t="s">
        <v>329</v>
      </c>
      <c r="AS45" s="130" t="s">
        <v>328</v>
      </c>
      <c r="AT45" s="130" t="s">
        <v>329</v>
      </c>
      <c r="AU45" s="130"/>
      <c r="AV45" s="130" t="s">
        <v>266</v>
      </c>
      <c r="AW45" s="130" t="s">
        <v>248</v>
      </c>
      <c r="AX45" s="130" t="s">
        <v>249</v>
      </c>
      <c r="AY45" s="130"/>
      <c r="AZ45" s="130"/>
      <c r="BA45" s="130"/>
      <c r="BB45" s="179"/>
      <c r="BC45" s="179"/>
      <c r="BD45" s="130"/>
      <c r="BE45" s="130"/>
      <c r="BF45" s="135">
        <v>10162</v>
      </c>
      <c r="BG45" s="130"/>
      <c r="BH45" s="185" t="s">
        <v>274</v>
      </c>
      <c r="BI45" s="130" t="s">
        <v>280</v>
      </c>
      <c r="BJ45" s="130" t="s">
        <v>300</v>
      </c>
      <c r="BK45" s="130" t="s">
        <v>253</v>
      </c>
      <c r="BL45" s="135"/>
      <c r="BM45" s="135"/>
      <c r="BN45" s="135"/>
      <c r="BO45" s="163">
        <v>100</v>
      </c>
      <c r="BP45" s="163">
        <v>200</v>
      </c>
      <c r="BQ45" s="130" t="s">
        <v>241</v>
      </c>
      <c r="BR45" s="135">
        <v>1</v>
      </c>
      <c r="BS45" s="135"/>
      <c r="BT45" s="163">
        <v>50</v>
      </c>
      <c r="BU45" s="163">
        <v>40</v>
      </c>
      <c r="BV45" s="130"/>
      <c r="BW45" s="130"/>
      <c r="BX45" s="135"/>
      <c r="BY45" s="135"/>
      <c r="BZ45" s="135">
        <v>1</v>
      </c>
      <c r="CA45" s="135">
        <v>1</v>
      </c>
      <c r="CB45" s="135">
        <v>1</v>
      </c>
      <c r="CC45" s="135">
        <v>1</v>
      </c>
      <c r="CD45" s="135">
        <v>1</v>
      </c>
      <c r="CE45" s="135">
        <v>1</v>
      </c>
      <c r="CF45" s="135">
        <v>1</v>
      </c>
      <c r="CG45" s="135">
        <v>1</v>
      </c>
      <c r="CH45" s="163"/>
      <c r="CI45" s="130"/>
      <c r="CJ45" s="135"/>
      <c r="CK45" s="135"/>
      <c r="CL45" s="130"/>
      <c r="CM45" s="193">
        <v>100005</v>
      </c>
      <c r="CN45" s="193"/>
      <c r="CO45" s="193"/>
      <c r="CP45" s="193">
        <v>100005</v>
      </c>
      <c r="CQ45" s="193"/>
      <c r="CR45" s="193"/>
    </row>
    <row r="46" spans="1:96" ht="15.75" customHeight="1" x14ac:dyDescent="0.35">
      <c r="A46" s="294"/>
      <c r="B46" s="145" t="s">
        <v>351</v>
      </c>
      <c r="C46" s="92"/>
      <c r="D46" s="138">
        <v>10801</v>
      </c>
      <c r="E46" s="135">
        <v>70023</v>
      </c>
      <c r="F46" s="135"/>
      <c r="G46" s="139"/>
      <c r="H46" s="135"/>
      <c r="I46" s="135"/>
      <c r="J46" s="135"/>
      <c r="K46" s="135">
        <v>11</v>
      </c>
      <c r="L46" s="135"/>
      <c r="M46" s="139"/>
      <c r="N46" s="139"/>
      <c r="O46" s="154"/>
      <c r="P46" s="135">
        <v>1</v>
      </c>
      <c r="Q46" s="135">
        <v>1</v>
      </c>
      <c r="R46" s="135"/>
      <c r="S46" s="163">
        <v>1</v>
      </c>
      <c r="T46" s="163">
        <v>1</v>
      </c>
      <c r="U46" s="163">
        <v>1</v>
      </c>
      <c r="V46" s="135"/>
      <c r="W46" s="135"/>
      <c r="X46" s="163"/>
      <c r="Y46" s="135">
        <v>1020</v>
      </c>
      <c r="Z46" s="135">
        <v>1000</v>
      </c>
      <c r="AA46" s="135">
        <v>300</v>
      </c>
      <c r="AB46" s="135">
        <v>1</v>
      </c>
      <c r="AC46" s="135"/>
      <c r="AD46" s="135"/>
      <c r="AE46" s="135"/>
      <c r="AF46" s="163">
        <v>1</v>
      </c>
      <c r="AG46" s="169">
        <v>100</v>
      </c>
      <c r="AH46" s="135"/>
      <c r="AI46" s="135"/>
      <c r="AJ46" s="135"/>
      <c r="AK46" s="135">
        <v>0</v>
      </c>
      <c r="AL46" s="135">
        <v>23023</v>
      </c>
      <c r="AM46" s="135">
        <v>1000</v>
      </c>
      <c r="AN46" s="135"/>
      <c r="AO46" s="130" t="s">
        <v>352</v>
      </c>
      <c r="AP46" s="130">
        <v>1</v>
      </c>
      <c r="AQ46" s="130" t="s">
        <v>353</v>
      </c>
      <c r="AR46" s="130" t="s">
        <v>246</v>
      </c>
      <c r="AS46" s="130" t="s">
        <v>353</v>
      </c>
      <c r="AT46" s="130" t="s">
        <v>246</v>
      </c>
      <c r="AU46" s="130"/>
      <c r="AV46" s="130" t="s">
        <v>266</v>
      </c>
      <c r="AW46" s="104" t="s">
        <v>248</v>
      </c>
      <c r="AX46" s="130" t="s">
        <v>249</v>
      </c>
      <c r="AY46" s="130"/>
      <c r="AZ46" s="130"/>
      <c r="BA46" s="130"/>
      <c r="BB46" s="179"/>
      <c r="BC46" s="179"/>
      <c r="BD46" s="104"/>
      <c r="BE46" s="130"/>
      <c r="BF46" s="135">
        <v>10031</v>
      </c>
      <c r="BG46" s="130"/>
      <c r="BH46" s="185" t="s">
        <v>274</v>
      </c>
      <c r="BI46" s="130" t="s">
        <v>280</v>
      </c>
      <c r="BJ46" s="130" t="s">
        <v>354</v>
      </c>
      <c r="BK46" s="130" t="s">
        <v>253</v>
      </c>
      <c r="BL46" s="135"/>
      <c r="BM46" s="135"/>
      <c r="BN46" s="135"/>
      <c r="BO46" s="163">
        <v>100</v>
      </c>
      <c r="BP46" s="163">
        <v>200</v>
      </c>
      <c r="BQ46" s="130" t="s">
        <v>241</v>
      </c>
      <c r="BR46" s="135">
        <v>1</v>
      </c>
      <c r="BS46" s="135"/>
      <c r="BT46" s="163">
        <v>50</v>
      </c>
      <c r="BU46" s="163">
        <v>40</v>
      </c>
      <c r="BV46" s="130"/>
      <c r="BW46" s="104"/>
      <c r="BX46" s="135"/>
      <c r="BY46" s="135"/>
      <c r="BZ46" s="135">
        <v>1</v>
      </c>
      <c r="CA46" s="135">
        <v>1</v>
      </c>
      <c r="CB46" s="135">
        <v>1</v>
      </c>
      <c r="CC46" s="135">
        <v>1</v>
      </c>
      <c r="CD46" s="135">
        <v>1</v>
      </c>
      <c r="CE46" s="135">
        <v>1</v>
      </c>
      <c r="CF46" s="135">
        <v>1</v>
      </c>
      <c r="CG46" s="135">
        <v>1</v>
      </c>
      <c r="CH46" s="163"/>
      <c r="CI46" s="130"/>
      <c r="CJ46" s="135"/>
      <c r="CK46" s="135"/>
      <c r="CL46" s="130"/>
      <c r="CM46" s="193">
        <v>100005</v>
      </c>
      <c r="CN46" s="193"/>
      <c r="CO46" s="193"/>
      <c r="CP46" s="193">
        <v>100005</v>
      </c>
      <c r="CQ46" s="193"/>
      <c r="CR46" s="193"/>
    </row>
    <row r="47" spans="1:96" ht="15.75" customHeight="1" x14ac:dyDescent="0.35">
      <c r="A47" s="294"/>
      <c r="B47" s="145" t="s">
        <v>355</v>
      </c>
      <c r="C47" s="92" t="s">
        <v>356</v>
      </c>
      <c r="D47" s="138">
        <v>10811</v>
      </c>
      <c r="E47" s="135">
        <v>70024</v>
      </c>
      <c r="F47" s="135"/>
      <c r="G47" s="139"/>
      <c r="H47" s="135"/>
      <c r="I47" s="135"/>
      <c r="J47" s="135"/>
      <c r="K47" s="135">
        <v>12</v>
      </c>
      <c r="L47" s="135"/>
      <c r="M47" s="139"/>
      <c r="N47" s="139"/>
      <c r="O47" s="154"/>
      <c r="P47" s="135">
        <v>1</v>
      </c>
      <c r="Q47" s="135">
        <v>1</v>
      </c>
      <c r="R47" s="135"/>
      <c r="S47" s="163">
        <v>1</v>
      </c>
      <c r="T47" s="163">
        <v>1</v>
      </c>
      <c r="U47" s="163">
        <v>1</v>
      </c>
      <c r="V47" s="135"/>
      <c r="W47" s="135"/>
      <c r="X47" s="163"/>
      <c r="Y47" s="135">
        <v>4043</v>
      </c>
      <c r="Z47" s="135">
        <v>1000</v>
      </c>
      <c r="AA47" s="135">
        <v>300</v>
      </c>
      <c r="AB47" s="135">
        <v>1</v>
      </c>
      <c r="AC47" s="135"/>
      <c r="AD47" s="135"/>
      <c r="AE47" s="135"/>
      <c r="AF47" s="163">
        <v>1</v>
      </c>
      <c r="AG47" s="169">
        <v>100</v>
      </c>
      <c r="AH47" s="135"/>
      <c r="AI47" s="135"/>
      <c r="AJ47" s="135"/>
      <c r="AK47" s="135">
        <v>0</v>
      </c>
      <c r="AL47" s="135"/>
      <c r="AM47" s="135"/>
      <c r="AN47" s="135"/>
      <c r="AO47" s="130"/>
      <c r="AP47" s="130"/>
      <c r="AQ47" s="130"/>
      <c r="AR47" s="130"/>
      <c r="AS47" s="130"/>
      <c r="AT47" s="130"/>
      <c r="AU47" s="130" t="s">
        <v>357</v>
      </c>
      <c r="AV47" s="130"/>
      <c r="AW47" s="104" t="s">
        <v>248</v>
      </c>
      <c r="AX47" s="130" t="s">
        <v>249</v>
      </c>
      <c r="AY47" s="130"/>
      <c r="AZ47" s="130"/>
      <c r="BA47" s="130"/>
      <c r="BB47" s="179"/>
      <c r="BC47" s="179"/>
      <c r="BD47" s="104"/>
      <c r="BE47" s="130"/>
      <c r="BF47" s="135">
        <v>10901</v>
      </c>
      <c r="BG47" s="130"/>
      <c r="BH47" s="185" t="s">
        <v>274</v>
      </c>
      <c r="BI47" s="130" t="s">
        <v>280</v>
      </c>
      <c r="BJ47" s="130" t="s">
        <v>262</v>
      </c>
      <c r="BK47" s="130" t="s">
        <v>253</v>
      </c>
      <c r="BL47" s="135"/>
      <c r="BM47" s="135"/>
      <c r="BN47" s="135"/>
      <c r="BO47" s="163">
        <v>100</v>
      </c>
      <c r="BP47" s="163">
        <v>200</v>
      </c>
      <c r="BQ47" s="130" t="s">
        <v>241</v>
      </c>
      <c r="BR47" s="135">
        <v>1</v>
      </c>
      <c r="BS47" s="135"/>
      <c r="BT47" s="163">
        <v>50</v>
      </c>
      <c r="BU47" s="163">
        <v>40</v>
      </c>
      <c r="BV47" s="130"/>
      <c r="BW47" s="104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63"/>
      <c r="CI47" s="130"/>
      <c r="CJ47" s="135"/>
      <c r="CK47" s="135"/>
      <c r="CL47" s="130"/>
      <c r="CM47" s="193"/>
      <c r="CN47" s="193"/>
      <c r="CO47" s="193"/>
      <c r="CP47" s="193"/>
      <c r="CQ47" s="193"/>
      <c r="CR47" s="193"/>
    </row>
    <row r="48" spans="1:96" ht="15.75" customHeight="1" x14ac:dyDescent="0.35">
      <c r="A48" s="294"/>
      <c r="B48" s="145" t="s">
        <v>355</v>
      </c>
      <c r="C48" s="92"/>
      <c r="D48" s="138">
        <v>10812</v>
      </c>
      <c r="E48" s="135">
        <v>70024</v>
      </c>
      <c r="F48" s="135"/>
      <c r="G48" s="139"/>
      <c r="H48" s="135"/>
      <c r="I48" s="135"/>
      <c r="J48" s="135"/>
      <c r="K48" s="135">
        <v>12</v>
      </c>
      <c r="L48" s="135"/>
      <c r="M48" s="139"/>
      <c r="N48" s="139"/>
      <c r="O48" s="154"/>
      <c r="P48" s="135">
        <v>1</v>
      </c>
      <c r="Q48" s="135">
        <v>1</v>
      </c>
      <c r="R48" s="135"/>
      <c r="S48" s="163">
        <v>1</v>
      </c>
      <c r="T48" s="163">
        <v>1</v>
      </c>
      <c r="U48" s="163">
        <v>1</v>
      </c>
      <c r="V48" s="135"/>
      <c r="W48" s="135"/>
      <c r="X48" s="163"/>
      <c r="Y48" s="135">
        <v>4043</v>
      </c>
      <c r="Z48" s="135">
        <v>1000</v>
      </c>
      <c r="AA48" s="135">
        <v>300</v>
      </c>
      <c r="AB48" s="135">
        <v>1</v>
      </c>
      <c r="AC48" s="135"/>
      <c r="AD48" s="135"/>
      <c r="AE48" s="135"/>
      <c r="AF48" s="163">
        <v>1</v>
      </c>
      <c r="AG48" s="169">
        <v>100</v>
      </c>
      <c r="AH48" s="135"/>
      <c r="AI48" s="135"/>
      <c r="AJ48" s="135"/>
      <c r="AK48" s="135">
        <v>0</v>
      </c>
      <c r="AL48" s="135"/>
      <c r="AM48" s="135"/>
      <c r="AN48" s="135"/>
      <c r="AO48" s="130"/>
      <c r="AP48" s="130"/>
      <c r="AQ48" s="130"/>
      <c r="AR48" s="130"/>
      <c r="AS48" s="130"/>
      <c r="AT48" s="130"/>
      <c r="AU48" s="130" t="s">
        <v>357</v>
      </c>
      <c r="AV48" s="130"/>
      <c r="AW48" s="104" t="s">
        <v>248</v>
      </c>
      <c r="AX48" s="130" t="s">
        <v>249</v>
      </c>
      <c r="AY48" s="130"/>
      <c r="AZ48" s="130"/>
      <c r="BA48" s="130"/>
      <c r="BB48" s="179"/>
      <c r="BC48" s="179"/>
      <c r="BD48" s="104"/>
      <c r="BE48" s="130"/>
      <c r="BF48" s="135">
        <v>10901</v>
      </c>
      <c r="BG48" s="130"/>
      <c r="BH48" s="185" t="s">
        <v>274</v>
      </c>
      <c r="BI48" s="130" t="s">
        <v>280</v>
      </c>
      <c r="BJ48" s="130" t="s">
        <v>262</v>
      </c>
      <c r="BK48" s="130" t="s">
        <v>253</v>
      </c>
      <c r="BL48" s="135"/>
      <c r="BM48" s="135"/>
      <c r="BN48" s="135"/>
      <c r="BO48" s="163">
        <v>100</v>
      </c>
      <c r="BP48" s="163">
        <v>200</v>
      </c>
      <c r="BQ48" s="130" t="s">
        <v>241</v>
      </c>
      <c r="BR48" s="135">
        <v>1</v>
      </c>
      <c r="BS48" s="135"/>
      <c r="BT48" s="163">
        <v>50</v>
      </c>
      <c r="BU48" s="163">
        <v>40</v>
      </c>
      <c r="BV48" s="130"/>
      <c r="BW48" s="104"/>
      <c r="BX48" s="135"/>
      <c r="BY48" s="135"/>
      <c r="BZ48" s="135"/>
      <c r="CA48" s="135"/>
      <c r="CB48" s="135"/>
      <c r="CC48" s="135"/>
      <c r="CD48" s="135"/>
      <c r="CE48" s="135"/>
      <c r="CF48" s="135"/>
      <c r="CG48" s="135"/>
      <c r="CH48" s="163"/>
      <c r="CI48" s="130"/>
      <c r="CJ48" s="135"/>
      <c r="CK48" s="135"/>
      <c r="CL48" s="130"/>
      <c r="CM48" s="193"/>
      <c r="CN48" s="193"/>
      <c r="CO48" s="193"/>
      <c r="CP48" s="193"/>
      <c r="CQ48" s="193"/>
      <c r="CR48" s="193"/>
    </row>
    <row r="49" spans="1:96" ht="15.75" customHeight="1" x14ac:dyDescent="0.35">
      <c r="A49" s="294"/>
      <c r="B49" s="145" t="s">
        <v>355</v>
      </c>
      <c r="C49" s="92"/>
      <c r="D49" s="138">
        <v>10813</v>
      </c>
      <c r="E49" s="135">
        <v>70024</v>
      </c>
      <c r="F49" s="135"/>
      <c r="G49" s="139"/>
      <c r="H49" s="135"/>
      <c r="I49" s="135"/>
      <c r="J49" s="135"/>
      <c r="K49" s="135">
        <v>12</v>
      </c>
      <c r="L49" s="135"/>
      <c r="M49" s="139"/>
      <c r="N49" s="139"/>
      <c r="O49" s="154"/>
      <c r="P49" s="135">
        <v>1</v>
      </c>
      <c r="Q49" s="135">
        <v>1</v>
      </c>
      <c r="R49" s="135"/>
      <c r="S49" s="163">
        <v>1</v>
      </c>
      <c r="T49" s="163">
        <v>1</v>
      </c>
      <c r="U49" s="163">
        <v>1</v>
      </c>
      <c r="V49" s="135"/>
      <c r="W49" s="135"/>
      <c r="X49" s="163"/>
      <c r="Y49" s="135">
        <v>4043</v>
      </c>
      <c r="Z49" s="135">
        <v>1000</v>
      </c>
      <c r="AA49" s="135">
        <v>300</v>
      </c>
      <c r="AB49" s="135">
        <v>1</v>
      </c>
      <c r="AC49" s="135"/>
      <c r="AD49" s="135"/>
      <c r="AE49" s="135"/>
      <c r="AF49" s="163">
        <v>1</v>
      </c>
      <c r="AG49" s="169">
        <v>100</v>
      </c>
      <c r="AH49" s="135"/>
      <c r="AI49" s="135"/>
      <c r="AJ49" s="135"/>
      <c r="AK49" s="135">
        <v>0</v>
      </c>
      <c r="AL49" s="135"/>
      <c r="AM49" s="135"/>
      <c r="AN49" s="135"/>
      <c r="AO49" s="130"/>
      <c r="AP49" s="130"/>
      <c r="AQ49" s="130"/>
      <c r="AR49" s="130"/>
      <c r="AS49" s="130"/>
      <c r="AT49" s="130"/>
      <c r="AU49" s="130" t="s">
        <v>357</v>
      </c>
      <c r="AV49" s="130"/>
      <c r="AW49" s="104" t="s">
        <v>248</v>
      </c>
      <c r="AX49" s="130" t="s">
        <v>249</v>
      </c>
      <c r="AY49" s="130"/>
      <c r="AZ49" s="130"/>
      <c r="BA49" s="130"/>
      <c r="BB49" s="179"/>
      <c r="BC49" s="179"/>
      <c r="BD49" s="104"/>
      <c r="BE49" s="130"/>
      <c r="BF49" s="135">
        <v>10901</v>
      </c>
      <c r="BG49" s="130"/>
      <c r="BH49" s="185" t="s">
        <v>274</v>
      </c>
      <c r="BI49" s="130" t="s">
        <v>280</v>
      </c>
      <c r="BJ49" s="130" t="s">
        <v>262</v>
      </c>
      <c r="BK49" s="130" t="s">
        <v>253</v>
      </c>
      <c r="BL49" s="135"/>
      <c r="BM49" s="135"/>
      <c r="BN49" s="135"/>
      <c r="BO49" s="163">
        <v>100</v>
      </c>
      <c r="BP49" s="163">
        <v>200</v>
      </c>
      <c r="BQ49" s="130" t="s">
        <v>241</v>
      </c>
      <c r="BR49" s="135">
        <v>1</v>
      </c>
      <c r="BS49" s="135"/>
      <c r="BT49" s="163">
        <v>50</v>
      </c>
      <c r="BU49" s="163">
        <v>40</v>
      </c>
      <c r="BV49" s="130"/>
      <c r="BW49" s="104"/>
      <c r="BX49" s="135"/>
      <c r="BY49" s="135"/>
      <c r="BZ49" s="135"/>
      <c r="CA49" s="135"/>
      <c r="CB49" s="135"/>
      <c r="CC49" s="135"/>
      <c r="CD49" s="135"/>
      <c r="CE49" s="135"/>
      <c r="CF49" s="135"/>
      <c r="CG49" s="135"/>
      <c r="CH49" s="163"/>
      <c r="CI49" s="130"/>
      <c r="CJ49" s="135"/>
      <c r="CK49" s="135"/>
      <c r="CL49" s="130"/>
      <c r="CM49" s="193"/>
      <c r="CN49" s="193"/>
      <c r="CO49" s="193"/>
      <c r="CP49" s="193"/>
      <c r="CQ49" s="193"/>
      <c r="CR49" s="193"/>
    </row>
    <row r="50" spans="1:96" ht="15.75" customHeight="1" x14ac:dyDescent="0.35">
      <c r="A50" s="294"/>
      <c r="B50" s="145" t="s">
        <v>355</v>
      </c>
      <c r="C50" s="92"/>
      <c r="D50" s="138">
        <v>10814</v>
      </c>
      <c r="E50" s="135">
        <v>70024</v>
      </c>
      <c r="F50" s="135"/>
      <c r="G50" s="139"/>
      <c r="H50" s="135"/>
      <c r="I50" s="135"/>
      <c r="J50" s="135"/>
      <c r="K50" s="135">
        <v>12</v>
      </c>
      <c r="L50" s="135"/>
      <c r="M50" s="139"/>
      <c r="N50" s="139"/>
      <c r="O50" s="154"/>
      <c r="P50" s="135">
        <v>1</v>
      </c>
      <c r="Q50" s="135">
        <v>1</v>
      </c>
      <c r="R50" s="135"/>
      <c r="S50" s="163">
        <v>1</v>
      </c>
      <c r="T50" s="163">
        <v>1</v>
      </c>
      <c r="U50" s="163">
        <v>1</v>
      </c>
      <c r="V50" s="135"/>
      <c r="W50" s="135"/>
      <c r="X50" s="163"/>
      <c r="Y50" s="135">
        <v>4043</v>
      </c>
      <c r="Z50" s="135">
        <v>1000</v>
      </c>
      <c r="AA50" s="135">
        <v>300</v>
      </c>
      <c r="AB50" s="135">
        <v>1</v>
      </c>
      <c r="AC50" s="135"/>
      <c r="AD50" s="135"/>
      <c r="AE50" s="135"/>
      <c r="AF50" s="163">
        <v>1</v>
      </c>
      <c r="AG50" s="169">
        <v>100</v>
      </c>
      <c r="AH50" s="135"/>
      <c r="AI50" s="135"/>
      <c r="AJ50" s="135"/>
      <c r="AK50" s="135">
        <v>0</v>
      </c>
      <c r="AL50" s="135"/>
      <c r="AM50" s="135"/>
      <c r="AN50" s="135"/>
      <c r="AO50" s="130"/>
      <c r="AP50" s="130"/>
      <c r="AQ50" s="130"/>
      <c r="AR50" s="130"/>
      <c r="AS50" s="130"/>
      <c r="AT50" s="130"/>
      <c r="AU50" s="130" t="s">
        <v>357</v>
      </c>
      <c r="AV50" s="130"/>
      <c r="AW50" s="104" t="s">
        <v>248</v>
      </c>
      <c r="AX50" s="130" t="s">
        <v>249</v>
      </c>
      <c r="AY50" s="130"/>
      <c r="AZ50" s="130"/>
      <c r="BA50" s="130"/>
      <c r="BB50" s="179"/>
      <c r="BC50" s="179"/>
      <c r="BD50" s="104"/>
      <c r="BE50" s="130"/>
      <c r="BF50" s="135">
        <v>10901</v>
      </c>
      <c r="BG50" s="130"/>
      <c r="BH50" s="185" t="s">
        <v>274</v>
      </c>
      <c r="BI50" s="130" t="s">
        <v>280</v>
      </c>
      <c r="BJ50" s="130" t="s">
        <v>262</v>
      </c>
      <c r="BK50" s="130" t="s">
        <v>253</v>
      </c>
      <c r="BL50" s="135"/>
      <c r="BM50" s="135"/>
      <c r="BN50" s="135"/>
      <c r="BO50" s="163">
        <v>100</v>
      </c>
      <c r="BP50" s="163">
        <v>200</v>
      </c>
      <c r="BQ50" s="130" t="s">
        <v>241</v>
      </c>
      <c r="BR50" s="135">
        <v>1</v>
      </c>
      <c r="BS50" s="135"/>
      <c r="BT50" s="163">
        <v>50</v>
      </c>
      <c r="BU50" s="163">
        <v>40</v>
      </c>
      <c r="BV50" s="130"/>
      <c r="BW50" s="104"/>
      <c r="BX50" s="135"/>
      <c r="BY50" s="135"/>
      <c r="BZ50" s="135"/>
      <c r="CA50" s="135"/>
      <c r="CB50" s="135"/>
      <c r="CC50" s="135"/>
      <c r="CD50" s="135"/>
      <c r="CE50" s="135"/>
      <c r="CF50" s="135"/>
      <c r="CG50" s="135"/>
      <c r="CH50" s="163"/>
      <c r="CI50" s="130"/>
      <c r="CJ50" s="135"/>
      <c r="CK50" s="135"/>
      <c r="CL50" s="130"/>
      <c r="CM50" s="193"/>
      <c r="CN50" s="193"/>
      <c r="CO50" s="193"/>
      <c r="CP50" s="193"/>
      <c r="CQ50" s="193"/>
      <c r="CR50" s="193"/>
    </row>
    <row r="51" spans="1:96" ht="15.75" customHeight="1" x14ac:dyDescent="0.35">
      <c r="A51" s="294"/>
      <c r="B51" s="145" t="s">
        <v>355</v>
      </c>
      <c r="C51" s="92" t="s">
        <v>358</v>
      </c>
      <c r="D51" s="138">
        <v>10815</v>
      </c>
      <c r="E51" s="135">
        <v>70024</v>
      </c>
      <c r="F51" s="135"/>
      <c r="G51" s="139"/>
      <c r="H51" s="135"/>
      <c r="I51" s="135"/>
      <c r="J51" s="135"/>
      <c r="K51" s="135">
        <v>12</v>
      </c>
      <c r="L51" s="135"/>
      <c r="M51" s="139"/>
      <c r="N51" s="139"/>
      <c r="O51" s="154"/>
      <c r="P51" s="135">
        <v>1</v>
      </c>
      <c r="Q51" s="135">
        <v>1</v>
      </c>
      <c r="R51" s="135"/>
      <c r="S51" s="163">
        <v>1</v>
      </c>
      <c r="T51" s="163">
        <v>1</v>
      </c>
      <c r="U51" s="163">
        <v>1</v>
      </c>
      <c r="V51" s="135"/>
      <c r="W51" s="135"/>
      <c r="X51" s="163"/>
      <c r="Y51" s="135">
        <v>4043</v>
      </c>
      <c r="Z51" s="135">
        <v>1000</v>
      </c>
      <c r="AA51" s="135">
        <v>300</v>
      </c>
      <c r="AB51" s="135">
        <v>1</v>
      </c>
      <c r="AC51" s="135"/>
      <c r="AD51" s="135"/>
      <c r="AE51" s="135"/>
      <c r="AF51" s="163">
        <v>1</v>
      </c>
      <c r="AG51" s="169">
        <v>100</v>
      </c>
      <c r="AH51" s="135"/>
      <c r="AI51" s="135"/>
      <c r="AJ51" s="135"/>
      <c r="AK51" s="135">
        <v>0</v>
      </c>
      <c r="AL51" s="135"/>
      <c r="AM51" s="135"/>
      <c r="AN51" s="135"/>
      <c r="AO51" s="130"/>
      <c r="AP51" s="130"/>
      <c r="AQ51" s="130"/>
      <c r="AR51" s="130"/>
      <c r="AS51" s="130"/>
      <c r="AT51" s="130"/>
      <c r="AU51" s="130" t="s">
        <v>357</v>
      </c>
      <c r="AV51" s="130"/>
      <c r="AW51" s="104" t="s">
        <v>248</v>
      </c>
      <c r="AX51" s="130" t="s">
        <v>249</v>
      </c>
      <c r="AY51" s="130"/>
      <c r="AZ51" s="130"/>
      <c r="BA51" s="130"/>
      <c r="BB51" s="179"/>
      <c r="BC51" s="179"/>
      <c r="BD51" s="104"/>
      <c r="BE51" s="130"/>
      <c r="BF51" s="135">
        <v>10901</v>
      </c>
      <c r="BG51" s="130"/>
      <c r="BH51" s="185" t="s">
        <v>274</v>
      </c>
      <c r="BI51" s="130" t="s">
        <v>280</v>
      </c>
      <c r="BJ51" s="130" t="s">
        <v>262</v>
      </c>
      <c r="BK51" s="130" t="s">
        <v>253</v>
      </c>
      <c r="BL51" s="135"/>
      <c r="BM51" s="135"/>
      <c r="BN51" s="135"/>
      <c r="BO51" s="163">
        <v>100</v>
      </c>
      <c r="BP51" s="163">
        <v>200</v>
      </c>
      <c r="BQ51" s="130" t="s">
        <v>241</v>
      </c>
      <c r="BR51" s="135">
        <v>1</v>
      </c>
      <c r="BS51" s="135"/>
      <c r="BT51" s="163">
        <v>50</v>
      </c>
      <c r="BU51" s="163">
        <v>40</v>
      </c>
      <c r="BV51" s="130"/>
      <c r="BW51" s="104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63"/>
      <c r="CI51" s="130"/>
      <c r="CJ51" s="135"/>
      <c r="CK51" s="135"/>
      <c r="CL51" s="130"/>
      <c r="CM51" s="193"/>
      <c r="CN51" s="193"/>
      <c r="CO51" s="193"/>
      <c r="CP51" s="193"/>
      <c r="CQ51" s="193"/>
      <c r="CR51" s="193"/>
    </row>
    <row r="52" spans="1:96" ht="15.75" customHeight="1" x14ac:dyDescent="0.35">
      <c r="A52" s="294"/>
      <c r="B52" s="145" t="s">
        <v>355</v>
      </c>
      <c r="C52" s="92"/>
      <c r="D52" s="138">
        <v>10816</v>
      </c>
      <c r="E52" s="135">
        <v>70024</v>
      </c>
      <c r="F52" s="135"/>
      <c r="G52" s="139"/>
      <c r="H52" s="135"/>
      <c r="I52" s="135"/>
      <c r="J52" s="135"/>
      <c r="K52" s="135">
        <v>12</v>
      </c>
      <c r="L52" s="135"/>
      <c r="M52" s="139"/>
      <c r="N52" s="139"/>
      <c r="O52" s="154"/>
      <c r="P52" s="135">
        <v>1</v>
      </c>
      <c r="Q52" s="135">
        <v>1</v>
      </c>
      <c r="R52" s="135"/>
      <c r="S52" s="163">
        <v>1</v>
      </c>
      <c r="T52" s="163">
        <v>1</v>
      </c>
      <c r="U52" s="163">
        <v>1</v>
      </c>
      <c r="V52" s="135"/>
      <c r="W52" s="135"/>
      <c r="X52" s="163"/>
      <c r="Y52" s="135">
        <v>4043</v>
      </c>
      <c r="Z52" s="135">
        <v>1000</v>
      </c>
      <c r="AA52" s="135">
        <v>300</v>
      </c>
      <c r="AB52" s="135">
        <v>1</v>
      </c>
      <c r="AC52" s="135"/>
      <c r="AD52" s="135"/>
      <c r="AE52" s="135"/>
      <c r="AF52" s="163">
        <v>1</v>
      </c>
      <c r="AG52" s="169">
        <v>100</v>
      </c>
      <c r="AH52" s="135"/>
      <c r="AI52" s="135"/>
      <c r="AJ52" s="135"/>
      <c r="AK52" s="135">
        <v>0</v>
      </c>
      <c r="AL52" s="135"/>
      <c r="AM52" s="135"/>
      <c r="AN52" s="135"/>
      <c r="AO52" s="130"/>
      <c r="AP52" s="130"/>
      <c r="AQ52" s="130"/>
      <c r="AR52" s="130"/>
      <c r="AS52" s="130"/>
      <c r="AT52" s="130"/>
      <c r="AU52" s="130" t="s">
        <v>357</v>
      </c>
      <c r="AV52" s="130"/>
      <c r="AW52" s="104" t="s">
        <v>248</v>
      </c>
      <c r="AX52" s="130" t="s">
        <v>249</v>
      </c>
      <c r="AY52" s="130"/>
      <c r="AZ52" s="130"/>
      <c r="BA52" s="130"/>
      <c r="BB52" s="179"/>
      <c r="BC52" s="179"/>
      <c r="BD52" s="104"/>
      <c r="BE52" s="130"/>
      <c r="BF52" s="135">
        <v>10901</v>
      </c>
      <c r="BG52" s="130"/>
      <c r="BH52" s="185" t="s">
        <v>274</v>
      </c>
      <c r="BI52" s="130" t="s">
        <v>280</v>
      </c>
      <c r="BJ52" s="130" t="s">
        <v>262</v>
      </c>
      <c r="BK52" s="130" t="s">
        <v>253</v>
      </c>
      <c r="BL52" s="135"/>
      <c r="BM52" s="135"/>
      <c r="BN52" s="135"/>
      <c r="BO52" s="163">
        <v>100</v>
      </c>
      <c r="BP52" s="163">
        <v>200</v>
      </c>
      <c r="BQ52" s="130" t="s">
        <v>241</v>
      </c>
      <c r="BR52" s="135">
        <v>1</v>
      </c>
      <c r="BS52" s="135"/>
      <c r="BT52" s="163">
        <v>50</v>
      </c>
      <c r="BU52" s="163">
        <v>40</v>
      </c>
      <c r="BV52" s="130"/>
      <c r="BW52" s="104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63"/>
      <c r="CI52" s="130"/>
      <c r="CJ52" s="135"/>
      <c r="CK52" s="135"/>
      <c r="CL52" s="130"/>
      <c r="CM52" s="193"/>
      <c r="CN52" s="193"/>
      <c r="CO52" s="193"/>
      <c r="CP52" s="193"/>
      <c r="CQ52" s="193"/>
      <c r="CR52" s="193"/>
    </row>
    <row r="53" spans="1:96" ht="15.75" customHeight="1" x14ac:dyDescent="0.35">
      <c r="A53" s="294"/>
      <c r="B53" s="145" t="s">
        <v>355</v>
      </c>
      <c r="C53" s="92"/>
      <c r="D53" s="138">
        <v>10817</v>
      </c>
      <c r="E53" s="135">
        <v>70024</v>
      </c>
      <c r="F53" s="135"/>
      <c r="G53" s="139"/>
      <c r="H53" s="135"/>
      <c r="I53" s="135"/>
      <c r="J53" s="135"/>
      <c r="K53" s="135">
        <v>12</v>
      </c>
      <c r="L53" s="135"/>
      <c r="M53" s="139"/>
      <c r="N53" s="139"/>
      <c r="O53" s="154"/>
      <c r="P53" s="135">
        <v>1</v>
      </c>
      <c r="Q53" s="135">
        <v>1</v>
      </c>
      <c r="R53" s="135"/>
      <c r="S53" s="163">
        <v>1</v>
      </c>
      <c r="T53" s="163">
        <v>1</v>
      </c>
      <c r="U53" s="163">
        <v>1</v>
      </c>
      <c r="V53" s="135"/>
      <c r="W53" s="135"/>
      <c r="X53" s="163"/>
      <c r="Y53" s="135">
        <v>4043</v>
      </c>
      <c r="Z53" s="135">
        <v>1000</v>
      </c>
      <c r="AA53" s="135">
        <v>300</v>
      </c>
      <c r="AB53" s="135">
        <v>1</v>
      </c>
      <c r="AC53" s="135"/>
      <c r="AD53" s="135"/>
      <c r="AE53" s="135"/>
      <c r="AF53" s="163">
        <v>1</v>
      </c>
      <c r="AG53" s="169">
        <v>100</v>
      </c>
      <c r="AH53" s="135"/>
      <c r="AI53" s="135"/>
      <c r="AJ53" s="135"/>
      <c r="AK53" s="135">
        <v>0</v>
      </c>
      <c r="AL53" s="135"/>
      <c r="AM53" s="135"/>
      <c r="AN53" s="135"/>
      <c r="AO53" s="130"/>
      <c r="AP53" s="130"/>
      <c r="AQ53" s="130"/>
      <c r="AR53" s="130"/>
      <c r="AS53" s="130"/>
      <c r="AT53" s="130"/>
      <c r="AU53" s="130" t="s">
        <v>357</v>
      </c>
      <c r="AV53" s="130"/>
      <c r="AW53" s="104" t="s">
        <v>248</v>
      </c>
      <c r="AX53" s="130" t="s">
        <v>249</v>
      </c>
      <c r="AY53" s="130"/>
      <c r="AZ53" s="130"/>
      <c r="BA53" s="130"/>
      <c r="BB53" s="179"/>
      <c r="BC53" s="179"/>
      <c r="BD53" s="104"/>
      <c r="BE53" s="130"/>
      <c r="BF53" s="135">
        <v>10901</v>
      </c>
      <c r="BG53" s="130"/>
      <c r="BH53" s="185" t="s">
        <v>274</v>
      </c>
      <c r="BI53" s="130" t="s">
        <v>280</v>
      </c>
      <c r="BJ53" s="130" t="s">
        <v>262</v>
      </c>
      <c r="BK53" s="130" t="s">
        <v>253</v>
      </c>
      <c r="BL53" s="135"/>
      <c r="BM53" s="135"/>
      <c r="BN53" s="135"/>
      <c r="BO53" s="163">
        <v>100</v>
      </c>
      <c r="BP53" s="163">
        <v>200</v>
      </c>
      <c r="BQ53" s="130" t="s">
        <v>241</v>
      </c>
      <c r="BR53" s="135">
        <v>1</v>
      </c>
      <c r="BS53" s="135"/>
      <c r="BT53" s="163">
        <v>50</v>
      </c>
      <c r="BU53" s="163">
        <v>40</v>
      </c>
      <c r="BV53" s="130"/>
      <c r="BW53" s="104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63"/>
      <c r="CI53" s="130"/>
      <c r="CJ53" s="135"/>
      <c r="CK53" s="135"/>
      <c r="CL53" s="130"/>
      <c r="CM53" s="193"/>
      <c r="CN53" s="193"/>
      <c r="CO53" s="193"/>
      <c r="CP53" s="193"/>
      <c r="CQ53" s="193"/>
      <c r="CR53" s="193"/>
    </row>
    <row r="54" spans="1:96" ht="15.75" customHeight="1" x14ac:dyDescent="0.35">
      <c r="A54" s="294"/>
      <c r="B54" s="145" t="s">
        <v>355</v>
      </c>
      <c r="C54" s="92"/>
      <c r="D54" s="138">
        <v>10818</v>
      </c>
      <c r="E54" s="135">
        <v>70024</v>
      </c>
      <c r="F54" s="135"/>
      <c r="G54" s="139"/>
      <c r="H54" s="135"/>
      <c r="I54" s="135"/>
      <c r="J54" s="135"/>
      <c r="K54" s="135">
        <v>12</v>
      </c>
      <c r="L54" s="135"/>
      <c r="M54" s="139"/>
      <c r="N54" s="139"/>
      <c r="O54" s="154"/>
      <c r="P54" s="135">
        <v>1</v>
      </c>
      <c r="Q54" s="135">
        <v>1</v>
      </c>
      <c r="R54" s="135"/>
      <c r="S54" s="163">
        <v>1</v>
      </c>
      <c r="T54" s="163">
        <v>1</v>
      </c>
      <c r="U54" s="163">
        <v>1</v>
      </c>
      <c r="V54" s="135"/>
      <c r="W54" s="135"/>
      <c r="X54" s="163"/>
      <c r="Y54" s="135">
        <v>4043</v>
      </c>
      <c r="Z54" s="135">
        <v>1000</v>
      </c>
      <c r="AA54" s="135">
        <v>300</v>
      </c>
      <c r="AB54" s="135">
        <v>1</v>
      </c>
      <c r="AC54" s="135"/>
      <c r="AD54" s="135"/>
      <c r="AE54" s="135"/>
      <c r="AF54" s="163">
        <v>1</v>
      </c>
      <c r="AG54" s="169">
        <v>100</v>
      </c>
      <c r="AH54" s="135"/>
      <c r="AI54" s="135"/>
      <c r="AJ54" s="135"/>
      <c r="AK54" s="135">
        <v>0</v>
      </c>
      <c r="AL54" s="135"/>
      <c r="AM54" s="135"/>
      <c r="AN54" s="135"/>
      <c r="AO54" s="130"/>
      <c r="AP54" s="130"/>
      <c r="AQ54" s="130"/>
      <c r="AR54" s="130"/>
      <c r="AS54" s="130"/>
      <c r="AT54" s="130"/>
      <c r="AU54" s="130" t="s">
        <v>357</v>
      </c>
      <c r="AV54" s="130"/>
      <c r="AW54" s="104" t="s">
        <v>248</v>
      </c>
      <c r="AX54" s="130" t="s">
        <v>249</v>
      </c>
      <c r="AY54" s="130"/>
      <c r="AZ54" s="130"/>
      <c r="BA54" s="130"/>
      <c r="BB54" s="179"/>
      <c r="BC54" s="179"/>
      <c r="BD54" s="104"/>
      <c r="BE54" s="130"/>
      <c r="BF54" s="135">
        <v>10901</v>
      </c>
      <c r="BG54" s="130"/>
      <c r="BH54" s="185" t="s">
        <v>274</v>
      </c>
      <c r="BI54" s="130" t="s">
        <v>280</v>
      </c>
      <c r="BJ54" s="130" t="s">
        <v>262</v>
      </c>
      <c r="BK54" s="130" t="s">
        <v>253</v>
      </c>
      <c r="BL54" s="135"/>
      <c r="BM54" s="135"/>
      <c r="BN54" s="135"/>
      <c r="BO54" s="163">
        <v>100</v>
      </c>
      <c r="BP54" s="163">
        <v>200</v>
      </c>
      <c r="BQ54" s="130" t="s">
        <v>241</v>
      </c>
      <c r="BR54" s="135">
        <v>1</v>
      </c>
      <c r="BS54" s="135"/>
      <c r="BT54" s="163">
        <v>50</v>
      </c>
      <c r="BU54" s="163">
        <v>40</v>
      </c>
      <c r="BV54" s="130"/>
      <c r="BW54" s="104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63"/>
      <c r="CI54" s="130"/>
      <c r="CJ54" s="135"/>
      <c r="CK54" s="135"/>
      <c r="CL54" s="130"/>
      <c r="CM54" s="193"/>
      <c r="CN54" s="193"/>
      <c r="CO54" s="193"/>
      <c r="CP54" s="193"/>
      <c r="CQ54" s="193"/>
      <c r="CR54" s="193"/>
    </row>
    <row r="55" spans="1:96" ht="15.75" customHeight="1" x14ac:dyDescent="0.35">
      <c r="A55" s="294"/>
      <c r="B55" s="145" t="s">
        <v>355</v>
      </c>
      <c r="C55" s="92" t="s">
        <v>359</v>
      </c>
      <c r="D55" s="138">
        <v>10819</v>
      </c>
      <c r="E55" s="135">
        <v>70024</v>
      </c>
      <c r="F55" s="135"/>
      <c r="G55" s="139"/>
      <c r="H55" s="135"/>
      <c r="I55" s="135"/>
      <c r="J55" s="135"/>
      <c r="K55" s="135">
        <v>12</v>
      </c>
      <c r="L55" s="135"/>
      <c r="M55" s="139"/>
      <c r="N55" s="139"/>
      <c r="O55" s="154"/>
      <c r="P55" s="135">
        <v>1</v>
      </c>
      <c r="Q55" s="135">
        <v>1</v>
      </c>
      <c r="R55" s="135"/>
      <c r="S55" s="163">
        <v>1</v>
      </c>
      <c r="T55" s="163">
        <v>1</v>
      </c>
      <c r="U55" s="163">
        <v>1</v>
      </c>
      <c r="V55" s="135"/>
      <c r="W55" s="135"/>
      <c r="X55" s="163"/>
      <c r="Y55" s="135">
        <v>4043</v>
      </c>
      <c r="Z55" s="135">
        <v>1000</v>
      </c>
      <c r="AA55" s="135">
        <v>300</v>
      </c>
      <c r="AB55" s="135">
        <v>1</v>
      </c>
      <c r="AC55" s="135"/>
      <c r="AD55" s="135"/>
      <c r="AE55" s="135"/>
      <c r="AF55" s="163">
        <v>1</v>
      </c>
      <c r="AG55" s="169">
        <v>100</v>
      </c>
      <c r="AH55" s="135"/>
      <c r="AI55" s="135"/>
      <c r="AJ55" s="135"/>
      <c r="AK55" s="135">
        <v>0</v>
      </c>
      <c r="AL55" s="135"/>
      <c r="AM55" s="135"/>
      <c r="AN55" s="135"/>
      <c r="AO55" s="130"/>
      <c r="AP55" s="130"/>
      <c r="AQ55" s="130"/>
      <c r="AR55" s="130"/>
      <c r="AS55" s="130"/>
      <c r="AT55" s="130"/>
      <c r="AU55" s="130" t="s">
        <v>357</v>
      </c>
      <c r="AV55" s="130"/>
      <c r="AW55" s="104" t="s">
        <v>248</v>
      </c>
      <c r="AX55" s="130" t="s">
        <v>249</v>
      </c>
      <c r="AY55" s="130"/>
      <c r="AZ55" s="130"/>
      <c r="BA55" s="130"/>
      <c r="BB55" s="179"/>
      <c r="BC55" s="179"/>
      <c r="BD55" s="104"/>
      <c r="BE55" s="130"/>
      <c r="BF55" s="135">
        <v>10901</v>
      </c>
      <c r="BG55" s="130"/>
      <c r="BH55" s="185" t="s">
        <v>274</v>
      </c>
      <c r="BI55" s="130" t="s">
        <v>280</v>
      </c>
      <c r="BJ55" s="130" t="s">
        <v>262</v>
      </c>
      <c r="BK55" s="130" t="s">
        <v>253</v>
      </c>
      <c r="BL55" s="135"/>
      <c r="BM55" s="135"/>
      <c r="BN55" s="135"/>
      <c r="BO55" s="163">
        <v>100</v>
      </c>
      <c r="BP55" s="163">
        <v>200</v>
      </c>
      <c r="BQ55" s="130" t="s">
        <v>241</v>
      </c>
      <c r="BR55" s="135">
        <v>1</v>
      </c>
      <c r="BS55" s="135"/>
      <c r="BT55" s="163">
        <v>50</v>
      </c>
      <c r="BU55" s="163">
        <v>40</v>
      </c>
      <c r="BV55" s="130"/>
      <c r="BW55" s="104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63"/>
      <c r="CI55" s="130"/>
      <c r="CJ55" s="135"/>
      <c r="CK55" s="135"/>
      <c r="CL55" s="130"/>
      <c r="CM55" s="193"/>
      <c r="CN55" s="193"/>
      <c r="CO55" s="193"/>
      <c r="CP55" s="193"/>
      <c r="CQ55" s="193"/>
      <c r="CR55" s="193"/>
    </row>
    <row r="56" spans="1:96" ht="15.75" customHeight="1" x14ac:dyDescent="0.35">
      <c r="A56" s="294"/>
      <c r="B56" s="145" t="s">
        <v>355</v>
      </c>
      <c r="C56" s="92"/>
      <c r="D56" s="138">
        <v>10820</v>
      </c>
      <c r="E56" s="135">
        <v>70024</v>
      </c>
      <c r="F56" s="135"/>
      <c r="G56" s="139"/>
      <c r="H56" s="135"/>
      <c r="I56" s="135"/>
      <c r="J56" s="135"/>
      <c r="K56" s="135">
        <v>12</v>
      </c>
      <c r="L56" s="135"/>
      <c r="M56" s="139"/>
      <c r="N56" s="139"/>
      <c r="O56" s="154"/>
      <c r="P56" s="135">
        <v>1</v>
      </c>
      <c r="Q56" s="135">
        <v>1</v>
      </c>
      <c r="R56" s="135"/>
      <c r="S56" s="163">
        <v>1</v>
      </c>
      <c r="T56" s="163">
        <v>1</v>
      </c>
      <c r="U56" s="163">
        <v>1</v>
      </c>
      <c r="V56" s="135"/>
      <c r="W56" s="135"/>
      <c r="X56" s="163"/>
      <c r="Y56" s="135">
        <v>4043</v>
      </c>
      <c r="Z56" s="135">
        <v>1000</v>
      </c>
      <c r="AA56" s="135">
        <v>300</v>
      </c>
      <c r="AB56" s="135">
        <v>1</v>
      </c>
      <c r="AC56" s="135"/>
      <c r="AD56" s="135"/>
      <c r="AE56" s="135"/>
      <c r="AF56" s="163">
        <v>1</v>
      </c>
      <c r="AG56" s="169">
        <v>100</v>
      </c>
      <c r="AH56" s="135"/>
      <c r="AI56" s="135"/>
      <c r="AJ56" s="135"/>
      <c r="AK56" s="135">
        <v>0</v>
      </c>
      <c r="AL56" s="135"/>
      <c r="AM56" s="135"/>
      <c r="AN56" s="135"/>
      <c r="AO56" s="130"/>
      <c r="AP56" s="130"/>
      <c r="AQ56" s="130"/>
      <c r="AR56" s="130"/>
      <c r="AS56" s="130"/>
      <c r="AT56" s="130"/>
      <c r="AU56" s="130" t="s">
        <v>357</v>
      </c>
      <c r="AV56" s="130"/>
      <c r="AW56" s="104" t="s">
        <v>248</v>
      </c>
      <c r="AX56" s="130" t="s">
        <v>249</v>
      </c>
      <c r="AY56" s="130"/>
      <c r="AZ56" s="130"/>
      <c r="BA56" s="130"/>
      <c r="BB56" s="179"/>
      <c r="BC56" s="179"/>
      <c r="BD56" s="104"/>
      <c r="BE56" s="130"/>
      <c r="BF56" s="135">
        <v>10901</v>
      </c>
      <c r="BG56" s="130"/>
      <c r="BH56" s="185" t="s">
        <v>274</v>
      </c>
      <c r="BI56" s="130" t="s">
        <v>280</v>
      </c>
      <c r="BJ56" s="130" t="s">
        <v>262</v>
      </c>
      <c r="BK56" s="130" t="s">
        <v>253</v>
      </c>
      <c r="BL56" s="135"/>
      <c r="BM56" s="135"/>
      <c r="BN56" s="135"/>
      <c r="BO56" s="163">
        <v>100</v>
      </c>
      <c r="BP56" s="163">
        <v>200</v>
      </c>
      <c r="BQ56" s="130" t="s">
        <v>241</v>
      </c>
      <c r="BR56" s="135">
        <v>1</v>
      </c>
      <c r="BS56" s="135"/>
      <c r="BT56" s="163">
        <v>50</v>
      </c>
      <c r="BU56" s="163">
        <v>40</v>
      </c>
      <c r="BV56" s="130"/>
      <c r="BW56" s="104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63"/>
      <c r="CI56" s="130"/>
      <c r="CJ56" s="135"/>
      <c r="CK56" s="135"/>
      <c r="CL56" s="130"/>
      <c r="CM56" s="193"/>
      <c r="CN56" s="193"/>
      <c r="CO56" s="193"/>
      <c r="CP56" s="193"/>
      <c r="CQ56" s="193"/>
      <c r="CR56" s="193"/>
    </row>
    <row r="57" spans="1:96" ht="15.75" customHeight="1" x14ac:dyDescent="0.35">
      <c r="A57" s="294"/>
      <c r="B57" s="145" t="s">
        <v>355</v>
      </c>
      <c r="C57" s="92"/>
      <c r="D57" s="138">
        <v>10821</v>
      </c>
      <c r="E57" s="135">
        <v>70024</v>
      </c>
      <c r="F57" s="135"/>
      <c r="G57" s="139"/>
      <c r="H57" s="135"/>
      <c r="I57" s="135"/>
      <c r="J57" s="135"/>
      <c r="K57" s="135">
        <v>12</v>
      </c>
      <c r="L57" s="135"/>
      <c r="M57" s="139"/>
      <c r="N57" s="139"/>
      <c r="O57" s="154"/>
      <c r="P57" s="135">
        <v>1</v>
      </c>
      <c r="Q57" s="135">
        <v>1</v>
      </c>
      <c r="R57" s="135"/>
      <c r="S57" s="163">
        <v>1</v>
      </c>
      <c r="T57" s="163">
        <v>1</v>
      </c>
      <c r="U57" s="163">
        <v>1</v>
      </c>
      <c r="V57" s="135"/>
      <c r="W57" s="135"/>
      <c r="X57" s="163"/>
      <c r="Y57" s="135">
        <v>4043</v>
      </c>
      <c r="Z57" s="135">
        <v>1000</v>
      </c>
      <c r="AA57" s="135">
        <v>300</v>
      </c>
      <c r="AB57" s="135">
        <v>1</v>
      </c>
      <c r="AC57" s="135"/>
      <c r="AD57" s="135"/>
      <c r="AE57" s="135"/>
      <c r="AF57" s="163">
        <v>1</v>
      </c>
      <c r="AG57" s="169">
        <v>100</v>
      </c>
      <c r="AH57" s="135"/>
      <c r="AI57" s="135"/>
      <c r="AJ57" s="135"/>
      <c r="AK57" s="135">
        <v>0</v>
      </c>
      <c r="AL57" s="135"/>
      <c r="AM57" s="135"/>
      <c r="AN57" s="135"/>
      <c r="AO57" s="130"/>
      <c r="AP57" s="130"/>
      <c r="AQ57" s="130"/>
      <c r="AR57" s="130"/>
      <c r="AS57" s="130"/>
      <c r="AT57" s="130"/>
      <c r="AU57" s="130" t="s">
        <v>357</v>
      </c>
      <c r="AV57" s="130"/>
      <c r="AW57" s="104" t="s">
        <v>248</v>
      </c>
      <c r="AX57" s="130" t="s">
        <v>249</v>
      </c>
      <c r="AY57" s="130"/>
      <c r="AZ57" s="130"/>
      <c r="BA57" s="130"/>
      <c r="BB57" s="179"/>
      <c r="BC57" s="179"/>
      <c r="BD57" s="104"/>
      <c r="BE57" s="130"/>
      <c r="BF57" s="135">
        <v>10901</v>
      </c>
      <c r="BG57" s="130"/>
      <c r="BH57" s="185" t="s">
        <v>274</v>
      </c>
      <c r="BI57" s="130" t="s">
        <v>280</v>
      </c>
      <c r="BJ57" s="130" t="s">
        <v>262</v>
      </c>
      <c r="BK57" s="130" t="s">
        <v>253</v>
      </c>
      <c r="BL57" s="135"/>
      <c r="BM57" s="135"/>
      <c r="BN57" s="135"/>
      <c r="BO57" s="163">
        <v>100</v>
      </c>
      <c r="BP57" s="163">
        <v>200</v>
      </c>
      <c r="BQ57" s="130" t="s">
        <v>241</v>
      </c>
      <c r="BR57" s="135">
        <v>1</v>
      </c>
      <c r="BS57" s="135"/>
      <c r="BT57" s="163">
        <v>50</v>
      </c>
      <c r="BU57" s="163">
        <v>40</v>
      </c>
      <c r="BV57" s="130"/>
      <c r="BW57" s="104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63"/>
      <c r="CI57" s="130"/>
      <c r="CJ57" s="135"/>
      <c r="CK57" s="135"/>
      <c r="CL57" s="130"/>
      <c r="CM57" s="193"/>
      <c r="CN57" s="193"/>
      <c r="CO57" s="193"/>
      <c r="CP57" s="193"/>
      <c r="CQ57" s="193"/>
      <c r="CR57" s="193"/>
    </row>
    <row r="58" spans="1:96" ht="15.75" customHeight="1" x14ac:dyDescent="0.35">
      <c r="A58" s="294"/>
      <c r="B58" s="145" t="s">
        <v>355</v>
      </c>
      <c r="C58" s="92"/>
      <c r="D58" s="138">
        <v>10822</v>
      </c>
      <c r="E58" s="135">
        <v>70024</v>
      </c>
      <c r="F58" s="135"/>
      <c r="G58" s="139"/>
      <c r="H58" s="135"/>
      <c r="I58" s="135"/>
      <c r="J58" s="135"/>
      <c r="K58" s="135">
        <v>12</v>
      </c>
      <c r="L58" s="135"/>
      <c r="M58" s="139"/>
      <c r="N58" s="139"/>
      <c r="O58" s="154"/>
      <c r="P58" s="135">
        <v>1</v>
      </c>
      <c r="Q58" s="135">
        <v>1</v>
      </c>
      <c r="R58" s="135"/>
      <c r="S58" s="163">
        <v>1</v>
      </c>
      <c r="T58" s="163">
        <v>1</v>
      </c>
      <c r="U58" s="163">
        <v>1</v>
      </c>
      <c r="V58" s="135"/>
      <c r="W58" s="135"/>
      <c r="X58" s="163"/>
      <c r="Y58" s="135">
        <v>4043</v>
      </c>
      <c r="Z58" s="135">
        <v>1000</v>
      </c>
      <c r="AA58" s="135">
        <v>300</v>
      </c>
      <c r="AB58" s="135">
        <v>1</v>
      </c>
      <c r="AC58" s="135"/>
      <c r="AD58" s="135"/>
      <c r="AE58" s="135"/>
      <c r="AF58" s="163">
        <v>1</v>
      </c>
      <c r="AG58" s="169">
        <v>100</v>
      </c>
      <c r="AH58" s="135"/>
      <c r="AI58" s="135"/>
      <c r="AJ58" s="135"/>
      <c r="AK58" s="135">
        <v>0</v>
      </c>
      <c r="AL58" s="135"/>
      <c r="AM58" s="135"/>
      <c r="AN58" s="135"/>
      <c r="AO58" s="130"/>
      <c r="AP58" s="130"/>
      <c r="AQ58" s="130"/>
      <c r="AR58" s="130"/>
      <c r="AS58" s="130"/>
      <c r="AT58" s="130"/>
      <c r="AU58" s="130" t="s">
        <v>357</v>
      </c>
      <c r="AV58" s="130"/>
      <c r="AW58" s="104" t="s">
        <v>248</v>
      </c>
      <c r="AX58" s="130" t="s">
        <v>249</v>
      </c>
      <c r="AY58" s="130"/>
      <c r="AZ58" s="130"/>
      <c r="BA58" s="130"/>
      <c r="BB58" s="179"/>
      <c r="BC58" s="179"/>
      <c r="BD58" s="104"/>
      <c r="BE58" s="130"/>
      <c r="BF58" s="135">
        <v>10901</v>
      </c>
      <c r="BG58" s="130"/>
      <c r="BH58" s="185" t="s">
        <v>274</v>
      </c>
      <c r="BI58" s="130" t="s">
        <v>280</v>
      </c>
      <c r="BJ58" s="130" t="s">
        <v>262</v>
      </c>
      <c r="BK58" s="130" t="s">
        <v>253</v>
      </c>
      <c r="BL58" s="135"/>
      <c r="BM58" s="135"/>
      <c r="BN58" s="135"/>
      <c r="BO58" s="163">
        <v>100</v>
      </c>
      <c r="BP58" s="163">
        <v>200</v>
      </c>
      <c r="BQ58" s="130" t="s">
        <v>241</v>
      </c>
      <c r="BR58" s="135">
        <v>1</v>
      </c>
      <c r="BS58" s="135"/>
      <c r="BT58" s="163">
        <v>50</v>
      </c>
      <c r="BU58" s="163">
        <v>40</v>
      </c>
      <c r="BV58" s="130"/>
      <c r="BW58" s="104"/>
      <c r="BX58" s="135"/>
      <c r="BY58" s="135"/>
      <c r="BZ58" s="135"/>
      <c r="CA58" s="135"/>
      <c r="CB58" s="135"/>
      <c r="CC58" s="135"/>
      <c r="CD58" s="135"/>
      <c r="CE58" s="135"/>
      <c r="CF58" s="135"/>
      <c r="CG58" s="135"/>
      <c r="CH58" s="163"/>
      <c r="CI58" s="130"/>
      <c r="CJ58" s="135"/>
      <c r="CK58" s="135"/>
      <c r="CL58" s="130"/>
      <c r="CM58" s="193"/>
      <c r="CN58" s="193"/>
      <c r="CO58" s="193"/>
      <c r="CP58" s="193"/>
      <c r="CQ58" s="193"/>
      <c r="CR58" s="193"/>
    </row>
    <row r="59" spans="1:96" ht="15.75" customHeight="1" x14ac:dyDescent="0.35">
      <c r="A59" s="294"/>
      <c r="B59" s="145" t="s">
        <v>355</v>
      </c>
      <c r="C59" s="92" t="s">
        <v>360</v>
      </c>
      <c r="D59" s="138">
        <v>10823</v>
      </c>
      <c r="E59" s="135">
        <v>70024</v>
      </c>
      <c r="F59" s="135"/>
      <c r="G59" s="139"/>
      <c r="H59" s="135"/>
      <c r="I59" s="135"/>
      <c r="J59" s="135"/>
      <c r="K59" s="135">
        <v>12</v>
      </c>
      <c r="L59" s="135"/>
      <c r="M59" s="139"/>
      <c r="N59" s="139"/>
      <c r="O59" s="154"/>
      <c r="P59" s="135">
        <v>1</v>
      </c>
      <c r="Q59" s="135">
        <v>1</v>
      </c>
      <c r="R59" s="135"/>
      <c r="S59" s="163">
        <v>1</v>
      </c>
      <c r="T59" s="163">
        <v>1</v>
      </c>
      <c r="U59" s="163">
        <v>1</v>
      </c>
      <c r="V59" s="135"/>
      <c r="W59" s="135"/>
      <c r="X59" s="163"/>
      <c r="Y59" s="135">
        <v>4043</v>
      </c>
      <c r="Z59" s="135">
        <v>1000</v>
      </c>
      <c r="AA59" s="135">
        <v>300</v>
      </c>
      <c r="AB59" s="135">
        <v>1</v>
      </c>
      <c r="AC59" s="135"/>
      <c r="AD59" s="135"/>
      <c r="AE59" s="135"/>
      <c r="AF59" s="163">
        <v>1</v>
      </c>
      <c r="AG59" s="169">
        <v>100</v>
      </c>
      <c r="AH59" s="135"/>
      <c r="AI59" s="135"/>
      <c r="AJ59" s="135"/>
      <c r="AK59" s="135">
        <v>0</v>
      </c>
      <c r="AL59" s="135"/>
      <c r="AM59" s="135"/>
      <c r="AN59" s="135"/>
      <c r="AO59" s="130"/>
      <c r="AP59" s="130"/>
      <c r="AQ59" s="130"/>
      <c r="AR59" s="130"/>
      <c r="AS59" s="130"/>
      <c r="AT59" s="130"/>
      <c r="AU59" s="130" t="s">
        <v>357</v>
      </c>
      <c r="AV59" s="130"/>
      <c r="AW59" s="104" t="s">
        <v>248</v>
      </c>
      <c r="AX59" s="130" t="s">
        <v>249</v>
      </c>
      <c r="AY59" s="130"/>
      <c r="AZ59" s="130"/>
      <c r="BA59" s="130"/>
      <c r="BB59" s="179"/>
      <c r="BC59" s="179"/>
      <c r="BD59" s="104"/>
      <c r="BE59" s="130"/>
      <c r="BF59" s="135">
        <v>10901</v>
      </c>
      <c r="BG59" s="130"/>
      <c r="BH59" s="185" t="s">
        <v>274</v>
      </c>
      <c r="BI59" s="130" t="s">
        <v>280</v>
      </c>
      <c r="BJ59" s="130" t="s">
        <v>262</v>
      </c>
      <c r="BK59" s="130" t="s">
        <v>253</v>
      </c>
      <c r="BL59" s="135"/>
      <c r="BM59" s="135"/>
      <c r="BN59" s="135"/>
      <c r="BO59" s="163">
        <v>100</v>
      </c>
      <c r="BP59" s="163">
        <v>200</v>
      </c>
      <c r="BQ59" s="130" t="s">
        <v>241</v>
      </c>
      <c r="BR59" s="135">
        <v>1</v>
      </c>
      <c r="BS59" s="135"/>
      <c r="BT59" s="163">
        <v>50</v>
      </c>
      <c r="BU59" s="163">
        <v>40</v>
      </c>
      <c r="BV59" s="130"/>
      <c r="BW59" s="104"/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63"/>
      <c r="CI59" s="130"/>
      <c r="CJ59" s="135"/>
      <c r="CK59" s="135"/>
      <c r="CL59" s="130"/>
      <c r="CM59" s="193"/>
      <c r="CN59" s="193"/>
      <c r="CO59" s="193"/>
      <c r="CP59" s="193"/>
      <c r="CQ59" s="193"/>
      <c r="CR59" s="193"/>
    </row>
    <row r="60" spans="1:96" ht="15.75" customHeight="1" x14ac:dyDescent="0.35">
      <c r="A60" s="294"/>
      <c r="B60" s="145" t="s">
        <v>355</v>
      </c>
      <c r="C60" s="92"/>
      <c r="D60" s="138">
        <v>10824</v>
      </c>
      <c r="E60" s="135">
        <v>70024</v>
      </c>
      <c r="F60" s="135"/>
      <c r="G60" s="139"/>
      <c r="H60" s="135"/>
      <c r="I60" s="135"/>
      <c r="J60" s="135"/>
      <c r="K60" s="135">
        <v>12</v>
      </c>
      <c r="L60" s="135"/>
      <c r="M60" s="139"/>
      <c r="N60" s="139"/>
      <c r="O60" s="154"/>
      <c r="P60" s="135">
        <v>1</v>
      </c>
      <c r="Q60" s="135">
        <v>1</v>
      </c>
      <c r="R60" s="135"/>
      <c r="S60" s="163">
        <v>1</v>
      </c>
      <c r="T60" s="163">
        <v>1</v>
      </c>
      <c r="U60" s="163">
        <v>1</v>
      </c>
      <c r="V60" s="135"/>
      <c r="W60" s="135"/>
      <c r="X60" s="163"/>
      <c r="Y60" s="135">
        <v>4043</v>
      </c>
      <c r="Z60" s="135">
        <v>1000</v>
      </c>
      <c r="AA60" s="135">
        <v>300</v>
      </c>
      <c r="AB60" s="135">
        <v>1</v>
      </c>
      <c r="AC60" s="135"/>
      <c r="AD60" s="135"/>
      <c r="AE60" s="135"/>
      <c r="AF60" s="163">
        <v>1</v>
      </c>
      <c r="AG60" s="169">
        <v>100</v>
      </c>
      <c r="AH60" s="135"/>
      <c r="AI60" s="135"/>
      <c r="AJ60" s="135"/>
      <c r="AK60" s="135">
        <v>0</v>
      </c>
      <c r="AL60" s="135"/>
      <c r="AM60" s="135"/>
      <c r="AN60" s="135"/>
      <c r="AO60" s="130"/>
      <c r="AP60" s="130"/>
      <c r="AQ60" s="130"/>
      <c r="AR60" s="130"/>
      <c r="AS60" s="130"/>
      <c r="AT60" s="130"/>
      <c r="AU60" s="130" t="s">
        <v>357</v>
      </c>
      <c r="AV60" s="130"/>
      <c r="AW60" s="104" t="s">
        <v>248</v>
      </c>
      <c r="AX60" s="130" t="s">
        <v>249</v>
      </c>
      <c r="AY60" s="130"/>
      <c r="AZ60" s="130"/>
      <c r="BA60" s="130"/>
      <c r="BB60" s="179"/>
      <c r="BC60" s="179"/>
      <c r="BD60" s="104"/>
      <c r="BE60" s="130"/>
      <c r="BF60" s="135">
        <v>10901</v>
      </c>
      <c r="BG60" s="130"/>
      <c r="BH60" s="185" t="s">
        <v>274</v>
      </c>
      <c r="BI60" s="130" t="s">
        <v>280</v>
      </c>
      <c r="BJ60" s="130" t="s">
        <v>262</v>
      </c>
      <c r="BK60" s="130" t="s">
        <v>253</v>
      </c>
      <c r="BL60" s="135"/>
      <c r="BM60" s="135"/>
      <c r="BN60" s="135"/>
      <c r="BO60" s="163">
        <v>100</v>
      </c>
      <c r="BP60" s="163">
        <v>200</v>
      </c>
      <c r="BQ60" s="130" t="s">
        <v>241</v>
      </c>
      <c r="BR60" s="135">
        <v>1</v>
      </c>
      <c r="BS60" s="135"/>
      <c r="BT60" s="163">
        <v>50</v>
      </c>
      <c r="BU60" s="163">
        <v>40</v>
      </c>
      <c r="BV60" s="130"/>
      <c r="BW60" s="104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63"/>
      <c r="CI60" s="130"/>
      <c r="CJ60" s="135"/>
      <c r="CK60" s="135"/>
      <c r="CL60" s="130"/>
      <c r="CM60" s="193"/>
      <c r="CN60" s="193"/>
      <c r="CO60" s="193"/>
      <c r="CP60" s="193"/>
      <c r="CQ60" s="193"/>
      <c r="CR60" s="193"/>
    </row>
    <row r="61" spans="1:96" ht="15.75" customHeight="1" x14ac:dyDescent="0.35">
      <c r="A61" s="294"/>
      <c r="B61" s="145" t="s">
        <v>355</v>
      </c>
      <c r="C61" s="92"/>
      <c r="D61" s="138">
        <v>10825</v>
      </c>
      <c r="E61" s="135">
        <v>70024</v>
      </c>
      <c r="F61" s="135"/>
      <c r="G61" s="139"/>
      <c r="H61" s="135"/>
      <c r="I61" s="135"/>
      <c r="J61" s="135"/>
      <c r="K61" s="135">
        <v>12</v>
      </c>
      <c r="L61" s="135"/>
      <c r="M61" s="139"/>
      <c r="N61" s="139"/>
      <c r="O61" s="154"/>
      <c r="P61" s="135">
        <v>1</v>
      </c>
      <c r="Q61" s="135">
        <v>1</v>
      </c>
      <c r="R61" s="135"/>
      <c r="S61" s="163">
        <v>1</v>
      </c>
      <c r="T61" s="163">
        <v>1</v>
      </c>
      <c r="U61" s="163">
        <v>1</v>
      </c>
      <c r="V61" s="135"/>
      <c r="W61" s="135"/>
      <c r="X61" s="163"/>
      <c r="Y61" s="135">
        <v>4043</v>
      </c>
      <c r="Z61" s="135">
        <v>1000</v>
      </c>
      <c r="AA61" s="135">
        <v>300</v>
      </c>
      <c r="AB61" s="135">
        <v>1</v>
      </c>
      <c r="AC61" s="135"/>
      <c r="AD61" s="135"/>
      <c r="AE61" s="135"/>
      <c r="AF61" s="163">
        <v>1</v>
      </c>
      <c r="AG61" s="169">
        <v>100</v>
      </c>
      <c r="AH61" s="135"/>
      <c r="AI61" s="135"/>
      <c r="AJ61" s="135"/>
      <c r="AK61" s="135">
        <v>0</v>
      </c>
      <c r="AL61" s="135"/>
      <c r="AM61" s="135"/>
      <c r="AN61" s="135"/>
      <c r="AO61" s="130"/>
      <c r="AP61" s="130"/>
      <c r="AQ61" s="130"/>
      <c r="AR61" s="130"/>
      <c r="AS61" s="130"/>
      <c r="AT61" s="130"/>
      <c r="AU61" s="130" t="s">
        <v>357</v>
      </c>
      <c r="AV61" s="130"/>
      <c r="AW61" s="104" t="s">
        <v>248</v>
      </c>
      <c r="AX61" s="130" t="s">
        <v>249</v>
      </c>
      <c r="AY61" s="130"/>
      <c r="AZ61" s="130"/>
      <c r="BA61" s="130"/>
      <c r="BB61" s="179"/>
      <c r="BC61" s="179"/>
      <c r="BD61" s="104"/>
      <c r="BE61" s="130"/>
      <c r="BF61" s="135">
        <v>10901</v>
      </c>
      <c r="BG61" s="130"/>
      <c r="BH61" s="185" t="s">
        <v>274</v>
      </c>
      <c r="BI61" s="130" t="s">
        <v>280</v>
      </c>
      <c r="BJ61" s="130" t="s">
        <v>262</v>
      </c>
      <c r="BK61" s="130" t="s">
        <v>253</v>
      </c>
      <c r="BL61" s="135"/>
      <c r="BM61" s="135"/>
      <c r="BN61" s="135"/>
      <c r="BO61" s="163">
        <v>100</v>
      </c>
      <c r="BP61" s="163">
        <v>200</v>
      </c>
      <c r="BQ61" s="130" t="s">
        <v>241</v>
      </c>
      <c r="BR61" s="135">
        <v>1</v>
      </c>
      <c r="BS61" s="135"/>
      <c r="BT61" s="163">
        <v>50</v>
      </c>
      <c r="BU61" s="163">
        <v>40</v>
      </c>
      <c r="BV61" s="130"/>
      <c r="BW61" s="104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63"/>
      <c r="CI61" s="130"/>
      <c r="CJ61" s="135"/>
      <c r="CK61" s="135"/>
      <c r="CL61" s="130"/>
      <c r="CM61" s="193"/>
      <c r="CN61" s="193"/>
      <c r="CO61" s="193"/>
      <c r="CP61" s="193"/>
      <c r="CQ61" s="193"/>
      <c r="CR61" s="193"/>
    </row>
    <row r="62" spans="1:96" ht="15.75" customHeight="1" x14ac:dyDescent="0.35">
      <c r="A62" s="294"/>
      <c r="B62" s="145" t="s">
        <v>355</v>
      </c>
      <c r="C62" s="92"/>
      <c r="D62" s="138">
        <v>10826</v>
      </c>
      <c r="E62" s="135">
        <v>70024</v>
      </c>
      <c r="F62" s="135"/>
      <c r="G62" s="139"/>
      <c r="H62" s="135"/>
      <c r="I62" s="135"/>
      <c r="J62" s="135"/>
      <c r="K62" s="135">
        <v>12</v>
      </c>
      <c r="L62" s="135"/>
      <c r="M62" s="139"/>
      <c r="N62" s="139"/>
      <c r="O62" s="154"/>
      <c r="P62" s="135">
        <v>1</v>
      </c>
      <c r="Q62" s="135">
        <v>1</v>
      </c>
      <c r="R62" s="135"/>
      <c r="S62" s="163">
        <v>1</v>
      </c>
      <c r="T62" s="163">
        <v>1</v>
      </c>
      <c r="U62" s="163">
        <v>1</v>
      </c>
      <c r="V62" s="135"/>
      <c r="W62" s="135"/>
      <c r="X62" s="163"/>
      <c r="Y62" s="135">
        <v>4043</v>
      </c>
      <c r="Z62" s="135">
        <v>1000</v>
      </c>
      <c r="AA62" s="135">
        <v>300</v>
      </c>
      <c r="AB62" s="135">
        <v>1</v>
      </c>
      <c r="AC62" s="135"/>
      <c r="AD62" s="135"/>
      <c r="AE62" s="135"/>
      <c r="AF62" s="163">
        <v>1</v>
      </c>
      <c r="AG62" s="169">
        <v>100</v>
      </c>
      <c r="AH62" s="135"/>
      <c r="AI62" s="135"/>
      <c r="AJ62" s="135"/>
      <c r="AK62" s="135">
        <v>0</v>
      </c>
      <c r="AL62" s="135"/>
      <c r="AM62" s="135"/>
      <c r="AN62" s="135"/>
      <c r="AO62" s="130"/>
      <c r="AP62" s="130"/>
      <c r="AQ62" s="130"/>
      <c r="AR62" s="130"/>
      <c r="AS62" s="130"/>
      <c r="AT62" s="130"/>
      <c r="AU62" s="130" t="s">
        <v>357</v>
      </c>
      <c r="AV62" s="130"/>
      <c r="AW62" s="104" t="s">
        <v>248</v>
      </c>
      <c r="AX62" s="130" t="s">
        <v>249</v>
      </c>
      <c r="AY62" s="130"/>
      <c r="AZ62" s="130"/>
      <c r="BA62" s="130"/>
      <c r="BB62" s="179"/>
      <c r="BC62" s="179"/>
      <c r="BD62" s="104"/>
      <c r="BE62" s="130"/>
      <c r="BF62" s="135">
        <v>10901</v>
      </c>
      <c r="BG62" s="130"/>
      <c r="BH62" s="185" t="s">
        <v>274</v>
      </c>
      <c r="BI62" s="130" t="s">
        <v>280</v>
      </c>
      <c r="BJ62" s="130" t="s">
        <v>262</v>
      </c>
      <c r="BK62" s="130" t="s">
        <v>253</v>
      </c>
      <c r="BL62" s="135"/>
      <c r="BM62" s="135"/>
      <c r="BN62" s="135"/>
      <c r="BO62" s="163">
        <v>100</v>
      </c>
      <c r="BP62" s="163">
        <v>200</v>
      </c>
      <c r="BQ62" s="130" t="s">
        <v>241</v>
      </c>
      <c r="BR62" s="135">
        <v>1</v>
      </c>
      <c r="BS62" s="135"/>
      <c r="BT62" s="163">
        <v>50</v>
      </c>
      <c r="BU62" s="163">
        <v>40</v>
      </c>
      <c r="BV62" s="130"/>
      <c r="BW62" s="104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63"/>
      <c r="CI62" s="130"/>
      <c r="CJ62" s="135"/>
      <c r="CK62" s="135"/>
      <c r="CL62" s="130"/>
      <c r="CM62" s="193"/>
      <c r="CN62" s="193"/>
      <c r="CO62" s="193"/>
      <c r="CP62" s="193"/>
      <c r="CQ62" s="193"/>
      <c r="CR62" s="193"/>
    </row>
    <row r="63" spans="1:96" ht="15.75" customHeight="1" x14ac:dyDescent="0.35">
      <c r="A63" s="294"/>
      <c r="B63" s="145" t="s">
        <v>355</v>
      </c>
      <c r="C63" s="92" t="s">
        <v>361</v>
      </c>
      <c r="D63" s="138">
        <v>10827</v>
      </c>
      <c r="E63" s="135">
        <v>70024</v>
      </c>
      <c r="F63" s="135"/>
      <c r="G63" s="139"/>
      <c r="H63" s="135"/>
      <c r="I63" s="135"/>
      <c r="J63" s="135"/>
      <c r="K63" s="135">
        <v>12</v>
      </c>
      <c r="L63" s="135"/>
      <c r="M63" s="139"/>
      <c r="N63" s="139"/>
      <c r="O63" s="154"/>
      <c r="P63" s="135">
        <v>1</v>
      </c>
      <c r="Q63" s="135">
        <v>1</v>
      </c>
      <c r="R63" s="135"/>
      <c r="S63" s="163">
        <v>1</v>
      </c>
      <c r="T63" s="163">
        <v>1</v>
      </c>
      <c r="U63" s="163">
        <v>1</v>
      </c>
      <c r="V63" s="135"/>
      <c r="W63" s="135"/>
      <c r="X63" s="163"/>
      <c r="Y63" s="135">
        <v>4043</v>
      </c>
      <c r="Z63" s="135">
        <v>1000</v>
      </c>
      <c r="AA63" s="135">
        <v>300</v>
      </c>
      <c r="AB63" s="135">
        <v>1</v>
      </c>
      <c r="AC63" s="135"/>
      <c r="AD63" s="135"/>
      <c r="AE63" s="135"/>
      <c r="AF63" s="163">
        <v>1</v>
      </c>
      <c r="AG63" s="169">
        <v>100</v>
      </c>
      <c r="AH63" s="135"/>
      <c r="AI63" s="135"/>
      <c r="AJ63" s="135"/>
      <c r="AK63" s="135">
        <v>0</v>
      </c>
      <c r="AL63" s="135"/>
      <c r="AM63" s="135"/>
      <c r="AN63" s="135"/>
      <c r="AO63" s="130"/>
      <c r="AP63" s="130"/>
      <c r="AQ63" s="130"/>
      <c r="AR63" s="130"/>
      <c r="AS63" s="130"/>
      <c r="AT63" s="130"/>
      <c r="AU63" s="130" t="s">
        <v>357</v>
      </c>
      <c r="AV63" s="130"/>
      <c r="AW63" s="104" t="s">
        <v>248</v>
      </c>
      <c r="AX63" s="130" t="s">
        <v>249</v>
      </c>
      <c r="AY63" s="130"/>
      <c r="AZ63" s="130"/>
      <c r="BA63" s="130"/>
      <c r="BB63" s="179"/>
      <c r="BC63" s="179"/>
      <c r="BD63" s="104"/>
      <c r="BE63" s="130"/>
      <c r="BF63" s="135">
        <v>10901</v>
      </c>
      <c r="BG63" s="130"/>
      <c r="BH63" s="185" t="s">
        <v>274</v>
      </c>
      <c r="BI63" s="130" t="s">
        <v>280</v>
      </c>
      <c r="BJ63" s="130" t="s">
        <v>262</v>
      </c>
      <c r="BK63" s="130" t="s">
        <v>253</v>
      </c>
      <c r="BL63" s="135"/>
      <c r="BM63" s="135"/>
      <c r="BN63" s="135"/>
      <c r="BO63" s="163">
        <v>100</v>
      </c>
      <c r="BP63" s="163">
        <v>200</v>
      </c>
      <c r="BQ63" s="130" t="s">
        <v>241</v>
      </c>
      <c r="BR63" s="135">
        <v>1</v>
      </c>
      <c r="BS63" s="135"/>
      <c r="BT63" s="163">
        <v>50</v>
      </c>
      <c r="BU63" s="163">
        <v>40</v>
      </c>
      <c r="BV63" s="130"/>
      <c r="BW63" s="104"/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63"/>
      <c r="CI63" s="130"/>
      <c r="CJ63" s="135"/>
      <c r="CK63" s="135"/>
      <c r="CL63" s="130"/>
      <c r="CM63" s="193"/>
      <c r="CN63" s="193"/>
      <c r="CO63" s="193"/>
      <c r="CP63" s="193"/>
      <c r="CQ63" s="193"/>
      <c r="CR63" s="193"/>
    </row>
    <row r="64" spans="1:96" ht="15.75" customHeight="1" x14ac:dyDescent="0.35">
      <c r="A64" s="294"/>
      <c r="B64" s="145" t="s">
        <v>355</v>
      </c>
      <c r="C64" s="92"/>
      <c r="D64" s="138">
        <v>10828</v>
      </c>
      <c r="E64" s="135">
        <v>70024</v>
      </c>
      <c r="F64" s="135"/>
      <c r="G64" s="139"/>
      <c r="H64" s="135"/>
      <c r="I64" s="135"/>
      <c r="J64" s="135"/>
      <c r="K64" s="135">
        <v>12</v>
      </c>
      <c r="L64" s="135"/>
      <c r="M64" s="139"/>
      <c r="N64" s="139"/>
      <c r="O64" s="154"/>
      <c r="P64" s="135">
        <v>1</v>
      </c>
      <c r="Q64" s="135">
        <v>1</v>
      </c>
      <c r="R64" s="135"/>
      <c r="S64" s="163">
        <v>1</v>
      </c>
      <c r="T64" s="163">
        <v>1</v>
      </c>
      <c r="U64" s="163">
        <v>1</v>
      </c>
      <c r="V64" s="135"/>
      <c r="W64" s="135"/>
      <c r="X64" s="163"/>
      <c r="Y64" s="135">
        <v>4043</v>
      </c>
      <c r="Z64" s="135">
        <v>1000</v>
      </c>
      <c r="AA64" s="135">
        <v>300</v>
      </c>
      <c r="AB64" s="135">
        <v>1</v>
      </c>
      <c r="AC64" s="135"/>
      <c r="AD64" s="135"/>
      <c r="AE64" s="135"/>
      <c r="AF64" s="163">
        <v>1</v>
      </c>
      <c r="AG64" s="169">
        <v>100</v>
      </c>
      <c r="AH64" s="135"/>
      <c r="AI64" s="135"/>
      <c r="AJ64" s="135"/>
      <c r="AK64" s="135">
        <v>0</v>
      </c>
      <c r="AL64" s="135"/>
      <c r="AM64" s="135"/>
      <c r="AN64" s="135"/>
      <c r="AO64" s="130"/>
      <c r="AP64" s="130"/>
      <c r="AQ64" s="130"/>
      <c r="AR64" s="130"/>
      <c r="AS64" s="130"/>
      <c r="AT64" s="130"/>
      <c r="AU64" s="130" t="s">
        <v>357</v>
      </c>
      <c r="AV64" s="130"/>
      <c r="AW64" s="104" t="s">
        <v>248</v>
      </c>
      <c r="AX64" s="130" t="s">
        <v>249</v>
      </c>
      <c r="AY64" s="130"/>
      <c r="AZ64" s="130"/>
      <c r="BA64" s="130"/>
      <c r="BB64" s="179"/>
      <c r="BC64" s="179"/>
      <c r="BD64" s="104"/>
      <c r="BE64" s="130"/>
      <c r="BF64" s="135">
        <v>10901</v>
      </c>
      <c r="BG64" s="130"/>
      <c r="BH64" s="185" t="s">
        <v>274</v>
      </c>
      <c r="BI64" s="130" t="s">
        <v>280</v>
      </c>
      <c r="BJ64" s="130" t="s">
        <v>262</v>
      </c>
      <c r="BK64" s="130" t="s">
        <v>253</v>
      </c>
      <c r="BL64" s="135"/>
      <c r="BM64" s="135"/>
      <c r="BN64" s="135"/>
      <c r="BO64" s="163">
        <v>100</v>
      </c>
      <c r="BP64" s="163">
        <v>200</v>
      </c>
      <c r="BQ64" s="130" t="s">
        <v>241</v>
      </c>
      <c r="BR64" s="135">
        <v>1</v>
      </c>
      <c r="BS64" s="135"/>
      <c r="BT64" s="163">
        <v>50</v>
      </c>
      <c r="BU64" s="163">
        <v>40</v>
      </c>
      <c r="BV64" s="130"/>
      <c r="BW64" s="104"/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63"/>
      <c r="CI64" s="130"/>
      <c r="CJ64" s="135"/>
      <c r="CK64" s="135"/>
      <c r="CL64" s="130"/>
      <c r="CM64" s="193"/>
      <c r="CN64" s="193"/>
      <c r="CO64" s="193"/>
      <c r="CP64" s="193"/>
      <c r="CQ64" s="193"/>
      <c r="CR64" s="193"/>
    </row>
    <row r="65" spans="1:96" ht="15.75" customHeight="1" x14ac:dyDescent="0.35">
      <c r="A65" s="294"/>
      <c r="B65" s="145" t="s">
        <v>355</v>
      </c>
      <c r="C65" s="92"/>
      <c r="D65" s="138">
        <v>10829</v>
      </c>
      <c r="E65" s="135">
        <v>70024</v>
      </c>
      <c r="F65" s="135"/>
      <c r="G65" s="139"/>
      <c r="H65" s="135"/>
      <c r="I65" s="135"/>
      <c r="J65" s="135"/>
      <c r="K65" s="135">
        <v>12</v>
      </c>
      <c r="L65" s="135"/>
      <c r="M65" s="139"/>
      <c r="N65" s="139"/>
      <c r="O65" s="154"/>
      <c r="P65" s="135">
        <v>1</v>
      </c>
      <c r="Q65" s="135">
        <v>1</v>
      </c>
      <c r="R65" s="135"/>
      <c r="S65" s="163">
        <v>1</v>
      </c>
      <c r="T65" s="163">
        <v>1</v>
      </c>
      <c r="U65" s="163">
        <v>1</v>
      </c>
      <c r="V65" s="135"/>
      <c r="W65" s="135"/>
      <c r="X65" s="163"/>
      <c r="Y65" s="135">
        <v>4043</v>
      </c>
      <c r="Z65" s="135">
        <v>1000</v>
      </c>
      <c r="AA65" s="135">
        <v>300</v>
      </c>
      <c r="AB65" s="135">
        <v>1</v>
      </c>
      <c r="AC65" s="135"/>
      <c r="AD65" s="135"/>
      <c r="AE65" s="135"/>
      <c r="AF65" s="163">
        <v>1</v>
      </c>
      <c r="AG65" s="169">
        <v>100</v>
      </c>
      <c r="AH65" s="135"/>
      <c r="AI65" s="135"/>
      <c r="AJ65" s="135"/>
      <c r="AK65" s="135">
        <v>0</v>
      </c>
      <c r="AL65" s="135"/>
      <c r="AM65" s="135"/>
      <c r="AN65" s="135"/>
      <c r="AO65" s="130"/>
      <c r="AP65" s="130"/>
      <c r="AQ65" s="130"/>
      <c r="AR65" s="130"/>
      <c r="AS65" s="130"/>
      <c r="AT65" s="130"/>
      <c r="AU65" s="130" t="s">
        <v>357</v>
      </c>
      <c r="AV65" s="130"/>
      <c r="AW65" s="104" t="s">
        <v>248</v>
      </c>
      <c r="AX65" s="130" t="s">
        <v>249</v>
      </c>
      <c r="AY65" s="130"/>
      <c r="AZ65" s="130"/>
      <c r="BA65" s="130"/>
      <c r="BB65" s="179"/>
      <c r="BC65" s="179"/>
      <c r="BD65" s="104"/>
      <c r="BE65" s="130"/>
      <c r="BF65" s="135">
        <v>10901</v>
      </c>
      <c r="BG65" s="130"/>
      <c r="BH65" s="185" t="s">
        <v>274</v>
      </c>
      <c r="BI65" s="130" t="s">
        <v>280</v>
      </c>
      <c r="BJ65" s="130" t="s">
        <v>262</v>
      </c>
      <c r="BK65" s="130" t="s">
        <v>253</v>
      </c>
      <c r="BL65" s="135"/>
      <c r="BM65" s="135"/>
      <c r="BN65" s="135"/>
      <c r="BO65" s="163">
        <v>100</v>
      </c>
      <c r="BP65" s="163">
        <v>200</v>
      </c>
      <c r="BQ65" s="130" t="s">
        <v>241</v>
      </c>
      <c r="BR65" s="135">
        <v>1</v>
      </c>
      <c r="BS65" s="135"/>
      <c r="BT65" s="163">
        <v>50</v>
      </c>
      <c r="BU65" s="163">
        <v>40</v>
      </c>
      <c r="BV65" s="130"/>
      <c r="BW65" s="104"/>
      <c r="BX65" s="135"/>
      <c r="BY65" s="135"/>
      <c r="BZ65" s="135"/>
      <c r="CA65" s="135"/>
      <c r="CB65" s="135"/>
      <c r="CC65" s="135"/>
      <c r="CD65" s="135"/>
      <c r="CE65" s="135"/>
      <c r="CF65" s="135"/>
      <c r="CG65" s="135"/>
      <c r="CH65" s="163"/>
      <c r="CI65" s="130"/>
      <c r="CJ65" s="135"/>
      <c r="CK65" s="135"/>
      <c r="CL65" s="130"/>
      <c r="CM65" s="193"/>
      <c r="CN65" s="193"/>
      <c r="CO65" s="193"/>
      <c r="CP65" s="193"/>
      <c r="CQ65" s="193"/>
      <c r="CR65" s="193"/>
    </row>
    <row r="66" spans="1:96" ht="15.75" customHeight="1" x14ac:dyDescent="0.35">
      <c r="A66" s="294"/>
      <c r="B66" s="145" t="s">
        <v>355</v>
      </c>
      <c r="C66" s="92"/>
      <c r="D66" s="138">
        <v>10830</v>
      </c>
      <c r="E66" s="135">
        <v>70024</v>
      </c>
      <c r="F66" s="135"/>
      <c r="G66" s="139"/>
      <c r="H66" s="135"/>
      <c r="I66" s="135"/>
      <c r="J66" s="135"/>
      <c r="K66" s="135">
        <v>12</v>
      </c>
      <c r="L66" s="135"/>
      <c r="M66" s="139"/>
      <c r="N66" s="139"/>
      <c r="O66" s="154"/>
      <c r="P66" s="135">
        <v>1</v>
      </c>
      <c r="Q66" s="135">
        <v>1</v>
      </c>
      <c r="R66" s="135"/>
      <c r="S66" s="163">
        <v>1</v>
      </c>
      <c r="T66" s="163">
        <v>1</v>
      </c>
      <c r="U66" s="163">
        <v>1</v>
      </c>
      <c r="V66" s="135"/>
      <c r="W66" s="135"/>
      <c r="X66" s="163"/>
      <c r="Y66" s="135">
        <v>4043</v>
      </c>
      <c r="Z66" s="135">
        <v>1000</v>
      </c>
      <c r="AA66" s="135">
        <v>300</v>
      </c>
      <c r="AB66" s="135">
        <v>1</v>
      </c>
      <c r="AC66" s="135"/>
      <c r="AD66" s="135"/>
      <c r="AE66" s="135"/>
      <c r="AF66" s="163">
        <v>1</v>
      </c>
      <c r="AG66" s="169">
        <v>100</v>
      </c>
      <c r="AH66" s="135"/>
      <c r="AI66" s="135"/>
      <c r="AJ66" s="135"/>
      <c r="AK66" s="135">
        <v>0</v>
      </c>
      <c r="AL66" s="135"/>
      <c r="AM66" s="135"/>
      <c r="AN66" s="135"/>
      <c r="AO66" s="130"/>
      <c r="AP66" s="130"/>
      <c r="AQ66" s="130"/>
      <c r="AR66" s="130"/>
      <c r="AS66" s="130"/>
      <c r="AT66" s="130"/>
      <c r="AU66" s="130" t="s">
        <v>357</v>
      </c>
      <c r="AV66" s="130"/>
      <c r="AW66" s="104" t="s">
        <v>248</v>
      </c>
      <c r="AX66" s="130" t="s">
        <v>249</v>
      </c>
      <c r="AY66" s="130"/>
      <c r="AZ66" s="130"/>
      <c r="BA66" s="130"/>
      <c r="BB66" s="179"/>
      <c r="BC66" s="179"/>
      <c r="BD66" s="104"/>
      <c r="BE66" s="130"/>
      <c r="BF66" s="135">
        <v>10901</v>
      </c>
      <c r="BG66" s="130"/>
      <c r="BH66" s="185" t="s">
        <v>274</v>
      </c>
      <c r="BI66" s="130" t="s">
        <v>280</v>
      </c>
      <c r="BJ66" s="130" t="s">
        <v>262</v>
      </c>
      <c r="BK66" s="130" t="s">
        <v>253</v>
      </c>
      <c r="BL66" s="135"/>
      <c r="BM66" s="135"/>
      <c r="BN66" s="135"/>
      <c r="BO66" s="163">
        <v>100</v>
      </c>
      <c r="BP66" s="163">
        <v>200</v>
      </c>
      <c r="BQ66" s="130" t="s">
        <v>241</v>
      </c>
      <c r="BR66" s="135">
        <v>1</v>
      </c>
      <c r="BS66" s="135"/>
      <c r="BT66" s="163">
        <v>50</v>
      </c>
      <c r="BU66" s="163">
        <v>40</v>
      </c>
      <c r="BV66" s="130"/>
      <c r="BW66" s="104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63"/>
      <c r="CI66" s="130"/>
      <c r="CJ66" s="135"/>
      <c r="CK66" s="135"/>
      <c r="CL66" s="130"/>
      <c r="CM66" s="193"/>
      <c r="CN66" s="193"/>
      <c r="CO66" s="193"/>
      <c r="CP66" s="193"/>
      <c r="CQ66" s="193"/>
      <c r="CR66" s="193"/>
    </row>
    <row r="67" spans="1:96" ht="15.75" customHeight="1" x14ac:dyDescent="0.35">
      <c r="A67" s="294"/>
      <c r="B67" s="146" t="s">
        <v>362</v>
      </c>
      <c r="C67" s="92"/>
      <c r="D67" s="138">
        <v>10901</v>
      </c>
      <c r="E67" s="135">
        <v>70025</v>
      </c>
      <c r="F67" s="135"/>
      <c r="G67" s="139"/>
      <c r="H67" s="135">
        <v>0</v>
      </c>
      <c r="I67" s="135"/>
      <c r="J67" s="135"/>
      <c r="K67" s="135">
        <v>13</v>
      </c>
      <c r="L67" s="139"/>
      <c r="M67" s="139"/>
      <c r="N67" s="139"/>
      <c r="O67" s="154"/>
      <c r="P67" s="135">
        <v>5</v>
      </c>
      <c r="Q67" s="135">
        <v>3</v>
      </c>
      <c r="R67" s="135"/>
      <c r="S67" s="163">
        <v>1</v>
      </c>
      <c r="T67" s="163">
        <v>1</v>
      </c>
      <c r="U67" s="163">
        <v>1</v>
      </c>
      <c r="V67" s="135"/>
      <c r="W67" s="135"/>
      <c r="X67" s="163"/>
      <c r="Y67" s="135">
        <v>1331</v>
      </c>
      <c r="Z67" s="135">
        <v>1000</v>
      </c>
      <c r="AA67" s="135">
        <v>200</v>
      </c>
      <c r="AB67" s="135">
        <v>1</v>
      </c>
      <c r="AC67" s="135"/>
      <c r="AD67" s="135"/>
      <c r="AE67" s="135">
        <v>4</v>
      </c>
      <c r="AF67" s="163">
        <v>1</v>
      </c>
      <c r="AG67" s="169">
        <v>100</v>
      </c>
      <c r="AH67" s="135"/>
      <c r="AI67" s="135"/>
      <c r="AJ67" s="135"/>
      <c r="AK67" s="135">
        <v>0</v>
      </c>
      <c r="AL67" s="135">
        <v>21010</v>
      </c>
      <c r="AM67" s="135">
        <v>1000</v>
      </c>
      <c r="AN67" s="135"/>
      <c r="AO67" s="130" t="s">
        <v>308</v>
      </c>
      <c r="AP67" s="130">
        <v>1</v>
      </c>
      <c r="AQ67" s="130" t="s">
        <v>308</v>
      </c>
      <c r="AR67" s="130">
        <v>1</v>
      </c>
      <c r="AS67" s="130" t="s">
        <v>308</v>
      </c>
      <c r="AT67" s="130">
        <v>1</v>
      </c>
      <c r="AU67" s="130"/>
      <c r="AV67" s="130"/>
      <c r="AW67" s="104" t="s">
        <v>248</v>
      </c>
      <c r="AX67" s="130" t="s">
        <v>249</v>
      </c>
      <c r="AY67" s="130"/>
      <c r="AZ67" s="130"/>
      <c r="BA67" s="130"/>
      <c r="BB67" s="179"/>
      <c r="BC67" s="179"/>
      <c r="BD67" s="104"/>
      <c r="BE67" s="130"/>
      <c r="BF67" s="135">
        <v>10901</v>
      </c>
      <c r="BG67" s="130"/>
      <c r="BH67" s="185" t="s">
        <v>274</v>
      </c>
      <c r="BI67" s="130" t="s">
        <v>363</v>
      </c>
      <c r="BJ67" s="130" t="s">
        <v>269</v>
      </c>
      <c r="BK67" s="130" t="s">
        <v>253</v>
      </c>
      <c r="BL67" s="135"/>
      <c r="BM67" s="135"/>
      <c r="BN67" s="135"/>
      <c r="BO67" s="163">
        <v>100</v>
      </c>
      <c r="BP67" s="163">
        <v>200</v>
      </c>
      <c r="BQ67" s="130" t="s">
        <v>241</v>
      </c>
      <c r="BR67" s="135">
        <v>1</v>
      </c>
      <c r="BS67" s="135"/>
      <c r="BT67" s="163">
        <v>50</v>
      </c>
      <c r="BU67" s="163">
        <v>30</v>
      </c>
      <c r="BV67" s="130"/>
      <c r="BW67" s="104"/>
      <c r="BX67" s="135"/>
      <c r="BY67" s="135"/>
      <c r="BZ67" s="135">
        <v>4</v>
      </c>
      <c r="CA67" s="135">
        <v>5</v>
      </c>
      <c r="CB67" s="135">
        <v>5</v>
      </c>
      <c r="CC67" s="135">
        <v>5</v>
      </c>
      <c r="CD67" s="135">
        <v>5</v>
      </c>
      <c r="CE67" s="135">
        <v>6</v>
      </c>
      <c r="CF67" s="135">
        <v>5</v>
      </c>
      <c r="CG67" s="135">
        <v>5</v>
      </c>
      <c r="CH67" s="163"/>
      <c r="CI67" s="130"/>
      <c r="CJ67" s="135"/>
      <c r="CK67" s="135"/>
      <c r="CL67" s="130"/>
      <c r="CM67" s="193">
        <v>100005</v>
      </c>
      <c r="CN67" s="193"/>
      <c r="CO67" s="193"/>
      <c r="CP67" s="193">
        <v>100005</v>
      </c>
      <c r="CQ67" s="193"/>
      <c r="CR67" s="193"/>
    </row>
    <row r="68" spans="1:96" ht="15.75" customHeight="1" x14ac:dyDescent="0.35">
      <c r="A68" s="294"/>
      <c r="B68" s="146" t="s">
        <v>364</v>
      </c>
      <c r="C68" s="92"/>
      <c r="D68" s="138">
        <v>10902</v>
      </c>
      <c r="E68" s="135">
        <v>70026</v>
      </c>
      <c r="F68" s="135"/>
      <c r="G68" s="139"/>
      <c r="H68" s="135"/>
      <c r="I68" s="135"/>
      <c r="J68" s="135"/>
      <c r="K68" s="135">
        <v>13</v>
      </c>
      <c r="L68" s="135"/>
      <c r="M68" s="139"/>
      <c r="N68" s="139"/>
      <c r="O68" s="154"/>
      <c r="P68" s="135">
        <v>5</v>
      </c>
      <c r="Q68" s="135">
        <v>3</v>
      </c>
      <c r="R68" s="135"/>
      <c r="S68" s="163">
        <v>1</v>
      </c>
      <c r="T68" s="163">
        <v>1</v>
      </c>
      <c r="U68" s="163">
        <v>1</v>
      </c>
      <c r="V68" s="135"/>
      <c r="W68" s="135"/>
      <c r="X68" s="163"/>
      <c r="Y68" s="135">
        <v>1710</v>
      </c>
      <c r="Z68" s="135">
        <v>1000</v>
      </c>
      <c r="AA68" s="135">
        <v>200</v>
      </c>
      <c r="AB68" s="135"/>
      <c r="AC68" s="135"/>
      <c r="AD68" s="135"/>
      <c r="AE68" s="135">
        <v>4</v>
      </c>
      <c r="AF68" s="163">
        <v>1</v>
      </c>
      <c r="AG68" s="169">
        <v>100</v>
      </c>
      <c r="AH68" s="135"/>
      <c r="AI68" s="135"/>
      <c r="AJ68" s="135"/>
      <c r="AK68" s="135">
        <v>0</v>
      </c>
      <c r="AL68" s="135">
        <v>21009</v>
      </c>
      <c r="AM68" s="135">
        <v>1000</v>
      </c>
      <c r="AN68" s="135"/>
      <c r="AO68" s="130" t="s">
        <v>365</v>
      </c>
      <c r="AP68" s="130">
        <v>1</v>
      </c>
      <c r="AQ68" s="130" t="s">
        <v>365</v>
      </c>
      <c r="AR68" s="130">
        <v>1</v>
      </c>
      <c r="AS68" s="130" t="s">
        <v>365</v>
      </c>
      <c r="AT68" s="130">
        <v>1</v>
      </c>
      <c r="AU68" s="130" t="s">
        <v>366</v>
      </c>
      <c r="AV68" s="130"/>
      <c r="AW68" s="104" t="s">
        <v>248</v>
      </c>
      <c r="AX68" s="130" t="s">
        <v>249</v>
      </c>
      <c r="AY68" s="130"/>
      <c r="AZ68" s="130"/>
      <c r="BA68" s="130"/>
      <c r="BB68" s="179"/>
      <c r="BC68" s="179"/>
      <c r="BD68" s="104"/>
      <c r="BE68" s="130"/>
      <c r="BF68" s="135">
        <v>10902</v>
      </c>
      <c r="BG68" s="130"/>
      <c r="BH68" s="185" t="s">
        <v>274</v>
      </c>
      <c r="BI68" s="130" t="s">
        <v>363</v>
      </c>
      <c r="BJ68" s="130" t="s">
        <v>269</v>
      </c>
      <c r="BK68" s="130" t="s">
        <v>253</v>
      </c>
      <c r="BL68" s="135"/>
      <c r="BM68" s="135"/>
      <c r="BN68" s="135"/>
      <c r="BO68" s="163">
        <v>100</v>
      </c>
      <c r="BP68" s="163">
        <v>200</v>
      </c>
      <c r="BQ68" s="130" t="s">
        <v>241</v>
      </c>
      <c r="BR68" s="135">
        <v>1</v>
      </c>
      <c r="BS68" s="135"/>
      <c r="BT68" s="163">
        <v>50</v>
      </c>
      <c r="BU68" s="163">
        <v>20</v>
      </c>
      <c r="BV68" s="130"/>
      <c r="BW68" s="104"/>
      <c r="BX68" s="135"/>
      <c r="BY68" s="135"/>
      <c r="BZ68" s="135">
        <v>4</v>
      </c>
      <c r="CA68" s="135">
        <v>5</v>
      </c>
      <c r="CB68" s="135">
        <v>5</v>
      </c>
      <c r="CC68" s="135">
        <v>5</v>
      </c>
      <c r="CD68" s="135">
        <v>5</v>
      </c>
      <c r="CE68" s="135">
        <v>6</v>
      </c>
      <c r="CF68" s="135">
        <v>5</v>
      </c>
      <c r="CG68" s="135">
        <v>5</v>
      </c>
      <c r="CH68" s="163"/>
      <c r="CI68" s="130"/>
      <c r="CJ68" s="135"/>
      <c r="CK68" s="135"/>
      <c r="CL68" s="130"/>
      <c r="CM68" s="193">
        <v>100005</v>
      </c>
      <c r="CN68" s="193"/>
      <c r="CO68" s="193"/>
      <c r="CP68" s="193">
        <v>100005</v>
      </c>
      <c r="CQ68" s="193"/>
      <c r="CR68" s="193"/>
    </row>
    <row r="69" spans="1:96" ht="15.75" customHeight="1" x14ac:dyDescent="0.35">
      <c r="A69" s="294"/>
      <c r="B69" s="146" t="s">
        <v>367</v>
      </c>
      <c r="C69" s="92"/>
      <c r="D69" s="138">
        <v>10903</v>
      </c>
      <c r="E69" s="135">
        <v>70027</v>
      </c>
      <c r="F69" s="135"/>
      <c r="G69" s="139"/>
      <c r="H69" s="135"/>
      <c r="I69" s="135"/>
      <c r="J69" s="135"/>
      <c r="K69" s="135">
        <v>13</v>
      </c>
      <c r="L69" s="135"/>
      <c r="M69" s="139"/>
      <c r="N69" s="139"/>
      <c r="O69" s="154"/>
      <c r="P69" s="135">
        <v>5</v>
      </c>
      <c r="Q69" s="135">
        <v>3</v>
      </c>
      <c r="R69" s="135"/>
      <c r="S69" s="163">
        <v>1</v>
      </c>
      <c r="T69" s="163">
        <v>1</v>
      </c>
      <c r="U69" s="163">
        <v>1</v>
      </c>
      <c r="V69" s="135"/>
      <c r="W69" s="135"/>
      <c r="X69" s="163"/>
      <c r="Y69" s="135">
        <v>200101</v>
      </c>
      <c r="Z69" s="135">
        <v>1400</v>
      </c>
      <c r="AA69" s="135">
        <v>200</v>
      </c>
      <c r="AB69" s="135"/>
      <c r="AC69" s="135"/>
      <c r="AD69" s="135"/>
      <c r="AE69" s="135">
        <v>4</v>
      </c>
      <c r="AF69" s="163">
        <v>1</v>
      </c>
      <c r="AG69" s="169">
        <v>100</v>
      </c>
      <c r="AH69" s="135"/>
      <c r="AI69" s="135"/>
      <c r="AJ69" s="135"/>
      <c r="AK69" s="135">
        <v>0</v>
      </c>
      <c r="AL69" s="135">
        <v>190</v>
      </c>
      <c r="AM69" s="135">
        <v>1000</v>
      </c>
      <c r="AN69" s="135"/>
      <c r="AO69" s="130" t="s">
        <v>368</v>
      </c>
      <c r="AP69" s="130">
        <v>1</v>
      </c>
      <c r="AQ69" s="130" t="s">
        <v>368</v>
      </c>
      <c r="AR69" s="130">
        <v>1</v>
      </c>
      <c r="AS69" s="130" t="s">
        <v>368</v>
      </c>
      <c r="AT69" s="130">
        <v>1</v>
      </c>
      <c r="AU69" s="130"/>
      <c r="AV69" s="130"/>
      <c r="AW69" s="104" t="s">
        <v>248</v>
      </c>
      <c r="AX69" s="130" t="s">
        <v>249</v>
      </c>
      <c r="AY69" s="130"/>
      <c r="AZ69" s="130"/>
      <c r="BA69" s="130"/>
      <c r="BB69" s="179"/>
      <c r="BC69" s="179"/>
      <c r="BD69" s="104"/>
      <c r="BE69" s="130"/>
      <c r="BF69" s="135">
        <v>10903</v>
      </c>
      <c r="BG69" s="130"/>
      <c r="BH69" s="185" t="s">
        <v>274</v>
      </c>
      <c r="BI69" s="130" t="s">
        <v>363</v>
      </c>
      <c r="BJ69" s="130" t="s">
        <v>369</v>
      </c>
      <c r="BK69" s="130" t="s">
        <v>253</v>
      </c>
      <c r="BL69" s="135"/>
      <c r="BM69" s="135"/>
      <c r="BN69" s="135"/>
      <c r="BO69" s="163">
        <v>100</v>
      </c>
      <c r="BP69" s="163">
        <v>200</v>
      </c>
      <c r="BQ69" s="130" t="s">
        <v>241</v>
      </c>
      <c r="BR69" s="135">
        <v>1</v>
      </c>
      <c r="BS69" s="135"/>
      <c r="BT69" s="163">
        <v>50</v>
      </c>
      <c r="BU69" s="163">
        <v>10</v>
      </c>
      <c r="BV69" s="130"/>
      <c r="BW69" s="104"/>
      <c r="BX69" s="135"/>
      <c r="BY69" s="135"/>
      <c r="BZ69" s="135">
        <v>4</v>
      </c>
      <c r="CA69" s="135">
        <v>5</v>
      </c>
      <c r="CB69" s="135">
        <v>5</v>
      </c>
      <c r="CC69" s="135">
        <v>5</v>
      </c>
      <c r="CD69" s="135">
        <v>5</v>
      </c>
      <c r="CE69" s="135">
        <v>6</v>
      </c>
      <c r="CF69" s="135">
        <v>5</v>
      </c>
      <c r="CG69" s="135">
        <v>5</v>
      </c>
      <c r="CH69" s="163"/>
      <c r="CI69" s="130"/>
      <c r="CJ69" s="135"/>
      <c r="CK69" s="135"/>
      <c r="CL69" s="130"/>
      <c r="CM69" s="193">
        <v>100005</v>
      </c>
      <c r="CN69" s="193"/>
      <c r="CO69" s="193"/>
      <c r="CP69" s="193">
        <v>100005</v>
      </c>
      <c r="CQ69" s="193"/>
      <c r="CR69" s="193"/>
    </row>
    <row r="70" spans="1:96" ht="15.75" customHeight="1" x14ac:dyDescent="0.35">
      <c r="A70" s="294"/>
      <c r="B70" s="146" t="s">
        <v>370</v>
      </c>
      <c r="C70" s="92"/>
      <c r="D70" s="138">
        <v>10904</v>
      </c>
      <c r="E70" s="135">
        <v>70028</v>
      </c>
      <c r="F70" s="135"/>
      <c r="G70" s="139"/>
      <c r="H70" s="135"/>
      <c r="I70" s="135"/>
      <c r="J70" s="135"/>
      <c r="K70" s="135">
        <v>13</v>
      </c>
      <c r="L70" s="135"/>
      <c r="M70" s="139"/>
      <c r="N70" s="139"/>
      <c r="O70" s="154"/>
      <c r="P70" s="135">
        <v>5</v>
      </c>
      <c r="Q70" s="135">
        <v>3</v>
      </c>
      <c r="R70" s="135"/>
      <c r="S70" s="163">
        <v>1</v>
      </c>
      <c r="T70" s="163">
        <v>1</v>
      </c>
      <c r="U70" s="163">
        <v>1</v>
      </c>
      <c r="V70" s="135"/>
      <c r="W70" s="135"/>
      <c r="X70" s="163"/>
      <c r="Y70" s="135">
        <v>200102</v>
      </c>
      <c r="Z70" s="135">
        <v>1400</v>
      </c>
      <c r="AA70" s="135">
        <v>200</v>
      </c>
      <c r="AB70" s="135"/>
      <c r="AC70" s="135"/>
      <c r="AD70" s="135"/>
      <c r="AE70" s="135">
        <v>4</v>
      </c>
      <c r="AF70" s="163">
        <v>1</v>
      </c>
      <c r="AG70" s="169">
        <v>100</v>
      </c>
      <c r="AH70" s="135"/>
      <c r="AI70" s="135"/>
      <c r="AJ70" s="135"/>
      <c r="AK70" s="135">
        <v>0</v>
      </c>
      <c r="AL70" s="135">
        <v>23011</v>
      </c>
      <c r="AM70" s="135">
        <v>1000</v>
      </c>
      <c r="AN70" s="120"/>
      <c r="AO70" s="173">
        <v>30141</v>
      </c>
      <c r="AP70" s="130" t="s">
        <v>246</v>
      </c>
      <c r="AQ70" s="173">
        <v>30141</v>
      </c>
      <c r="AR70" s="130">
        <v>1</v>
      </c>
      <c r="AS70" s="173">
        <v>30141</v>
      </c>
      <c r="AT70" s="130">
        <v>1</v>
      </c>
      <c r="AU70" s="130" t="s">
        <v>366</v>
      </c>
      <c r="AV70" s="130"/>
      <c r="AW70" s="104" t="s">
        <v>248</v>
      </c>
      <c r="AX70" s="130" t="s">
        <v>249</v>
      </c>
      <c r="AY70" s="130"/>
      <c r="AZ70" s="130"/>
      <c r="BA70" s="130"/>
      <c r="BB70" s="179"/>
      <c r="BC70" s="179"/>
      <c r="BD70" s="104"/>
      <c r="BE70" s="130"/>
      <c r="BF70" s="135">
        <v>10904</v>
      </c>
      <c r="BG70" s="130"/>
      <c r="BH70" s="185" t="s">
        <v>274</v>
      </c>
      <c r="BI70" s="130" t="s">
        <v>363</v>
      </c>
      <c r="BJ70" s="130" t="s">
        <v>369</v>
      </c>
      <c r="BK70" s="130" t="s">
        <v>253</v>
      </c>
      <c r="BL70" s="135"/>
      <c r="BM70" s="135"/>
      <c r="BN70" s="135"/>
      <c r="BO70" s="163">
        <v>100</v>
      </c>
      <c r="BP70" s="163">
        <v>200</v>
      </c>
      <c r="BQ70" s="130" t="s">
        <v>241</v>
      </c>
      <c r="BR70" s="135">
        <v>1</v>
      </c>
      <c r="BS70" s="135"/>
      <c r="BT70" s="163">
        <v>50</v>
      </c>
      <c r="BU70" s="163">
        <v>0</v>
      </c>
      <c r="BV70" s="130"/>
      <c r="BW70" s="104"/>
      <c r="BX70" s="135"/>
      <c r="BY70" s="135"/>
      <c r="BZ70" s="135">
        <v>4</v>
      </c>
      <c r="CA70" s="135">
        <v>5</v>
      </c>
      <c r="CB70" s="135">
        <v>5</v>
      </c>
      <c r="CC70" s="135">
        <v>5</v>
      </c>
      <c r="CD70" s="135">
        <v>5</v>
      </c>
      <c r="CE70" s="135">
        <v>6</v>
      </c>
      <c r="CF70" s="135">
        <v>5</v>
      </c>
      <c r="CG70" s="135">
        <v>5</v>
      </c>
      <c r="CH70" s="163"/>
      <c r="CI70" s="130"/>
      <c r="CJ70" s="135"/>
      <c r="CK70" s="135"/>
      <c r="CL70" s="130"/>
      <c r="CM70" s="193">
        <v>100005</v>
      </c>
      <c r="CN70" s="193"/>
      <c r="CO70" s="193"/>
      <c r="CP70" s="193">
        <v>100005</v>
      </c>
      <c r="CQ70" s="193"/>
      <c r="CR70" s="193"/>
    </row>
    <row r="71" spans="1:96" ht="15.75" customHeight="1" x14ac:dyDescent="0.35">
      <c r="A71" s="294"/>
      <c r="B71" s="146" t="s">
        <v>371</v>
      </c>
      <c r="C71" s="92"/>
      <c r="D71" s="138">
        <v>10911</v>
      </c>
      <c r="E71" s="135">
        <v>70029</v>
      </c>
      <c r="F71" s="135"/>
      <c r="G71" s="139"/>
      <c r="H71" s="135">
        <v>0</v>
      </c>
      <c r="I71" s="135"/>
      <c r="J71" s="135"/>
      <c r="K71" s="135">
        <v>13</v>
      </c>
      <c r="L71" s="139"/>
      <c r="M71" s="139"/>
      <c r="N71" s="139"/>
      <c r="O71" s="154"/>
      <c r="P71" s="135">
        <v>5</v>
      </c>
      <c r="Q71" s="135">
        <v>3</v>
      </c>
      <c r="R71" s="135"/>
      <c r="S71" s="163">
        <v>1</v>
      </c>
      <c r="T71" s="163">
        <v>1</v>
      </c>
      <c r="U71" s="163">
        <v>1</v>
      </c>
      <c r="V71" s="135"/>
      <c r="W71" s="135"/>
      <c r="X71" s="163"/>
      <c r="Y71" s="135">
        <v>1331</v>
      </c>
      <c r="Z71" s="135">
        <v>1500</v>
      </c>
      <c r="AA71" s="135">
        <v>200</v>
      </c>
      <c r="AB71" s="135">
        <v>2</v>
      </c>
      <c r="AC71" s="135"/>
      <c r="AD71" s="135"/>
      <c r="AE71" s="135">
        <v>4</v>
      </c>
      <c r="AF71" s="163">
        <v>1</v>
      </c>
      <c r="AG71" s="169">
        <v>100</v>
      </c>
      <c r="AH71" s="135"/>
      <c r="AI71" s="135"/>
      <c r="AJ71" s="135"/>
      <c r="AK71" s="135">
        <v>0</v>
      </c>
      <c r="AL71" s="135">
        <v>21010</v>
      </c>
      <c r="AM71" s="135">
        <v>1000</v>
      </c>
      <c r="AN71" s="135"/>
      <c r="AO71" s="130" t="s">
        <v>308</v>
      </c>
      <c r="AP71" s="130">
        <v>1</v>
      </c>
      <c r="AQ71" s="130" t="s">
        <v>308</v>
      </c>
      <c r="AR71" s="130">
        <v>1</v>
      </c>
      <c r="AS71" s="130" t="s">
        <v>308</v>
      </c>
      <c r="AT71" s="130">
        <v>1</v>
      </c>
      <c r="AU71" s="130" t="s">
        <v>366</v>
      </c>
      <c r="AV71" s="130"/>
      <c r="AW71" s="104" t="s">
        <v>248</v>
      </c>
      <c r="AX71" s="130" t="s">
        <v>249</v>
      </c>
      <c r="AY71" s="130"/>
      <c r="AZ71" s="130"/>
      <c r="BA71" s="130"/>
      <c r="BB71" s="179"/>
      <c r="BC71" s="179"/>
      <c r="BD71" s="104"/>
      <c r="BE71" s="130"/>
      <c r="BF71" s="135">
        <v>10911</v>
      </c>
      <c r="BG71" s="130"/>
      <c r="BH71" s="185" t="s">
        <v>274</v>
      </c>
      <c r="BI71" s="130" t="s">
        <v>363</v>
      </c>
      <c r="BJ71" s="130" t="s">
        <v>297</v>
      </c>
      <c r="BK71" s="130" t="s">
        <v>253</v>
      </c>
      <c r="BL71" s="135"/>
      <c r="BM71" s="135"/>
      <c r="BN71" s="135"/>
      <c r="BO71" s="163">
        <v>100</v>
      </c>
      <c r="BP71" s="163">
        <v>200</v>
      </c>
      <c r="BQ71" s="130" t="s">
        <v>241</v>
      </c>
      <c r="BR71" s="135">
        <v>1</v>
      </c>
      <c r="BS71" s="135"/>
      <c r="BT71" s="163">
        <v>50</v>
      </c>
      <c r="BU71" s="163">
        <v>30</v>
      </c>
      <c r="BV71" s="130"/>
      <c r="BW71" s="104"/>
      <c r="BX71" s="135"/>
      <c r="BY71" s="135"/>
      <c r="BZ71" s="135">
        <v>4</v>
      </c>
      <c r="CA71" s="135">
        <v>5</v>
      </c>
      <c r="CB71" s="135">
        <v>5</v>
      </c>
      <c r="CC71" s="135">
        <v>5</v>
      </c>
      <c r="CD71" s="135">
        <v>5</v>
      </c>
      <c r="CE71" s="135">
        <v>6</v>
      </c>
      <c r="CF71" s="135">
        <v>5</v>
      </c>
      <c r="CG71" s="135">
        <v>5</v>
      </c>
      <c r="CH71" s="163"/>
      <c r="CI71" s="130"/>
      <c r="CJ71" s="135"/>
      <c r="CK71" s="135"/>
      <c r="CL71" s="130"/>
      <c r="CM71" s="193">
        <v>100005</v>
      </c>
      <c r="CN71" s="193"/>
      <c r="CO71" s="193"/>
      <c r="CP71" s="193">
        <v>100005</v>
      </c>
      <c r="CQ71" s="193"/>
      <c r="CR71" s="193"/>
    </row>
    <row r="72" spans="1:96" ht="15.75" customHeight="1" x14ac:dyDescent="0.35">
      <c r="A72" s="294"/>
      <c r="B72" s="147" t="s">
        <v>372</v>
      </c>
      <c r="C72" s="96"/>
      <c r="D72" s="138">
        <v>10921</v>
      </c>
      <c r="E72" s="135">
        <v>70030</v>
      </c>
      <c r="F72" s="135"/>
      <c r="G72" s="139"/>
      <c r="H72" s="135">
        <v>0</v>
      </c>
      <c r="I72" s="135"/>
      <c r="J72" s="135"/>
      <c r="K72" s="135">
        <v>13</v>
      </c>
      <c r="L72" s="139"/>
      <c r="M72" s="139"/>
      <c r="N72" s="139"/>
      <c r="O72" s="154"/>
      <c r="P72" s="135">
        <v>5</v>
      </c>
      <c r="Q72" s="135">
        <v>3</v>
      </c>
      <c r="R72" s="135"/>
      <c r="S72" s="163">
        <v>1</v>
      </c>
      <c r="T72" s="163">
        <v>1</v>
      </c>
      <c r="U72" s="163">
        <v>1</v>
      </c>
      <c r="V72" s="135"/>
      <c r="W72" s="135"/>
      <c r="X72" s="163"/>
      <c r="Y72" s="135">
        <v>1331</v>
      </c>
      <c r="Z72" s="135">
        <v>2000</v>
      </c>
      <c r="AA72" s="135">
        <v>200</v>
      </c>
      <c r="AB72" s="135">
        <v>3</v>
      </c>
      <c r="AC72" s="135"/>
      <c r="AD72" s="135"/>
      <c r="AE72" s="135">
        <v>4</v>
      </c>
      <c r="AF72" s="163">
        <v>1</v>
      </c>
      <c r="AG72" s="169">
        <v>100</v>
      </c>
      <c r="AH72" s="135"/>
      <c r="AI72" s="135"/>
      <c r="AJ72" s="135"/>
      <c r="AK72" s="135">
        <v>0</v>
      </c>
      <c r="AL72" s="135">
        <v>21010</v>
      </c>
      <c r="AM72" s="135">
        <v>1000</v>
      </c>
      <c r="AN72" s="135"/>
      <c r="AO72" s="130" t="s">
        <v>308</v>
      </c>
      <c r="AP72" s="130">
        <v>1</v>
      </c>
      <c r="AQ72" s="130" t="s">
        <v>308</v>
      </c>
      <c r="AR72" s="130">
        <v>1</v>
      </c>
      <c r="AS72" s="130" t="s">
        <v>308</v>
      </c>
      <c r="AT72" s="130">
        <v>1</v>
      </c>
      <c r="AU72" s="130" t="s">
        <v>366</v>
      </c>
      <c r="AV72" s="130"/>
      <c r="AW72" s="104" t="s">
        <v>248</v>
      </c>
      <c r="AX72" s="130" t="s">
        <v>249</v>
      </c>
      <c r="AY72" s="130"/>
      <c r="AZ72" s="130"/>
      <c r="BA72" s="130"/>
      <c r="BB72" s="179"/>
      <c r="BC72" s="179"/>
      <c r="BD72" s="104"/>
      <c r="BE72" s="130"/>
      <c r="BF72" s="135">
        <v>10921</v>
      </c>
      <c r="BG72" s="130"/>
      <c r="BH72" s="185" t="s">
        <v>274</v>
      </c>
      <c r="BI72" s="130" t="s">
        <v>363</v>
      </c>
      <c r="BJ72" s="130" t="s">
        <v>252</v>
      </c>
      <c r="BK72" s="130" t="s">
        <v>253</v>
      </c>
      <c r="BL72" s="135"/>
      <c r="BM72" s="135"/>
      <c r="BN72" s="135"/>
      <c r="BO72" s="163">
        <v>100</v>
      </c>
      <c r="BP72" s="163">
        <v>200</v>
      </c>
      <c r="BQ72" s="130" t="s">
        <v>241</v>
      </c>
      <c r="BR72" s="135">
        <v>1</v>
      </c>
      <c r="BS72" s="135"/>
      <c r="BT72" s="163">
        <v>50</v>
      </c>
      <c r="BU72" s="163">
        <v>30</v>
      </c>
      <c r="BV72" s="130"/>
      <c r="BW72" s="104"/>
      <c r="BX72" s="135"/>
      <c r="BY72" s="135"/>
      <c r="BZ72" s="135">
        <v>4</v>
      </c>
      <c r="CA72" s="135">
        <v>5</v>
      </c>
      <c r="CB72" s="135">
        <v>5</v>
      </c>
      <c r="CC72" s="135">
        <v>5</v>
      </c>
      <c r="CD72" s="135">
        <v>5</v>
      </c>
      <c r="CE72" s="135">
        <v>6</v>
      </c>
      <c r="CF72" s="135">
        <v>5</v>
      </c>
      <c r="CG72" s="135">
        <v>5</v>
      </c>
      <c r="CH72" s="163"/>
      <c r="CI72" s="130"/>
      <c r="CJ72" s="135"/>
      <c r="CK72" s="135"/>
      <c r="CL72" s="130"/>
      <c r="CM72" s="193">
        <v>100005</v>
      </c>
      <c r="CN72" s="193"/>
      <c r="CO72" s="193"/>
      <c r="CP72" s="193">
        <v>100005</v>
      </c>
      <c r="CQ72" s="193"/>
      <c r="CR72" s="193"/>
    </row>
    <row r="73" spans="1:96" ht="15.75" customHeight="1" x14ac:dyDescent="0.35">
      <c r="A73" s="287" t="s">
        <v>373</v>
      </c>
      <c r="B73" s="79" t="s">
        <v>374</v>
      </c>
      <c r="C73" s="75" t="s">
        <v>375</v>
      </c>
      <c r="D73" s="138">
        <v>11001</v>
      </c>
      <c r="E73" s="135">
        <v>70101</v>
      </c>
      <c r="F73" s="135"/>
      <c r="G73" s="139"/>
      <c r="H73" s="135">
        <v>0</v>
      </c>
      <c r="I73" s="135"/>
      <c r="J73" s="135"/>
      <c r="K73" s="135">
        <v>1</v>
      </c>
      <c r="L73" s="139"/>
      <c r="M73" s="139"/>
      <c r="N73" s="139"/>
      <c r="O73" s="154"/>
      <c r="P73" s="135">
        <v>1</v>
      </c>
      <c r="Q73" s="135">
        <v>3</v>
      </c>
      <c r="R73" s="135"/>
      <c r="S73" s="163">
        <v>1</v>
      </c>
      <c r="T73" s="163">
        <v>1</v>
      </c>
      <c r="U73" s="163">
        <v>1</v>
      </c>
      <c r="V73" s="135"/>
      <c r="W73" s="135"/>
      <c r="X73" s="163"/>
      <c r="Y73" s="135">
        <v>1334</v>
      </c>
      <c r="Z73" s="135">
        <v>800</v>
      </c>
      <c r="AA73" s="135">
        <v>200</v>
      </c>
      <c r="AB73" s="135"/>
      <c r="AC73" s="135"/>
      <c r="AD73" s="135"/>
      <c r="AE73" s="135"/>
      <c r="AF73" s="163">
        <v>1</v>
      </c>
      <c r="AG73" s="169">
        <v>100</v>
      </c>
      <c r="AH73" s="135"/>
      <c r="AI73" s="135"/>
      <c r="AJ73" s="135"/>
      <c r="AK73" s="135">
        <v>0</v>
      </c>
      <c r="AL73" s="135">
        <v>21002</v>
      </c>
      <c r="AM73" s="135">
        <v>1000</v>
      </c>
      <c r="AN73" s="135"/>
      <c r="AO73" s="130" t="s">
        <v>265</v>
      </c>
      <c r="AP73" s="174">
        <v>1</v>
      </c>
      <c r="AQ73" s="130" t="s">
        <v>265</v>
      </c>
      <c r="AR73" s="174">
        <v>1</v>
      </c>
      <c r="AS73" s="130" t="s">
        <v>265</v>
      </c>
      <c r="AT73" s="174">
        <v>1</v>
      </c>
      <c r="AU73" s="130"/>
      <c r="AV73" s="130"/>
      <c r="AW73" s="104" t="s">
        <v>248</v>
      </c>
      <c r="AX73" s="130" t="s">
        <v>249</v>
      </c>
      <c r="AY73" s="130"/>
      <c r="AZ73" s="130"/>
      <c r="BA73" s="130"/>
      <c r="BB73" s="179"/>
      <c r="BC73" s="179"/>
      <c r="BD73" s="104"/>
      <c r="BE73" s="130"/>
      <c r="BF73" s="138">
        <v>11001</v>
      </c>
      <c r="BG73" s="130"/>
      <c r="BH73" s="185" t="s">
        <v>376</v>
      </c>
      <c r="BI73" s="130" t="s">
        <v>377</v>
      </c>
      <c r="BJ73" s="130" t="s">
        <v>300</v>
      </c>
      <c r="BK73" s="130" t="s">
        <v>253</v>
      </c>
      <c r="BL73" s="135"/>
      <c r="BM73" s="135"/>
      <c r="BN73" s="135"/>
      <c r="BO73" s="163">
        <v>100</v>
      </c>
      <c r="BP73" s="163">
        <v>200</v>
      </c>
      <c r="BQ73" s="130" t="s">
        <v>241</v>
      </c>
      <c r="BR73" s="135">
        <v>1</v>
      </c>
      <c r="BS73" s="135"/>
      <c r="BT73" s="163">
        <v>50</v>
      </c>
      <c r="BU73" s="163">
        <v>50</v>
      </c>
      <c r="BV73" s="130"/>
      <c r="BW73" s="104"/>
      <c r="BX73" s="135"/>
      <c r="BY73" s="135"/>
      <c r="BZ73" s="135">
        <v>3</v>
      </c>
      <c r="CA73" s="135">
        <v>4</v>
      </c>
      <c r="CB73" s="135">
        <v>3</v>
      </c>
      <c r="CC73" s="135">
        <v>4</v>
      </c>
      <c r="CD73" s="135">
        <v>3</v>
      </c>
      <c r="CE73" s="135">
        <v>4</v>
      </c>
      <c r="CF73" s="135">
        <v>3</v>
      </c>
      <c r="CG73" s="135">
        <v>4</v>
      </c>
      <c r="CH73" s="163">
        <v>1</v>
      </c>
      <c r="CI73" s="130" t="s">
        <v>4516</v>
      </c>
      <c r="CJ73" s="135"/>
      <c r="CK73" s="135"/>
      <c r="CL73" s="130"/>
      <c r="CM73" s="193">
        <v>100005</v>
      </c>
      <c r="CN73" s="193">
        <v>100057</v>
      </c>
      <c r="CO73" s="193"/>
      <c r="CP73" s="193">
        <v>100005</v>
      </c>
      <c r="CQ73" s="193"/>
      <c r="CR73" s="193"/>
    </row>
    <row r="74" spans="1:96" ht="15.75" customHeight="1" x14ac:dyDescent="0.35">
      <c r="A74" s="292"/>
      <c r="B74" s="80" t="s">
        <v>378</v>
      </c>
      <c r="C74" s="75" t="s">
        <v>379</v>
      </c>
      <c r="D74" s="138">
        <v>11011</v>
      </c>
      <c r="E74" s="135">
        <v>70102</v>
      </c>
      <c r="F74" s="135"/>
      <c r="G74" s="139"/>
      <c r="H74" s="135">
        <v>0</v>
      </c>
      <c r="I74" s="135"/>
      <c r="J74" s="135"/>
      <c r="K74" s="135">
        <v>1</v>
      </c>
      <c r="L74" s="139"/>
      <c r="M74" s="139"/>
      <c r="N74" s="139"/>
      <c r="O74" s="154"/>
      <c r="P74" s="135">
        <v>0</v>
      </c>
      <c r="Q74" s="135">
        <v>3</v>
      </c>
      <c r="R74" s="135"/>
      <c r="S74" s="163">
        <v>1</v>
      </c>
      <c r="T74" s="163">
        <v>1</v>
      </c>
      <c r="U74" s="163">
        <v>1</v>
      </c>
      <c r="V74" s="135"/>
      <c r="W74" s="135"/>
      <c r="X74" s="163"/>
      <c r="Y74" s="135">
        <v>1307</v>
      </c>
      <c r="Z74" s="135">
        <v>800</v>
      </c>
      <c r="AA74" s="135">
        <v>200</v>
      </c>
      <c r="AB74" s="135"/>
      <c r="AC74" s="135"/>
      <c r="AD74" s="135"/>
      <c r="AE74" s="135"/>
      <c r="AF74" s="163">
        <v>1</v>
      </c>
      <c r="AG74" s="169">
        <v>100</v>
      </c>
      <c r="AH74" s="135"/>
      <c r="AI74" s="135"/>
      <c r="AJ74" s="135"/>
      <c r="AK74" s="135">
        <v>0</v>
      </c>
      <c r="AL74" s="135">
        <v>21002</v>
      </c>
      <c r="AM74" s="135">
        <v>1000</v>
      </c>
      <c r="AN74" s="135"/>
      <c r="AO74" s="130" t="s">
        <v>265</v>
      </c>
      <c r="AP74" s="174">
        <v>1</v>
      </c>
      <c r="AQ74" s="130" t="s">
        <v>265</v>
      </c>
      <c r="AR74" s="174">
        <v>1</v>
      </c>
      <c r="AS74" s="130" t="s">
        <v>265</v>
      </c>
      <c r="AT74" s="174">
        <v>1</v>
      </c>
      <c r="AU74" s="130"/>
      <c r="AV74" s="130"/>
      <c r="AW74" s="104" t="s">
        <v>248</v>
      </c>
      <c r="AX74" s="130" t="s">
        <v>249</v>
      </c>
      <c r="AY74" s="130"/>
      <c r="AZ74" s="130"/>
      <c r="BA74" s="130"/>
      <c r="BB74" s="179"/>
      <c r="BC74" s="179"/>
      <c r="BD74" s="104"/>
      <c r="BE74" s="130"/>
      <c r="BF74" s="138">
        <v>11011</v>
      </c>
      <c r="BG74" s="130"/>
      <c r="BH74" s="185" t="s">
        <v>376</v>
      </c>
      <c r="BI74" s="130" t="s">
        <v>380</v>
      </c>
      <c r="BJ74" s="130" t="s">
        <v>300</v>
      </c>
      <c r="BK74" s="130" t="s">
        <v>253</v>
      </c>
      <c r="BL74" s="135"/>
      <c r="BM74" s="135"/>
      <c r="BN74" s="135"/>
      <c r="BO74" s="163">
        <v>100</v>
      </c>
      <c r="BP74" s="163">
        <v>200</v>
      </c>
      <c r="BQ74" s="130" t="s">
        <v>241</v>
      </c>
      <c r="BR74" s="135">
        <v>1</v>
      </c>
      <c r="BS74" s="135"/>
      <c r="BT74" s="163">
        <v>50</v>
      </c>
      <c r="BU74" s="163">
        <v>20</v>
      </c>
      <c r="BV74" s="130"/>
      <c r="BW74" s="104"/>
      <c r="BX74" s="135"/>
      <c r="BY74" s="135"/>
      <c r="BZ74" s="135">
        <v>1</v>
      </c>
      <c r="CA74" s="135">
        <v>2</v>
      </c>
      <c r="CB74" s="135">
        <v>1</v>
      </c>
      <c r="CC74" s="135">
        <v>2</v>
      </c>
      <c r="CD74" s="135">
        <v>1</v>
      </c>
      <c r="CE74" s="135">
        <v>2</v>
      </c>
      <c r="CF74" s="135">
        <v>1</v>
      </c>
      <c r="CG74" s="135">
        <v>2</v>
      </c>
      <c r="CH74" s="163">
        <v>5</v>
      </c>
      <c r="CI74" s="130" t="s">
        <v>4522</v>
      </c>
      <c r="CJ74" s="135"/>
      <c r="CK74" s="135"/>
      <c r="CL74" s="130"/>
      <c r="CM74" s="193">
        <v>100005</v>
      </c>
      <c r="CN74" s="193">
        <v>100057</v>
      </c>
      <c r="CO74" s="193"/>
      <c r="CP74" s="193">
        <v>100005</v>
      </c>
      <c r="CQ74" s="193"/>
      <c r="CR74" s="193"/>
    </row>
    <row r="75" spans="1:96" ht="15.75" customHeight="1" x14ac:dyDescent="0.35">
      <c r="A75" s="292"/>
      <c r="B75" s="80" t="s">
        <v>381</v>
      </c>
      <c r="C75" s="75" t="s">
        <v>382</v>
      </c>
      <c r="D75" s="138">
        <v>11021</v>
      </c>
      <c r="E75" s="135">
        <v>70103</v>
      </c>
      <c r="F75" s="135"/>
      <c r="G75" s="139"/>
      <c r="H75" s="135"/>
      <c r="I75" s="135"/>
      <c r="J75" s="135"/>
      <c r="K75" s="135">
        <v>1</v>
      </c>
      <c r="L75" s="139"/>
      <c r="M75" s="139"/>
      <c r="N75" s="139"/>
      <c r="O75" s="154"/>
      <c r="P75" s="135">
        <v>3</v>
      </c>
      <c r="Q75" s="135">
        <v>3</v>
      </c>
      <c r="R75" s="135"/>
      <c r="S75" s="163">
        <v>1</v>
      </c>
      <c r="T75" s="163">
        <v>1</v>
      </c>
      <c r="U75" s="163">
        <v>1</v>
      </c>
      <c r="V75" s="135"/>
      <c r="W75" s="135"/>
      <c r="X75" s="163"/>
      <c r="Y75" s="135">
        <v>1207</v>
      </c>
      <c r="Z75" s="135">
        <v>1000</v>
      </c>
      <c r="AA75" s="135">
        <v>200</v>
      </c>
      <c r="AB75" s="135"/>
      <c r="AC75" s="135"/>
      <c r="AD75" s="135"/>
      <c r="AE75" s="135"/>
      <c r="AF75" s="163">
        <v>1</v>
      </c>
      <c r="AG75" s="169">
        <v>100</v>
      </c>
      <c r="AH75" s="135"/>
      <c r="AI75" s="135"/>
      <c r="AJ75" s="135"/>
      <c r="AK75" s="135">
        <v>0</v>
      </c>
      <c r="AL75" s="135">
        <v>21002</v>
      </c>
      <c r="AM75" s="135">
        <v>1000</v>
      </c>
      <c r="AN75" s="135"/>
      <c r="AO75" s="130" t="s">
        <v>265</v>
      </c>
      <c r="AP75" s="174">
        <v>1</v>
      </c>
      <c r="AQ75" s="130" t="s">
        <v>265</v>
      </c>
      <c r="AR75" s="174">
        <v>1</v>
      </c>
      <c r="AS75" s="130" t="s">
        <v>265</v>
      </c>
      <c r="AT75" s="174">
        <v>1</v>
      </c>
      <c r="AU75" s="130"/>
      <c r="AV75" s="130" t="s">
        <v>266</v>
      </c>
      <c r="AW75" s="104" t="s">
        <v>248</v>
      </c>
      <c r="AX75" s="130" t="s">
        <v>249</v>
      </c>
      <c r="AY75" s="130"/>
      <c r="AZ75" s="130"/>
      <c r="BA75" s="130"/>
      <c r="BB75" s="179"/>
      <c r="BC75" s="179"/>
      <c r="BD75" s="104"/>
      <c r="BE75" s="130"/>
      <c r="BF75" s="138">
        <v>11021</v>
      </c>
      <c r="BG75" s="130"/>
      <c r="BH75" s="185" t="s">
        <v>376</v>
      </c>
      <c r="BI75" s="130" t="s">
        <v>251</v>
      </c>
      <c r="BJ75" s="130" t="s">
        <v>275</v>
      </c>
      <c r="BK75" s="130" t="s">
        <v>253</v>
      </c>
      <c r="BL75" s="135"/>
      <c r="BM75" s="135"/>
      <c r="BN75" s="135"/>
      <c r="BO75" s="163">
        <v>100</v>
      </c>
      <c r="BP75" s="163">
        <v>200</v>
      </c>
      <c r="BQ75" s="130" t="s">
        <v>241</v>
      </c>
      <c r="BR75" s="135">
        <v>1</v>
      </c>
      <c r="BS75" s="135"/>
      <c r="BT75" s="163">
        <v>50</v>
      </c>
      <c r="BU75" s="163">
        <v>40</v>
      </c>
      <c r="BV75" s="130"/>
      <c r="BW75" s="104"/>
      <c r="BX75" s="135"/>
      <c r="BY75" s="135"/>
      <c r="BZ75" s="135">
        <v>4</v>
      </c>
      <c r="CA75" s="135">
        <v>4</v>
      </c>
      <c r="CB75" s="135">
        <v>5</v>
      </c>
      <c r="CC75" s="135">
        <v>6</v>
      </c>
      <c r="CD75" s="135">
        <v>7</v>
      </c>
      <c r="CE75" s="135">
        <v>8</v>
      </c>
      <c r="CF75" s="135">
        <v>5</v>
      </c>
      <c r="CG75" s="135">
        <v>6</v>
      </c>
      <c r="CH75" s="163">
        <v>13</v>
      </c>
      <c r="CI75" s="130" t="s">
        <v>4525</v>
      </c>
      <c r="CJ75" s="135"/>
      <c r="CK75" s="135"/>
      <c r="CL75" s="130"/>
      <c r="CM75" s="193">
        <v>100005</v>
      </c>
      <c r="CN75" s="193">
        <v>100057</v>
      </c>
      <c r="CO75" s="193"/>
      <c r="CP75" s="193">
        <v>100005</v>
      </c>
      <c r="CQ75" s="193"/>
      <c r="CR75" s="193"/>
    </row>
    <row r="76" spans="1:96" ht="15.75" customHeight="1" x14ac:dyDescent="0.35">
      <c r="A76" s="292"/>
      <c r="B76" s="80" t="s">
        <v>383</v>
      </c>
      <c r="C76" s="75" t="s">
        <v>384</v>
      </c>
      <c r="D76" s="138">
        <v>11031</v>
      </c>
      <c r="E76" s="135">
        <v>70104</v>
      </c>
      <c r="F76" s="135"/>
      <c r="G76" s="139"/>
      <c r="H76" s="135">
        <v>0</v>
      </c>
      <c r="I76" s="135"/>
      <c r="J76" s="135"/>
      <c r="K76" s="135">
        <v>1</v>
      </c>
      <c r="L76" s="139"/>
      <c r="M76" s="139"/>
      <c r="N76" s="139"/>
      <c r="O76" s="154"/>
      <c r="P76" s="135">
        <v>2</v>
      </c>
      <c r="Q76" s="135">
        <v>3</v>
      </c>
      <c r="R76" s="135"/>
      <c r="S76" s="163">
        <v>1</v>
      </c>
      <c r="T76" s="163">
        <v>1</v>
      </c>
      <c r="U76" s="163">
        <v>1</v>
      </c>
      <c r="V76" s="135"/>
      <c r="W76" s="135"/>
      <c r="X76" s="163"/>
      <c r="Y76" s="135">
        <v>1211</v>
      </c>
      <c r="Z76" s="135">
        <v>1000</v>
      </c>
      <c r="AA76" s="135">
        <v>200</v>
      </c>
      <c r="AB76" s="135"/>
      <c r="AC76" s="135"/>
      <c r="AD76" s="135"/>
      <c r="AE76" s="135"/>
      <c r="AF76" s="163">
        <v>1</v>
      </c>
      <c r="AG76" s="169">
        <v>100</v>
      </c>
      <c r="AH76" s="135"/>
      <c r="AI76" s="135"/>
      <c r="AJ76" s="135"/>
      <c r="AK76" s="135">
        <v>0</v>
      </c>
      <c r="AL76" s="135">
        <v>21002</v>
      </c>
      <c r="AM76" s="135">
        <v>1000</v>
      </c>
      <c r="AN76" s="135"/>
      <c r="AO76" s="130" t="s">
        <v>265</v>
      </c>
      <c r="AP76" s="174">
        <v>1</v>
      </c>
      <c r="AQ76" s="130" t="s">
        <v>265</v>
      </c>
      <c r="AR76" s="174">
        <v>1</v>
      </c>
      <c r="AS76" s="130" t="s">
        <v>265</v>
      </c>
      <c r="AT76" s="174">
        <v>1</v>
      </c>
      <c r="AU76" s="130"/>
      <c r="AV76" s="130"/>
      <c r="AW76" s="104" t="s">
        <v>248</v>
      </c>
      <c r="AX76" s="130" t="s">
        <v>249</v>
      </c>
      <c r="AY76" s="130"/>
      <c r="AZ76" s="130"/>
      <c r="BA76" s="130"/>
      <c r="BB76" s="179"/>
      <c r="BC76" s="179"/>
      <c r="BD76" s="104"/>
      <c r="BE76" s="130"/>
      <c r="BF76" s="138">
        <v>11031</v>
      </c>
      <c r="BG76" s="130"/>
      <c r="BH76" s="185" t="s">
        <v>376</v>
      </c>
      <c r="BI76" s="130" t="s">
        <v>251</v>
      </c>
      <c r="BJ76" s="130" t="s">
        <v>252</v>
      </c>
      <c r="BK76" s="130" t="s">
        <v>253</v>
      </c>
      <c r="BL76" s="135"/>
      <c r="BM76" s="135"/>
      <c r="BN76" s="135"/>
      <c r="BO76" s="163">
        <v>100</v>
      </c>
      <c r="BP76" s="163">
        <v>200</v>
      </c>
      <c r="BQ76" s="130" t="s">
        <v>241</v>
      </c>
      <c r="BR76" s="135">
        <v>1</v>
      </c>
      <c r="BS76" s="135"/>
      <c r="BT76" s="163">
        <v>50</v>
      </c>
      <c r="BU76" s="163">
        <v>80</v>
      </c>
      <c r="BV76" s="130"/>
      <c r="BW76" s="104"/>
      <c r="BX76" s="135"/>
      <c r="BY76" s="135"/>
      <c r="BZ76" s="135">
        <v>3</v>
      </c>
      <c r="CA76" s="135">
        <v>4</v>
      </c>
      <c r="CB76" s="135">
        <v>3</v>
      </c>
      <c r="CC76" s="135">
        <v>4</v>
      </c>
      <c r="CD76" s="135">
        <v>3</v>
      </c>
      <c r="CE76" s="135">
        <v>4</v>
      </c>
      <c r="CF76" s="135">
        <v>3</v>
      </c>
      <c r="CG76" s="135">
        <v>4</v>
      </c>
      <c r="CH76" s="163">
        <v>27</v>
      </c>
      <c r="CI76" s="130" t="s">
        <v>4526</v>
      </c>
      <c r="CJ76" s="135"/>
      <c r="CK76" s="135"/>
      <c r="CL76" s="130"/>
      <c r="CM76" s="193">
        <v>100005</v>
      </c>
      <c r="CN76" s="193">
        <v>100057</v>
      </c>
      <c r="CO76" s="193"/>
      <c r="CP76" s="193">
        <v>100005</v>
      </c>
      <c r="CQ76" s="193"/>
      <c r="CR76" s="193"/>
    </row>
    <row r="77" spans="1:96" ht="15.75" customHeight="1" x14ac:dyDescent="0.35">
      <c r="A77" s="292"/>
      <c r="B77" s="81" t="s">
        <v>385</v>
      </c>
      <c r="C77" s="75" t="s">
        <v>386</v>
      </c>
      <c r="D77" s="138">
        <v>11201</v>
      </c>
      <c r="E77" s="135">
        <v>70105</v>
      </c>
      <c r="F77" s="135"/>
      <c r="G77" s="139"/>
      <c r="H77" s="135"/>
      <c r="I77" s="135"/>
      <c r="J77" s="135"/>
      <c r="K77" s="135">
        <v>1</v>
      </c>
      <c r="L77" s="139"/>
      <c r="M77" s="139"/>
      <c r="N77" s="139"/>
      <c r="O77" s="154"/>
      <c r="P77" s="135">
        <v>1</v>
      </c>
      <c r="Q77" s="135">
        <v>2</v>
      </c>
      <c r="R77" s="135"/>
      <c r="S77" s="163">
        <v>1</v>
      </c>
      <c r="T77" s="163">
        <v>1</v>
      </c>
      <c r="U77" s="163">
        <v>1</v>
      </c>
      <c r="V77" s="135"/>
      <c r="W77" s="135"/>
      <c r="X77" s="163"/>
      <c r="Y77" s="135">
        <v>1545</v>
      </c>
      <c r="Z77" s="135">
        <v>1100</v>
      </c>
      <c r="AA77" s="135">
        <v>200</v>
      </c>
      <c r="AB77" s="135"/>
      <c r="AC77" s="135"/>
      <c r="AD77" s="135"/>
      <c r="AE77" s="135"/>
      <c r="AF77" s="163">
        <v>1</v>
      </c>
      <c r="AG77" s="169">
        <v>100</v>
      </c>
      <c r="AH77" s="135"/>
      <c r="AI77" s="135"/>
      <c r="AJ77" s="135"/>
      <c r="AK77" s="135">
        <v>0</v>
      </c>
      <c r="AL77" s="135">
        <v>21002</v>
      </c>
      <c r="AM77" s="135">
        <v>1000</v>
      </c>
      <c r="AN77" s="135"/>
      <c r="AO77" s="130" t="s">
        <v>265</v>
      </c>
      <c r="AP77" s="174">
        <v>1</v>
      </c>
      <c r="AQ77" s="130" t="s">
        <v>265</v>
      </c>
      <c r="AR77" s="174">
        <v>1</v>
      </c>
      <c r="AS77" s="130" t="s">
        <v>265</v>
      </c>
      <c r="AT77" s="174">
        <v>1</v>
      </c>
      <c r="AU77" s="130"/>
      <c r="AV77" s="130" t="s">
        <v>266</v>
      </c>
      <c r="AW77" s="104" t="s">
        <v>248</v>
      </c>
      <c r="AX77" s="130" t="s">
        <v>249</v>
      </c>
      <c r="AY77" s="130"/>
      <c r="AZ77" s="130"/>
      <c r="BA77" s="130"/>
      <c r="BB77" s="179"/>
      <c r="BC77" s="179"/>
      <c r="BD77" s="104"/>
      <c r="BE77" s="130"/>
      <c r="BF77" s="138">
        <v>11201</v>
      </c>
      <c r="BG77" s="130"/>
      <c r="BH77" s="185" t="s">
        <v>376</v>
      </c>
      <c r="BI77" s="130" t="s">
        <v>363</v>
      </c>
      <c r="BJ77" s="130" t="s">
        <v>300</v>
      </c>
      <c r="BK77" s="130" t="s">
        <v>253</v>
      </c>
      <c r="BL77" s="135"/>
      <c r="BM77" s="135"/>
      <c r="BN77" s="135"/>
      <c r="BO77" s="163">
        <v>100</v>
      </c>
      <c r="BP77" s="163">
        <v>200</v>
      </c>
      <c r="BQ77" s="130" t="s">
        <v>241</v>
      </c>
      <c r="BR77" s="135">
        <v>1</v>
      </c>
      <c r="BS77" s="135"/>
      <c r="BT77" s="163">
        <v>50</v>
      </c>
      <c r="BU77" s="163">
        <v>40</v>
      </c>
      <c r="BV77" s="130"/>
      <c r="BW77" s="104"/>
      <c r="BX77" s="135"/>
      <c r="BY77" s="135"/>
      <c r="BZ77" s="135">
        <v>1</v>
      </c>
      <c r="CA77" s="135">
        <v>1</v>
      </c>
      <c r="CB77" s="135">
        <v>1</v>
      </c>
      <c r="CC77" s="135">
        <v>1</v>
      </c>
      <c r="CD77" s="135">
        <v>1</v>
      </c>
      <c r="CE77" s="135">
        <v>1</v>
      </c>
      <c r="CF77" s="135">
        <v>1</v>
      </c>
      <c r="CG77" s="135">
        <v>1</v>
      </c>
      <c r="CH77" s="163">
        <v>1</v>
      </c>
      <c r="CI77" s="130" t="s">
        <v>4527</v>
      </c>
      <c r="CJ77" s="135"/>
      <c r="CK77" s="135"/>
      <c r="CL77" s="130"/>
      <c r="CM77" s="193">
        <v>100005</v>
      </c>
      <c r="CN77" s="193">
        <v>100057</v>
      </c>
      <c r="CO77" s="193"/>
      <c r="CP77" s="193">
        <v>100005</v>
      </c>
      <c r="CQ77" s="193"/>
      <c r="CR77" s="193"/>
    </row>
    <row r="78" spans="1:96" ht="15.75" customHeight="1" x14ac:dyDescent="0.35">
      <c r="A78" s="292"/>
      <c r="B78" s="81" t="s">
        <v>387</v>
      </c>
      <c r="C78" s="75" t="s">
        <v>388</v>
      </c>
      <c r="D78" s="138">
        <v>11211</v>
      </c>
      <c r="E78" s="135">
        <v>70106</v>
      </c>
      <c r="F78" s="135"/>
      <c r="G78" s="139"/>
      <c r="H78" s="135"/>
      <c r="I78" s="135"/>
      <c r="J78" s="135"/>
      <c r="K78" s="135">
        <v>1</v>
      </c>
      <c r="L78" s="139"/>
      <c r="M78" s="139"/>
      <c r="N78" s="139"/>
      <c r="O78" s="154"/>
      <c r="P78" s="135">
        <v>3</v>
      </c>
      <c r="Q78" s="135">
        <v>2</v>
      </c>
      <c r="R78" s="135"/>
      <c r="S78" s="163">
        <v>1</v>
      </c>
      <c r="T78" s="163">
        <v>1</v>
      </c>
      <c r="U78" s="163">
        <v>1</v>
      </c>
      <c r="V78" s="135"/>
      <c r="W78" s="135"/>
      <c r="X78" s="163"/>
      <c r="Y78" s="135">
        <v>1514</v>
      </c>
      <c r="Z78" s="135">
        <v>1000</v>
      </c>
      <c r="AA78" s="135">
        <v>200</v>
      </c>
      <c r="AB78" s="135"/>
      <c r="AC78" s="135"/>
      <c r="AD78" s="135"/>
      <c r="AE78" s="135"/>
      <c r="AF78" s="163">
        <v>1</v>
      </c>
      <c r="AG78" s="169">
        <v>100</v>
      </c>
      <c r="AH78" s="135"/>
      <c r="AI78" s="135"/>
      <c r="AJ78" s="135"/>
      <c r="AK78" s="135">
        <v>0</v>
      </c>
      <c r="AL78" s="135">
        <v>21002</v>
      </c>
      <c r="AM78" s="135">
        <v>1000</v>
      </c>
      <c r="AN78" s="135"/>
      <c r="AO78" s="130" t="s">
        <v>265</v>
      </c>
      <c r="AP78" s="174">
        <v>1</v>
      </c>
      <c r="AQ78" s="130" t="s">
        <v>265</v>
      </c>
      <c r="AR78" s="174">
        <v>1</v>
      </c>
      <c r="AS78" s="130" t="s">
        <v>265</v>
      </c>
      <c r="AT78" s="174">
        <v>1</v>
      </c>
      <c r="AU78" s="130"/>
      <c r="AV78" s="130" t="s">
        <v>266</v>
      </c>
      <c r="AW78" s="104" t="s">
        <v>248</v>
      </c>
      <c r="AX78" s="130" t="s">
        <v>249</v>
      </c>
      <c r="AY78" s="130"/>
      <c r="AZ78" s="130"/>
      <c r="BA78" s="130"/>
      <c r="BB78" s="179"/>
      <c r="BC78" s="179"/>
      <c r="BD78" s="104"/>
      <c r="BE78" s="130"/>
      <c r="BF78" s="138">
        <v>11211</v>
      </c>
      <c r="BG78" s="130"/>
      <c r="BH78" s="185" t="s">
        <v>376</v>
      </c>
      <c r="BI78" s="130" t="s">
        <v>345</v>
      </c>
      <c r="BJ78" s="130" t="s">
        <v>300</v>
      </c>
      <c r="BK78" s="130" t="s">
        <v>253</v>
      </c>
      <c r="BL78" s="135"/>
      <c r="BM78" s="135"/>
      <c r="BN78" s="135"/>
      <c r="BO78" s="163">
        <v>100</v>
      </c>
      <c r="BP78" s="163">
        <v>200</v>
      </c>
      <c r="BQ78" s="130" t="s">
        <v>241</v>
      </c>
      <c r="BR78" s="135">
        <v>1</v>
      </c>
      <c r="BS78" s="135"/>
      <c r="BT78" s="163">
        <v>50</v>
      </c>
      <c r="BU78" s="163">
        <v>40</v>
      </c>
      <c r="BV78" s="130"/>
      <c r="BW78" s="104"/>
      <c r="BX78" s="135"/>
      <c r="BY78" s="135"/>
      <c r="BZ78" s="135">
        <v>1</v>
      </c>
      <c r="CA78" s="135">
        <v>1</v>
      </c>
      <c r="CB78" s="135">
        <v>1</v>
      </c>
      <c r="CC78" s="135">
        <v>1</v>
      </c>
      <c r="CD78" s="135">
        <v>1</v>
      </c>
      <c r="CE78" s="135">
        <v>1</v>
      </c>
      <c r="CF78" s="135">
        <v>1</v>
      </c>
      <c r="CG78" s="135">
        <v>1</v>
      </c>
      <c r="CH78" s="163">
        <v>21</v>
      </c>
      <c r="CI78" s="130" t="s">
        <v>4517</v>
      </c>
      <c r="CJ78" s="135"/>
      <c r="CK78" s="135"/>
      <c r="CL78" s="130"/>
      <c r="CM78" s="193">
        <v>100005</v>
      </c>
      <c r="CN78" s="193">
        <v>100057</v>
      </c>
      <c r="CO78" s="193"/>
      <c r="CP78" s="193">
        <v>100005</v>
      </c>
      <c r="CQ78" s="193"/>
      <c r="CR78" s="193"/>
    </row>
    <row r="79" spans="1:96" ht="15.75" customHeight="1" x14ac:dyDescent="0.35">
      <c r="A79" s="292"/>
      <c r="B79" s="81" t="s">
        <v>389</v>
      </c>
      <c r="C79" s="75" t="s">
        <v>390</v>
      </c>
      <c r="D79" s="138">
        <v>11221</v>
      </c>
      <c r="E79" s="135">
        <v>70107</v>
      </c>
      <c r="F79" s="135"/>
      <c r="G79" s="139"/>
      <c r="H79" s="135"/>
      <c r="I79" s="135"/>
      <c r="J79" s="135"/>
      <c r="K79" s="135">
        <v>1</v>
      </c>
      <c r="L79" s="139"/>
      <c r="M79" s="139"/>
      <c r="N79" s="139"/>
      <c r="O79" s="154"/>
      <c r="P79" s="135">
        <v>1</v>
      </c>
      <c r="Q79" s="135">
        <v>2</v>
      </c>
      <c r="R79" s="135"/>
      <c r="S79" s="163">
        <v>1</v>
      </c>
      <c r="T79" s="163">
        <v>1</v>
      </c>
      <c r="U79" s="163">
        <v>1</v>
      </c>
      <c r="V79" s="135"/>
      <c r="W79" s="135"/>
      <c r="X79" s="163"/>
      <c r="Y79" s="135">
        <v>1546</v>
      </c>
      <c r="Z79" s="135">
        <v>1300</v>
      </c>
      <c r="AA79" s="135">
        <v>200</v>
      </c>
      <c r="AB79" s="135"/>
      <c r="AC79" s="135"/>
      <c r="AD79" s="135"/>
      <c r="AE79" s="135"/>
      <c r="AF79" s="163">
        <v>1</v>
      </c>
      <c r="AG79" s="169">
        <v>100</v>
      </c>
      <c r="AH79" s="135"/>
      <c r="AI79" s="135"/>
      <c r="AJ79" s="135"/>
      <c r="AK79" s="135">
        <v>0</v>
      </c>
      <c r="AL79" s="135">
        <v>21003</v>
      </c>
      <c r="AM79" s="135">
        <v>1000</v>
      </c>
      <c r="AN79" s="135"/>
      <c r="AO79" s="130" t="s">
        <v>291</v>
      </c>
      <c r="AP79" s="130" t="s">
        <v>272</v>
      </c>
      <c r="AQ79" s="130" t="s">
        <v>292</v>
      </c>
      <c r="AR79" s="130" t="s">
        <v>272</v>
      </c>
      <c r="AS79" s="130" t="s">
        <v>292</v>
      </c>
      <c r="AT79" s="130" t="s">
        <v>272</v>
      </c>
      <c r="AU79" s="130"/>
      <c r="AV79" s="130" t="s">
        <v>266</v>
      </c>
      <c r="AW79" s="104" t="s">
        <v>248</v>
      </c>
      <c r="AX79" s="130" t="s">
        <v>249</v>
      </c>
      <c r="AY79" s="130"/>
      <c r="AZ79" s="130"/>
      <c r="BA79" s="130"/>
      <c r="BB79" s="179"/>
      <c r="BC79" s="179"/>
      <c r="BD79" s="104"/>
      <c r="BE79" s="130"/>
      <c r="BF79" s="138">
        <v>11221</v>
      </c>
      <c r="BG79" s="130"/>
      <c r="BH79" s="185" t="s">
        <v>376</v>
      </c>
      <c r="BI79" s="130" t="s">
        <v>280</v>
      </c>
      <c r="BJ79" s="130" t="s">
        <v>300</v>
      </c>
      <c r="BK79" s="130" t="s">
        <v>253</v>
      </c>
      <c r="BL79" s="135"/>
      <c r="BM79" s="135"/>
      <c r="BN79" s="135"/>
      <c r="BO79" s="163">
        <v>100</v>
      </c>
      <c r="BP79" s="163">
        <v>200</v>
      </c>
      <c r="BQ79" s="130" t="s">
        <v>241</v>
      </c>
      <c r="BR79" s="135">
        <v>1</v>
      </c>
      <c r="BS79" s="135"/>
      <c r="BT79" s="163">
        <v>50</v>
      </c>
      <c r="BU79" s="163">
        <v>40</v>
      </c>
      <c r="BV79" s="130"/>
      <c r="BW79" s="104"/>
      <c r="BX79" s="135"/>
      <c r="BY79" s="135"/>
      <c r="BZ79" s="135">
        <v>1</v>
      </c>
      <c r="CA79" s="135">
        <v>1</v>
      </c>
      <c r="CB79" s="135">
        <v>1</v>
      </c>
      <c r="CC79" s="135">
        <v>1</v>
      </c>
      <c r="CD79" s="135">
        <v>1</v>
      </c>
      <c r="CE79" s="135">
        <v>1</v>
      </c>
      <c r="CF79" s="135">
        <v>1</v>
      </c>
      <c r="CG79" s="135">
        <v>1</v>
      </c>
      <c r="CH79" s="163">
        <v>4</v>
      </c>
      <c r="CI79" s="130" t="s">
        <v>4518</v>
      </c>
      <c r="CJ79" s="135"/>
      <c r="CK79" s="135"/>
      <c r="CL79" s="130"/>
      <c r="CM79" s="193">
        <v>100005</v>
      </c>
      <c r="CN79" s="193">
        <v>100057</v>
      </c>
      <c r="CO79" s="193"/>
      <c r="CP79" s="193">
        <v>100005</v>
      </c>
      <c r="CQ79" s="193"/>
      <c r="CR79" s="193"/>
    </row>
    <row r="80" spans="1:96" ht="15.75" customHeight="1" x14ac:dyDescent="0.35">
      <c r="A80" s="292"/>
      <c r="B80" s="81" t="s">
        <v>391</v>
      </c>
      <c r="C80" s="75" t="s">
        <v>392</v>
      </c>
      <c r="D80" s="138">
        <v>11231</v>
      </c>
      <c r="E80" s="135">
        <v>70108</v>
      </c>
      <c r="F80" s="135"/>
      <c r="G80" s="139"/>
      <c r="H80" s="135"/>
      <c r="I80" s="135"/>
      <c r="J80" s="135"/>
      <c r="K80" s="135">
        <v>1</v>
      </c>
      <c r="L80" s="139"/>
      <c r="M80" s="139"/>
      <c r="N80" s="139"/>
      <c r="O80" s="154"/>
      <c r="P80" s="135">
        <v>1</v>
      </c>
      <c r="Q80" s="135">
        <v>2</v>
      </c>
      <c r="R80" s="135"/>
      <c r="S80" s="163">
        <v>1</v>
      </c>
      <c r="T80" s="163">
        <v>1</v>
      </c>
      <c r="U80" s="163">
        <v>1</v>
      </c>
      <c r="V80" s="135"/>
      <c r="W80" s="135"/>
      <c r="X80" s="163"/>
      <c r="Y80" s="135">
        <v>1544</v>
      </c>
      <c r="Z80" s="135">
        <v>1300</v>
      </c>
      <c r="AA80" s="135">
        <v>200</v>
      </c>
      <c r="AB80" s="135"/>
      <c r="AC80" s="135"/>
      <c r="AD80" s="135"/>
      <c r="AE80" s="135"/>
      <c r="AF80" s="163">
        <v>1</v>
      </c>
      <c r="AG80" s="169">
        <v>100</v>
      </c>
      <c r="AH80" s="135"/>
      <c r="AI80" s="135"/>
      <c r="AJ80" s="135"/>
      <c r="AK80" s="135">
        <v>0</v>
      </c>
      <c r="AL80" s="135">
        <v>21003</v>
      </c>
      <c r="AM80" s="135">
        <v>1000</v>
      </c>
      <c r="AN80" s="135"/>
      <c r="AO80" s="130" t="s">
        <v>323</v>
      </c>
      <c r="AP80" s="130" t="s">
        <v>272</v>
      </c>
      <c r="AQ80" s="130" t="s">
        <v>323</v>
      </c>
      <c r="AR80" s="130" t="s">
        <v>272</v>
      </c>
      <c r="AS80" s="130" t="s">
        <v>323</v>
      </c>
      <c r="AT80" s="130" t="s">
        <v>272</v>
      </c>
      <c r="AU80" s="130"/>
      <c r="AV80" s="130" t="s">
        <v>266</v>
      </c>
      <c r="AW80" s="104" t="s">
        <v>248</v>
      </c>
      <c r="AX80" s="130" t="s">
        <v>249</v>
      </c>
      <c r="AY80" s="130"/>
      <c r="AZ80" s="130"/>
      <c r="BA80" s="130"/>
      <c r="BB80" s="179"/>
      <c r="BC80" s="179"/>
      <c r="BD80" s="104"/>
      <c r="BE80" s="130"/>
      <c r="BF80" s="138">
        <v>11231</v>
      </c>
      <c r="BG80" s="130"/>
      <c r="BH80" s="185" t="s">
        <v>376</v>
      </c>
      <c r="BI80" s="130" t="s">
        <v>377</v>
      </c>
      <c r="BJ80" s="130" t="s">
        <v>300</v>
      </c>
      <c r="BK80" s="130" t="s">
        <v>253</v>
      </c>
      <c r="BL80" s="135"/>
      <c r="BM80" s="135"/>
      <c r="BN80" s="135"/>
      <c r="BO80" s="163">
        <v>100</v>
      </c>
      <c r="BP80" s="163">
        <v>200</v>
      </c>
      <c r="BQ80" s="130" t="s">
        <v>241</v>
      </c>
      <c r="BR80" s="135">
        <v>1</v>
      </c>
      <c r="BS80" s="135"/>
      <c r="BT80" s="163">
        <v>50</v>
      </c>
      <c r="BU80" s="163">
        <v>40</v>
      </c>
      <c r="BV80" s="130"/>
      <c r="BW80" s="104"/>
      <c r="BX80" s="135"/>
      <c r="BY80" s="135"/>
      <c r="BZ80" s="135">
        <v>1</v>
      </c>
      <c r="CA80" s="135">
        <v>1</v>
      </c>
      <c r="CB80" s="135">
        <v>1</v>
      </c>
      <c r="CC80" s="135">
        <v>1</v>
      </c>
      <c r="CD80" s="135">
        <v>1</v>
      </c>
      <c r="CE80" s="135">
        <v>1</v>
      </c>
      <c r="CF80" s="135">
        <v>1</v>
      </c>
      <c r="CG80" s="135">
        <v>1</v>
      </c>
      <c r="CH80" s="163">
        <v>7</v>
      </c>
      <c r="CI80" s="130" t="s">
        <v>4516</v>
      </c>
      <c r="CJ80" s="135"/>
      <c r="CK80" s="135"/>
      <c r="CL80" s="130"/>
      <c r="CM80" s="193">
        <v>100005</v>
      </c>
      <c r="CN80" s="193">
        <v>100057</v>
      </c>
      <c r="CO80" s="193"/>
      <c r="CP80" s="193">
        <v>100005</v>
      </c>
      <c r="CQ80" s="193"/>
      <c r="CR80" s="193"/>
    </row>
    <row r="81" spans="1:96" ht="15.75" customHeight="1" x14ac:dyDescent="0.35">
      <c r="A81" s="292"/>
      <c r="B81" s="81" t="s">
        <v>393</v>
      </c>
      <c r="C81" s="75" t="s">
        <v>379</v>
      </c>
      <c r="D81" s="138">
        <v>11241</v>
      </c>
      <c r="E81" s="135">
        <v>70109</v>
      </c>
      <c r="F81" s="135"/>
      <c r="G81" s="139"/>
      <c r="H81" s="135"/>
      <c r="I81" s="135"/>
      <c r="J81" s="135"/>
      <c r="K81" s="135">
        <v>1</v>
      </c>
      <c r="L81" s="139"/>
      <c r="M81" s="139"/>
      <c r="N81" s="139"/>
      <c r="O81" s="154"/>
      <c r="P81" s="135">
        <v>3</v>
      </c>
      <c r="Q81" s="135">
        <v>2</v>
      </c>
      <c r="R81" s="135"/>
      <c r="S81" s="163">
        <v>1</v>
      </c>
      <c r="T81" s="163">
        <v>1</v>
      </c>
      <c r="U81" s="163">
        <v>1</v>
      </c>
      <c r="V81" s="135"/>
      <c r="W81" s="135"/>
      <c r="X81" s="163"/>
      <c r="Y81" s="135">
        <v>1531</v>
      </c>
      <c r="Z81" s="135">
        <v>700</v>
      </c>
      <c r="AA81" s="135">
        <v>300</v>
      </c>
      <c r="AB81" s="135"/>
      <c r="AC81" s="135"/>
      <c r="AD81" s="135"/>
      <c r="AE81" s="135"/>
      <c r="AF81" s="163">
        <v>1</v>
      </c>
      <c r="AG81" s="169">
        <v>100</v>
      </c>
      <c r="AH81" s="135"/>
      <c r="AI81" s="135"/>
      <c r="AJ81" s="135"/>
      <c r="AK81" s="135">
        <v>0</v>
      </c>
      <c r="AL81" s="135">
        <v>21011</v>
      </c>
      <c r="AM81" s="135">
        <v>1100</v>
      </c>
      <c r="AN81" s="135"/>
      <c r="AO81" s="130" t="s">
        <v>311</v>
      </c>
      <c r="AP81" s="130" t="s">
        <v>246</v>
      </c>
      <c r="AQ81" s="130" t="s">
        <v>311</v>
      </c>
      <c r="AR81" s="130" t="s">
        <v>246</v>
      </c>
      <c r="AS81" s="130" t="s">
        <v>311</v>
      </c>
      <c r="AT81" s="130" t="s">
        <v>246</v>
      </c>
      <c r="AU81" s="130"/>
      <c r="AV81" s="130" t="s">
        <v>266</v>
      </c>
      <c r="AW81" s="104" t="s">
        <v>248</v>
      </c>
      <c r="AX81" s="130" t="s">
        <v>249</v>
      </c>
      <c r="AY81" s="130"/>
      <c r="AZ81" s="130"/>
      <c r="BA81" s="130"/>
      <c r="BB81" s="179"/>
      <c r="BC81" s="179"/>
      <c r="BD81" s="104"/>
      <c r="BE81" s="130"/>
      <c r="BF81" s="138">
        <v>11241</v>
      </c>
      <c r="BG81" s="130"/>
      <c r="BH81" s="185" t="s">
        <v>376</v>
      </c>
      <c r="BI81" s="130" t="s">
        <v>268</v>
      </c>
      <c r="BJ81" s="130" t="s">
        <v>269</v>
      </c>
      <c r="BK81" s="130" t="s">
        <v>253</v>
      </c>
      <c r="BL81" s="135"/>
      <c r="BM81" s="135"/>
      <c r="BN81" s="135"/>
      <c r="BO81" s="163">
        <v>120</v>
      </c>
      <c r="BP81" s="163">
        <v>200</v>
      </c>
      <c r="BQ81" s="130" t="s">
        <v>241</v>
      </c>
      <c r="BR81" s="135">
        <v>1</v>
      </c>
      <c r="BS81" s="135"/>
      <c r="BT81" s="163">
        <v>50</v>
      </c>
      <c r="BU81" s="163">
        <v>30</v>
      </c>
      <c r="BV81" s="130"/>
      <c r="BW81" s="104"/>
      <c r="BX81" s="135"/>
      <c r="BY81" s="135"/>
      <c r="BZ81" s="135">
        <v>3</v>
      </c>
      <c r="CA81" s="135">
        <v>3</v>
      </c>
      <c r="CB81" s="135">
        <v>4</v>
      </c>
      <c r="CC81" s="135">
        <v>4</v>
      </c>
      <c r="CD81" s="135">
        <v>5</v>
      </c>
      <c r="CE81" s="135">
        <v>5</v>
      </c>
      <c r="CF81" s="135">
        <v>4</v>
      </c>
      <c r="CG81" s="135">
        <v>5</v>
      </c>
      <c r="CH81" s="163">
        <v>5</v>
      </c>
      <c r="CI81" s="130" t="s">
        <v>4525</v>
      </c>
      <c r="CJ81" s="135"/>
      <c r="CK81" s="135"/>
      <c r="CL81" s="130"/>
      <c r="CM81" s="193">
        <v>100005</v>
      </c>
      <c r="CN81" s="193">
        <v>100057</v>
      </c>
      <c r="CO81" s="193"/>
      <c r="CP81" s="193">
        <v>100005</v>
      </c>
      <c r="CQ81" s="193"/>
      <c r="CR81" s="193"/>
    </row>
    <row r="82" spans="1:96" ht="15.75" customHeight="1" x14ac:dyDescent="0.35">
      <c r="A82" s="292"/>
      <c r="B82" s="81" t="s">
        <v>4465</v>
      </c>
      <c r="C82" s="75" t="s">
        <v>394</v>
      </c>
      <c r="D82" s="138">
        <v>11251</v>
      </c>
      <c r="E82" s="135">
        <v>70110</v>
      </c>
      <c r="F82" s="135"/>
      <c r="G82" s="139"/>
      <c r="H82" s="135"/>
      <c r="I82" s="135"/>
      <c r="J82" s="135"/>
      <c r="K82" s="135">
        <v>1</v>
      </c>
      <c r="L82" s="139"/>
      <c r="M82" s="139"/>
      <c r="N82" s="139"/>
      <c r="O82" s="154"/>
      <c r="P82" s="135">
        <v>3</v>
      </c>
      <c r="Q82" s="135">
        <v>2</v>
      </c>
      <c r="R82" s="135"/>
      <c r="S82" s="163">
        <v>1</v>
      </c>
      <c r="T82" s="163">
        <v>1</v>
      </c>
      <c r="U82" s="163">
        <v>1</v>
      </c>
      <c r="V82" s="135"/>
      <c r="W82" s="135"/>
      <c r="X82" s="163"/>
      <c r="Y82" s="135">
        <v>1548</v>
      </c>
      <c r="Z82" s="135">
        <v>1500</v>
      </c>
      <c r="AA82" s="135">
        <v>200</v>
      </c>
      <c r="AB82" s="135"/>
      <c r="AC82" s="135"/>
      <c r="AD82" s="135"/>
      <c r="AE82" s="135"/>
      <c r="AF82" s="163">
        <v>1</v>
      </c>
      <c r="AG82" s="169">
        <v>100</v>
      </c>
      <c r="AH82" s="135"/>
      <c r="AI82" s="135"/>
      <c r="AJ82" s="135"/>
      <c r="AK82" s="135">
        <v>0</v>
      </c>
      <c r="AL82" s="135">
        <v>21005</v>
      </c>
      <c r="AM82" s="135">
        <v>1000</v>
      </c>
      <c r="AN82" s="135"/>
      <c r="AO82" s="130" t="s">
        <v>4472</v>
      </c>
      <c r="AP82" s="130">
        <v>1</v>
      </c>
      <c r="AQ82" s="130" t="s">
        <v>4472</v>
      </c>
      <c r="AR82" s="130">
        <v>1</v>
      </c>
      <c r="AS82" s="130" t="s">
        <v>4472</v>
      </c>
      <c r="AT82" s="130">
        <v>1</v>
      </c>
      <c r="AU82" s="130" t="s">
        <v>4466</v>
      </c>
      <c r="AV82" s="130" t="s">
        <v>266</v>
      </c>
      <c r="AW82" s="104" t="s">
        <v>248</v>
      </c>
      <c r="AX82" s="130" t="s">
        <v>249</v>
      </c>
      <c r="AY82" s="130"/>
      <c r="AZ82" s="130"/>
      <c r="BA82" s="130"/>
      <c r="BB82" s="179"/>
      <c r="BC82" s="179"/>
      <c r="BD82" s="104"/>
      <c r="BE82" s="130"/>
      <c r="BF82" s="138">
        <v>11251</v>
      </c>
      <c r="BG82" s="130"/>
      <c r="BH82" s="185" t="s">
        <v>376</v>
      </c>
      <c r="BI82" s="130" t="s">
        <v>293</v>
      </c>
      <c r="BJ82" s="130" t="s">
        <v>269</v>
      </c>
      <c r="BK82" s="130" t="s">
        <v>253</v>
      </c>
      <c r="BL82" s="135"/>
      <c r="BM82" s="135"/>
      <c r="BN82" s="135"/>
      <c r="BO82" s="163">
        <v>100</v>
      </c>
      <c r="BP82" s="163">
        <v>200</v>
      </c>
      <c r="BQ82" s="130" t="s">
        <v>241</v>
      </c>
      <c r="BR82" s="135">
        <v>1</v>
      </c>
      <c r="BS82" s="135"/>
      <c r="BT82" s="163">
        <v>50</v>
      </c>
      <c r="BU82" s="163">
        <v>30</v>
      </c>
      <c r="BV82" s="130"/>
      <c r="BW82" s="104"/>
      <c r="BX82" s="135"/>
      <c r="BY82" s="135"/>
      <c r="BZ82" s="135">
        <v>1</v>
      </c>
      <c r="CA82" s="135">
        <v>1</v>
      </c>
      <c r="CB82" s="135">
        <v>1</v>
      </c>
      <c r="CC82" s="135">
        <v>1</v>
      </c>
      <c r="CD82" s="135">
        <v>1</v>
      </c>
      <c r="CE82" s="135">
        <v>1</v>
      </c>
      <c r="CF82" s="135">
        <v>1</v>
      </c>
      <c r="CG82" s="135">
        <v>1</v>
      </c>
      <c r="CH82" s="163">
        <v>26</v>
      </c>
      <c r="CI82" s="130" t="s">
        <v>4528</v>
      </c>
      <c r="CJ82" s="135"/>
      <c r="CK82" s="135"/>
      <c r="CL82" s="130"/>
      <c r="CM82" s="193">
        <v>100005</v>
      </c>
      <c r="CN82" s="193">
        <v>100057</v>
      </c>
      <c r="CO82" s="193"/>
      <c r="CP82" s="193">
        <v>100005</v>
      </c>
      <c r="CQ82" s="193"/>
      <c r="CR82" s="193"/>
    </row>
    <row r="83" spans="1:96" ht="15.75" customHeight="1" x14ac:dyDescent="0.35">
      <c r="A83" s="292"/>
      <c r="B83" s="81" t="s">
        <v>4467</v>
      </c>
      <c r="C83" s="75" t="s">
        <v>394</v>
      </c>
      <c r="D83" s="138">
        <v>11252</v>
      </c>
      <c r="E83" s="135">
        <v>70110</v>
      </c>
      <c r="F83" s="135"/>
      <c r="G83" s="139"/>
      <c r="H83" s="135"/>
      <c r="I83" s="135"/>
      <c r="J83" s="135"/>
      <c r="K83" s="135">
        <v>1</v>
      </c>
      <c r="L83" s="139"/>
      <c r="M83" s="139"/>
      <c r="N83" s="139"/>
      <c r="O83" s="154"/>
      <c r="P83" s="135">
        <v>3</v>
      </c>
      <c r="Q83" s="135">
        <v>2</v>
      </c>
      <c r="R83" s="135"/>
      <c r="S83" s="163">
        <v>1</v>
      </c>
      <c r="T83" s="163">
        <v>1</v>
      </c>
      <c r="U83" s="163">
        <v>1</v>
      </c>
      <c r="V83" s="135"/>
      <c r="W83" s="135"/>
      <c r="X83" s="163"/>
      <c r="Y83" s="135">
        <v>1548</v>
      </c>
      <c r="Z83" s="135">
        <v>700</v>
      </c>
      <c r="AA83" s="135">
        <v>100</v>
      </c>
      <c r="AB83" s="135"/>
      <c r="AC83" s="135"/>
      <c r="AD83" s="135"/>
      <c r="AE83" s="135"/>
      <c r="AF83" s="163">
        <v>1</v>
      </c>
      <c r="AG83" s="169">
        <v>100</v>
      </c>
      <c r="AH83" s="135"/>
      <c r="AI83" s="135"/>
      <c r="AJ83" s="135"/>
      <c r="AK83" s="135">
        <v>0</v>
      </c>
      <c r="AL83" s="135">
        <v>21005</v>
      </c>
      <c r="AM83" s="135">
        <v>1000</v>
      </c>
      <c r="AN83" s="135"/>
      <c r="AO83" s="130" t="s">
        <v>4472</v>
      </c>
      <c r="AP83" s="130">
        <v>1</v>
      </c>
      <c r="AQ83" s="130" t="s">
        <v>4472</v>
      </c>
      <c r="AR83" s="130">
        <v>1</v>
      </c>
      <c r="AS83" s="130" t="s">
        <v>4472</v>
      </c>
      <c r="AT83" s="130">
        <v>1</v>
      </c>
      <c r="AU83" s="130"/>
      <c r="AV83" s="130" t="s">
        <v>266</v>
      </c>
      <c r="AW83" s="104" t="s">
        <v>248</v>
      </c>
      <c r="AX83" s="130" t="s">
        <v>249</v>
      </c>
      <c r="AY83" s="130"/>
      <c r="AZ83" s="130"/>
      <c r="BA83" s="130"/>
      <c r="BB83" s="179"/>
      <c r="BC83" s="179"/>
      <c r="BD83" s="104"/>
      <c r="BE83" s="130"/>
      <c r="BF83" s="138">
        <v>11252</v>
      </c>
      <c r="BG83" s="130"/>
      <c r="BH83" s="185" t="s">
        <v>376</v>
      </c>
      <c r="BI83" s="130" t="s">
        <v>293</v>
      </c>
      <c r="BJ83" s="130" t="s">
        <v>269</v>
      </c>
      <c r="BK83" s="130" t="s">
        <v>253</v>
      </c>
      <c r="BL83" s="135"/>
      <c r="BM83" s="135"/>
      <c r="BN83" s="135"/>
      <c r="BO83" s="163">
        <v>100</v>
      </c>
      <c r="BP83" s="163">
        <v>200</v>
      </c>
      <c r="BQ83" s="130" t="s">
        <v>241</v>
      </c>
      <c r="BR83" s="135">
        <v>1</v>
      </c>
      <c r="BS83" s="135"/>
      <c r="BT83" s="163">
        <v>50</v>
      </c>
      <c r="BU83" s="163">
        <v>30</v>
      </c>
      <c r="BV83" s="130"/>
      <c r="BW83" s="104"/>
      <c r="BX83" s="135"/>
      <c r="BY83" s="135"/>
      <c r="BZ83" s="135">
        <v>1</v>
      </c>
      <c r="CA83" s="135">
        <v>1</v>
      </c>
      <c r="CB83" s="135">
        <v>1</v>
      </c>
      <c r="CC83" s="135">
        <v>1</v>
      </c>
      <c r="CD83" s="135">
        <v>1</v>
      </c>
      <c r="CE83" s="135">
        <v>1</v>
      </c>
      <c r="CF83" s="135">
        <v>1</v>
      </c>
      <c r="CG83" s="135">
        <v>1</v>
      </c>
      <c r="CH83" s="163">
        <v>26</v>
      </c>
      <c r="CI83" s="130" t="s">
        <v>4528</v>
      </c>
      <c r="CJ83" s="135"/>
      <c r="CK83" s="135"/>
      <c r="CL83" s="130"/>
      <c r="CM83" s="193"/>
      <c r="CN83" s="193">
        <v>100057</v>
      </c>
      <c r="CO83" s="193"/>
      <c r="CP83" s="193"/>
      <c r="CQ83" s="193"/>
      <c r="CR83" s="193"/>
    </row>
    <row r="84" spans="1:96" ht="15.75" customHeight="1" x14ac:dyDescent="0.35">
      <c r="A84" s="292"/>
      <c r="B84" s="81" t="s">
        <v>4468</v>
      </c>
      <c r="C84" s="75" t="s">
        <v>4469</v>
      </c>
      <c r="D84" s="138">
        <v>11261</v>
      </c>
      <c r="E84" s="135">
        <v>70111</v>
      </c>
      <c r="F84" s="135"/>
      <c r="G84" s="139"/>
      <c r="H84" s="135"/>
      <c r="I84" s="135"/>
      <c r="J84" s="135"/>
      <c r="K84" s="135">
        <v>1</v>
      </c>
      <c r="L84" s="139"/>
      <c r="M84" s="139"/>
      <c r="N84" s="139"/>
      <c r="O84" s="154"/>
      <c r="P84" s="135">
        <v>3</v>
      </c>
      <c r="Q84" s="135">
        <v>2</v>
      </c>
      <c r="R84" s="135"/>
      <c r="S84" s="163">
        <v>1</v>
      </c>
      <c r="T84" s="163">
        <v>1</v>
      </c>
      <c r="U84" s="163">
        <v>1</v>
      </c>
      <c r="V84" s="135"/>
      <c r="W84" s="135"/>
      <c r="X84" s="163"/>
      <c r="Y84" s="135">
        <v>1547</v>
      </c>
      <c r="Z84" s="135">
        <v>1300</v>
      </c>
      <c r="AA84" s="135">
        <v>200</v>
      </c>
      <c r="AB84" s="135"/>
      <c r="AC84" s="135"/>
      <c r="AD84" s="135"/>
      <c r="AE84" s="135"/>
      <c r="AF84" s="163">
        <v>1</v>
      </c>
      <c r="AG84" s="169">
        <v>100</v>
      </c>
      <c r="AH84" s="135"/>
      <c r="AI84" s="135"/>
      <c r="AJ84" s="135"/>
      <c r="AK84" s="135">
        <v>0</v>
      </c>
      <c r="AL84" s="135">
        <v>21002</v>
      </c>
      <c r="AM84" s="135">
        <v>1000</v>
      </c>
      <c r="AN84" s="135"/>
      <c r="AO84" s="130" t="s">
        <v>265</v>
      </c>
      <c r="AP84" s="174">
        <v>1</v>
      </c>
      <c r="AQ84" s="130" t="s">
        <v>265</v>
      </c>
      <c r="AR84" s="174">
        <v>1</v>
      </c>
      <c r="AS84" s="130" t="s">
        <v>265</v>
      </c>
      <c r="AT84" s="174">
        <v>1</v>
      </c>
      <c r="AU84" s="130" t="s">
        <v>4470</v>
      </c>
      <c r="AV84" s="130" t="s">
        <v>266</v>
      </c>
      <c r="AW84" s="104" t="s">
        <v>248</v>
      </c>
      <c r="AX84" s="130" t="s">
        <v>249</v>
      </c>
      <c r="AY84" s="130"/>
      <c r="AZ84" s="130"/>
      <c r="BA84" s="130"/>
      <c r="BB84" s="179"/>
      <c r="BC84" s="179"/>
      <c r="BD84" s="104"/>
      <c r="BE84" s="130"/>
      <c r="BF84" s="138">
        <v>11261</v>
      </c>
      <c r="BG84" s="130"/>
      <c r="BH84" s="185" t="s">
        <v>376</v>
      </c>
      <c r="BI84" s="130" t="s">
        <v>293</v>
      </c>
      <c r="BJ84" s="130" t="s">
        <v>269</v>
      </c>
      <c r="BK84" s="130" t="s">
        <v>253</v>
      </c>
      <c r="BL84" s="135"/>
      <c r="BM84" s="135"/>
      <c r="BN84" s="135"/>
      <c r="BO84" s="163">
        <v>100</v>
      </c>
      <c r="BP84" s="163">
        <v>200</v>
      </c>
      <c r="BQ84" s="130" t="s">
        <v>241</v>
      </c>
      <c r="BR84" s="135">
        <v>1</v>
      </c>
      <c r="BS84" s="135"/>
      <c r="BT84" s="163">
        <v>50</v>
      </c>
      <c r="BU84" s="163">
        <v>40</v>
      </c>
      <c r="BV84" s="130"/>
      <c r="BW84" s="104"/>
      <c r="BX84" s="135"/>
      <c r="BY84" s="135"/>
      <c r="BZ84" s="135">
        <v>1</v>
      </c>
      <c r="CA84" s="135">
        <v>1</v>
      </c>
      <c r="CB84" s="135">
        <v>1</v>
      </c>
      <c r="CC84" s="135">
        <v>1</v>
      </c>
      <c r="CD84" s="135">
        <v>1</v>
      </c>
      <c r="CE84" s="135">
        <v>1</v>
      </c>
      <c r="CF84" s="135">
        <v>1</v>
      </c>
      <c r="CG84" s="135">
        <v>1</v>
      </c>
      <c r="CH84" s="163">
        <v>25</v>
      </c>
      <c r="CI84" s="130" t="s">
        <v>4529</v>
      </c>
      <c r="CJ84" s="135"/>
      <c r="CK84" s="135"/>
      <c r="CL84" s="130"/>
      <c r="CM84" s="193">
        <v>100005</v>
      </c>
      <c r="CN84" s="193">
        <v>100057</v>
      </c>
      <c r="CO84" s="193"/>
      <c r="CP84" s="193">
        <v>100005</v>
      </c>
      <c r="CQ84" s="193"/>
      <c r="CR84" s="193"/>
    </row>
    <row r="85" spans="1:96" ht="15.75" customHeight="1" x14ac:dyDescent="0.35">
      <c r="A85" s="292"/>
      <c r="B85" s="81" t="s">
        <v>4471</v>
      </c>
      <c r="C85" s="75" t="s">
        <v>4469</v>
      </c>
      <c r="D85" s="138">
        <v>11262</v>
      </c>
      <c r="E85" s="135">
        <v>70111</v>
      </c>
      <c r="F85" s="135"/>
      <c r="G85" s="139"/>
      <c r="H85" s="135"/>
      <c r="I85" s="135"/>
      <c r="J85" s="135"/>
      <c r="K85" s="135">
        <v>1</v>
      </c>
      <c r="L85" s="139"/>
      <c r="M85" s="139"/>
      <c r="N85" s="139"/>
      <c r="O85" s="154"/>
      <c r="P85" s="135">
        <v>3</v>
      </c>
      <c r="Q85" s="135">
        <v>2</v>
      </c>
      <c r="R85" s="135"/>
      <c r="S85" s="163">
        <v>1</v>
      </c>
      <c r="T85" s="163">
        <v>1</v>
      </c>
      <c r="U85" s="163">
        <v>1</v>
      </c>
      <c r="V85" s="135"/>
      <c r="W85" s="135"/>
      <c r="X85" s="163"/>
      <c r="Y85" s="135">
        <v>1547</v>
      </c>
      <c r="Z85" s="135">
        <v>500</v>
      </c>
      <c r="AA85" s="135">
        <v>100</v>
      </c>
      <c r="AB85" s="135"/>
      <c r="AC85" s="135"/>
      <c r="AD85" s="135"/>
      <c r="AE85" s="135"/>
      <c r="AF85" s="163">
        <v>1</v>
      </c>
      <c r="AG85" s="169">
        <v>100</v>
      </c>
      <c r="AH85" s="135"/>
      <c r="AI85" s="135"/>
      <c r="AJ85" s="135"/>
      <c r="AK85" s="135">
        <v>0</v>
      </c>
      <c r="AL85" s="135">
        <v>21002</v>
      </c>
      <c r="AM85" s="135">
        <v>1000</v>
      </c>
      <c r="AN85" s="135"/>
      <c r="AO85" s="130" t="s">
        <v>265</v>
      </c>
      <c r="AP85" s="174">
        <v>1</v>
      </c>
      <c r="AQ85" s="130" t="s">
        <v>265</v>
      </c>
      <c r="AR85" s="174">
        <v>1</v>
      </c>
      <c r="AS85" s="130" t="s">
        <v>265</v>
      </c>
      <c r="AT85" s="174">
        <v>1</v>
      </c>
      <c r="AU85" s="130"/>
      <c r="AV85" s="130" t="s">
        <v>266</v>
      </c>
      <c r="AW85" s="104" t="s">
        <v>248</v>
      </c>
      <c r="AX85" s="130" t="s">
        <v>249</v>
      </c>
      <c r="AY85" s="130"/>
      <c r="AZ85" s="130"/>
      <c r="BA85" s="130"/>
      <c r="BB85" s="179"/>
      <c r="BC85" s="179"/>
      <c r="BD85" s="104"/>
      <c r="BE85" s="130"/>
      <c r="BF85" s="138">
        <v>11262</v>
      </c>
      <c r="BG85" s="130"/>
      <c r="BH85" s="185" t="s">
        <v>376</v>
      </c>
      <c r="BI85" s="130" t="s">
        <v>293</v>
      </c>
      <c r="BJ85" s="130" t="s">
        <v>269</v>
      </c>
      <c r="BK85" s="130" t="s">
        <v>253</v>
      </c>
      <c r="BL85" s="135"/>
      <c r="BM85" s="135"/>
      <c r="BN85" s="135"/>
      <c r="BO85" s="163">
        <v>100</v>
      </c>
      <c r="BP85" s="163">
        <v>200</v>
      </c>
      <c r="BQ85" s="130" t="s">
        <v>241</v>
      </c>
      <c r="BR85" s="135">
        <v>1</v>
      </c>
      <c r="BS85" s="135"/>
      <c r="BT85" s="163">
        <v>50</v>
      </c>
      <c r="BU85" s="163">
        <v>40</v>
      </c>
      <c r="BV85" s="130"/>
      <c r="BW85" s="104"/>
      <c r="BX85" s="135"/>
      <c r="BY85" s="135"/>
      <c r="BZ85" s="135">
        <v>1</v>
      </c>
      <c r="CA85" s="135">
        <v>1</v>
      </c>
      <c r="CB85" s="135">
        <v>1</v>
      </c>
      <c r="CC85" s="135">
        <v>1</v>
      </c>
      <c r="CD85" s="135">
        <v>1</v>
      </c>
      <c r="CE85" s="135">
        <v>1</v>
      </c>
      <c r="CF85" s="135">
        <v>1</v>
      </c>
      <c r="CG85" s="135">
        <v>1</v>
      </c>
      <c r="CH85" s="163">
        <v>25</v>
      </c>
      <c r="CI85" s="130" t="s">
        <v>4529</v>
      </c>
      <c r="CJ85" s="135"/>
      <c r="CK85" s="135"/>
      <c r="CL85" s="130"/>
      <c r="CM85" s="193"/>
      <c r="CN85" s="193">
        <v>100057</v>
      </c>
      <c r="CO85" s="193"/>
      <c r="CP85" s="193"/>
      <c r="CQ85" s="193"/>
      <c r="CR85" s="193"/>
    </row>
    <row r="86" spans="1:96" ht="15.75" customHeight="1" x14ac:dyDescent="0.35">
      <c r="A86" s="292"/>
      <c r="B86" s="82" t="s">
        <v>395</v>
      </c>
      <c r="C86" s="75" t="s">
        <v>396</v>
      </c>
      <c r="D86" s="138">
        <v>11401</v>
      </c>
      <c r="E86" s="135">
        <v>70112</v>
      </c>
      <c r="F86" s="135"/>
      <c r="G86" s="139"/>
      <c r="H86" s="135">
        <v>0</v>
      </c>
      <c r="I86" s="135"/>
      <c r="J86" s="135"/>
      <c r="K86" s="135">
        <v>1</v>
      </c>
      <c r="L86" s="139"/>
      <c r="M86" s="139"/>
      <c r="N86" s="139"/>
      <c r="O86" s="154"/>
      <c r="P86" s="135">
        <v>1</v>
      </c>
      <c r="Q86" s="135">
        <v>3</v>
      </c>
      <c r="R86" s="135"/>
      <c r="S86" s="163">
        <v>1</v>
      </c>
      <c r="T86" s="163">
        <v>1</v>
      </c>
      <c r="U86" s="163">
        <v>1</v>
      </c>
      <c r="V86" s="135"/>
      <c r="W86" s="135"/>
      <c r="X86" s="163"/>
      <c r="Y86" s="135">
        <v>1315</v>
      </c>
      <c r="Z86" s="135">
        <v>1100</v>
      </c>
      <c r="AA86" s="135">
        <v>200</v>
      </c>
      <c r="AB86" s="135"/>
      <c r="AC86" s="135"/>
      <c r="AD86" s="135"/>
      <c r="AE86" s="135"/>
      <c r="AF86" s="163">
        <v>1</v>
      </c>
      <c r="AG86" s="169">
        <v>100</v>
      </c>
      <c r="AH86" s="135"/>
      <c r="AI86" s="135"/>
      <c r="AJ86" s="135"/>
      <c r="AK86" s="135">
        <v>0</v>
      </c>
      <c r="AL86" s="135">
        <v>21002</v>
      </c>
      <c r="AM86" s="135">
        <v>1000</v>
      </c>
      <c r="AN86" s="135"/>
      <c r="AO86" s="130" t="s">
        <v>265</v>
      </c>
      <c r="AP86" s="174">
        <v>1</v>
      </c>
      <c r="AQ86" s="130" t="s">
        <v>265</v>
      </c>
      <c r="AR86" s="174">
        <v>1</v>
      </c>
      <c r="AS86" s="130" t="s">
        <v>265</v>
      </c>
      <c r="AT86" s="174">
        <v>1</v>
      </c>
      <c r="AU86" s="130"/>
      <c r="AV86" s="130"/>
      <c r="AW86" s="104" t="s">
        <v>248</v>
      </c>
      <c r="AX86" s="130" t="s">
        <v>249</v>
      </c>
      <c r="AY86" s="130"/>
      <c r="AZ86" s="130"/>
      <c r="BA86" s="130"/>
      <c r="BB86" s="179"/>
      <c r="BC86" s="179"/>
      <c r="BD86" s="104"/>
      <c r="BE86" s="130"/>
      <c r="BF86" s="138">
        <v>11401</v>
      </c>
      <c r="BG86" s="130"/>
      <c r="BH86" s="185" t="s">
        <v>376</v>
      </c>
      <c r="BI86" s="130" t="s">
        <v>268</v>
      </c>
      <c r="BJ86" s="130" t="s">
        <v>269</v>
      </c>
      <c r="BK86" s="130" t="s">
        <v>253</v>
      </c>
      <c r="BL86" s="135"/>
      <c r="BM86" s="135"/>
      <c r="BN86" s="135"/>
      <c r="BO86" s="163">
        <v>100</v>
      </c>
      <c r="BP86" s="163">
        <v>200</v>
      </c>
      <c r="BQ86" s="130" t="s">
        <v>241</v>
      </c>
      <c r="BR86" s="135">
        <v>1</v>
      </c>
      <c r="BS86" s="135"/>
      <c r="BT86" s="163">
        <v>50</v>
      </c>
      <c r="BU86" s="163">
        <v>50</v>
      </c>
      <c r="BV86" s="130"/>
      <c r="BW86" s="104"/>
      <c r="BX86" s="135"/>
      <c r="BY86" s="135"/>
      <c r="BZ86" s="135">
        <v>1</v>
      </c>
      <c r="CA86" s="135">
        <v>2</v>
      </c>
      <c r="CB86" s="135">
        <v>3</v>
      </c>
      <c r="CC86" s="135">
        <v>4</v>
      </c>
      <c r="CD86" s="135">
        <v>5</v>
      </c>
      <c r="CE86" s="135">
        <v>6</v>
      </c>
      <c r="CF86" s="135">
        <v>3</v>
      </c>
      <c r="CG86" s="135">
        <v>4</v>
      </c>
      <c r="CH86" s="163">
        <v>1</v>
      </c>
      <c r="CI86" s="130" t="s">
        <v>4530</v>
      </c>
      <c r="CJ86" s="135"/>
      <c r="CK86" s="135"/>
      <c r="CL86" s="130"/>
      <c r="CM86" s="193">
        <v>100005</v>
      </c>
      <c r="CN86" s="193">
        <v>100057</v>
      </c>
      <c r="CO86" s="193"/>
      <c r="CP86" s="193">
        <v>100005</v>
      </c>
      <c r="CQ86" s="193"/>
      <c r="CR86" s="193"/>
    </row>
    <row r="87" spans="1:96" ht="15.75" customHeight="1" x14ac:dyDescent="0.35">
      <c r="A87" s="292"/>
      <c r="B87" s="82" t="s">
        <v>397</v>
      </c>
      <c r="C87" s="75" t="s">
        <v>398</v>
      </c>
      <c r="D87" s="138">
        <v>11411</v>
      </c>
      <c r="E87" s="135">
        <v>70113</v>
      </c>
      <c r="F87" s="135"/>
      <c r="G87" s="139"/>
      <c r="H87" s="135">
        <v>0</v>
      </c>
      <c r="I87" s="135"/>
      <c r="J87" s="135"/>
      <c r="K87" s="135">
        <v>1</v>
      </c>
      <c r="L87" s="139"/>
      <c r="M87" s="139"/>
      <c r="N87" s="139"/>
      <c r="O87" s="154"/>
      <c r="P87" s="135">
        <v>1</v>
      </c>
      <c r="Q87" s="135">
        <v>3</v>
      </c>
      <c r="R87" s="135"/>
      <c r="S87" s="163">
        <v>1</v>
      </c>
      <c r="T87" s="163">
        <v>1</v>
      </c>
      <c r="U87" s="163">
        <v>1</v>
      </c>
      <c r="V87" s="135"/>
      <c r="W87" s="135"/>
      <c r="X87" s="163"/>
      <c r="Y87" s="135">
        <v>1312</v>
      </c>
      <c r="Z87" s="135">
        <v>1300</v>
      </c>
      <c r="AA87" s="135">
        <v>200</v>
      </c>
      <c r="AB87" s="135"/>
      <c r="AC87" s="135"/>
      <c r="AD87" s="135"/>
      <c r="AE87" s="135"/>
      <c r="AF87" s="163">
        <v>1</v>
      </c>
      <c r="AG87" s="169">
        <v>100</v>
      </c>
      <c r="AH87" s="135"/>
      <c r="AI87" s="135"/>
      <c r="AJ87" s="135"/>
      <c r="AK87" s="135">
        <v>0</v>
      </c>
      <c r="AL87" s="135">
        <v>21005</v>
      </c>
      <c r="AM87" s="135">
        <v>1000</v>
      </c>
      <c r="AN87" s="135"/>
      <c r="AO87" s="130" t="s">
        <v>399</v>
      </c>
      <c r="AP87" s="130" t="s">
        <v>246</v>
      </c>
      <c r="AQ87" s="130" t="s">
        <v>399</v>
      </c>
      <c r="AR87" s="130" t="s">
        <v>246</v>
      </c>
      <c r="AS87" s="130" t="s">
        <v>399</v>
      </c>
      <c r="AT87" s="130" t="s">
        <v>246</v>
      </c>
      <c r="AU87" s="130"/>
      <c r="AV87" s="130"/>
      <c r="AW87" s="104" t="s">
        <v>248</v>
      </c>
      <c r="AX87" s="130" t="s">
        <v>249</v>
      </c>
      <c r="AY87" s="130"/>
      <c r="AZ87" s="130"/>
      <c r="BA87" s="130"/>
      <c r="BB87" s="179"/>
      <c r="BC87" s="179"/>
      <c r="BD87" s="104"/>
      <c r="BE87" s="130"/>
      <c r="BF87" s="138">
        <v>11411</v>
      </c>
      <c r="BG87" s="130"/>
      <c r="BH87" s="185" t="s">
        <v>376</v>
      </c>
      <c r="BI87" s="130" t="s">
        <v>268</v>
      </c>
      <c r="BJ87" s="130" t="s">
        <v>300</v>
      </c>
      <c r="BK87" s="130" t="s">
        <v>253</v>
      </c>
      <c r="BL87" s="135"/>
      <c r="BM87" s="135"/>
      <c r="BN87" s="135"/>
      <c r="BO87" s="163">
        <v>100</v>
      </c>
      <c r="BP87" s="163">
        <v>200</v>
      </c>
      <c r="BQ87" s="130" t="s">
        <v>241</v>
      </c>
      <c r="BR87" s="135">
        <v>1</v>
      </c>
      <c r="BS87" s="135"/>
      <c r="BT87" s="163">
        <v>50</v>
      </c>
      <c r="BU87" s="163">
        <v>50</v>
      </c>
      <c r="BV87" s="130"/>
      <c r="BW87" s="104"/>
      <c r="BX87" s="135"/>
      <c r="BY87" s="135"/>
      <c r="BZ87" s="135">
        <v>2</v>
      </c>
      <c r="CA87" s="135">
        <v>3</v>
      </c>
      <c r="CB87" s="135">
        <v>3</v>
      </c>
      <c r="CC87" s="135">
        <v>4</v>
      </c>
      <c r="CD87" s="135">
        <v>4</v>
      </c>
      <c r="CE87" s="135">
        <v>5</v>
      </c>
      <c r="CF87" s="135">
        <v>3</v>
      </c>
      <c r="CG87" s="135">
        <v>4</v>
      </c>
      <c r="CH87" s="163">
        <v>19</v>
      </c>
      <c r="CI87" s="130" t="s">
        <v>4531</v>
      </c>
      <c r="CJ87" s="135"/>
      <c r="CK87" s="135"/>
      <c r="CL87" s="130"/>
      <c r="CM87" s="193">
        <v>100005</v>
      </c>
      <c r="CN87" s="193">
        <v>100057</v>
      </c>
      <c r="CO87" s="193"/>
      <c r="CP87" s="193">
        <v>100005</v>
      </c>
      <c r="CQ87" s="193"/>
      <c r="CR87" s="193"/>
    </row>
    <row r="88" spans="1:96" ht="15.75" customHeight="1" x14ac:dyDescent="0.35">
      <c r="A88" s="292"/>
      <c r="B88" s="83" t="s">
        <v>400</v>
      </c>
      <c r="C88" s="194" t="s">
        <v>401</v>
      </c>
      <c r="D88" s="186">
        <v>11421</v>
      </c>
      <c r="E88" s="174">
        <v>70114</v>
      </c>
      <c r="F88" s="174"/>
      <c r="G88" s="195"/>
      <c r="H88" s="174">
        <v>0</v>
      </c>
      <c r="I88" s="174"/>
      <c r="J88" s="174"/>
      <c r="K88" s="174">
        <v>1</v>
      </c>
      <c r="L88" s="197"/>
      <c r="M88" s="197"/>
      <c r="N88" s="197"/>
      <c r="O88" s="154"/>
      <c r="P88" s="154">
        <v>1</v>
      </c>
      <c r="Q88" s="154">
        <v>3</v>
      </c>
      <c r="R88" s="154"/>
      <c r="S88" s="163">
        <v>1</v>
      </c>
      <c r="T88" s="163">
        <v>1</v>
      </c>
      <c r="U88" s="163">
        <v>1</v>
      </c>
      <c r="V88" s="154"/>
      <c r="W88" s="135"/>
      <c r="X88" s="163"/>
      <c r="Y88" s="135">
        <v>1340</v>
      </c>
      <c r="Z88" s="135">
        <v>1000</v>
      </c>
      <c r="AA88" s="135">
        <v>200</v>
      </c>
      <c r="AB88" s="135"/>
      <c r="AC88" s="135"/>
      <c r="AD88" s="135"/>
      <c r="AE88" s="135"/>
      <c r="AF88" s="163">
        <v>1</v>
      </c>
      <c r="AG88" s="169">
        <v>100</v>
      </c>
      <c r="AH88" s="135"/>
      <c r="AI88" s="135"/>
      <c r="AJ88" s="135"/>
      <c r="AK88" s="135">
        <v>0</v>
      </c>
      <c r="AL88" s="135">
        <v>21009</v>
      </c>
      <c r="AM88" s="135">
        <v>1000</v>
      </c>
      <c r="AN88" s="135"/>
      <c r="AO88" s="198" t="s">
        <v>402</v>
      </c>
      <c r="AP88" s="130">
        <v>1</v>
      </c>
      <c r="AQ88" s="130" t="s">
        <v>402</v>
      </c>
      <c r="AR88" s="130">
        <v>1</v>
      </c>
      <c r="AS88" s="130" t="s">
        <v>402</v>
      </c>
      <c r="AT88" s="130">
        <v>1</v>
      </c>
      <c r="AU88" s="130"/>
      <c r="AV88" s="130"/>
      <c r="AW88" s="104" t="s">
        <v>248</v>
      </c>
      <c r="AX88" s="130" t="s">
        <v>249</v>
      </c>
      <c r="AY88" s="130"/>
      <c r="AZ88" s="130"/>
      <c r="BA88" s="130"/>
      <c r="BB88" s="179"/>
      <c r="BC88" s="179"/>
      <c r="BD88" s="104"/>
      <c r="BE88" s="130"/>
      <c r="BF88" s="138">
        <v>11421</v>
      </c>
      <c r="BG88" s="130"/>
      <c r="BH88" s="185" t="s">
        <v>376</v>
      </c>
      <c r="BI88" s="130" t="s">
        <v>293</v>
      </c>
      <c r="BJ88" s="130" t="s">
        <v>269</v>
      </c>
      <c r="BK88" s="130" t="s">
        <v>253</v>
      </c>
      <c r="BL88" s="135"/>
      <c r="BM88" s="135"/>
      <c r="BN88" s="135"/>
      <c r="BO88" s="163">
        <v>100</v>
      </c>
      <c r="BP88" s="163">
        <v>200</v>
      </c>
      <c r="BQ88" s="130" t="s">
        <v>241</v>
      </c>
      <c r="BR88" s="135">
        <v>1</v>
      </c>
      <c r="BS88" s="135"/>
      <c r="BT88" s="163">
        <v>50</v>
      </c>
      <c r="BU88" s="163">
        <v>50</v>
      </c>
      <c r="BV88" s="130"/>
      <c r="BW88" s="104"/>
      <c r="BX88" s="135"/>
      <c r="BY88" s="135"/>
      <c r="BZ88" s="135">
        <v>2</v>
      </c>
      <c r="CA88" s="135">
        <v>3</v>
      </c>
      <c r="CB88" s="135">
        <v>3</v>
      </c>
      <c r="CC88" s="135">
        <v>4</v>
      </c>
      <c r="CD88" s="135">
        <v>4</v>
      </c>
      <c r="CE88" s="135">
        <v>5</v>
      </c>
      <c r="CF88" s="135">
        <v>3</v>
      </c>
      <c r="CG88" s="135">
        <v>4</v>
      </c>
      <c r="CH88" s="163">
        <v>6</v>
      </c>
      <c r="CI88" s="130" t="s">
        <v>4532</v>
      </c>
      <c r="CJ88" s="135"/>
      <c r="CK88" s="135"/>
      <c r="CL88" s="130"/>
      <c r="CM88" s="193">
        <v>100005</v>
      </c>
      <c r="CN88" s="193">
        <v>100057</v>
      </c>
      <c r="CO88" s="193"/>
      <c r="CP88" s="193">
        <v>100005</v>
      </c>
      <c r="CQ88" s="193"/>
      <c r="CR88" s="193"/>
    </row>
    <row r="89" spans="1:96" ht="15.75" customHeight="1" x14ac:dyDescent="0.35">
      <c r="A89" s="292"/>
      <c r="B89" s="82" t="s">
        <v>403</v>
      </c>
      <c r="C89" s="75" t="s">
        <v>404</v>
      </c>
      <c r="D89" s="138">
        <v>11431</v>
      </c>
      <c r="E89" s="135">
        <v>70115</v>
      </c>
      <c r="F89" s="135"/>
      <c r="G89" s="139"/>
      <c r="H89" s="135">
        <v>0</v>
      </c>
      <c r="I89" s="135"/>
      <c r="J89" s="135"/>
      <c r="K89" s="135">
        <v>1</v>
      </c>
      <c r="L89" s="139"/>
      <c r="M89" s="139"/>
      <c r="N89" s="139"/>
      <c r="O89" s="154"/>
      <c r="P89" s="135">
        <v>1</v>
      </c>
      <c r="Q89" s="135">
        <v>3</v>
      </c>
      <c r="R89" s="135"/>
      <c r="S89" s="163">
        <v>1</v>
      </c>
      <c r="T89" s="163">
        <v>1</v>
      </c>
      <c r="U89" s="163">
        <v>1</v>
      </c>
      <c r="V89" s="135"/>
      <c r="W89" s="135"/>
      <c r="X89" s="163"/>
      <c r="Y89" s="135">
        <v>1329</v>
      </c>
      <c r="Z89" s="135">
        <v>750</v>
      </c>
      <c r="AA89" s="135">
        <v>200</v>
      </c>
      <c r="AB89" s="135"/>
      <c r="AC89" s="135"/>
      <c r="AD89" s="135"/>
      <c r="AE89" s="135"/>
      <c r="AF89" s="163">
        <v>1</v>
      </c>
      <c r="AG89" s="169">
        <v>100</v>
      </c>
      <c r="AH89" s="135"/>
      <c r="AI89" s="135"/>
      <c r="AJ89" s="135"/>
      <c r="AK89" s="135">
        <v>0</v>
      </c>
      <c r="AL89" s="135">
        <v>21002</v>
      </c>
      <c r="AM89" s="135">
        <v>1000</v>
      </c>
      <c r="AN89" s="135"/>
      <c r="AO89" s="130" t="s">
        <v>265</v>
      </c>
      <c r="AP89" s="174">
        <v>1</v>
      </c>
      <c r="AQ89" s="130" t="s">
        <v>265</v>
      </c>
      <c r="AR89" s="174">
        <v>1</v>
      </c>
      <c r="AS89" s="130" t="s">
        <v>265</v>
      </c>
      <c r="AT89" s="174">
        <v>1</v>
      </c>
      <c r="AU89" s="130"/>
      <c r="AV89" s="130"/>
      <c r="AW89" s="104" t="s">
        <v>248</v>
      </c>
      <c r="AX89" s="130" t="s">
        <v>249</v>
      </c>
      <c r="AY89" s="130"/>
      <c r="AZ89" s="130"/>
      <c r="BA89" s="130"/>
      <c r="BB89" s="179"/>
      <c r="BC89" s="179"/>
      <c r="BD89" s="104"/>
      <c r="BE89" s="130"/>
      <c r="BF89" s="138">
        <v>11431</v>
      </c>
      <c r="BG89" s="130"/>
      <c r="BH89" s="185" t="s">
        <v>376</v>
      </c>
      <c r="BI89" s="130" t="s">
        <v>377</v>
      </c>
      <c r="BJ89" s="130" t="s">
        <v>269</v>
      </c>
      <c r="BK89" s="130" t="s">
        <v>253</v>
      </c>
      <c r="BL89" s="135"/>
      <c r="BM89" s="135"/>
      <c r="BN89" s="135"/>
      <c r="BO89" s="163">
        <v>100</v>
      </c>
      <c r="BP89" s="163">
        <v>200</v>
      </c>
      <c r="BQ89" s="130" t="s">
        <v>241</v>
      </c>
      <c r="BR89" s="135">
        <v>1</v>
      </c>
      <c r="BS89" s="135"/>
      <c r="BT89" s="163">
        <v>50</v>
      </c>
      <c r="BU89" s="163">
        <v>50</v>
      </c>
      <c r="BV89" s="130"/>
      <c r="BW89" s="104"/>
      <c r="BX89" s="135"/>
      <c r="BY89" s="135"/>
      <c r="BZ89" s="135">
        <v>2</v>
      </c>
      <c r="CA89" s="135">
        <v>3</v>
      </c>
      <c r="CB89" s="135">
        <v>3</v>
      </c>
      <c r="CC89" s="135">
        <v>4</v>
      </c>
      <c r="CD89" s="135">
        <v>4</v>
      </c>
      <c r="CE89" s="135">
        <v>5</v>
      </c>
      <c r="CF89" s="135">
        <v>3</v>
      </c>
      <c r="CG89" s="135">
        <v>4</v>
      </c>
      <c r="CH89" s="163">
        <v>5</v>
      </c>
      <c r="CI89" s="130" t="s">
        <v>4533</v>
      </c>
      <c r="CJ89" s="135"/>
      <c r="CK89" s="135"/>
      <c r="CL89" s="130"/>
      <c r="CM89" s="193">
        <v>100005</v>
      </c>
      <c r="CN89" s="193">
        <v>100057</v>
      </c>
      <c r="CO89" s="193"/>
      <c r="CP89" s="193">
        <v>100005</v>
      </c>
      <c r="CQ89" s="193"/>
      <c r="CR89" s="193"/>
    </row>
    <row r="90" spans="1:96" ht="15.75" customHeight="1" x14ac:dyDescent="0.35">
      <c r="A90" s="292"/>
      <c r="B90" s="82" t="s">
        <v>405</v>
      </c>
      <c r="C90" s="75" t="s">
        <v>406</v>
      </c>
      <c r="D90" s="138">
        <v>11441</v>
      </c>
      <c r="E90" s="135">
        <v>70116</v>
      </c>
      <c r="F90" s="135"/>
      <c r="G90" s="139"/>
      <c r="H90" s="135">
        <v>0</v>
      </c>
      <c r="I90" s="135"/>
      <c r="J90" s="135"/>
      <c r="K90" s="135">
        <v>1</v>
      </c>
      <c r="L90" s="139"/>
      <c r="M90" s="139"/>
      <c r="N90" s="139"/>
      <c r="O90" s="154"/>
      <c r="P90" s="135">
        <v>2</v>
      </c>
      <c r="Q90" s="135">
        <v>3</v>
      </c>
      <c r="R90" s="135"/>
      <c r="S90" s="163">
        <v>1</v>
      </c>
      <c r="T90" s="163">
        <v>1</v>
      </c>
      <c r="U90" s="163">
        <v>1</v>
      </c>
      <c r="V90" s="135"/>
      <c r="W90" s="135"/>
      <c r="X90" s="163"/>
      <c r="Y90" s="135">
        <v>1323</v>
      </c>
      <c r="Z90" s="135">
        <v>1000</v>
      </c>
      <c r="AA90" s="135">
        <v>200</v>
      </c>
      <c r="AB90" s="135"/>
      <c r="AC90" s="135"/>
      <c r="AD90" s="135"/>
      <c r="AE90" s="135"/>
      <c r="AF90" s="163">
        <v>1</v>
      </c>
      <c r="AG90" s="169">
        <v>100</v>
      </c>
      <c r="AH90" s="135"/>
      <c r="AI90" s="135"/>
      <c r="AJ90" s="135"/>
      <c r="AK90" s="135">
        <v>0</v>
      </c>
      <c r="AL90" s="135">
        <v>21002</v>
      </c>
      <c r="AM90" s="135">
        <v>1000</v>
      </c>
      <c r="AN90" s="135"/>
      <c r="AO90" s="130" t="s">
        <v>265</v>
      </c>
      <c r="AP90" s="174">
        <v>1</v>
      </c>
      <c r="AQ90" s="130" t="s">
        <v>265</v>
      </c>
      <c r="AR90" s="174">
        <v>1</v>
      </c>
      <c r="AS90" s="130" t="s">
        <v>265</v>
      </c>
      <c r="AT90" s="174">
        <v>1</v>
      </c>
      <c r="AU90" s="130"/>
      <c r="AV90" s="130"/>
      <c r="AW90" s="104" t="s">
        <v>248</v>
      </c>
      <c r="AX90" s="130" t="s">
        <v>249</v>
      </c>
      <c r="AY90" s="130"/>
      <c r="AZ90" s="130"/>
      <c r="BA90" s="130"/>
      <c r="BB90" s="179"/>
      <c r="BC90" s="179"/>
      <c r="BD90" s="104"/>
      <c r="BE90" s="130"/>
      <c r="BF90" s="138">
        <v>11441</v>
      </c>
      <c r="BG90" s="130"/>
      <c r="BH90" s="185" t="s">
        <v>376</v>
      </c>
      <c r="BI90" s="130" t="s">
        <v>377</v>
      </c>
      <c r="BJ90" s="130" t="s">
        <v>269</v>
      </c>
      <c r="BK90" s="130" t="s">
        <v>253</v>
      </c>
      <c r="BL90" s="135"/>
      <c r="BM90" s="135"/>
      <c r="BN90" s="135"/>
      <c r="BO90" s="163">
        <v>100</v>
      </c>
      <c r="BP90" s="163">
        <v>200</v>
      </c>
      <c r="BQ90" s="130" t="s">
        <v>241</v>
      </c>
      <c r="BR90" s="135">
        <v>1</v>
      </c>
      <c r="BS90" s="135"/>
      <c r="BT90" s="163">
        <v>50</v>
      </c>
      <c r="BU90" s="163">
        <v>30</v>
      </c>
      <c r="BV90" s="130"/>
      <c r="BW90" s="104"/>
      <c r="BX90" s="135"/>
      <c r="BY90" s="135"/>
      <c r="BZ90" s="135">
        <v>3</v>
      </c>
      <c r="CA90" s="135">
        <v>4</v>
      </c>
      <c r="CB90" s="135">
        <v>4</v>
      </c>
      <c r="CC90" s="135">
        <v>5</v>
      </c>
      <c r="CD90" s="135">
        <v>5</v>
      </c>
      <c r="CE90" s="135">
        <v>6</v>
      </c>
      <c r="CF90" s="135">
        <v>5</v>
      </c>
      <c r="CG90" s="135">
        <v>5</v>
      </c>
      <c r="CH90" s="163">
        <v>11</v>
      </c>
      <c r="CI90" s="130" t="s">
        <v>4534</v>
      </c>
      <c r="CJ90" s="135"/>
      <c r="CK90" s="135"/>
      <c r="CL90" s="130"/>
      <c r="CM90" s="193">
        <v>100005</v>
      </c>
      <c r="CN90" s="193">
        <v>100057</v>
      </c>
      <c r="CO90" s="193"/>
      <c r="CP90" s="193">
        <v>100005</v>
      </c>
      <c r="CQ90" s="193"/>
      <c r="CR90" s="193"/>
    </row>
    <row r="91" spans="1:96" ht="15.75" customHeight="1" x14ac:dyDescent="0.35">
      <c r="A91" s="292"/>
      <c r="B91" s="82" t="s">
        <v>407</v>
      </c>
      <c r="C91" s="75" t="s">
        <v>408</v>
      </c>
      <c r="D91" s="138">
        <v>11451</v>
      </c>
      <c r="E91" s="135">
        <v>70117</v>
      </c>
      <c r="F91" s="135"/>
      <c r="G91" s="139"/>
      <c r="H91" s="135">
        <v>0</v>
      </c>
      <c r="I91" s="135"/>
      <c r="J91" s="135"/>
      <c r="K91" s="135">
        <v>1</v>
      </c>
      <c r="L91" s="139"/>
      <c r="M91" s="139"/>
      <c r="N91" s="139"/>
      <c r="O91" s="154"/>
      <c r="P91" s="135">
        <v>1</v>
      </c>
      <c r="Q91" s="135">
        <v>3</v>
      </c>
      <c r="R91" s="135"/>
      <c r="S91" s="163">
        <v>1</v>
      </c>
      <c r="T91" s="163">
        <v>1</v>
      </c>
      <c r="U91" s="163">
        <v>1</v>
      </c>
      <c r="V91" s="135"/>
      <c r="W91" s="135"/>
      <c r="X91" s="163"/>
      <c r="Y91" s="135">
        <v>1317</v>
      </c>
      <c r="Z91" s="135">
        <v>1200</v>
      </c>
      <c r="AA91" s="135">
        <v>200</v>
      </c>
      <c r="AB91" s="135"/>
      <c r="AC91" s="135"/>
      <c r="AD91" s="135"/>
      <c r="AE91" s="135"/>
      <c r="AF91" s="163">
        <v>1</v>
      </c>
      <c r="AG91" s="169">
        <v>100</v>
      </c>
      <c r="AH91" s="135"/>
      <c r="AI91" s="135"/>
      <c r="AJ91" s="135"/>
      <c r="AK91" s="135">
        <v>0</v>
      </c>
      <c r="AL91" s="135">
        <v>21002</v>
      </c>
      <c r="AM91" s="135">
        <v>1000</v>
      </c>
      <c r="AN91" s="135"/>
      <c r="AO91" s="130" t="s">
        <v>265</v>
      </c>
      <c r="AP91" s="174">
        <v>1</v>
      </c>
      <c r="AQ91" s="130" t="s">
        <v>265</v>
      </c>
      <c r="AR91" s="174">
        <v>1</v>
      </c>
      <c r="AS91" s="130" t="s">
        <v>265</v>
      </c>
      <c r="AT91" s="174">
        <v>1</v>
      </c>
      <c r="AU91" s="130"/>
      <c r="AV91" s="130"/>
      <c r="AW91" s="104" t="s">
        <v>248</v>
      </c>
      <c r="AX91" s="130" t="s">
        <v>249</v>
      </c>
      <c r="AY91" s="130"/>
      <c r="AZ91" s="130"/>
      <c r="BA91" s="130"/>
      <c r="BB91" s="179"/>
      <c r="BC91" s="179"/>
      <c r="BD91" s="104"/>
      <c r="BE91" s="130"/>
      <c r="BF91" s="138">
        <v>11451</v>
      </c>
      <c r="BG91" s="130"/>
      <c r="BH91" s="185" t="s">
        <v>376</v>
      </c>
      <c r="BI91" s="130" t="s">
        <v>293</v>
      </c>
      <c r="BJ91" s="130" t="s">
        <v>269</v>
      </c>
      <c r="BK91" s="130" t="s">
        <v>253</v>
      </c>
      <c r="BL91" s="135"/>
      <c r="BM91" s="135"/>
      <c r="BN91" s="135"/>
      <c r="BO91" s="163">
        <v>100</v>
      </c>
      <c r="BP91" s="163">
        <v>200</v>
      </c>
      <c r="BQ91" s="130" t="s">
        <v>241</v>
      </c>
      <c r="BR91" s="135">
        <v>1</v>
      </c>
      <c r="BS91" s="135"/>
      <c r="BT91" s="163">
        <v>50</v>
      </c>
      <c r="BU91" s="163">
        <v>50</v>
      </c>
      <c r="BV91" s="130"/>
      <c r="BW91" s="104"/>
      <c r="BX91" s="135"/>
      <c r="BY91" s="135"/>
      <c r="BZ91" s="135">
        <v>2</v>
      </c>
      <c r="CA91" s="135">
        <v>3</v>
      </c>
      <c r="CB91" s="135">
        <v>3</v>
      </c>
      <c r="CC91" s="135">
        <v>4</v>
      </c>
      <c r="CD91" s="135">
        <v>4</v>
      </c>
      <c r="CE91" s="135">
        <v>5</v>
      </c>
      <c r="CF91" s="135">
        <v>3</v>
      </c>
      <c r="CG91" s="135">
        <v>4</v>
      </c>
      <c r="CH91" s="163">
        <v>13</v>
      </c>
      <c r="CI91" s="130" t="s">
        <v>4535</v>
      </c>
      <c r="CJ91" s="135"/>
      <c r="CK91" s="135"/>
      <c r="CL91" s="130"/>
      <c r="CM91" s="193">
        <v>100005</v>
      </c>
      <c r="CN91" s="193">
        <v>100057</v>
      </c>
      <c r="CO91" s="193"/>
      <c r="CP91" s="193">
        <v>100005</v>
      </c>
      <c r="CQ91" s="193"/>
      <c r="CR91" s="193"/>
    </row>
    <row r="92" spans="1:96" ht="15.75" customHeight="1" x14ac:dyDescent="0.35">
      <c r="A92" s="292"/>
      <c r="B92" s="230" t="s">
        <v>4457</v>
      </c>
      <c r="C92" s="75" t="s">
        <v>4458</v>
      </c>
      <c r="D92" s="138">
        <v>11461</v>
      </c>
      <c r="E92" s="174">
        <v>70126</v>
      </c>
      <c r="F92" s="135"/>
      <c r="G92" s="139"/>
      <c r="H92" s="135"/>
      <c r="I92" s="135"/>
      <c r="J92" s="135"/>
      <c r="K92" s="135">
        <v>1</v>
      </c>
      <c r="L92" s="135"/>
      <c r="M92" s="135"/>
      <c r="N92" s="139"/>
      <c r="O92" s="154"/>
      <c r="P92" s="135">
        <v>3</v>
      </c>
      <c r="Q92" s="135">
        <v>3</v>
      </c>
      <c r="R92" s="135"/>
      <c r="S92" s="163">
        <v>1</v>
      </c>
      <c r="T92" s="163">
        <v>1</v>
      </c>
      <c r="U92" s="163">
        <v>1</v>
      </c>
      <c r="V92" s="135"/>
      <c r="W92" s="135"/>
      <c r="X92" s="163"/>
      <c r="Y92" s="135">
        <v>1217</v>
      </c>
      <c r="Z92" s="135">
        <v>1500</v>
      </c>
      <c r="AA92" s="135">
        <v>400</v>
      </c>
      <c r="AB92" s="135"/>
      <c r="AC92" s="135"/>
      <c r="AD92" s="135"/>
      <c r="AE92" s="135"/>
      <c r="AF92" s="163">
        <v>2</v>
      </c>
      <c r="AG92" s="169">
        <v>100</v>
      </c>
      <c r="AH92" s="135"/>
      <c r="AI92" s="135"/>
      <c r="AJ92" s="135"/>
      <c r="AK92" s="135">
        <v>0</v>
      </c>
      <c r="AL92" s="135">
        <v>24020</v>
      </c>
      <c r="AM92" s="135">
        <v>1000</v>
      </c>
      <c r="AN92" s="135"/>
      <c r="AO92" s="130" t="s">
        <v>4459</v>
      </c>
      <c r="AP92" s="130" t="s">
        <v>272</v>
      </c>
      <c r="AQ92" s="130" t="s">
        <v>4459</v>
      </c>
      <c r="AR92" s="174" t="s">
        <v>4460</v>
      </c>
      <c r="AS92" s="130" t="s">
        <v>4459</v>
      </c>
      <c r="AT92" s="174" t="s">
        <v>4460</v>
      </c>
      <c r="AU92" s="130" t="s">
        <v>4586</v>
      </c>
      <c r="AV92" s="130"/>
      <c r="AW92" s="104" t="s">
        <v>248</v>
      </c>
      <c r="AX92" s="130" t="s">
        <v>249</v>
      </c>
      <c r="AY92" s="130"/>
      <c r="AZ92" s="130"/>
      <c r="BA92" s="130"/>
      <c r="BB92" s="179"/>
      <c r="BC92" s="179"/>
      <c r="BD92" s="104"/>
      <c r="BE92" s="130"/>
      <c r="BF92" s="138">
        <v>12421</v>
      </c>
      <c r="BG92" s="130"/>
      <c r="BH92" s="185" t="s">
        <v>376</v>
      </c>
      <c r="BI92" s="130" t="s">
        <v>251</v>
      </c>
      <c r="BJ92" s="130" t="s">
        <v>269</v>
      </c>
      <c r="BK92" s="130" t="s">
        <v>253</v>
      </c>
      <c r="BL92" s="135"/>
      <c r="BM92" s="135"/>
      <c r="BN92" s="135"/>
      <c r="BO92" s="163">
        <v>100</v>
      </c>
      <c r="BP92" s="163">
        <v>200</v>
      </c>
      <c r="BQ92" s="130" t="s">
        <v>241</v>
      </c>
      <c r="BR92" s="135">
        <v>1</v>
      </c>
      <c r="BS92" s="135"/>
      <c r="BT92" s="163">
        <v>50</v>
      </c>
      <c r="BU92" s="163">
        <v>50</v>
      </c>
      <c r="BV92" s="130"/>
      <c r="BW92" s="104"/>
      <c r="BX92" s="135"/>
      <c r="BY92" s="135"/>
      <c r="BZ92" s="135">
        <v>1</v>
      </c>
      <c r="CA92" s="135">
        <v>1</v>
      </c>
      <c r="CB92" s="135">
        <v>1</v>
      </c>
      <c r="CC92" s="135">
        <v>1</v>
      </c>
      <c r="CD92" s="135">
        <v>1</v>
      </c>
      <c r="CE92" s="135">
        <v>1</v>
      </c>
      <c r="CF92" s="135">
        <v>1</v>
      </c>
      <c r="CG92" s="135">
        <v>1</v>
      </c>
      <c r="CH92" s="179" t="s">
        <v>4562</v>
      </c>
      <c r="CI92" s="130" t="s">
        <v>4561</v>
      </c>
      <c r="CJ92" s="135"/>
      <c r="CK92" s="135"/>
      <c r="CL92" s="130"/>
      <c r="CM92" s="193">
        <v>112002</v>
      </c>
      <c r="CN92" s="193"/>
      <c r="CO92" s="193"/>
      <c r="CP92" s="193">
        <v>112002</v>
      </c>
      <c r="CQ92" s="193"/>
      <c r="CR92" s="193"/>
    </row>
    <row r="93" spans="1:96" ht="15.75" customHeight="1" x14ac:dyDescent="0.35">
      <c r="A93" s="292"/>
      <c r="B93" s="74" t="s">
        <v>409</v>
      </c>
      <c r="D93" s="138">
        <v>11501</v>
      </c>
      <c r="E93" s="135">
        <v>70118</v>
      </c>
      <c r="F93" s="135"/>
      <c r="G93" s="139"/>
      <c r="H93" s="135"/>
      <c r="I93" s="135"/>
      <c r="J93" s="135"/>
      <c r="K93" s="135">
        <v>12</v>
      </c>
      <c r="L93" s="135"/>
      <c r="M93" s="139"/>
      <c r="N93" s="139"/>
      <c r="O93" s="154"/>
      <c r="P93" s="135">
        <v>1</v>
      </c>
      <c r="Q93" s="135">
        <v>1</v>
      </c>
      <c r="R93" s="135"/>
      <c r="S93" s="163">
        <v>1</v>
      </c>
      <c r="T93" s="163">
        <v>1</v>
      </c>
      <c r="U93" s="163">
        <v>1</v>
      </c>
      <c r="V93" s="135"/>
      <c r="W93" s="135"/>
      <c r="X93" s="163"/>
      <c r="Y93" s="135">
        <v>4070</v>
      </c>
      <c r="Z93" s="135">
        <v>1000</v>
      </c>
      <c r="AA93" s="135">
        <v>0</v>
      </c>
      <c r="AB93" s="135">
        <v>1</v>
      </c>
      <c r="AC93" s="135"/>
      <c r="AD93" s="135"/>
      <c r="AE93" s="135"/>
      <c r="AF93" s="163">
        <v>1</v>
      </c>
      <c r="AG93" s="169">
        <v>100</v>
      </c>
      <c r="AH93" s="135"/>
      <c r="AI93" s="135"/>
      <c r="AJ93" s="135"/>
      <c r="AK93" s="135">
        <v>0</v>
      </c>
      <c r="AL93" s="135">
        <v>21099</v>
      </c>
      <c r="AM93" s="135">
        <v>1000</v>
      </c>
      <c r="AN93" s="135">
        <v>1</v>
      </c>
      <c r="AO93" s="130" t="s">
        <v>279</v>
      </c>
      <c r="AP93" s="130" t="s">
        <v>246</v>
      </c>
      <c r="AQ93" s="130" t="s">
        <v>279</v>
      </c>
      <c r="AR93" s="130" t="s">
        <v>246</v>
      </c>
      <c r="AS93" s="130" t="s">
        <v>279</v>
      </c>
      <c r="AT93" s="130" t="s">
        <v>246</v>
      </c>
      <c r="AU93" s="130" t="s">
        <v>410</v>
      </c>
      <c r="AV93" s="130"/>
      <c r="AW93" s="104" t="s">
        <v>248</v>
      </c>
      <c r="AX93" s="130" t="s">
        <v>249</v>
      </c>
      <c r="AY93" s="130"/>
      <c r="AZ93" s="130"/>
      <c r="BA93" s="130"/>
      <c r="BB93" s="179"/>
      <c r="BC93" s="179"/>
      <c r="BD93" s="104"/>
      <c r="BE93" s="130"/>
      <c r="BF93" s="138">
        <v>11501</v>
      </c>
      <c r="BG93" s="130"/>
      <c r="BH93" s="185" t="s">
        <v>274</v>
      </c>
      <c r="BI93" s="130" t="s">
        <v>280</v>
      </c>
      <c r="BJ93" s="130" t="s">
        <v>262</v>
      </c>
      <c r="BK93" s="130" t="s">
        <v>253</v>
      </c>
      <c r="BL93" s="135"/>
      <c r="BM93" s="135"/>
      <c r="BN93" s="135"/>
      <c r="BO93" s="163">
        <v>100</v>
      </c>
      <c r="BP93" s="163">
        <v>200</v>
      </c>
      <c r="BQ93" s="130" t="s">
        <v>241</v>
      </c>
      <c r="BR93" s="135">
        <v>1</v>
      </c>
      <c r="BS93" s="135"/>
      <c r="BT93" s="163">
        <v>50</v>
      </c>
      <c r="BU93" s="163">
        <v>40</v>
      </c>
      <c r="BV93" s="130"/>
      <c r="BW93" s="104"/>
      <c r="BX93" s="135"/>
      <c r="BY93" s="135"/>
      <c r="BZ93" s="135"/>
      <c r="CA93" s="135"/>
      <c r="CB93" s="135"/>
      <c r="CC93" s="135"/>
      <c r="CD93" s="135"/>
      <c r="CE93" s="135"/>
      <c r="CF93" s="135"/>
      <c r="CG93" s="135"/>
      <c r="CH93" s="163"/>
      <c r="CI93" s="130"/>
      <c r="CJ93" s="135"/>
      <c r="CK93" s="135"/>
      <c r="CL93" s="130"/>
      <c r="CM93" s="193">
        <v>100005</v>
      </c>
      <c r="CN93" s="193"/>
      <c r="CO93" s="193"/>
      <c r="CP93" s="193">
        <v>100005</v>
      </c>
      <c r="CQ93" s="193"/>
      <c r="CR93" s="193"/>
    </row>
    <row r="94" spans="1:96" ht="15.75" customHeight="1" x14ac:dyDescent="0.35">
      <c r="A94" s="292"/>
      <c r="B94" s="196" t="s">
        <v>411</v>
      </c>
      <c r="C94" s="75" t="s">
        <v>412</v>
      </c>
      <c r="D94" s="138">
        <v>11601</v>
      </c>
      <c r="E94" s="135">
        <v>70119</v>
      </c>
      <c r="F94" s="135"/>
      <c r="G94" s="139"/>
      <c r="H94" s="135">
        <v>0</v>
      </c>
      <c r="I94" s="135"/>
      <c r="J94" s="135"/>
      <c r="K94" s="135">
        <v>2</v>
      </c>
      <c r="L94" s="139"/>
      <c r="M94" s="139"/>
      <c r="N94" s="139"/>
      <c r="O94" s="154">
        <v>1</v>
      </c>
      <c r="P94" s="135">
        <v>3</v>
      </c>
      <c r="Q94" s="135">
        <v>3</v>
      </c>
      <c r="R94" s="135"/>
      <c r="S94" s="163">
        <v>1</v>
      </c>
      <c r="T94" s="163">
        <v>1</v>
      </c>
      <c r="U94" s="163">
        <v>1</v>
      </c>
      <c r="V94" s="135"/>
      <c r="W94" s="135"/>
      <c r="X94" s="163"/>
      <c r="Y94" s="135">
        <v>1327</v>
      </c>
      <c r="Z94" s="135">
        <v>1000</v>
      </c>
      <c r="AA94" s="135">
        <v>300</v>
      </c>
      <c r="AB94" s="135">
        <v>2</v>
      </c>
      <c r="AC94" s="135"/>
      <c r="AD94" s="135"/>
      <c r="AE94" s="135">
        <v>4</v>
      </c>
      <c r="AF94" s="163">
        <v>1</v>
      </c>
      <c r="AG94" s="169">
        <v>100</v>
      </c>
      <c r="AH94" s="135"/>
      <c r="AI94" s="135"/>
      <c r="AJ94" s="135"/>
      <c r="AK94" s="135">
        <v>0</v>
      </c>
      <c r="AL94" s="135">
        <v>21002</v>
      </c>
      <c r="AM94" s="135">
        <v>1000</v>
      </c>
      <c r="AN94" s="135"/>
      <c r="AO94" s="130" t="s">
        <v>265</v>
      </c>
      <c r="AP94" s="174">
        <v>1</v>
      </c>
      <c r="AQ94" s="130" t="s">
        <v>265</v>
      </c>
      <c r="AR94" s="174">
        <v>1</v>
      </c>
      <c r="AS94" s="130" t="s">
        <v>265</v>
      </c>
      <c r="AT94" s="174">
        <v>1</v>
      </c>
      <c r="AU94" s="130" t="s">
        <v>4584</v>
      </c>
      <c r="AV94" s="130"/>
      <c r="AW94" s="104" t="s">
        <v>248</v>
      </c>
      <c r="AX94" s="130" t="s">
        <v>249</v>
      </c>
      <c r="AY94" s="130"/>
      <c r="AZ94" s="130"/>
      <c r="BA94" s="130"/>
      <c r="BB94" s="179"/>
      <c r="BC94" s="179"/>
      <c r="BD94" s="104"/>
      <c r="BE94" s="130"/>
      <c r="BF94" s="138">
        <v>11601</v>
      </c>
      <c r="BG94" s="130"/>
      <c r="BH94" s="185" t="s">
        <v>413</v>
      </c>
      <c r="BI94" s="130" t="s">
        <v>380</v>
      </c>
      <c r="BJ94" s="130" t="s">
        <v>275</v>
      </c>
      <c r="BK94" s="130" t="s">
        <v>253</v>
      </c>
      <c r="BL94" s="135"/>
      <c r="BM94" s="135"/>
      <c r="BN94" s="135"/>
      <c r="BO94" s="163">
        <v>100</v>
      </c>
      <c r="BP94" s="163">
        <v>200</v>
      </c>
      <c r="BQ94" s="130" t="s">
        <v>241</v>
      </c>
      <c r="BR94" s="135">
        <v>2</v>
      </c>
      <c r="BS94" s="135"/>
      <c r="BT94" s="163">
        <v>50</v>
      </c>
      <c r="BU94" s="163">
        <v>80</v>
      </c>
      <c r="BV94" s="130"/>
      <c r="BW94" s="104"/>
      <c r="BX94" s="135"/>
      <c r="BY94" s="135"/>
      <c r="BZ94" s="135">
        <v>4</v>
      </c>
      <c r="CA94" s="135">
        <v>5</v>
      </c>
      <c r="CB94" s="135">
        <v>3</v>
      </c>
      <c r="CC94" s="135">
        <v>4</v>
      </c>
      <c r="CD94" s="135">
        <v>6</v>
      </c>
      <c r="CE94" s="135">
        <v>8</v>
      </c>
      <c r="CF94" s="135">
        <v>3</v>
      </c>
      <c r="CG94" s="135">
        <v>4</v>
      </c>
      <c r="CH94" s="163"/>
      <c r="CI94" s="130" t="s">
        <v>4450</v>
      </c>
      <c r="CJ94" s="135"/>
      <c r="CK94" s="135"/>
      <c r="CL94" s="130"/>
      <c r="CM94" s="193">
        <v>111101</v>
      </c>
      <c r="CN94" s="193"/>
      <c r="CO94" s="193"/>
      <c r="CP94" s="193">
        <v>111101</v>
      </c>
      <c r="CQ94" s="193"/>
      <c r="CR94" s="193"/>
    </row>
    <row r="95" spans="1:96" ht="15.75" customHeight="1" x14ac:dyDescent="0.35">
      <c r="A95" s="292"/>
      <c r="B95" s="85" t="s">
        <v>414</v>
      </c>
      <c r="C95" s="75" t="s">
        <v>412</v>
      </c>
      <c r="D95" s="138">
        <v>11611</v>
      </c>
      <c r="E95" s="135">
        <v>70120</v>
      </c>
      <c r="F95" s="135"/>
      <c r="G95" s="139"/>
      <c r="H95" s="135"/>
      <c r="I95" s="135"/>
      <c r="J95" s="135"/>
      <c r="K95" s="135">
        <v>2</v>
      </c>
      <c r="L95" s="139"/>
      <c r="M95" s="139"/>
      <c r="N95" s="139"/>
      <c r="O95" s="154">
        <v>1</v>
      </c>
      <c r="P95" s="135">
        <v>1</v>
      </c>
      <c r="Q95" s="135">
        <v>2</v>
      </c>
      <c r="R95" s="135"/>
      <c r="S95" s="163">
        <v>1</v>
      </c>
      <c r="T95" s="163">
        <v>1</v>
      </c>
      <c r="U95" s="163">
        <v>1</v>
      </c>
      <c r="V95" s="135"/>
      <c r="W95" s="135"/>
      <c r="X95" s="163"/>
      <c r="Y95" s="135">
        <v>1531</v>
      </c>
      <c r="Z95" s="135">
        <v>1000</v>
      </c>
      <c r="AA95" s="135">
        <v>300</v>
      </c>
      <c r="AB95" s="135">
        <v>2</v>
      </c>
      <c r="AC95" s="135"/>
      <c r="AD95" s="135"/>
      <c r="AE95" s="135">
        <v>4</v>
      </c>
      <c r="AF95" s="163">
        <v>1</v>
      </c>
      <c r="AG95" s="169">
        <v>100</v>
      </c>
      <c r="AH95" s="135"/>
      <c r="AI95" s="135"/>
      <c r="AJ95" s="135"/>
      <c r="AK95" s="135">
        <v>0</v>
      </c>
      <c r="AL95" s="135">
        <v>21011</v>
      </c>
      <c r="AM95" s="135">
        <v>1100</v>
      </c>
      <c r="AN95" s="135"/>
      <c r="AO95" s="130" t="s">
        <v>311</v>
      </c>
      <c r="AP95" s="130" t="s">
        <v>246</v>
      </c>
      <c r="AQ95" s="130" t="s">
        <v>311</v>
      </c>
      <c r="AR95" s="130" t="s">
        <v>246</v>
      </c>
      <c r="AS95" s="130" t="s">
        <v>311</v>
      </c>
      <c r="AT95" s="130" t="s">
        <v>246</v>
      </c>
      <c r="AU95" s="130" t="s">
        <v>4584</v>
      </c>
      <c r="AV95" s="130" t="s">
        <v>266</v>
      </c>
      <c r="AW95" s="104" t="s">
        <v>248</v>
      </c>
      <c r="AX95" s="130" t="s">
        <v>249</v>
      </c>
      <c r="AY95" s="130"/>
      <c r="AZ95" s="130"/>
      <c r="BA95" s="130"/>
      <c r="BB95" s="179"/>
      <c r="BC95" s="179"/>
      <c r="BD95" s="104"/>
      <c r="BE95" s="130"/>
      <c r="BF95" s="138">
        <v>11611</v>
      </c>
      <c r="BG95" s="130"/>
      <c r="BH95" s="185" t="s">
        <v>413</v>
      </c>
      <c r="BI95" s="130" t="s">
        <v>268</v>
      </c>
      <c r="BJ95" s="130" t="s">
        <v>275</v>
      </c>
      <c r="BK95" s="130" t="s">
        <v>253</v>
      </c>
      <c r="BL95" s="135"/>
      <c r="BM95" s="135"/>
      <c r="BN95" s="135"/>
      <c r="BO95" s="163">
        <v>120</v>
      </c>
      <c r="BP95" s="163">
        <v>200</v>
      </c>
      <c r="BQ95" s="130" t="s">
        <v>241</v>
      </c>
      <c r="BR95" s="135">
        <v>2</v>
      </c>
      <c r="BS95" s="135"/>
      <c r="BT95" s="163">
        <v>50</v>
      </c>
      <c r="BU95" s="163">
        <v>30</v>
      </c>
      <c r="BV95" s="130"/>
      <c r="BW95" s="104"/>
      <c r="BX95" s="135"/>
      <c r="BY95" s="135"/>
      <c r="BZ95" s="135">
        <v>1</v>
      </c>
      <c r="CA95" s="135">
        <v>1</v>
      </c>
      <c r="CB95" s="135">
        <v>1</v>
      </c>
      <c r="CC95" s="135">
        <v>1</v>
      </c>
      <c r="CD95" s="135">
        <v>1</v>
      </c>
      <c r="CE95" s="135">
        <v>1</v>
      </c>
      <c r="CF95" s="135">
        <v>1</v>
      </c>
      <c r="CG95" s="135">
        <v>1</v>
      </c>
      <c r="CH95" s="163"/>
      <c r="CI95" s="130" t="s">
        <v>4440</v>
      </c>
      <c r="CJ95" s="135"/>
      <c r="CK95" s="135"/>
      <c r="CL95" s="130"/>
      <c r="CM95" s="193">
        <v>111102</v>
      </c>
      <c r="CN95" s="193"/>
      <c r="CO95" s="193"/>
      <c r="CP95" s="193">
        <v>111102</v>
      </c>
      <c r="CQ95" s="193"/>
      <c r="CR95" s="193"/>
    </row>
    <row r="96" spans="1:96" ht="15.75" customHeight="1" x14ac:dyDescent="0.35">
      <c r="A96" s="292"/>
      <c r="B96" s="85" t="s">
        <v>415</v>
      </c>
      <c r="C96" s="75" t="s">
        <v>412</v>
      </c>
      <c r="D96" s="138">
        <v>11621</v>
      </c>
      <c r="E96" s="135">
        <v>70121</v>
      </c>
      <c r="F96" s="135"/>
      <c r="G96" s="139"/>
      <c r="H96" s="135"/>
      <c r="I96" s="135"/>
      <c r="J96" s="135"/>
      <c r="K96" s="135">
        <v>2</v>
      </c>
      <c r="L96" s="139"/>
      <c r="M96" s="139"/>
      <c r="N96" s="139"/>
      <c r="O96" s="154">
        <v>1</v>
      </c>
      <c r="P96" s="135">
        <v>1</v>
      </c>
      <c r="Q96" s="135">
        <v>2</v>
      </c>
      <c r="R96" s="135"/>
      <c r="S96" s="163">
        <v>1</v>
      </c>
      <c r="T96" s="163">
        <v>1</v>
      </c>
      <c r="U96" s="163">
        <v>1</v>
      </c>
      <c r="V96" s="135"/>
      <c r="W96" s="135"/>
      <c r="X96" s="163"/>
      <c r="Y96" s="135">
        <v>1550</v>
      </c>
      <c r="Z96" s="135">
        <v>1800</v>
      </c>
      <c r="AA96" s="135">
        <v>300</v>
      </c>
      <c r="AB96" s="135">
        <v>2</v>
      </c>
      <c r="AC96" s="135"/>
      <c r="AD96" s="135"/>
      <c r="AE96" s="135">
        <v>4</v>
      </c>
      <c r="AF96" s="163">
        <v>1</v>
      </c>
      <c r="AG96" s="169">
        <v>100</v>
      </c>
      <c r="AH96" s="135"/>
      <c r="AI96" s="135"/>
      <c r="AJ96" s="135"/>
      <c r="AK96" s="135">
        <v>0</v>
      </c>
      <c r="AL96" s="135">
        <v>21011</v>
      </c>
      <c r="AM96" s="135">
        <v>1100</v>
      </c>
      <c r="AN96" s="135"/>
      <c r="AO96" s="130" t="s">
        <v>311</v>
      </c>
      <c r="AP96" s="130" t="s">
        <v>246</v>
      </c>
      <c r="AQ96" s="130" t="s">
        <v>311</v>
      </c>
      <c r="AR96" s="130" t="s">
        <v>246</v>
      </c>
      <c r="AS96" s="130" t="s">
        <v>311</v>
      </c>
      <c r="AT96" s="130" t="s">
        <v>246</v>
      </c>
      <c r="AU96" s="130" t="s">
        <v>4584</v>
      </c>
      <c r="AV96" s="130"/>
      <c r="AW96" s="104" t="s">
        <v>248</v>
      </c>
      <c r="AX96" s="130" t="s">
        <v>249</v>
      </c>
      <c r="AY96" s="130"/>
      <c r="AZ96" s="130"/>
      <c r="BA96" s="130"/>
      <c r="BB96" s="179"/>
      <c r="BC96" s="179"/>
      <c r="BD96" s="104"/>
      <c r="BE96" s="130"/>
      <c r="BF96" s="138">
        <v>11621</v>
      </c>
      <c r="BG96" s="130"/>
      <c r="BH96" s="185" t="s">
        <v>413</v>
      </c>
      <c r="BI96" s="130" t="s">
        <v>416</v>
      </c>
      <c r="BJ96" s="130" t="s">
        <v>275</v>
      </c>
      <c r="BK96" s="130" t="s">
        <v>253</v>
      </c>
      <c r="BL96" s="135"/>
      <c r="BM96" s="135"/>
      <c r="BN96" s="135"/>
      <c r="BO96" s="163">
        <v>100</v>
      </c>
      <c r="BP96" s="163">
        <v>200</v>
      </c>
      <c r="BQ96" s="130" t="s">
        <v>241</v>
      </c>
      <c r="BR96" s="135">
        <v>2</v>
      </c>
      <c r="BS96" s="135"/>
      <c r="BT96" s="163">
        <v>50</v>
      </c>
      <c r="BU96" s="163">
        <v>40</v>
      </c>
      <c r="BV96" s="130"/>
      <c r="BW96" s="104"/>
      <c r="BX96" s="135"/>
      <c r="BY96" s="135"/>
      <c r="BZ96" s="135">
        <v>1</v>
      </c>
      <c r="CA96" s="135">
        <v>1</v>
      </c>
      <c r="CB96" s="135">
        <v>1</v>
      </c>
      <c r="CC96" s="135">
        <v>1</v>
      </c>
      <c r="CD96" s="135">
        <v>1</v>
      </c>
      <c r="CE96" s="135">
        <v>1</v>
      </c>
      <c r="CF96" s="135">
        <v>1</v>
      </c>
      <c r="CG96" s="135">
        <v>1</v>
      </c>
      <c r="CH96" s="163">
        <v>34</v>
      </c>
      <c r="CI96" s="130" t="s">
        <v>4441</v>
      </c>
      <c r="CJ96" s="135"/>
      <c r="CK96" s="135"/>
      <c r="CL96" s="130"/>
      <c r="CM96" s="193">
        <v>111103</v>
      </c>
      <c r="CN96" s="193"/>
      <c r="CO96" s="193"/>
      <c r="CP96" s="193">
        <v>111103</v>
      </c>
      <c r="CQ96" s="193"/>
      <c r="CR96" s="193"/>
    </row>
    <row r="97" spans="1:96" ht="15.75" customHeight="1" x14ac:dyDescent="0.35">
      <c r="A97" s="292"/>
      <c r="B97" s="86" t="s">
        <v>418</v>
      </c>
      <c r="C97" s="75" t="s">
        <v>419</v>
      </c>
      <c r="D97" s="138">
        <v>11701</v>
      </c>
      <c r="E97" s="135">
        <v>70122</v>
      </c>
      <c r="F97" s="135"/>
      <c r="G97" s="139">
        <v>302</v>
      </c>
      <c r="H97" s="135">
        <v>0</v>
      </c>
      <c r="I97" s="135"/>
      <c r="J97" s="135"/>
      <c r="K97" s="135">
        <v>3</v>
      </c>
      <c r="L97" s="139"/>
      <c r="M97" s="138">
        <v>10815</v>
      </c>
      <c r="N97" s="139"/>
      <c r="O97" s="154">
        <v>5</v>
      </c>
      <c r="P97" s="135">
        <v>1</v>
      </c>
      <c r="Q97" s="135">
        <v>3</v>
      </c>
      <c r="R97" s="135"/>
      <c r="S97" s="163">
        <v>1</v>
      </c>
      <c r="T97" s="163">
        <v>1</v>
      </c>
      <c r="U97" s="163">
        <v>1</v>
      </c>
      <c r="V97" s="135"/>
      <c r="W97" s="135"/>
      <c r="X97" s="163"/>
      <c r="Y97" s="135">
        <v>1329</v>
      </c>
      <c r="Z97" s="135">
        <v>1000</v>
      </c>
      <c r="AA97" s="135">
        <v>400</v>
      </c>
      <c r="AB97" s="135">
        <v>3</v>
      </c>
      <c r="AC97" s="135">
        <v>1</v>
      </c>
      <c r="AD97" s="135"/>
      <c r="AE97" s="135">
        <v>4</v>
      </c>
      <c r="AF97" s="163">
        <v>1</v>
      </c>
      <c r="AG97" s="169">
        <v>100</v>
      </c>
      <c r="AH97" s="135"/>
      <c r="AI97" s="135"/>
      <c r="AJ97" s="135"/>
      <c r="AK97" s="135">
        <v>0</v>
      </c>
      <c r="AL97" s="135">
        <v>21005</v>
      </c>
      <c r="AM97" s="135">
        <v>1000</v>
      </c>
      <c r="AN97" s="135"/>
      <c r="AO97" s="130" t="s">
        <v>420</v>
      </c>
      <c r="AP97" s="174" t="s">
        <v>272</v>
      </c>
      <c r="AQ97" s="130" t="s">
        <v>420</v>
      </c>
      <c r="AR97" s="174" t="s">
        <v>272</v>
      </c>
      <c r="AS97" s="130" t="s">
        <v>420</v>
      </c>
      <c r="AT97" s="174" t="s">
        <v>272</v>
      </c>
      <c r="AU97" s="130" t="s">
        <v>4584</v>
      </c>
      <c r="AV97" s="130"/>
      <c r="AW97" s="104" t="s">
        <v>248</v>
      </c>
      <c r="AX97" s="130" t="s">
        <v>249</v>
      </c>
      <c r="AY97" s="130"/>
      <c r="AZ97" s="130"/>
      <c r="BA97" s="130"/>
      <c r="BB97" s="179"/>
      <c r="BC97" s="179"/>
      <c r="BD97" s="104"/>
      <c r="BE97" s="130" t="s">
        <v>335</v>
      </c>
      <c r="BF97" s="138">
        <v>11701</v>
      </c>
      <c r="BG97" s="130"/>
      <c r="BH97" s="185" t="s">
        <v>413</v>
      </c>
      <c r="BI97" s="130" t="s">
        <v>377</v>
      </c>
      <c r="BJ97" s="130" t="s">
        <v>336</v>
      </c>
      <c r="BK97" s="130" t="s">
        <v>253</v>
      </c>
      <c r="BL97" s="135"/>
      <c r="BM97" s="135"/>
      <c r="BN97" s="135"/>
      <c r="BO97" s="163">
        <v>100</v>
      </c>
      <c r="BP97" s="163">
        <v>200</v>
      </c>
      <c r="BQ97" s="130" t="s">
        <v>241</v>
      </c>
      <c r="BR97" s="135">
        <v>3</v>
      </c>
      <c r="BS97" s="135"/>
      <c r="BT97" s="163">
        <v>50</v>
      </c>
      <c r="BU97" s="163">
        <v>50</v>
      </c>
      <c r="BV97" s="130"/>
      <c r="BW97" s="104"/>
      <c r="BX97" s="135"/>
      <c r="BY97" s="135"/>
      <c r="BZ97" s="135">
        <v>2</v>
      </c>
      <c r="CA97" s="135">
        <v>3</v>
      </c>
      <c r="CB97" s="135">
        <v>3</v>
      </c>
      <c r="CC97" s="135">
        <v>4</v>
      </c>
      <c r="CD97" s="135">
        <v>4</v>
      </c>
      <c r="CE97" s="135">
        <v>5</v>
      </c>
      <c r="CF97" s="135">
        <v>3</v>
      </c>
      <c r="CG97" s="135">
        <v>4</v>
      </c>
      <c r="CH97" s="163"/>
      <c r="CI97" s="130"/>
      <c r="CJ97" s="135"/>
      <c r="CK97" s="135"/>
      <c r="CL97" s="130"/>
      <c r="CM97" s="193">
        <v>111201</v>
      </c>
      <c r="CN97" s="193"/>
      <c r="CO97" s="193"/>
      <c r="CP97" s="193">
        <v>111201</v>
      </c>
      <c r="CQ97" s="193"/>
      <c r="CR97" s="193"/>
    </row>
    <row r="98" spans="1:96" ht="15.75" customHeight="1" x14ac:dyDescent="0.35">
      <c r="A98" s="292"/>
      <c r="B98" s="87" t="s">
        <v>421</v>
      </c>
      <c r="C98" s="75" t="s">
        <v>419</v>
      </c>
      <c r="D98" s="138">
        <v>11711</v>
      </c>
      <c r="E98" s="135">
        <v>70123</v>
      </c>
      <c r="F98" s="135"/>
      <c r="G98" s="139">
        <v>302</v>
      </c>
      <c r="H98" s="135"/>
      <c r="I98" s="135"/>
      <c r="J98" s="135"/>
      <c r="K98" s="135">
        <v>3</v>
      </c>
      <c r="L98" s="139"/>
      <c r="M98" s="138">
        <v>10816</v>
      </c>
      <c r="N98" s="139"/>
      <c r="O98" s="154">
        <v>5</v>
      </c>
      <c r="P98" s="135">
        <v>1</v>
      </c>
      <c r="Q98" s="135">
        <v>2</v>
      </c>
      <c r="R98" s="135"/>
      <c r="S98" s="163">
        <v>1</v>
      </c>
      <c r="T98" s="163">
        <v>1</v>
      </c>
      <c r="U98" s="163">
        <v>1</v>
      </c>
      <c r="V98" s="135"/>
      <c r="W98" s="135"/>
      <c r="X98" s="163"/>
      <c r="Y98" s="135">
        <v>1701</v>
      </c>
      <c r="Z98" s="135">
        <v>1000</v>
      </c>
      <c r="AA98" s="135">
        <v>300</v>
      </c>
      <c r="AB98" s="135">
        <v>3</v>
      </c>
      <c r="AC98" s="135">
        <v>1</v>
      </c>
      <c r="AD98" s="135"/>
      <c r="AE98" s="135">
        <v>4</v>
      </c>
      <c r="AF98" s="163">
        <v>1</v>
      </c>
      <c r="AG98" s="169">
        <v>100</v>
      </c>
      <c r="AH98" s="135"/>
      <c r="AI98" s="135"/>
      <c r="AJ98" s="135"/>
      <c r="AK98" s="135">
        <v>0</v>
      </c>
      <c r="AL98" s="135">
        <v>21009</v>
      </c>
      <c r="AM98" s="135">
        <v>1000</v>
      </c>
      <c r="AN98" s="135"/>
      <c r="AO98" s="130" t="s">
        <v>422</v>
      </c>
      <c r="AP98" s="174">
        <v>1</v>
      </c>
      <c r="AQ98" s="130" t="s">
        <v>422</v>
      </c>
      <c r="AR98" s="174">
        <v>1</v>
      </c>
      <c r="AS98" s="130" t="s">
        <v>422</v>
      </c>
      <c r="AT98" s="174">
        <v>1</v>
      </c>
      <c r="AU98" s="130" t="s">
        <v>4587</v>
      </c>
      <c r="AV98" s="130"/>
      <c r="AW98" s="104" t="s">
        <v>248</v>
      </c>
      <c r="AX98" s="130" t="s">
        <v>249</v>
      </c>
      <c r="AY98" s="130"/>
      <c r="AZ98" s="130"/>
      <c r="BA98" s="130"/>
      <c r="BB98" s="179"/>
      <c r="BC98" s="179"/>
      <c r="BD98" s="104"/>
      <c r="BE98" s="130" t="s">
        <v>335</v>
      </c>
      <c r="BF98" s="138">
        <v>11711</v>
      </c>
      <c r="BG98" s="130"/>
      <c r="BH98" s="185" t="s">
        <v>413</v>
      </c>
      <c r="BI98" s="130" t="s">
        <v>363</v>
      </c>
      <c r="BJ98" s="130" t="s">
        <v>252</v>
      </c>
      <c r="BK98" s="130" t="s">
        <v>253</v>
      </c>
      <c r="BL98" s="135"/>
      <c r="BM98" s="135"/>
      <c r="BN98" s="135"/>
      <c r="BO98" s="163">
        <v>100</v>
      </c>
      <c r="BP98" s="163">
        <v>200</v>
      </c>
      <c r="BQ98" s="130" t="s">
        <v>241</v>
      </c>
      <c r="BR98" s="135">
        <v>3</v>
      </c>
      <c r="BS98" s="135"/>
      <c r="BT98" s="163">
        <v>50</v>
      </c>
      <c r="BU98" s="163">
        <v>40</v>
      </c>
      <c r="BV98" s="130"/>
      <c r="BW98" s="104"/>
      <c r="BX98" s="135"/>
      <c r="BY98" s="135"/>
      <c r="BZ98" s="135">
        <v>3</v>
      </c>
      <c r="CA98" s="135">
        <v>3</v>
      </c>
      <c r="CB98" s="135">
        <v>3</v>
      </c>
      <c r="CC98" s="135">
        <v>4</v>
      </c>
      <c r="CD98" s="135">
        <v>4</v>
      </c>
      <c r="CE98" s="135">
        <v>5</v>
      </c>
      <c r="CF98" s="135">
        <v>3</v>
      </c>
      <c r="CG98" s="135">
        <v>4</v>
      </c>
      <c r="CH98" s="163"/>
      <c r="CI98" s="130"/>
      <c r="CJ98" s="135"/>
      <c r="CK98" s="135"/>
      <c r="CL98" s="130"/>
      <c r="CM98" s="193">
        <v>111202</v>
      </c>
      <c r="CN98" s="193"/>
      <c r="CO98" s="193"/>
      <c r="CP98" s="193">
        <v>111202</v>
      </c>
      <c r="CQ98" s="193"/>
      <c r="CR98" s="193"/>
    </row>
    <row r="99" spans="1:96" ht="15.75" customHeight="1" x14ac:dyDescent="0.35">
      <c r="A99" s="292"/>
      <c r="B99" s="87" t="s">
        <v>423</v>
      </c>
      <c r="C99" s="75" t="s">
        <v>419</v>
      </c>
      <c r="D99" s="138">
        <v>11721</v>
      </c>
      <c r="E99" s="135">
        <v>70124</v>
      </c>
      <c r="F99" s="135"/>
      <c r="G99" s="139">
        <v>302</v>
      </c>
      <c r="H99" s="135">
        <v>0</v>
      </c>
      <c r="I99" s="135"/>
      <c r="J99" s="135"/>
      <c r="K99" s="135">
        <v>3</v>
      </c>
      <c r="L99" s="139"/>
      <c r="M99" s="138">
        <v>10817</v>
      </c>
      <c r="N99" s="139"/>
      <c r="O99" s="154">
        <v>5</v>
      </c>
      <c r="P99" s="135">
        <v>0</v>
      </c>
      <c r="Q99" s="135">
        <v>3</v>
      </c>
      <c r="R99" s="135"/>
      <c r="S99" s="163">
        <v>1</v>
      </c>
      <c r="T99" s="163">
        <v>1</v>
      </c>
      <c r="U99" s="163">
        <v>1</v>
      </c>
      <c r="V99" s="135"/>
      <c r="W99" s="135"/>
      <c r="X99" s="163"/>
      <c r="Y99" s="135">
        <v>1318</v>
      </c>
      <c r="Z99" s="135">
        <v>1000</v>
      </c>
      <c r="AA99" s="135">
        <v>400</v>
      </c>
      <c r="AB99" s="135">
        <v>3</v>
      </c>
      <c r="AC99" s="135">
        <v>1</v>
      </c>
      <c r="AD99" s="135"/>
      <c r="AE99" s="135">
        <v>4</v>
      </c>
      <c r="AF99" s="163">
        <v>1</v>
      </c>
      <c r="AG99" s="169">
        <v>100</v>
      </c>
      <c r="AH99" s="135"/>
      <c r="AI99" s="135"/>
      <c r="AJ99" s="135"/>
      <c r="AK99" s="135">
        <v>0</v>
      </c>
      <c r="AL99" s="135">
        <v>8002</v>
      </c>
      <c r="AM99" s="135">
        <v>1000</v>
      </c>
      <c r="AN99" s="135"/>
      <c r="AO99" s="130" t="s">
        <v>424</v>
      </c>
      <c r="AP99" s="174" t="s">
        <v>340</v>
      </c>
      <c r="AQ99" s="130" t="s">
        <v>424</v>
      </c>
      <c r="AR99" s="174" t="s">
        <v>340</v>
      </c>
      <c r="AS99" s="130" t="s">
        <v>424</v>
      </c>
      <c r="AT99" s="174" t="s">
        <v>340</v>
      </c>
      <c r="AU99" s="130" t="s">
        <v>4584</v>
      </c>
      <c r="AV99" s="130"/>
      <c r="AW99" s="104" t="s">
        <v>425</v>
      </c>
      <c r="AX99" s="130" t="s">
        <v>249</v>
      </c>
      <c r="AY99" s="130"/>
      <c r="AZ99" s="130"/>
      <c r="BA99" s="130"/>
      <c r="BB99" s="179"/>
      <c r="BC99" s="179"/>
      <c r="BD99" s="104"/>
      <c r="BE99" s="130" t="s">
        <v>335</v>
      </c>
      <c r="BF99" s="138">
        <v>11721</v>
      </c>
      <c r="BG99" s="130"/>
      <c r="BH99" s="185" t="s">
        <v>413</v>
      </c>
      <c r="BI99" s="130" t="s">
        <v>293</v>
      </c>
      <c r="BJ99" s="130" t="s">
        <v>336</v>
      </c>
      <c r="BK99" s="130" t="s">
        <v>253</v>
      </c>
      <c r="BL99" s="135"/>
      <c r="BM99" s="135"/>
      <c r="BN99" s="135"/>
      <c r="BO99" s="163">
        <v>100</v>
      </c>
      <c r="BP99" s="163">
        <v>200</v>
      </c>
      <c r="BQ99" s="130" t="s">
        <v>241</v>
      </c>
      <c r="BR99" s="135">
        <v>3</v>
      </c>
      <c r="BS99" s="135"/>
      <c r="BT99" s="163">
        <v>50</v>
      </c>
      <c r="BU99" s="163">
        <v>50</v>
      </c>
      <c r="BV99" s="130"/>
      <c r="BW99" s="104"/>
      <c r="BX99" s="135"/>
      <c r="BY99" s="135"/>
      <c r="BZ99" s="135">
        <v>2</v>
      </c>
      <c r="CA99" s="135">
        <v>3</v>
      </c>
      <c r="CB99" s="135">
        <v>3</v>
      </c>
      <c r="CC99" s="135">
        <v>4</v>
      </c>
      <c r="CD99" s="135">
        <v>4</v>
      </c>
      <c r="CE99" s="135">
        <v>5</v>
      </c>
      <c r="CF99" s="135">
        <v>3</v>
      </c>
      <c r="CG99" s="135">
        <v>4</v>
      </c>
      <c r="CH99" s="163"/>
      <c r="CI99" s="130"/>
      <c r="CJ99" s="135"/>
      <c r="CK99" s="135"/>
      <c r="CL99" s="130"/>
      <c r="CM99" s="193">
        <v>111203</v>
      </c>
      <c r="CN99" s="193"/>
      <c r="CO99" s="193"/>
      <c r="CP99" s="193">
        <v>111203</v>
      </c>
      <c r="CQ99" s="193"/>
      <c r="CR99" s="193"/>
    </row>
    <row r="100" spans="1:96" ht="15.75" customHeight="1" x14ac:dyDescent="0.35">
      <c r="A100" s="292"/>
      <c r="B100" s="87" t="s">
        <v>426</v>
      </c>
      <c r="C100" s="75" t="s">
        <v>419</v>
      </c>
      <c r="D100" s="138">
        <v>11731</v>
      </c>
      <c r="E100" s="135">
        <v>70125</v>
      </c>
      <c r="F100" s="135"/>
      <c r="G100" s="139">
        <v>302</v>
      </c>
      <c r="H100" s="135">
        <v>0</v>
      </c>
      <c r="I100" s="135"/>
      <c r="J100" s="135"/>
      <c r="K100" s="135">
        <v>3</v>
      </c>
      <c r="L100" s="139">
        <v>1</v>
      </c>
      <c r="M100" s="138">
        <v>10818</v>
      </c>
      <c r="N100" s="139"/>
      <c r="O100" s="154">
        <v>5</v>
      </c>
      <c r="P100" s="135">
        <v>1</v>
      </c>
      <c r="Q100" s="135">
        <v>3</v>
      </c>
      <c r="R100" s="135"/>
      <c r="S100" s="163">
        <v>1</v>
      </c>
      <c r="T100" s="163">
        <v>1</v>
      </c>
      <c r="U100" s="163">
        <v>1</v>
      </c>
      <c r="V100" s="135"/>
      <c r="W100" s="135"/>
      <c r="X100" s="163"/>
      <c r="Y100" s="135">
        <v>1309</v>
      </c>
      <c r="Z100" s="135">
        <v>1000</v>
      </c>
      <c r="AA100" s="135">
        <v>400</v>
      </c>
      <c r="AB100" s="135">
        <v>3</v>
      </c>
      <c r="AC100" s="135">
        <v>1</v>
      </c>
      <c r="AD100" s="135"/>
      <c r="AE100" s="135">
        <v>4</v>
      </c>
      <c r="AF100" s="163">
        <v>1</v>
      </c>
      <c r="AG100" s="169">
        <v>100</v>
      </c>
      <c r="AH100" s="135"/>
      <c r="AI100" s="135"/>
      <c r="AJ100" s="135"/>
      <c r="AK100" s="135">
        <v>0</v>
      </c>
      <c r="AL100" s="135">
        <v>8002</v>
      </c>
      <c r="AM100" s="135">
        <v>1000</v>
      </c>
      <c r="AN100" s="135"/>
      <c r="AO100" s="130" t="s">
        <v>427</v>
      </c>
      <c r="AP100" s="174" t="s">
        <v>329</v>
      </c>
      <c r="AQ100" s="130" t="s">
        <v>427</v>
      </c>
      <c r="AR100" s="174" t="s">
        <v>329</v>
      </c>
      <c r="AS100" s="130" t="s">
        <v>427</v>
      </c>
      <c r="AT100" s="174" t="s">
        <v>329</v>
      </c>
      <c r="AU100" s="130" t="s">
        <v>4588</v>
      </c>
      <c r="AV100" s="130"/>
      <c r="AW100" s="104" t="s">
        <v>248</v>
      </c>
      <c r="AX100" s="130" t="s">
        <v>249</v>
      </c>
      <c r="AY100" s="130"/>
      <c r="AZ100" s="130"/>
      <c r="BA100" s="130"/>
      <c r="BB100" s="179"/>
      <c r="BC100" s="179"/>
      <c r="BD100" s="104"/>
      <c r="BE100" s="130" t="s">
        <v>335</v>
      </c>
      <c r="BF100" s="138">
        <v>11731</v>
      </c>
      <c r="BG100" s="130"/>
      <c r="BH100" s="185" t="s">
        <v>413</v>
      </c>
      <c r="BI100" s="130" t="s">
        <v>251</v>
      </c>
      <c r="BJ100" s="130" t="s">
        <v>252</v>
      </c>
      <c r="BK100" s="130" t="s">
        <v>253</v>
      </c>
      <c r="BL100" s="135"/>
      <c r="BM100" s="135"/>
      <c r="BN100" s="135"/>
      <c r="BO100" s="163">
        <v>100</v>
      </c>
      <c r="BP100" s="163">
        <v>200</v>
      </c>
      <c r="BQ100" s="130" t="s">
        <v>241</v>
      </c>
      <c r="BR100" s="135">
        <v>3</v>
      </c>
      <c r="BS100" s="135"/>
      <c r="BT100" s="163">
        <v>50</v>
      </c>
      <c r="BU100" s="163">
        <v>50</v>
      </c>
      <c r="BV100" s="130"/>
      <c r="BW100" s="104"/>
      <c r="BX100" s="135"/>
      <c r="BY100" s="135"/>
      <c r="BZ100" s="135">
        <v>1</v>
      </c>
      <c r="CA100" s="135">
        <v>1</v>
      </c>
      <c r="CB100" s="135">
        <v>1</v>
      </c>
      <c r="CC100" s="135">
        <v>2</v>
      </c>
      <c r="CD100" s="135">
        <v>2</v>
      </c>
      <c r="CE100" s="135">
        <v>3</v>
      </c>
      <c r="CF100" s="135">
        <v>1</v>
      </c>
      <c r="CG100" s="135">
        <v>2</v>
      </c>
      <c r="CH100" s="163"/>
      <c r="CI100" s="130"/>
      <c r="CJ100" s="135"/>
      <c r="CK100" s="135"/>
      <c r="CL100" s="130"/>
      <c r="CM100" s="193">
        <v>111204</v>
      </c>
      <c r="CN100" s="193"/>
      <c r="CO100" s="193"/>
      <c r="CP100" s="193">
        <v>111204</v>
      </c>
      <c r="CQ100" s="193"/>
      <c r="CR100" s="193"/>
    </row>
    <row r="101" spans="1:96" ht="15.75" customHeight="1" x14ac:dyDescent="0.35">
      <c r="A101" s="292"/>
      <c r="B101" s="247" t="s">
        <v>418</v>
      </c>
      <c r="C101" s="75" t="s">
        <v>4583</v>
      </c>
      <c r="D101" s="138">
        <v>11791</v>
      </c>
      <c r="E101" s="135">
        <v>70122</v>
      </c>
      <c r="F101" s="135"/>
      <c r="G101" s="139">
        <v>302</v>
      </c>
      <c r="H101" s="135">
        <v>0</v>
      </c>
      <c r="I101" s="135"/>
      <c r="J101" s="135"/>
      <c r="K101" s="135">
        <v>3</v>
      </c>
      <c r="L101" s="139"/>
      <c r="M101" s="138">
        <v>10815</v>
      </c>
      <c r="N101" s="139"/>
      <c r="O101" s="154">
        <v>5</v>
      </c>
      <c r="P101" s="135">
        <v>1</v>
      </c>
      <c r="Q101" s="135">
        <v>3</v>
      </c>
      <c r="R101" s="135"/>
      <c r="S101" s="163">
        <v>1</v>
      </c>
      <c r="T101" s="163">
        <v>1</v>
      </c>
      <c r="U101" s="163">
        <v>1</v>
      </c>
      <c r="V101" s="135"/>
      <c r="W101" s="135"/>
      <c r="X101" s="163"/>
      <c r="Y101" s="135">
        <v>1329</v>
      </c>
      <c r="Z101" s="135">
        <v>1000</v>
      </c>
      <c r="AA101" s="135">
        <v>400</v>
      </c>
      <c r="AB101" s="135">
        <v>3</v>
      </c>
      <c r="AC101" s="135">
        <v>1</v>
      </c>
      <c r="AD101" s="135"/>
      <c r="AE101" s="135">
        <v>4</v>
      </c>
      <c r="AF101" s="163">
        <v>1</v>
      </c>
      <c r="AG101" s="169">
        <v>100</v>
      </c>
      <c r="AH101" s="135"/>
      <c r="AI101" s="135"/>
      <c r="AJ101" s="135"/>
      <c r="AK101" s="135">
        <v>0</v>
      </c>
      <c r="AL101" s="135">
        <v>21005</v>
      </c>
      <c r="AM101" s="135">
        <v>1000</v>
      </c>
      <c r="AN101" s="135"/>
      <c r="AO101" s="130" t="s">
        <v>420</v>
      </c>
      <c r="AP101" s="174" t="s">
        <v>272</v>
      </c>
      <c r="AQ101" s="130" t="s">
        <v>420</v>
      </c>
      <c r="AR101" s="174" t="s">
        <v>272</v>
      </c>
      <c r="AS101" s="130" t="s">
        <v>420</v>
      </c>
      <c r="AT101" s="174" t="s">
        <v>272</v>
      </c>
      <c r="AU101" s="130" t="s">
        <v>4584</v>
      </c>
      <c r="AV101" s="130"/>
      <c r="AW101" s="104" t="s">
        <v>248</v>
      </c>
      <c r="AX101" s="130" t="s">
        <v>249</v>
      </c>
      <c r="AY101" s="130"/>
      <c r="AZ101" s="130"/>
      <c r="BA101" s="130"/>
      <c r="BB101" s="179"/>
      <c r="BC101" s="179"/>
      <c r="BD101" s="104"/>
      <c r="BE101" s="130" t="s">
        <v>335</v>
      </c>
      <c r="BF101" s="138">
        <v>11701</v>
      </c>
      <c r="BG101" s="130"/>
      <c r="BH101" s="185" t="s">
        <v>413</v>
      </c>
      <c r="BI101" s="130" t="s">
        <v>377</v>
      </c>
      <c r="BJ101" s="130" t="s">
        <v>336</v>
      </c>
      <c r="BK101" s="130" t="s">
        <v>253</v>
      </c>
      <c r="BL101" s="135"/>
      <c r="BM101" s="135"/>
      <c r="BN101" s="135"/>
      <c r="BO101" s="163">
        <v>100</v>
      </c>
      <c r="BP101" s="163">
        <v>200</v>
      </c>
      <c r="BQ101" s="130" t="s">
        <v>241</v>
      </c>
      <c r="BR101" s="135">
        <v>3</v>
      </c>
      <c r="BS101" s="135"/>
      <c r="BT101" s="163">
        <v>50</v>
      </c>
      <c r="BU101" s="163">
        <v>50</v>
      </c>
      <c r="BV101" s="130"/>
      <c r="BW101" s="104"/>
      <c r="BX101" s="135"/>
      <c r="BY101" s="135"/>
      <c r="BZ101" s="135">
        <v>2</v>
      </c>
      <c r="CA101" s="135">
        <v>3</v>
      </c>
      <c r="CB101" s="135">
        <v>3</v>
      </c>
      <c r="CC101" s="135">
        <v>4</v>
      </c>
      <c r="CD101" s="135">
        <v>4</v>
      </c>
      <c r="CE101" s="135">
        <v>5</v>
      </c>
      <c r="CF101" s="135">
        <v>3</v>
      </c>
      <c r="CG101" s="135">
        <v>4</v>
      </c>
      <c r="CH101" s="163"/>
      <c r="CI101" s="130"/>
      <c r="CJ101" s="135"/>
      <c r="CK101" s="135"/>
      <c r="CL101" s="130"/>
      <c r="CM101" s="193">
        <v>1200004</v>
      </c>
      <c r="CN101" s="193"/>
      <c r="CO101" s="193"/>
      <c r="CP101" s="193">
        <v>1200004</v>
      </c>
      <c r="CQ101" s="193"/>
      <c r="CR101" s="193"/>
    </row>
    <row r="102" spans="1:96" ht="15.75" customHeight="1" x14ac:dyDescent="0.35">
      <c r="A102" s="292"/>
      <c r="B102" s="90" t="s">
        <v>421</v>
      </c>
      <c r="C102" s="75" t="s">
        <v>4583</v>
      </c>
      <c r="D102" s="138">
        <v>11792</v>
      </c>
      <c r="E102" s="135">
        <v>70123</v>
      </c>
      <c r="F102" s="135"/>
      <c r="G102" s="139">
        <v>302</v>
      </c>
      <c r="H102" s="135"/>
      <c r="I102" s="135"/>
      <c r="J102" s="135"/>
      <c r="K102" s="135">
        <v>3</v>
      </c>
      <c r="L102" s="139"/>
      <c r="M102" s="138">
        <v>10816</v>
      </c>
      <c r="N102" s="139"/>
      <c r="O102" s="154">
        <v>5</v>
      </c>
      <c r="P102" s="135">
        <v>1</v>
      </c>
      <c r="Q102" s="135">
        <v>2</v>
      </c>
      <c r="R102" s="135"/>
      <c r="S102" s="163">
        <v>1</v>
      </c>
      <c r="T102" s="163">
        <v>1</v>
      </c>
      <c r="U102" s="163">
        <v>1</v>
      </c>
      <c r="V102" s="135"/>
      <c r="W102" s="135"/>
      <c r="X102" s="163"/>
      <c r="Y102" s="135">
        <v>1701</v>
      </c>
      <c r="Z102" s="135">
        <v>1000</v>
      </c>
      <c r="AA102" s="135">
        <v>300</v>
      </c>
      <c r="AB102" s="135">
        <v>3</v>
      </c>
      <c r="AC102" s="135">
        <v>1</v>
      </c>
      <c r="AD102" s="135"/>
      <c r="AE102" s="135">
        <v>4</v>
      </c>
      <c r="AF102" s="163">
        <v>1</v>
      </c>
      <c r="AG102" s="169">
        <v>100</v>
      </c>
      <c r="AH102" s="135"/>
      <c r="AI102" s="135"/>
      <c r="AJ102" s="135"/>
      <c r="AK102" s="135">
        <v>0</v>
      </c>
      <c r="AL102" s="135">
        <v>21009</v>
      </c>
      <c r="AM102" s="135">
        <v>1000</v>
      </c>
      <c r="AN102" s="135"/>
      <c r="AO102" s="130" t="s">
        <v>422</v>
      </c>
      <c r="AP102" s="174">
        <v>1</v>
      </c>
      <c r="AQ102" s="130" t="s">
        <v>422</v>
      </c>
      <c r="AR102" s="174">
        <v>1</v>
      </c>
      <c r="AS102" s="130" t="s">
        <v>422</v>
      </c>
      <c r="AT102" s="174">
        <v>1</v>
      </c>
      <c r="AU102" s="130" t="s">
        <v>4587</v>
      </c>
      <c r="AV102" s="130"/>
      <c r="AW102" s="104" t="s">
        <v>248</v>
      </c>
      <c r="AX102" s="130" t="s">
        <v>249</v>
      </c>
      <c r="AY102" s="130"/>
      <c r="AZ102" s="130"/>
      <c r="BA102" s="130"/>
      <c r="BB102" s="179"/>
      <c r="BC102" s="179"/>
      <c r="BD102" s="104"/>
      <c r="BE102" s="130" t="s">
        <v>335</v>
      </c>
      <c r="BF102" s="138">
        <v>11711</v>
      </c>
      <c r="BG102" s="130"/>
      <c r="BH102" s="185" t="s">
        <v>413</v>
      </c>
      <c r="BI102" s="130" t="s">
        <v>363</v>
      </c>
      <c r="BJ102" s="130" t="s">
        <v>252</v>
      </c>
      <c r="BK102" s="130" t="s">
        <v>253</v>
      </c>
      <c r="BL102" s="135"/>
      <c r="BM102" s="135"/>
      <c r="BN102" s="135"/>
      <c r="BO102" s="163">
        <v>100</v>
      </c>
      <c r="BP102" s="163">
        <v>200</v>
      </c>
      <c r="BQ102" s="130" t="s">
        <v>241</v>
      </c>
      <c r="BR102" s="135">
        <v>3</v>
      </c>
      <c r="BS102" s="135"/>
      <c r="BT102" s="163">
        <v>50</v>
      </c>
      <c r="BU102" s="163">
        <v>40</v>
      </c>
      <c r="BV102" s="130"/>
      <c r="BW102" s="104"/>
      <c r="BX102" s="135"/>
      <c r="BY102" s="135"/>
      <c r="BZ102" s="135">
        <v>3</v>
      </c>
      <c r="CA102" s="135">
        <v>3</v>
      </c>
      <c r="CB102" s="135">
        <v>3</v>
      </c>
      <c r="CC102" s="135">
        <v>4</v>
      </c>
      <c r="CD102" s="135">
        <v>4</v>
      </c>
      <c r="CE102" s="135">
        <v>5</v>
      </c>
      <c r="CF102" s="135">
        <v>3</v>
      </c>
      <c r="CG102" s="135">
        <v>4</v>
      </c>
      <c r="CH102" s="163"/>
      <c r="CI102" s="130"/>
      <c r="CJ102" s="135"/>
      <c r="CK102" s="135"/>
      <c r="CL102" s="130"/>
      <c r="CM102" s="193">
        <v>1200005</v>
      </c>
      <c r="CN102" s="193"/>
      <c r="CO102" s="193"/>
      <c r="CP102" s="193">
        <v>1200005</v>
      </c>
      <c r="CQ102" s="193"/>
      <c r="CR102" s="193"/>
    </row>
    <row r="103" spans="1:96" ht="15.75" customHeight="1" x14ac:dyDescent="0.35">
      <c r="A103" s="292"/>
      <c r="B103" s="90" t="s">
        <v>423</v>
      </c>
      <c r="C103" s="75" t="s">
        <v>4583</v>
      </c>
      <c r="D103" s="138">
        <v>11793</v>
      </c>
      <c r="E103" s="135">
        <v>70124</v>
      </c>
      <c r="F103" s="135"/>
      <c r="G103" s="139">
        <v>302</v>
      </c>
      <c r="H103" s="135">
        <v>0</v>
      </c>
      <c r="I103" s="135"/>
      <c r="J103" s="135"/>
      <c r="K103" s="135">
        <v>3</v>
      </c>
      <c r="L103" s="139"/>
      <c r="M103" s="138">
        <v>10817</v>
      </c>
      <c r="N103" s="139"/>
      <c r="O103" s="154">
        <v>5</v>
      </c>
      <c r="P103" s="135">
        <v>0</v>
      </c>
      <c r="Q103" s="135">
        <v>3</v>
      </c>
      <c r="R103" s="135"/>
      <c r="S103" s="163">
        <v>1</v>
      </c>
      <c r="T103" s="163">
        <v>1</v>
      </c>
      <c r="U103" s="163">
        <v>1</v>
      </c>
      <c r="V103" s="135"/>
      <c r="W103" s="135"/>
      <c r="X103" s="163"/>
      <c r="Y103" s="135">
        <v>1318</v>
      </c>
      <c r="Z103" s="135">
        <v>1000</v>
      </c>
      <c r="AA103" s="135">
        <v>400</v>
      </c>
      <c r="AB103" s="135">
        <v>3</v>
      </c>
      <c r="AC103" s="135">
        <v>1</v>
      </c>
      <c r="AD103" s="135"/>
      <c r="AE103" s="135">
        <v>4</v>
      </c>
      <c r="AF103" s="163">
        <v>1</v>
      </c>
      <c r="AG103" s="169">
        <v>100</v>
      </c>
      <c r="AH103" s="135"/>
      <c r="AI103" s="135"/>
      <c r="AJ103" s="135"/>
      <c r="AK103" s="135">
        <v>0</v>
      </c>
      <c r="AL103" s="135">
        <v>8002</v>
      </c>
      <c r="AM103" s="135">
        <v>1000</v>
      </c>
      <c r="AN103" s="135"/>
      <c r="AO103" s="130" t="s">
        <v>424</v>
      </c>
      <c r="AP103" s="174" t="s">
        <v>340</v>
      </c>
      <c r="AQ103" s="130" t="s">
        <v>424</v>
      </c>
      <c r="AR103" s="174" t="s">
        <v>340</v>
      </c>
      <c r="AS103" s="130" t="s">
        <v>424</v>
      </c>
      <c r="AT103" s="174" t="s">
        <v>340</v>
      </c>
      <c r="AU103" s="130" t="s">
        <v>4584</v>
      </c>
      <c r="AV103" s="130"/>
      <c r="AW103" s="104" t="s">
        <v>425</v>
      </c>
      <c r="AX103" s="130" t="s">
        <v>249</v>
      </c>
      <c r="AY103" s="130"/>
      <c r="AZ103" s="130"/>
      <c r="BA103" s="130"/>
      <c r="BB103" s="179"/>
      <c r="BC103" s="179"/>
      <c r="BD103" s="104"/>
      <c r="BE103" s="130" t="s">
        <v>335</v>
      </c>
      <c r="BF103" s="138">
        <v>11721</v>
      </c>
      <c r="BG103" s="130"/>
      <c r="BH103" s="185" t="s">
        <v>413</v>
      </c>
      <c r="BI103" s="130" t="s">
        <v>293</v>
      </c>
      <c r="BJ103" s="130" t="s">
        <v>336</v>
      </c>
      <c r="BK103" s="130" t="s">
        <v>253</v>
      </c>
      <c r="BL103" s="135"/>
      <c r="BM103" s="135"/>
      <c r="BN103" s="135"/>
      <c r="BO103" s="163">
        <v>100</v>
      </c>
      <c r="BP103" s="163">
        <v>200</v>
      </c>
      <c r="BQ103" s="130" t="s">
        <v>241</v>
      </c>
      <c r="BR103" s="135">
        <v>3</v>
      </c>
      <c r="BS103" s="135"/>
      <c r="BT103" s="163">
        <v>50</v>
      </c>
      <c r="BU103" s="163">
        <v>50</v>
      </c>
      <c r="BV103" s="130"/>
      <c r="BW103" s="104"/>
      <c r="BX103" s="135"/>
      <c r="BY103" s="135"/>
      <c r="BZ103" s="135">
        <v>2</v>
      </c>
      <c r="CA103" s="135">
        <v>3</v>
      </c>
      <c r="CB103" s="135">
        <v>3</v>
      </c>
      <c r="CC103" s="135">
        <v>4</v>
      </c>
      <c r="CD103" s="135">
        <v>4</v>
      </c>
      <c r="CE103" s="135">
        <v>5</v>
      </c>
      <c r="CF103" s="135">
        <v>3</v>
      </c>
      <c r="CG103" s="135">
        <v>4</v>
      </c>
      <c r="CH103" s="163"/>
      <c r="CI103" s="130"/>
      <c r="CJ103" s="135"/>
      <c r="CK103" s="135"/>
      <c r="CL103" s="130"/>
      <c r="CM103" s="193">
        <v>1200006</v>
      </c>
      <c r="CN103" s="193"/>
      <c r="CO103" s="193"/>
      <c r="CP103" s="193">
        <v>1200006</v>
      </c>
      <c r="CQ103" s="193"/>
      <c r="CR103" s="193"/>
    </row>
    <row r="104" spans="1:96" ht="15.75" customHeight="1" x14ac:dyDescent="0.35">
      <c r="A104" s="292"/>
      <c r="B104" s="90" t="s">
        <v>426</v>
      </c>
      <c r="C104" s="75" t="s">
        <v>4583</v>
      </c>
      <c r="D104" s="138">
        <v>11794</v>
      </c>
      <c r="E104" s="135">
        <v>70125</v>
      </c>
      <c r="F104" s="135"/>
      <c r="G104" s="139">
        <v>302</v>
      </c>
      <c r="H104" s="135">
        <v>0</v>
      </c>
      <c r="I104" s="135"/>
      <c r="J104" s="135"/>
      <c r="K104" s="135">
        <v>3</v>
      </c>
      <c r="L104" s="139">
        <v>1</v>
      </c>
      <c r="M104" s="138">
        <v>10818</v>
      </c>
      <c r="N104" s="139"/>
      <c r="O104" s="154">
        <v>5</v>
      </c>
      <c r="P104" s="135">
        <v>1</v>
      </c>
      <c r="Q104" s="135">
        <v>3</v>
      </c>
      <c r="R104" s="135"/>
      <c r="S104" s="163">
        <v>1</v>
      </c>
      <c r="T104" s="163">
        <v>1</v>
      </c>
      <c r="U104" s="163">
        <v>1</v>
      </c>
      <c r="V104" s="135"/>
      <c r="W104" s="135"/>
      <c r="X104" s="163"/>
      <c r="Y104" s="135">
        <v>1309</v>
      </c>
      <c r="Z104" s="135">
        <v>1000</v>
      </c>
      <c r="AA104" s="135">
        <v>400</v>
      </c>
      <c r="AB104" s="135">
        <v>3</v>
      </c>
      <c r="AC104" s="135">
        <v>1</v>
      </c>
      <c r="AD104" s="135"/>
      <c r="AE104" s="135">
        <v>4</v>
      </c>
      <c r="AF104" s="163">
        <v>1</v>
      </c>
      <c r="AG104" s="169">
        <v>100</v>
      </c>
      <c r="AH104" s="135"/>
      <c r="AI104" s="135"/>
      <c r="AJ104" s="135"/>
      <c r="AK104" s="135">
        <v>0</v>
      </c>
      <c r="AL104" s="135">
        <v>8002</v>
      </c>
      <c r="AM104" s="135">
        <v>1000</v>
      </c>
      <c r="AN104" s="135"/>
      <c r="AO104" s="130" t="s">
        <v>427</v>
      </c>
      <c r="AP104" s="174" t="s">
        <v>329</v>
      </c>
      <c r="AQ104" s="130" t="s">
        <v>427</v>
      </c>
      <c r="AR104" s="174" t="s">
        <v>329</v>
      </c>
      <c r="AS104" s="130" t="s">
        <v>427</v>
      </c>
      <c r="AT104" s="174" t="s">
        <v>329</v>
      </c>
      <c r="AU104" s="130" t="s">
        <v>4588</v>
      </c>
      <c r="AV104" s="130"/>
      <c r="AW104" s="104" t="s">
        <v>248</v>
      </c>
      <c r="AX104" s="130" t="s">
        <v>249</v>
      </c>
      <c r="AY104" s="130"/>
      <c r="AZ104" s="130"/>
      <c r="BA104" s="130"/>
      <c r="BB104" s="179"/>
      <c r="BC104" s="179"/>
      <c r="BD104" s="104"/>
      <c r="BE104" s="130" t="s">
        <v>335</v>
      </c>
      <c r="BF104" s="138">
        <v>11731</v>
      </c>
      <c r="BG104" s="130"/>
      <c r="BH104" s="185" t="s">
        <v>413</v>
      </c>
      <c r="BI104" s="130" t="s">
        <v>251</v>
      </c>
      <c r="BJ104" s="130" t="s">
        <v>252</v>
      </c>
      <c r="BK104" s="130" t="s">
        <v>253</v>
      </c>
      <c r="BL104" s="135"/>
      <c r="BM104" s="135"/>
      <c r="BN104" s="135"/>
      <c r="BO104" s="163">
        <v>100</v>
      </c>
      <c r="BP104" s="163">
        <v>200</v>
      </c>
      <c r="BQ104" s="130" t="s">
        <v>241</v>
      </c>
      <c r="BR104" s="135">
        <v>3</v>
      </c>
      <c r="BS104" s="135"/>
      <c r="BT104" s="163">
        <v>50</v>
      </c>
      <c r="BU104" s="163">
        <v>50</v>
      </c>
      <c r="BV104" s="130"/>
      <c r="BW104" s="104"/>
      <c r="BX104" s="135"/>
      <c r="BY104" s="135"/>
      <c r="BZ104" s="135">
        <v>1</v>
      </c>
      <c r="CA104" s="135">
        <v>1</v>
      </c>
      <c r="CB104" s="135">
        <v>1</v>
      </c>
      <c r="CC104" s="135">
        <v>2</v>
      </c>
      <c r="CD104" s="135">
        <v>2</v>
      </c>
      <c r="CE104" s="135">
        <v>3</v>
      </c>
      <c r="CF104" s="135">
        <v>1</v>
      </c>
      <c r="CG104" s="135">
        <v>2</v>
      </c>
      <c r="CH104" s="163"/>
      <c r="CI104" s="130"/>
      <c r="CJ104" s="135"/>
      <c r="CK104" s="135"/>
      <c r="CL104" s="130"/>
      <c r="CM104" s="193">
        <v>1200007</v>
      </c>
      <c r="CN104" s="193"/>
      <c r="CO104" s="193"/>
      <c r="CP104" s="193">
        <v>1200007</v>
      </c>
      <c r="CQ104" s="193"/>
      <c r="CR104" s="193"/>
    </row>
    <row r="105" spans="1:96" ht="15.75" customHeight="1" x14ac:dyDescent="0.35">
      <c r="A105" s="292"/>
      <c r="B105" s="253" t="s">
        <v>418</v>
      </c>
      <c r="C105" s="75" t="s">
        <v>4607</v>
      </c>
      <c r="D105" s="138">
        <v>11800</v>
      </c>
      <c r="E105" s="135">
        <v>70122</v>
      </c>
      <c r="F105" s="135"/>
      <c r="G105" s="139">
        <v>302</v>
      </c>
      <c r="H105" s="258">
        <v>0</v>
      </c>
      <c r="I105" s="258"/>
      <c r="J105" s="135"/>
      <c r="K105" s="258">
        <v>3</v>
      </c>
      <c r="L105" s="135">
        <v>1</v>
      </c>
      <c r="M105" s="135">
        <v>10815</v>
      </c>
      <c r="N105" s="139"/>
      <c r="O105" s="154">
        <v>5</v>
      </c>
      <c r="P105" s="258">
        <v>1</v>
      </c>
      <c r="Q105" s="135">
        <v>3</v>
      </c>
      <c r="R105" s="135"/>
      <c r="S105" s="163">
        <v>1</v>
      </c>
      <c r="T105" s="259">
        <v>1</v>
      </c>
      <c r="U105" s="259">
        <v>1</v>
      </c>
      <c r="V105" s="258"/>
      <c r="W105" s="258"/>
      <c r="X105" s="163"/>
      <c r="Y105" s="135">
        <v>1329</v>
      </c>
      <c r="Z105" s="258">
        <v>1000</v>
      </c>
      <c r="AA105" s="258">
        <v>400</v>
      </c>
      <c r="AB105" s="135">
        <v>3</v>
      </c>
      <c r="AC105" s="135">
        <v>1</v>
      </c>
      <c r="AD105" s="135"/>
      <c r="AE105" s="135">
        <v>4</v>
      </c>
      <c r="AF105" s="163">
        <v>1</v>
      </c>
      <c r="AG105" s="169">
        <v>100</v>
      </c>
      <c r="AH105" s="258"/>
      <c r="AI105" s="135"/>
      <c r="AJ105" s="135"/>
      <c r="AK105" s="135">
        <v>0</v>
      </c>
      <c r="AL105" s="135">
        <v>21005</v>
      </c>
      <c r="AM105" s="135">
        <v>1000</v>
      </c>
      <c r="AN105" s="135"/>
      <c r="AO105" s="130" t="s">
        <v>420</v>
      </c>
      <c r="AP105" s="260" t="s">
        <v>272</v>
      </c>
      <c r="AQ105" s="260" t="s">
        <v>420</v>
      </c>
      <c r="AR105" s="260" t="s">
        <v>272</v>
      </c>
      <c r="AS105" s="260" t="s">
        <v>420</v>
      </c>
      <c r="AT105" s="260" t="s">
        <v>272</v>
      </c>
      <c r="AU105" s="130" t="s">
        <v>4584</v>
      </c>
      <c r="AV105" s="260"/>
      <c r="AW105" s="104" t="s">
        <v>248</v>
      </c>
      <c r="AX105" s="260" t="s">
        <v>249</v>
      </c>
      <c r="AY105" s="130"/>
      <c r="AZ105" s="130"/>
      <c r="BA105" s="130"/>
      <c r="BB105" s="179"/>
      <c r="BC105" s="179"/>
      <c r="BD105" s="104"/>
      <c r="BE105" s="130" t="s">
        <v>335</v>
      </c>
      <c r="BF105" s="258">
        <v>11701</v>
      </c>
      <c r="BG105" s="130"/>
      <c r="BH105" s="185" t="s">
        <v>413</v>
      </c>
      <c r="BI105" s="260" t="s">
        <v>377</v>
      </c>
      <c r="BJ105" s="130" t="s">
        <v>336</v>
      </c>
      <c r="BK105" s="130" t="s">
        <v>253</v>
      </c>
      <c r="BL105" s="135"/>
      <c r="BM105" s="135"/>
      <c r="BN105" s="135"/>
      <c r="BO105" s="163">
        <v>100</v>
      </c>
      <c r="BP105" s="163">
        <v>200</v>
      </c>
      <c r="BQ105" s="130" t="s">
        <v>241</v>
      </c>
      <c r="BR105" s="135">
        <v>3</v>
      </c>
      <c r="BS105" s="258"/>
      <c r="BT105" s="259">
        <v>50</v>
      </c>
      <c r="BU105" s="259">
        <v>50</v>
      </c>
      <c r="BV105" s="260"/>
      <c r="BW105" s="104"/>
      <c r="BX105" s="258"/>
      <c r="BY105" s="258"/>
      <c r="BZ105" s="258">
        <v>2</v>
      </c>
      <c r="CA105" s="258">
        <v>3</v>
      </c>
      <c r="CB105" s="258">
        <v>3</v>
      </c>
      <c r="CC105" s="258">
        <v>4</v>
      </c>
      <c r="CD105" s="258">
        <v>4</v>
      </c>
      <c r="CE105" s="258">
        <v>5</v>
      </c>
      <c r="CF105" s="135">
        <v>3</v>
      </c>
      <c r="CG105" s="135">
        <v>4</v>
      </c>
      <c r="CH105" s="261"/>
      <c r="CI105" s="260"/>
      <c r="CJ105" s="258"/>
      <c r="CK105" s="258"/>
      <c r="CL105" s="260"/>
      <c r="CM105" s="263">
        <v>1210003</v>
      </c>
      <c r="CN105" s="264"/>
      <c r="CO105" s="264"/>
      <c r="CP105" s="263">
        <v>1210003</v>
      </c>
      <c r="CQ105" s="262"/>
      <c r="CR105" s="262"/>
    </row>
    <row r="106" spans="1:96" ht="15.75" customHeight="1" x14ac:dyDescent="0.35">
      <c r="A106" s="292"/>
      <c r="B106" s="90" t="s">
        <v>421</v>
      </c>
      <c r="C106" s="75" t="s">
        <v>4607</v>
      </c>
      <c r="D106" s="138">
        <v>11801</v>
      </c>
      <c r="E106" s="135">
        <v>70123</v>
      </c>
      <c r="F106" s="135"/>
      <c r="G106" s="139">
        <v>302</v>
      </c>
      <c r="H106" s="135"/>
      <c r="I106" s="135"/>
      <c r="J106" s="135"/>
      <c r="K106" s="135">
        <v>3</v>
      </c>
      <c r="L106" s="139">
        <v>1</v>
      </c>
      <c r="M106" s="138">
        <v>10816</v>
      </c>
      <c r="N106" s="139"/>
      <c r="O106" s="154">
        <v>5</v>
      </c>
      <c r="P106" s="135">
        <v>1</v>
      </c>
      <c r="Q106" s="135">
        <v>2</v>
      </c>
      <c r="R106" s="135"/>
      <c r="S106" s="163">
        <v>1</v>
      </c>
      <c r="T106" s="163">
        <v>1</v>
      </c>
      <c r="U106" s="163">
        <v>1</v>
      </c>
      <c r="V106" s="135"/>
      <c r="W106" s="135"/>
      <c r="X106" s="163"/>
      <c r="Y106" s="135">
        <v>1701</v>
      </c>
      <c r="Z106" s="135">
        <v>1000</v>
      </c>
      <c r="AA106" s="135">
        <v>300</v>
      </c>
      <c r="AB106" s="135">
        <v>3</v>
      </c>
      <c r="AC106" s="135">
        <v>1</v>
      </c>
      <c r="AD106" s="135"/>
      <c r="AE106" s="135">
        <v>4</v>
      </c>
      <c r="AF106" s="163">
        <v>1</v>
      </c>
      <c r="AG106" s="169">
        <v>100</v>
      </c>
      <c r="AH106" s="135"/>
      <c r="AI106" s="135"/>
      <c r="AJ106" s="135"/>
      <c r="AK106" s="135">
        <v>0</v>
      </c>
      <c r="AL106" s="135">
        <v>21009</v>
      </c>
      <c r="AM106" s="135">
        <v>1000</v>
      </c>
      <c r="AN106" s="135"/>
      <c r="AO106" s="130" t="s">
        <v>422</v>
      </c>
      <c r="AP106" s="174">
        <v>1</v>
      </c>
      <c r="AQ106" s="130" t="s">
        <v>422</v>
      </c>
      <c r="AR106" s="174">
        <v>1</v>
      </c>
      <c r="AS106" s="130" t="s">
        <v>422</v>
      </c>
      <c r="AT106" s="174">
        <v>1</v>
      </c>
      <c r="AU106" s="130" t="s">
        <v>4587</v>
      </c>
      <c r="AV106" s="130"/>
      <c r="AW106" s="104" t="s">
        <v>248</v>
      </c>
      <c r="AX106" s="130" t="s">
        <v>249</v>
      </c>
      <c r="AY106" s="130"/>
      <c r="AZ106" s="130"/>
      <c r="BA106" s="130"/>
      <c r="BB106" s="179"/>
      <c r="BC106" s="179"/>
      <c r="BD106" s="104"/>
      <c r="BE106" s="130" t="s">
        <v>335</v>
      </c>
      <c r="BF106" s="138">
        <v>11711</v>
      </c>
      <c r="BG106" s="130"/>
      <c r="BH106" s="185" t="s">
        <v>413</v>
      </c>
      <c r="BI106" s="130" t="s">
        <v>363</v>
      </c>
      <c r="BJ106" s="130" t="s">
        <v>252</v>
      </c>
      <c r="BK106" s="130" t="s">
        <v>253</v>
      </c>
      <c r="BL106" s="135"/>
      <c r="BM106" s="135"/>
      <c r="BN106" s="135"/>
      <c r="BO106" s="163">
        <v>100</v>
      </c>
      <c r="BP106" s="163">
        <v>200</v>
      </c>
      <c r="BQ106" s="130" t="s">
        <v>241</v>
      </c>
      <c r="BR106" s="135">
        <v>3</v>
      </c>
      <c r="BS106" s="135"/>
      <c r="BT106" s="163">
        <v>50</v>
      </c>
      <c r="BU106" s="163">
        <v>40</v>
      </c>
      <c r="BV106" s="130"/>
      <c r="BW106" s="104"/>
      <c r="BX106" s="135"/>
      <c r="BY106" s="135"/>
      <c r="BZ106" s="135">
        <v>3</v>
      </c>
      <c r="CA106" s="135">
        <v>3</v>
      </c>
      <c r="CB106" s="135">
        <v>3</v>
      </c>
      <c r="CC106" s="135">
        <v>4</v>
      </c>
      <c r="CD106" s="135">
        <v>4</v>
      </c>
      <c r="CE106" s="135">
        <v>5</v>
      </c>
      <c r="CF106" s="135">
        <v>3</v>
      </c>
      <c r="CG106" s="135">
        <v>4</v>
      </c>
      <c r="CH106" s="163"/>
      <c r="CI106" s="130"/>
      <c r="CJ106" s="135"/>
      <c r="CK106" s="135"/>
      <c r="CL106" s="130"/>
      <c r="CM106" s="248">
        <v>1210003</v>
      </c>
      <c r="CN106" s="193"/>
      <c r="CO106" s="193"/>
      <c r="CP106" s="248">
        <v>1210003</v>
      </c>
      <c r="CQ106" s="193"/>
      <c r="CR106" s="193"/>
    </row>
    <row r="107" spans="1:96" ht="15.75" customHeight="1" x14ac:dyDescent="0.35">
      <c r="A107" s="292"/>
      <c r="B107" s="90" t="s">
        <v>423</v>
      </c>
      <c r="C107" s="75" t="s">
        <v>4607</v>
      </c>
      <c r="D107" s="138">
        <v>11802</v>
      </c>
      <c r="E107" s="135">
        <v>70124</v>
      </c>
      <c r="F107" s="135"/>
      <c r="G107" s="139">
        <v>302</v>
      </c>
      <c r="H107" s="135">
        <v>0</v>
      </c>
      <c r="I107" s="135"/>
      <c r="J107" s="135"/>
      <c r="K107" s="135">
        <v>3</v>
      </c>
      <c r="L107" s="139">
        <v>1</v>
      </c>
      <c r="M107" s="138">
        <v>10817</v>
      </c>
      <c r="N107" s="139"/>
      <c r="O107" s="154">
        <v>5</v>
      </c>
      <c r="P107" s="135">
        <v>0</v>
      </c>
      <c r="Q107" s="135">
        <v>3</v>
      </c>
      <c r="R107" s="135"/>
      <c r="S107" s="163">
        <v>1</v>
      </c>
      <c r="T107" s="163">
        <v>1</v>
      </c>
      <c r="U107" s="163">
        <v>1</v>
      </c>
      <c r="V107" s="135"/>
      <c r="W107" s="135"/>
      <c r="X107" s="163"/>
      <c r="Y107" s="135">
        <v>1318</v>
      </c>
      <c r="Z107" s="135">
        <v>1000</v>
      </c>
      <c r="AA107" s="135">
        <v>400</v>
      </c>
      <c r="AB107" s="135">
        <v>3</v>
      </c>
      <c r="AC107" s="135">
        <v>1</v>
      </c>
      <c r="AD107" s="135"/>
      <c r="AE107" s="135">
        <v>4</v>
      </c>
      <c r="AF107" s="163">
        <v>1</v>
      </c>
      <c r="AG107" s="169">
        <v>100</v>
      </c>
      <c r="AH107" s="135"/>
      <c r="AI107" s="135"/>
      <c r="AJ107" s="135"/>
      <c r="AK107" s="135">
        <v>0</v>
      </c>
      <c r="AL107" s="135">
        <v>8002</v>
      </c>
      <c r="AM107" s="135">
        <v>1000</v>
      </c>
      <c r="AN107" s="135"/>
      <c r="AO107" s="130" t="s">
        <v>424</v>
      </c>
      <c r="AP107" s="174" t="s">
        <v>340</v>
      </c>
      <c r="AQ107" s="130" t="s">
        <v>424</v>
      </c>
      <c r="AR107" s="174" t="s">
        <v>340</v>
      </c>
      <c r="AS107" s="130" t="s">
        <v>424</v>
      </c>
      <c r="AT107" s="174" t="s">
        <v>340</v>
      </c>
      <c r="AU107" s="130" t="s">
        <v>4584</v>
      </c>
      <c r="AV107" s="130"/>
      <c r="AW107" s="104" t="s">
        <v>425</v>
      </c>
      <c r="AX107" s="130" t="s">
        <v>249</v>
      </c>
      <c r="AY107" s="130"/>
      <c r="AZ107" s="130"/>
      <c r="BA107" s="130"/>
      <c r="BB107" s="179"/>
      <c r="BC107" s="179"/>
      <c r="BD107" s="104"/>
      <c r="BE107" s="130" t="s">
        <v>335</v>
      </c>
      <c r="BF107" s="138">
        <v>11721</v>
      </c>
      <c r="BG107" s="130"/>
      <c r="BH107" s="185" t="s">
        <v>413</v>
      </c>
      <c r="BI107" s="130" t="s">
        <v>293</v>
      </c>
      <c r="BJ107" s="130" t="s">
        <v>336</v>
      </c>
      <c r="BK107" s="130" t="s">
        <v>253</v>
      </c>
      <c r="BL107" s="135"/>
      <c r="BM107" s="135"/>
      <c r="BN107" s="135"/>
      <c r="BO107" s="163">
        <v>100</v>
      </c>
      <c r="BP107" s="163">
        <v>200</v>
      </c>
      <c r="BQ107" s="130" t="s">
        <v>241</v>
      </c>
      <c r="BR107" s="135">
        <v>3</v>
      </c>
      <c r="BS107" s="135"/>
      <c r="BT107" s="163">
        <v>50</v>
      </c>
      <c r="BU107" s="163">
        <v>50</v>
      </c>
      <c r="BV107" s="130"/>
      <c r="BW107" s="104"/>
      <c r="BX107" s="135"/>
      <c r="BY107" s="135"/>
      <c r="BZ107" s="135">
        <v>2</v>
      </c>
      <c r="CA107" s="135">
        <v>3</v>
      </c>
      <c r="CB107" s="135">
        <v>3</v>
      </c>
      <c r="CC107" s="135">
        <v>4</v>
      </c>
      <c r="CD107" s="135">
        <v>4</v>
      </c>
      <c r="CE107" s="135">
        <v>5</v>
      </c>
      <c r="CF107" s="135">
        <v>3</v>
      </c>
      <c r="CG107" s="135">
        <v>4</v>
      </c>
      <c r="CH107" s="163"/>
      <c r="CI107" s="130"/>
      <c r="CJ107" s="135"/>
      <c r="CK107" s="135"/>
      <c r="CL107" s="130"/>
      <c r="CM107" s="248">
        <v>1210004</v>
      </c>
      <c r="CN107" s="193"/>
      <c r="CO107" s="193"/>
      <c r="CP107" s="248">
        <v>1210004</v>
      </c>
      <c r="CQ107" s="193"/>
      <c r="CR107" s="193"/>
    </row>
    <row r="108" spans="1:96" ht="15.75" customHeight="1" x14ac:dyDescent="0.35">
      <c r="A108" s="292"/>
      <c r="B108" s="90" t="s">
        <v>426</v>
      </c>
      <c r="C108" s="75" t="s">
        <v>4607</v>
      </c>
      <c r="D108" s="138">
        <v>11803</v>
      </c>
      <c r="E108" s="135">
        <v>70125</v>
      </c>
      <c r="F108" s="135"/>
      <c r="G108" s="139">
        <v>302</v>
      </c>
      <c r="H108" s="135">
        <v>0</v>
      </c>
      <c r="I108" s="135"/>
      <c r="J108" s="135"/>
      <c r="K108" s="135">
        <v>3</v>
      </c>
      <c r="L108" s="139">
        <v>1</v>
      </c>
      <c r="M108" s="138">
        <v>10818</v>
      </c>
      <c r="N108" s="139"/>
      <c r="O108" s="154">
        <v>5</v>
      </c>
      <c r="P108" s="135">
        <v>1</v>
      </c>
      <c r="Q108" s="135">
        <v>3</v>
      </c>
      <c r="R108" s="135"/>
      <c r="S108" s="163">
        <v>1</v>
      </c>
      <c r="T108" s="163">
        <v>1</v>
      </c>
      <c r="U108" s="163">
        <v>1</v>
      </c>
      <c r="V108" s="135"/>
      <c r="W108" s="135"/>
      <c r="X108" s="163"/>
      <c r="Y108" s="135">
        <v>1309</v>
      </c>
      <c r="Z108" s="135">
        <v>1000</v>
      </c>
      <c r="AA108" s="135">
        <v>400</v>
      </c>
      <c r="AB108" s="135">
        <v>3</v>
      </c>
      <c r="AC108" s="135">
        <v>1</v>
      </c>
      <c r="AD108" s="135"/>
      <c r="AE108" s="135">
        <v>4</v>
      </c>
      <c r="AF108" s="163">
        <v>1</v>
      </c>
      <c r="AG108" s="169">
        <v>100</v>
      </c>
      <c r="AH108" s="135"/>
      <c r="AI108" s="135"/>
      <c r="AJ108" s="135"/>
      <c r="AK108" s="135">
        <v>0</v>
      </c>
      <c r="AL108" s="135">
        <v>8002</v>
      </c>
      <c r="AM108" s="135">
        <v>1000</v>
      </c>
      <c r="AN108" s="135"/>
      <c r="AO108" s="130" t="s">
        <v>427</v>
      </c>
      <c r="AP108" s="174" t="s">
        <v>329</v>
      </c>
      <c r="AQ108" s="130" t="s">
        <v>427</v>
      </c>
      <c r="AR108" s="174" t="s">
        <v>329</v>
      </c>
      <c r="AS108" s="130" t="s">
        <v>427</v>
      </c>
      <c r="AT108" s="174" t="s">
        <v>329</v>
      </c>
      <c r="AU108" s="130" t="s">
        <v>4588</v>
      </c>
      <c r="AV108" s="130"/>
      <c r="AW108" s="104" t="s">
        <v>248</v>
      </c>
      <c r="AX108" s="130" t="s">
        <v>249</v>
      </c>
      <c r="AY108" s="130"/>
      <c r="AZ108" s="130"/>
      <c r="BA108" s="130"/>
      <c r="BB108" s="179"/>
      <c r="BC108" s="179"/>
      <c r="BD108" s="104"/>
      <c r="BE108" s="130" t="s">
        <v>335</v>
      </c>
      <c r="BF108" s="138">
        <v>11731</v>
      </c>
      <c r="BG108" s="130"/>
      <c r="BH108" s="185" t="s">
        <v>413</v>
      </c>
      <c r="BI108" s="130" t="s">
        <v>251</v>
      </c>
      <c r="BJ108" s="130" t="s">
        <v>252</v>
      </c>
      <c r="BK108" s="130" t="s">
        <v>253</v>
      </c>
      <c r="BL108" s="135"/>
      <c r="BM108" s="135"/>
      <c r="BN108" s="135"/>
      <c r="BO108" s="163">
        <v>100</v>
      </c>
      <c r="BP108" s="163">
        <v>200</v>
      </c>
      <c r="BQ108" s="130" t="s">
        <v>241</v>
      </c>
      <c r="BR108" s="135">
        <v>3</v>
      </c>
      <c r="BS108" s="135"/>
      <c r="BT108" s="163">
        <v>50</v>
      </c>
      <c r="BU108" s="163">
        <v>50</v>
      </c>
      <c r="BV108" s="130"/>
      <c r="BW108" s="104"/>
      <c r="BX108" s="135"/>
      <c r="BY108" s="135"/>
      <c r="BZ108" s="135">
        <v>1</v>
      </c>
      <c r="CA108" s="135">
        <v>1</v>
      </c>
      <c r="CB108" s="135">
        <v>1</v>
      </c>
      <c r="CC108" s="135">
        <v>2</v>
      </c>
      <c r="CD108" s="135">
        <v>2</v>
      </c>
      <c r="CE108" s="135">
        <v>3</v>
      </c>
      <c r="CF108" s="135">
        <v>1</v>
      </c>
      <c r="CG108" s="135">
        <v>2</v>
      </c>
      <c r="CH108" s="163"/>
      <c r="CI108" s="130"/>
      <c r="CJ108" s="135"/>
      <c r="CK108" s="135"/>
      <c r="CL108" s="130"/>
      <c r="CM108" s="248">
        <v>1210005</v>
      </c>
      <c r="CN108" s="193"/>
      <c r="CO108" s="193"/>
      <c r="CP108" s="248">
        <v>1210005</v>
      </c>
      <c r="CQ108" s="193"/>
      <c r="CR108" s="193"/>
    </row>
    <row r="109" spans="1:96" ht="15.75" customHeight="1" x14ac:dyDescent="0.35">
      <c r="A109" s="292"/>
      <c r="B109" s="144" t="s">
        <v>428</v>
      </c>
      <c r="D109" s="138">
        <v>11901</v>
      </c>
      <c r="E109" s="135">
        <v>70123</v>
      </c>
      <c r="F109" s="135"/>
      <c r="G109" s="139"/>
      <c r="H109" s="135"/>
      <c r="I109" s="135"/>
      <c r="J109" s="135"/>
      <c r="K109" s="135">
        <v>2</v>
      </c>
      <c r="L109" s="139"/>
      <c r="M109" s="138"/>
      <c r="N109" s="139"/>
      <c r="O109" s="154">
        <v>1</v>
      </c>
      <c r="P109" s="135">
        <v>1</v>
      </c>
      <c r="Q109" s="135">
        <v>2</v>
      </c>
      <c r="R109" s="135"/>
      <c r="S109" s="163">
        <v>1</v>
      </c>
      <c r="T109" s="163">
        <v>1</v>
      </c>
      <c r="U109" s="163">
        <v>1</v>
      </c>
      <c r="V109" s="135"/>
      <c r="W109" s="135"/>
      <c r="X109" s="163"/>
      <c r="Y109" s="135">
        <v>1701</v>
      </c>
      <c r="Z109" s="135">
        <v>1000</v>
      </c>
      <c r="AA109" s="135">
        <v>300</v>
      </c>
      <c r="AB109" s="135">
        <v>3</v>
      </c>
      <c r="AC109" s="135"/>
      <c r="AD109" s="135"/>
      <c r="AE109" s="135">
        <v>4</v>
      </c>
      <c r="AF109" s="163">
        <v>1</v>
      </c>
      <c r="AG109" s="169">
        <v>100</v>
      </c>
      <c r="AH109" s="135"/>
      <c r="AI109" s="135"/>
      <c r="AJ109" s="135"/>
      <c r="AK109" s="135">
        <v>0</v>
      </c>
      <c r="AL109" s="135">
        <v>21009</v>
      </c>
      <c r="AM109" s="135">
        <v>1000</v>
      </c>
      <c r="AN109" s="135"/>
      <c r="AO109" s="130" t="s">
        <v>422</v>
      </c>
      <c r="AP109" s="174">
        <v>1</v>
      </c>
      <c r="AQ109" s="130" t="s">
        <v>422</v>
      </c>
      <c r="AR109" s="174">
        <v>1</v>
      </c>
      <c r="AS109" s="130" t="s">
        <v>422</v>
      </c>
      <c r="AT109" s="174">
        <v>1</v>
      </c>
      <c r="AU109" s="130" t="s">
        <v>4587</v>
      </c>
      <c r="AV109" s="130"/>
      <c r="AW109" s="104" t="s">
        <v>248</v>
      </c>
      <c r="AX109" s="130" t="s">
        <v>249</v>
      </c>
      <c r="AY109" s="130"/>
      <c r="AZ109" s="130"/>
      <c r="BA109" s="130"/>
      <c r="BB109" s="179"/>
      <c r="BC109" s="179"/>
      <c r="BD109" s="104"/>
      <c r="BE109" s="130" t="s">
        <v>335</v>
      </c>
      <c r="BF109" s="138">
        <v>11711</v>
      </c>
      <c r="BG109" s="130"/>
      <c r="BH109" s="185" t="s">
        <v>413</v>
      </c>
      <c r="BI109" s="130" t="s">
        <v>363</v>
      </c>
      <c r="BJ109" s="130" t="s">
        <v>252</v>
      </c>
      <c r="BK109" s="130" t="s">
        <v>253</v>
      </c>
      <c r="BL109" s="135"/>
      <c r="BM109" s="135"/>
      <c r="BN109" s="135"/>
      <c r="BO109" s="163">
        <v>100</v>
      </c>
      <c r="BP109" s="163">
        <v>200</v>
      </c>
      <c r="BQ109" s="130" t="s">
        <v>241</v>
      </c>
      <c r="BR109" s="135">
        <v>3</v>
      </c>
      <c r="BS109" s="135"/>
      <c r="BT109" s="163">
        <v>50</v>
      </c>
      <c r="BU109" s="163">
        <v>40</v>
      </c>
      <c r="BV109" s="130"/>
      <c r="BW109" s="104"/>
      <c r="BX109" s="135"/>
      <c r="BY109" s="135"/>
      <c r="BZ109" s="135">
        <v>3</v>
      </c>
      <c r="CA109" s="135">
        <v>3</v>
      </c>
      <c r="CB109" s="135">
        <v>3</v>
      </c>
      <c r="CC109" s="135">
        <v>4</v>
      </c>
      <c r="CD109" s="135">
        <v>4</v>
      </c>
      <c r="CE109" s="135">
        <v>5</v>
      </c>
      <c r="CF109" s="135">
        <v>3</v>
      </c>
      <c r="CG109" s="135">
        <v>4</v>
      </c>
      <c r="CH109" s="163"/>
      <c r="CI109" s="130"/>
      <c r="CJ109" s="135"/>
      <c r="CK109" s="135"/>
      <c r="CL109" s="130"/>
      <c r="CM109" s="193">
        <v>100022</v>
      </c>
      <c r="CN109" s="193"/>
      <c r="CO109" s="193"/>
      <c r="CP109" s="193">
        <v>100022</v>
      </c>
      <c r="CQ109" s="193"/>
      <c r="CR109" s="193"/>
    </row>
    <row r="110" spans="1:96" ht="15.75" customHeight="1" x14ac:dyDescent="0.35">
      <c r="A110" s="292"/>
      <c r="B110" s="144" t="s">
        <v>429</v>
      </c>
      <c r="D110" s="138">
        <v>11911</v>
      </c>
      <c r="E110" s="135">
        <v>70123</v>
      </c>
      <c r="F110" s="135"/>
      <c r="G110" s="139"/>
      <c r="H110" s="135"/>
      <c r="I110" s="135"/>
      <c r="J110" s="135"/>
      <c r="K110" s="135">
        <v>2</v>
      </c>
      <c r="L110" s="139"/>
      <c r="M110" s="138"/>
      <c r="N110" s="139"/>
      <c r="O110" s="154">
        <v>1</v>
      </c>
      <c r="P110" s="135">
        <v>1</v>
      </c>
      <c r="Q110" s="135">
        <v>2</v>
      </c>
      <c r="R110" s="135"/>
      <c r="S110" s="163">
        <v>1</v>
      </c>
      <c r="T110" s="163">
        <v>1</v>
      </c>
      <c r="U110" s="163">
        <v>1</v>
      </c>
      <c r="V110" s="135"/>
      <c r="W110" s="135"/>
      <c r="X110" s="163"/>
      <c r="Y110" s="135">
        <v>1701</v>
      </c>
      <c r="Z110" s="135">
        <v>1000</v>
      </c>
      <c r="AA110" s="135">
        <v>300</v>
      </c>
      <c r="AB110" s="135">
        <v>3</v>
      </c>
      <c r="AC110" s="135"/>
      <c r="AD110" s="135"/>
      <c r="AE110" s="135">
        <v>4</v>
      </c>
      <c r="AF110" s="163">
        <v>1</v>
      </c>
      <c r="AG110" s="169">
        <v>100</v>
      </c>
      <c r="AH110" s="135"/>
      <c r="AI110" s="135"/>
      <c r="AJ110" s="135"/>
      <c r="AK110" s="135">
        <v>0</v>
      </c>
      <c r="AL110" s="135">
        <v>21009</v>
      </c>
      <c r="AM110" s="135">
        <v>1000</v>
      </c>
      <c r="AN110" s="135"/>
      <c r="AO110" s="130" t="s">
        <v>422</v>
      </c>
      <c r="AP110" s="174">
        <v>1</v>
      </c>
      <c r="AQ110" s="130" t="s">
        <v>422</v>
      </c>
      <c r="AR110" s="174">
        <v>1</v>
      </c>
      <c r="AS110" s="130" t="s">
        <v>422</v>
      </c>
      <c r="AT110" s="174">
        <v>1</v>
      </c>
      <c r="AU110" s="130" t="s">
        <v>4587</v>
      </c>
      <c r="AV110" s="130"/>
      <c r="AW110" s="104" t="s">
        <v>248</v>
      </c>
      <c r="AX110" s="130" t="s">
        <v>249</v>
      </c>
      <c r="AY110" s="130"/>
      <c r="AZ110" s="130"/>
      <c r="BA110" s="130"/>
      <c r="BB110" s="179"/>
      <c r="BC110" s="179"/>
      <c r="BD110" s="104"/>
      <c r="BE110" s="130" t="s">
        <v>335</v>
      </c>
      <c r="BF110" s="138">
        <v>11711</v>
      </c>
      <c r="BG110" s="130"/>
      <c r="BH110" s="185" t="s">
        <v>413</v>
      </c>
      <c r="BI110" s="130" t="s">
        <v>363</v>
      </c>
      <c r="BJ110" s="130" t="s">
        <v>252</v>
      </c>
      <c r="BK110" s="130" t="s">
        <v>253</v>
      </c>
      <c r="BL110" s="135"/>
      <c r="BM110" s="135"/>
      <c r="BN110" s="135"/>
      <c r="BO110" s="163">
        <v>100</v>
      </c>
      <c r="BP110" s="163">
        <v>200</v>
      </c>
      <c r="BQ110" s="130" t="s">
        <v>241</v>
      </c>
      <c r="BR110" s="135">
        <v>3</v>
      </c>
      <c r="BS110" s="135"/>
      <c r="BT110" s="163">
        <v>50</v>
      </c>
      <c r="BU110" s="163">
        <v>40</v>
      </c>
      <c r="BV110" s="130"/>
      <c r="BW110" s="104"/>
      <c r="BX110" s="135"/>
      <c r="BY110" s="135"/>
      <c r="BZ110" s="135">
        <v>3</v>
      </c>
      <c r="CA110" s="135">
        <v>3</v>
      </c>
      <c r="CB110" s="135">
        <v>3</v>
      </c>
      <c r="CC110" s="135">
        <v>4</v>
      </c>
      <c r="CD110" s="135">
        <v>4</v>
      </c>
      <c r="CE110" s="135">
        <v>5</v>
      </c>
      <c r="CF110" s="135">
        <v>3</v>
      </c>
      <c r="CG110" s="135">
        <v>4</v>
      </c>
      <c r="CH110" s="163"/>
      <c r="CI110" s="130"/>
      <c r="CJ110" s="135"/>
      <c r="CK110" s="135"/>
      <c r="CL110" s="130"/>
      <c r="CM110" s="193">
        <v>100022</v>
      </c>
      <c r="CN110" s="193"/>
      <c r="CO110" s="193"/>
      <c r="CP110" s="193">
        <v>100022</v>
      </c>
      <c r="CQ110" s="193"/>
      <c r="CR110" s="193"/>
    </row>
    <row r="111" spans="1:96" ht="15.75" customHeight="1" x14ac:dyDescent="0.35">
      <c r="A111" s="293"/>
      <c r="B111" s="144" t="s">
        <v>430</v>
      </c>
      <c r="D111" s="138">
        <v>11921</v>
      </c>
      <c r="E111" s="135">
        <v>70032</v>
      </c>
      <c r="F111" s="135"/>
      <c r="G111" s="139"/>
      <c r="H111" s="135"/>
      <c r="I111" s="135"/>
      <c r="J111" s="135"/>
      <c r="K111" s="135">
        <v>2</v>
      </c>
      <c r="L111" s="135"/>
      <c r="M111" s="139"/>
      <c r="N111" s="139"/>
      <c r="O111" s="154">
        <v>1</v>
      </c>
      <c r="P111" s="135">
        <v>1</v>
      </c>
      <c r="Q111" s="135">
        <v>1</v>
      </c>
      <c r="R111" s="135"/>
      <c r="S111" s="163">
        <v>1</v>
      </c>
      <c r="T111" s="163">
        <v>1</v>
      </c>
      <c r="U111" s="163">
        <v>1</v>
      </c>
      <c r="V111" s="135"/>
      <c r="W111" s="135"/>
      <c r="X111" s="163"/>
      <c r="Y111" s="135">
        <v>1020</v>
      </c>
      <c r="Z111" s="135">
        <v>1300</v>
      </c>
      <c r="AA111" s="135">
        <v>300</v>
      </c>
      <c r="AB111" s="135">
        <v>2</v>
      </c>
      <c r="AC111" s="135"/>
      <c r="AD111" s="135"/>
      <c r="AE111" s="135">
        <v>4</v>
      </c>
      <c r="AF111" s="163">
        <v>1</v>
      </c>
      <c r="AG111" s="169">
        <v>100</v>
      </c>
      <c r="AH111" s="135"/>
      <c r="AI111" s="135"/>
      <c r="AJ111" s="135"/>
      <c r="AK111" s="135">
        <v>0</v>
      </c>
      <c r="AL111" s="135">
        <v>21005</v>
      </c>
      <c r="AM111" s="135">
        <v>1000</v>
      </c>
      <c r="AN111" s="135"/>
      <c r="AO111" s="130" t="s">
        <v>327</v>
      </c>
      <c r="AP111" s="130" t="s">
        <v>272</v>
      </c>
      <c r="AQ111" s="130" t="s">
        <v>328</v>
      </c>
      <c r="AR111" s="130" t="s">
        <v>329</v>
      </c>
      <c r="AS111" s="130" t="s">
        <v>328</v>
      </c>
      <c r="AT111" s="130" t="s">
        <v>329</v>
      </c>
      <c r="AU111" s="130" t="s">
        <v>4584</v>
      </c>
      <c r="AV111" s="130" t="s">
        <v>266</v>
      </c>
      <c r="AW111" s="104" t="s">
        <v>248</v>
      </c>
      <c r="AX111" s="130" t="s">
        <v>249</v>
      </c>
      <c r="AY111" s="130"/>
      <c r="AZ111" s="130"/>
      <c r="BA111" s="130"/>
      <c r="BB111" s="179"/>
      <c r="BC111" s="179"/>
      <c r="BD111" s="104"/>
      <c r="BE111" s="130"/>
      <c r="BF111" s="138">
        <v>10611</v>
      </c>
      <c r="BG111" s="130"/>
      <c r="BH111" s="185" t="s">
        <v>324</v>
      </c>
      <c r="BI111" s="130" t="s">
        <v>280</v>
      </c>
      <c r="BJ111" s="130" t="s">
        <v>297</v>
      </c>
      <c r="BK111" s="130" t="s">
        <v>253</v>
      </c>
      <c r="BL111" s="135"/>
      <c r="BM111" s="135"/>
      <c r="BN111" s="135"/>
      <c r="BO111" s="163">
        <v>100</v>
      </c>
      <c r="BP111" s="163">
        <v>200</v>
      </c>
      <c r="BQ111" s="130" t="s">
        <v>241</v>
      </c>
      <c r="BR111" s="135">
        <v>2</v>
      </c>
      <c r="BS111" s="135"/>
      <c r="BT111" s="163">
        <v>50</v>
      </c>
      <c r="BU111" s="163">
        <v>40</v>
      </c>
      <c r="BV111" s="130"/>
      <c r="BW111" s="104"/>
      <c r="BX111" s="135"/>
      <c r="BY111" s="135"/>
      <c r="BZ111" s="135">
        <v>1</v>
      </c>
      <c r="CA111" s="135">
        <v>1</v>
      </c>
      <c r="CB111" s="135">
        <v>1</v>
      </c>
      <c r="CC111" s="135">
        <v>1</v>
      </c>
      <c r="CD111" s="135">
        <v>1</v>
      </c>
      <c r="CE111" s="135">
        <v>1</v>
      </c>
      <c r="CF111" s="135">
        <v>1</v>
      </c>
      <c r="CG111" s="135">
        <v>1</v>
      </c>
      <c r="CH111" s="163"/>
      <c r="CI111" s="130"/>
      <c r="CJ111" s="135"/>
      <c r="CK111" s="135"/>
      <c r="CL111" s="130"/>
      <c r="CM111" s="193">
        <v>100022</v>
      </c>
      <c r="CN111" s="193"/>
      <c r="CO111" s="193"/>
      <c r="CP111" s="193">
        <v>100022</v>
      </c>
      <c r="CQ111" s="193"/>
      <c r="CR111" s="193"/>
    </row>
    <row r="112" spans="1:96" ht="15.75" customHeight="1" x14ac:dyDescent="0.35">
      <c r="A112" s="295" t="s">
        <v>431</v>
      </c>
      <c r="B112" s="80" t="s">
        <v>432</v>
      </c>
      <c r="C112" s="75" t="s">
        <v>375</v>
      </c>
      <c r="D112" s="138">
        <v>12101</v>
      </c>
      <c r="E112" s="135">
        <v>70201</v>
      </c>
      <c r="F112" s="135"/>
      <c r="G112" s="139"/>
      <c r="H112" s="135"/>
      <c r="I112" s="135"/>
      <c r="J112" s="135"/>
      <c r="K112" s="135">
        <v>1</v>
      </c>
      <c r="L112" s="139"/>
      <c r="M112" s="139"/>
      <c r="N112" s="139"/>
      <c r="O112" s="154"/>
      <c r="P112" s="135">
        <v>1</v>
      </c>
      <c r="Q112" s="135">
        <v>2</v>
      </c>
      <c r="R112" s="135"/>
      <c r="S112" s="163">
        <v>1</v>
      </c>
      <c r="T112" s="163">
        <v>1</v>
      </c>
      <c r="U112" s="163">
        <v>1</v>
      </c>
      <c r="V112" s="135"/>
      <c r="W112" s="135"/>
      <c r="X112" s="163"/>
      <c r="Y112" s="135">
        <v>1502</v>
      </c>
      <c r="Z112" s="135">
        <v>1000</v>
      </c>
      <c r="AA112" s="135">
        <v>200</v>
      </c>
      <c r="AB112" s="135"/>
      <c r="AC112" s="135"/>
      <c r="AD112" s="135"/>
      <c r="AE112" s="135"/>
      <c r="AF112" s="163">
        <v>1</v>
      </c>
      <c r="AG112" s="169">
        <v>100</v>
      </c>
      <c r="AH112" s="135"/>
      <c r="AI112" s="135"/>
      <c r="AJ112" s="135"/>
      <c r="AK112" s="135">
        <v>0</v>
      </c>
      <c r="AL112" s="135">
        <v>21002</v>
      </c>
      <c r="AM112" s="135">
        <v>1000</v>
      </c>
      <c r="AN112" s="135"/>
      <c r="AO112" s="130" t="s">
        <v>265</v>
      </c>
      <c r="AP112" s="174">
        <v>1</v>
      </c>
      <c r="AQ112" s="130" t="s">
        <v>265</v>
      </c>
      <c r="AR112" s="174">
        <v>1</v>
      </c>
      <c r="AS112" s="130" t="s">
        <v>265</v>
      </c>
      <c r="AT112" s="174">
        <v>1</v>
      </c>
      <c r="AU112" s="130" t="s">
        <v>4474</v>
      </c>
      <c r="AV112" s="130"/>
      <c r="AW112" s="104" t="s">
        <v>248</v>
      </c>
      <c r="AX112" s="130" t="s">
        <v>249</v>
      </c>
      <c r="AY112" s="130"/>
      <c r="AZ112" s="130"/>
      <c r="BA112" s="130"/>
      <c r="BB112" s="179"/>
      <c r="BC112" s="179"/>
      <c r="BD112" s="104"/>
      <c r="BE112" s="130"/>
      <c r="BF112" s="138">
        <v>12101</v>
      </c>
      <c r="BG112" s="130"/>
      <c r="BH112" s="185" t="s">
        <v>434</v>
      </c>
      <c r="BI112" s="130" t="s">
        <v>268</v>
      </c>
      <c r="BJ112" s="130" t="s">
        <v>269</v>
      </c>
      <c r="BK112" s="130" t="s">
        <v>253</v>
      </c>
      <c r="BL112" s="135"/>
      <c r="BM112" s="135"/>
      <c r="BN112" s="135"/>
      <c r="BO112" s="163">
        <v>100</v>
      </c>
      <c r="BP112" s="163">
        <v>200</v>
      </c>
      <c r="BQ112" s="130" t="s">
        <v>241</v>
      </c>
      <c r="BR112" s="135">
        <v>1</v>
      </c>
      <c r="BS112" s="135"/>
      <c r="BT112" s="163">
        <v>50</v>
      </c>
      <c r="BU112" s="163">
        <v>50</v>
      </c>
      <c r="BV112" s="130"/>
      <c r="BW112" s="104"/>
      <c r="BX112" s="135"/>
      <c r="BY112" s="135"/>
      <c r="BZ112" s="135">
        <v>4</v>
      </c>
      <c r="CA112" s="135">
        <v>6</v>
      </c>
      <c r="CB112" s="135">
        <v>6</v>
      </c>
      <c r="CC112" s="135">
        <v>6</v>
      </c>
      <c r="CD112" s="135">
        <v>7</v>
      </c>
      <c r="CE112" s="135">
        <v>8</v>
      </c>
      <c r="CF112" s="135">
        <v>6</v>
      </c>
      <c r="CG112" s="135">
        <v>6</v>
      </c>
      <c r="CH112" s="163">
        <v>2</v>
      </c>
      <c r="CI112" s="130" t="s">
        <v>4536</v>
      </c>
      <c r="CJ112" s="135"/>
      <c r="CK112" s="135"/>
      <c r="CL112" s="130"/>
      <c r="CM112" s="193">
        <v>112002</v>
      </c>
      <c r="CN112" s="193">
        <v>100057</v>
      </c>
      <c r="CO112" s="193"/>
      <c r="CP112" s="193">
        <v>112002</v>
      </c>
      <c r="CQ112" s="193"/>
      <c r="CR112" s="193"/>
    </row>
    <row r="113" spans="1:96" ht="15.75" customHeight="1" x14ac:dyDescent="0.35">
      <c r="A113" s="288"/>
      <c r="B113" s="80" t="s">
        <v>435</v>
      </c>
      <c r="C113" s="75" t="s">
        <v>379</v>
      </c>
      <c r="D113" s="138">
        <v>12111</v>
      </c>
      <c r="E113" s="135">
        <v>70202</v>
      </c>
      <c r="F113" s="135"/>
      <c r="G113" s="139"/>
      <c r="H113" s="135"/>
      <c r="I113" s="135"/>
      <c r="J113" s="135"/>
      <c r="K113" s="135">
        <v>1</v>
      </c>
      <c r="L113" s="139"/>
      <c r="M113" s="139"/>
      <c r="N113" s="139"/>
      <c r="O113" s="154"/>
      <c r="P113" s="135">
        <v>1</v>
      </c>
      <c r="Q113" s="135">
        <v>2</v>
      </c>
      <c r="R113" s="135"/>
      <c r="S113" s="163">
        <v>1</v>
      </c>
      <c r="T113" s="163">
        <v>1</v>
      </c>
      <c r="U113" s="163">
        <v>1</v>
      </c>
      <c r="V113" s="135"/>
      <c r="W113" s="135"/>
      <c r="X113" s="163"/>
      <c r="Y113" s="135">
        <v>1540</v>
      </c>
      <c r="Z113" s="135">
        <v>1300</v>
      </c>
      <c r="AA113" s="135">
        <v>300</v>
      </c>
      <c r="AB113" s="135"/>
      <c r="AC113" s="135"/>
      <c r="AD113" s="135"/>
      <c r="AE113" s="135"/>
      <c r="AF113" s="163">
        <v>1</v>
      </c>
      <c r="AG113" s="169">
        <v>100</v>
      </c>
      <c r="AH113" s="135"/>
      <c r="AI113" s="135"/>
      <c r="AJ113" s="135"/>
      <c r="AK113" s="135">
        <v>0</v>
      </c>
      <c r="AL113" s="135">
        <v>21002</v>
      </c>
      <c r="AM113" s="135">
        <v>1000</v>
      </c>
      <c r="AN113" s="135"/>
      <c r="AO113" s="130" t="s">
        <v>265</v>
      </c>
      <c r="AP113" s="174">
        <v>1</v>
      </c>
      <c r="AQ113" s="130" t="s">
        <v>265</v>
      </c>
      <c r="AR113" s="174">
        <v>1</v>
      </c>
      <c r="AS113" s="130" t="s">
        <v>265</v>
      </c>
      <c r="AT113" s="174">
        <v>1</v>
      </c>
      <c r="AU113" s="130" t="s">
        <v>433</v>
      </c>
      <c r="AV113" s="130"/>
      <c r="AW113" s="104" t="s">
        <v>248</v>
      </c>
      <c r="AX113" s="130" t="s">
        <v>249</v>
      </c>
      <c r="AY113" s="130"/>
      <c r="AZ113" s="130"/>
      <c r="BA113" s="130"/>
      <c r="BB113" s="179"/>
      <c r="BC113" s="179"/>
      <c r="BD113" s="104"/>
      <c r="BE113" s="130"/>
      <c r="BF113" s="138">
        <v>12111</v>
      </c>
      <c r="BG113" s="130"/>
      <c r="BH113" s="185" t="s">
        <v>434</v>
      </c>
      <c r="BI113" s="130" t="s">
        <v>268</v>
      </c>
      <c r="BJ113" s="130" t="s">
        <v>436</v>
      </c>
      <c r="BK113" s="130" t="s">
        <v>253</v>
      </c>
      <c r="BL113" s="135"/>
      <c r="BM113" s="135"/>
      <c r="BN113" s="135"/>
      <c r="BO113" s="163">
        <v>100</v>
      </c>
      <c r="BP113" s="163">
        <v>200</v>
      </c>
      <c r="BQ113" s="130" t="s">
        <v>241</v>
      </c>
      <c r="BR113" s="135">
        <v>1</v>
      </c>
      <c r="BS113" s="135"/>
      <c r="BT113" s="163">
        <v>50</v>
      </c>
      <c r="BU113" s="163">
        <v>50</v>
      </c>
      <c r="BV113" s="130"/>
      <c r="BW113" s="104"/>
      <c r="BX113" s="135"/>
      <c r="BY113" s="135"/>
      <c r="BZ113" s="135">
        <v>3</v>
      </c>
      <c r="CA113" s="135">
        <v>4</v>
      </c>
      <c r="CB113" s="135">
        <v>4</v>
      </c>
      <c r="CC113" s="135">
        <v>4</v>
      </c>
      <c r="CD113" s="135">
        <v>4</v>
      </c>
      <c r="CE113" s="135">
        <v>5</v>
      </c>
      <c r="CF113" s="135">
        <v>5</v>
      </c>
      <c r="CG113" s="135">
        <v>6</v>
      </c>
      <c r="CH113" s="163">
        <v>5</v>
      </c>
      <c r="CI113" s="130" t="s">
        <v>4536</v>
      </c>
      <c r="CJ113" s="135"/>
      <c r="CK113" s="135"/>
      <c r="CL113" s="130"/>
      <c r="CM113" s="193">
        <v>112002</v>
      </c>
      <c r="CN113" s="193">
        <v>100057</v>
      </c>
      <c r="CO113" s="193"/>
      <c r="CP113" s="193">
        <v>112002</v>
      </c>
      <c r="CQ113" s="193"/>
      <c r="CR113" s="193"/>
    </row>
    <row r="114" spans="1:96" ht="15.75" customHeight="1" x14ac:dyDescent="0.35">
      <c r="A114" s="288"/>
      <c r="B114" s="80" t="s">
        <v>437</v>
      </c>
      <c r="C114" s="75" t="s">
        <v>382</v>
      </c>
      <c r="D114" s="138">
        <v>12121</v>
      </c>
      <c r="E114" s="135">
        <v>70206</v>
      </c>
      <c r="F114" s="135"/>
      <c r="G114" s="139"/>
      <c r="H114" s="135"/>
      <c r="I114" s="135"/>
      <c r="J114" s="135"/>
      <c r="K114" s="135">
        <v>1</v>
      </c>
      <c r="L114" s="135"/>
      <c r="M114" s="139"/>
      <c r="N114" s="139"/>
      <c r="O114" s="154"/>
      <c r="P114" s="135">
        <v>3</v>
      </c>
      <c r="Q114" s="135">
        <v>3</v>
      </c>
      <c r="R114" s="135"/>
      <c r="S114" s="163">
        <v>1</v>
      </c>
      <c r="T114" s="163">
        <v>1</v>
      </c>
      <c r="U114" s="163">
        <v>1</v>
      </c>
      <c r="V114" s="135"/>
      <c r="W114" s="135"/>
      <c r="X114" s="163"/>
      <c r="Y114" s="135">
        <v>1202</v>
      </c>
      <c r="Z114" s="135">
        <v>1000</v>
      </c>
      <c r="AA114" s="135">
        <v>200</v>
      </c>
      <c r="AB114" s="135">
        <v>1</v>
      </c>
      <c r="AC114" s="135"/>
      <c r="AD114" s="135"/>
      <c r="AE114" s="135"/>
      <c r="AF114" s="163">
        <v>1</v>
      </c>
      <c r="AG114" s="169">
        <v>100</v>
      </c>
      <c r="AH114" s="135"/>
      <c r="AI114" s="135"/>
      <c r="AJ114" s="135"/>
      <c r="AK114" s="135">
        <v>0</v>
      </c>
      <c r="AL114" s="135">
        <v>21002</v>
      </c>
      <c r="AM114" s="135">
        <v>1000</v>
      </c>
      <c r="AN114" s="135"/>
      <c r="AO114" s="130" t="s">
        <v>265</v>
      </c>
      <c r="AP114" s="174">
        <v>1</v>
      </c>
      <c r="AQ114" s="130" t="s">
        <v>265</v>
      </c>
      <c r="AR114" s="174">
        <v>1</v>
      </c>
      <c r="AS114" s="130" t="s">
        <v>265</v>
      </c>
      <c r="AT114" s="174">
        <v>1</v>
      </c>
      <c r="AU114" s="130" t="s">
        <v>433</v>
      </c>
      <c r="AV114" s="130" t="s">
        <v>273</v>
      </c>
      <c r="AW114" s="104" t="s">
        <v>248</v>
      </c>
      <c r="AX114" s="130" t="s">
        <v>249</v>
      </c>
      <c r="AY114" s="130"/>
      <c r="AZ114" s="130"/>
      <c r="BA114" s="130"/>
      <c r="BB114" s="179"/>
      <c r="BC114" s="179"/>
      <c r="BD114" s="104"/>
      <c r="BE114" s="130"/>
      <c r="BF114" s="138">
        <v>12121</v>
      </c>
      <c r="BG114" s="130"/>
      <c r="BH114" s="185" t="s">
        <v>434</v>
      </c>
      <c r="BI114" s="130" t="s">
        <v>251</v>
      </c>
      <c r="BJ114" s="130" t="s">
        <v>275</v>
      </c>
      <c r="BK114" s="130" t="s">
        <v>253</v>
      </c>
      <c r="BL114" s="135"/>
      <c r="BM114" s="135"/>
      <c r="BN114" s="135"/>
      <c r="BO114" s="163">
        <v>100</v>
      </c>
      <c r="BP114" s="163">
        <v>200</v>
      </c>
      <c r="BQ114" s="130" t="s">
        <v>241</v>
      </c>
      <c r="BR114" s="135">
        <v>1</v>
      </c>
      <c r="BS114" s="135"/>
      <c r="BT114" s="163">
        <v>50</v>
      </c>
      <c r="BU114" s="163">
        <v>10</v>
      </c>
      <c r="BV114" s="130"/>
      <c r="BW114" s="104"/>
      <c r="BX114" s="135"/>
      <c r="BY114" s="135"/>
      <c r="BZ114" s="135">
        <v>2</v>
      </c>
      <c r="CA114" s="135">
        <v>2</v>
      </c>
      <c r="CB114" s="135">
        <v>3</v>
      </c>
      <c r="CC114" s="135">
        <v>3</v>
      </c>
      <c r="CD114" s="135">
        <v>4</v>
      </c>
      <c r="CE114" s="135">
        <v>4</v>
      </c>
      <c r="CF114" s="135">
        <v>3</v>
      </c>
      <c r="CG114" s="135">
        <v>3</v>
      </c>
      <c r="CH114" s="163">
        <v>13</v>
      </c>
      <c r="CI114" s="130" t="s">
        <v>4527</v>
      </c>
      <c r="CJ114" s="135"/>
      <c r="CK114" s="135"/>
      <c r="CL114" s="130"/>
      <c r="CM114" s="193">
        <v>112002</v>
      </c>
      <c r="CN114" s="193">
        <v>100057</v>
      </c>
      <c r="CO114" s="193"/>
      <c r="CP114" s="193">
        <v>112002</v>
      </c>
      <c r="CQ114" s="193"/>
      <c r="CR114" s="193"/>
    </row>
    <row r="115" spans="1:96" ht="15.75" customHeight="1" x14ac:dyDescent="0.35">
      <c r="A115" s="288"/>
      <c r="B115" s="80" t="s">
        <v>438</v>
      </c>
      <c r="C115" s="75" t="s">
        <v>384</v>
      </c>
      <c r="D115" s="138">
        <v>12131</v>
      </c>
      <c r="E115" s="135">
        <v>70204</v>
      </c>
      <c r="F115" s="135"/>
      <c r="G115" s="139"/>
      <c r="H115" s="135"/>
      <c r="I115" s="135"/>
      <c r="J115" s="135"/>
      <c r="K115" s="135">
        <v>1</v>
      </c>
      <c r="L115" s="139"/>
      <c r="M115" s="139"/>
      <c r="N115" s="139"/>
      <c r="O115" s="154"/>
      <c r="P115" s="135">
        <v>1</v>
      </c>
      <c r="Q115" s="135">
        <v>2</v>
      </c>
      <c r="R115" s="135"/>
      <c r="S115" s="163">
        <v>1</v>
      </c>
      <c r="T115" s="163">
        <v>1</v>
      </c>
      <c r="U115" s="163">
        <v>1</v>
      </c>
      <c r="V115" s="135"/>
      <c r="W115" s="135"/>
      <c r="X115" s="163"/>
      <c r="Y115" s="135">
        <v>1525</v>
      </c>
      <c r="Z115" s="135">
        <v>1000</v>
      </c>
      <c r="AA115" s="135">
        <v>200</v>
      </c>
      <c r="AB115" s="135"/>
      <c r="AC115" s="135"/>
      <c r="AD115" s="135"/>
      <c r="AE115" s="135"/>
      <c r="AF115" s="163">
        <v>1</v>
      </c>
      <c r="AG115" s="169">
        <v>100</v>
      </c>
      <c r="AH115" s="135"/>
      <c r="AI115" s="135"/>
      <c r="AJ115" s="135"/>
      <c r="AK115" s="135">
        <v>0</v>
      </c>
      <c r="AL115" s="135">
        <v>21002</v>
      </c>
      <c r="AM115" s="135">
        <v>1000</v>
      </c>
      <c r="AN115" s="135"/>
      <c r="AO115" s="130" t="s">
        <v>265</v>
      </c>
      <c r="AP115" s="174">
        <v>1</v>
      </c>
      <c r="AQ115" s="130" t="s">
        <v>265</v>
      </c>
      <c r="AR115" s="174">
        <v>1</v>
      </c>
      <c r="AS115" s="130" t="s">
        <v>265</v>
      </c>
      <c r="AT115" s="174">
        <v>1</v>
      </c>
      <c r="AU115" s="130" t="s">
        <v>433</v>
      </c>
      <c r="AV115" s="130"/>
      <c r="AW115" s="104" t="s">
        <v>248</v>
      </c>
      <c r="AX115" s="130" t="s">
        <v>249</v>
      </c>
      <c r="AY115" s="130"/>
      <c r="AZ115" s="130"/>
      <c r="BA115" s="130"/>
      <c r="BB115" s="179"/>
      <c r="BC115" s="179"/>
      <c r="BD115" s="104"/>
      <c r="BE115" s="130"/>
      <c r="BF115" s="138">
        <v>12131</v>
      </c>
      <c r="BG115" s="130"/>
      <c r="BH115" s="185" t="s">
        <v>434</v>
      </c>
      <c r="BI115" s="130" t="s">
        <v>268</v>
      </c>
      <c r="BJ115" s="130" t="s">
        <v>275</v>
      </c>
      <c r="BK115" s="130" t="s">
        <v>253</v>
      </c>
      <c r="BL115" s="135"/>
      <c r="BM115" s="135"/>
      <c r="BN115" s="135"/>
      <c r="BO115" s="163">
        <v>100</v>
      </c>
      <c r="BP115" s="163">
        <v>200</v>
      </c>
      <c r="BQ115" s="130" t="s">
        <v>241</v>
      </c>
      <c r="BR115" s="135">
        <v>1</v>
      </c>
      <c r="BS115" s="135"/>
      <c r="BT115" s="163">
        <v>50</v>
      </c>
      <c r="BU115" s="163">
        <v>50</v>
      </c>
      <c r="BV115" s="130"/>
      <c r="BW115" s="104"/>
      <c r="BX115" s="135"/>
      <c r="BY115" s="135"/>
      <c r="BZ115" s="135">
        <v>4</v>
      </c>
      <c r="CA115" s="135">
        <v>6</v>
      </c>
      <c r="CB115" s="135">
        <v>6</v>
      </c>
      <c r="CC115" s="135">
        <v>6</v>
      </c>
      <c r="CD115" s="135">
        <v>6</v>
      </c>
      <c r="CE115" s="135">
        <v>7</v>
      </c>
      <c r="CF115" s="135">
        <v>6</v>
      </c>
      <c r="CG115" s="135">
        <v>6</v>
      </c>
      <c r="CH115" s="163">
        <v>26</v>
      </c>
      <c r="CI115" s="130" t="s">
        <v>4520</v>
      </c>
      <c r="CJ115" s="135"/>
      <c r="CK115" s="135"/>
      <c r="CL115" s="130"/>
      <c r="CM115" s="193">
        <v>112002</v>
      </c>
      <c r="CN115" s="193">
        <v>100057</v>
      </c>
      <c r="CO115" s="193"/>
      <c r="CP115" s="193">
        <v>112002</v>
      </c>
      <c r="CQ115" s="193"/>
      <c r="CR115" s="193"/>
    </row>
    <row r="116" spans="1:96" ht="15.75" customHeight="1" x14ac:dyDescent="0.35">
      <c r="A116" s="288"/>
      <c r="B116" s="81" t="s">
        <v>439</v>
      </c>
      <c r="C116" s="75" t="s">
        <v>386</v>
      </c>
      <c r="D116" s="138">
        <v>12201</v>
      </c>
      <c r="E116" s="135">
        <v>70205</v>
      </c>
      <c r="F116" s="135"/>
      <c r="G116" s="139"/>
      <c r="H116" s="135"/>
      <c r="I116" s="135"/>
      <c r="J116" s="135"/>
      <c r="K116" s="135">
        <v>1</v>
      </c>
      <c r="L116" s="135"/>
      <c r="M116" s="139"/>
      <c r="N116" s="139"/>
      <c r="O116" s="154"/>
      <c r="P116" s="135">
        <v>1</v>
      </c>
      <c r="Q116" s="135">
        <v>3</v>
      </c>
      <c r="R116" s="135"/>
      <c r="S116" s="163">
        <v>1</v>
      </c>
      <c r="T116" s="163">
        <v>1</v>
      </c>
      <c r="U116" s="163">
        <v>1</v>
      </c>
      <c r="V116" s="135"/>
      <c r="W116" s="135"/>
      <c r="X116" s="163"/>
      <c r="Y116" s="135">
        <v>1027</v>
      </c>
      <c r="Z116" s="135">
        <v>1000</v>
      </c>
      <c r="AA116" s="135">
        <v>200</v>
      </c>
      <c r="AB116" s="135">
        <v>2</v>
      </c>
      <c r="AC116" s="135"/>
      <c r="AD116" s="135"/>
      <c r="AE116" s="135"/>
      <c r="AF116" s="163">
        <v>1</v>
      </c>
      <c r="AG116" s="169">
        <v>100</v>
      </c>
      <c r="AH116" s="135"/>
      <c r="AI116" s="135"/>
      <c r="AJ116" s="135"/>
      <c r="AK116" s="135">
        <v>0</v>
      </c>
      <c r="AL116" s="135">
        <v>21035</v>
      </c>
      <c r="AM116" s="135">
        <v>1000</v>
      </c>
      <c r="AN116" s="135"/>
      <c r="AO116" s="130" t="s">
        <v>440</v>
      </c>
      <c r="AP116" s="130" t="s">
        <v>272</v>
      </c>
      <c r="AQ116" s="130" t="s">
        <v>441</v>
      </c>
      <c r="AR116" s="130" t="s">
        <v>272</v>
      </c>
      <c r="AS116" s="130" t="s">
        <v>441</v>
      </c>
      <c r="AT116" s="130" t="s">
        <v>272</v>
      </c>
      <c r="AU116" s="130" t="s">
        <v>4474</v>
      </c>
      <c r="AV116" s="130" t="s">
        <v>266</v>
      </c>
      <c r="AW116" s="104" t="s">
        <v>248</v>
      </c>
      <c r="AX116" s="130" t="s">
        <v>249</v>
      </c>
      <c r="AY116" s="130"/>
      <c r="AZ116" s="130"/>
      <c r="BA116" s="130"/>
      <c r="BB116" s="179"/>
      <c r="BC116" s="179"/>
      <c r="BD116" s="104"/>
      <c r="BE116" s="130"/>
      <c r="BF116" s="138">
        <v>12201</v>
      </c>
      <c r="BG116" s="130"/>
      <c r="BH116" s="185" t="s">
        <v>434</v>
      </c>
      <c r="BI116" s="130" t="s">
        <v>280</v>
      </c>
      <c r="BJ116" s="130" t="s">
        <v>269</v>
      </c>
      <c r="BK116" s="130" t="s">
        <v>253</v>
      </c>
      <c r="BL116" s="135"/>
      <c r="BM116" s="135"/>
      <c r="BN116" s="135"/>
      <c r="BO116" s="163">
        <v>100</v>
      </c>
      <c r="BP116" s="163">
        <v>200</v>
      </c>
      <c r="BQ116" s="130" t="s">
        <v>241</v>
      </c>
      <c r="BR116" s="135">
        <v>1</v>
      </c>
      <c r="BS116" s="135"/>
      <c r="BT116" s="163">
        <v>50</v>
      </c>
      <c r="BU116" s="163">
        <v>40</v>
      </c>
      <c r="BV116" s="130"/>
      <c r="BW116" s="104"/>
      <c r="BX116" s="135"/>
      <c r="BY116" s="135"/>
      <c r="BZ116" s="135">
        <v>3</v>
      </c>
      <c r="CA116" s="135">
        <v>4</v>
      </c>
      <c r="CB116" s="135">
        <v>5</v>
      </c>
      <c r="CC116" s="135">
        <v>6</v>
      </c>
      <c r="CD116" s="135">
        <v>7</v>
      </c>
      <c r="CE116" s="135">
        <v>8</v>
      </c>
      <c r="CF116" s="135">
        <v>5</v>
      </c>
      <c r="CG116" s="135">
        <v>6</v>
      </c>
      <c r="CH116" s="163">
        <v>1</v>
      </c>
      <c r="CI116" s="130" t="s">
        <v>4525</v>
      </c>
      <c r="CJ116" s="135"/>
      <c r="CK116" s="135"/>
      <c r="CL116" s="130"/>
      <c r="CM116" s="193">
        <v>112002</v>
      </c>
      <c r="CN116" s="193">
        <v>100057</v>
      </c>
      <c r="CO116" s="193"/>
      <c r="CP116" s="193">
        <v>112002</v>
      </c>
      <c r="CQ116" s="193"/>
      <c r="CR116" s="193"/>
    </row>
    <row r="117" spans="1:96" ht="15.75" customHeight="1" x14ac:dyDescent="0.35">
      <c r="A117" s="288"/>
      <c r="B117" s="81" t="s">
        <v>442</v>
      </c>
      <c r="C117" s="75" t="s">
        <v>443</v>
      </c>
      <c r="D117" s="138">
        <v>12211</v>
      </c>
      <c r="E117" s="135">
        <v>70205</v>
      </c>
      <c r="F117" s="135"/>
      <c r="G117" s="139"/>
      <c r="H117" s="135"/>
      <c r="I117" s="135"/>
      <c r="J117" s="135"/>
      <c r="K117" s="135">
        <v>1</v>
      </c>
      <c r="L117" s="135"/>
      <c r="M117" s="139"/>
      <c r="N117" s="139"/>
      <c r="O117" s="154"/>
      <c r="P117" s="135">
        <v>1</v>
      </c>
      <c r="Q117" s="135">
        <v>3</v>
      </c>
      <c r="R117" s="135"/>
      <c r="S117" s="163">
        <v>1</v>
      </c>
      <c r="T117" s="163">
        <v>1</v>
      </c>
      <c r="U117" s="163">
        <v>1</v>
      </c>
      <c r="V117" s="135"/>
      <c r="W117" s="135"/>
      <c r="X117" s="163"/>
      <c r="Y117" s="135">
        <v>1031</v>
      </c>
      <c r="Z117" s="135">
        <v>1300</v>
      </c>
      <c r="AA117" s="135">
        <v>200</v>
      </c>
      <c r="AB117" s="135">
        <v>2</v>
      </c>
      <c r="AC117" s="135"/>
      <c r="AD117" s="135"/>
      <c r="AE117" s="135"/>
      <c r="AF117" s="163">
        <v>1</v>
      </c>
      <c r="AG117" s="169">
        <v>100</v>
      </c>
      <c r="AH117" s="135"/>
      <c r="AI117" s="135"/>
      <c r="AJ117" s="135"/>
      <c r="AK117" s="135">
        <v>0</v>
      </c>
      <c r="AL117" s="135">
        <v>21035</v>
      </c>
      <c r="AM117" s="135">
        <v>1000</v>
      </c>
      <c r="AN117" s="135"/>
      <c r="AO117" s="130" t="s">
        <v>440</v>
      </c>
      <c r="AP117" s="130" t="s">
        <v>272</v>
      </c>
      <c r="AQ117" s="130" t="s">
        <v>441</v>
      </c>
      <c r="AR117" s="130" t="s">
        <v>272</v>
      </c>
      <c r="AS117" s="130" t="s">
        <v>441</v>
      </c>
      <c r="AT117" s="130" t="s">
        <v>272</v>
      </c>
      <c r="AU117" s="130" t="s">
        <v>444</v>
      </c>
      <c r="AV117" s="130" t="s">
        <v>266</v>
      </c>
      <c r="AW117" s="104" t="s">
        <v>248</v>
      </c>
      <c r="AX117" s="130" t="s">
        <v>249</v>
      </c>
      <c r="AY117" s="130"/>
      <c r="AZ117" s="130"/>
      <c r="BA117" s="130"/>
      <c r="BB117" s="179"/>
      <c r="BC117" s="179"/>
      <c r="BD117" s="104"/>
      <c r="BE117" s="130"/>
      <c r="BF117" s="138">
        <v>12211</v>
      </c>
      <c r="BG117" s="130"/>
      <c r="BH117" s="185" t="s">
        <v>434</v>
      </c>
      <c r="BI117" s="130" t="s">
        <v>280</v>
      </c>
      <c r="BJ117" s="130" t="s">
        <v>269</v>
      </c>
      <c r="BK117" s="130" t="s">
        <v>253</v>
      </c>
      <c r="BL117" s="135"/>
      <c r="BM117" s="135"/>
      <c r="BN117" s="135"/>
      <c r="BO117" s="163">
        <v>100</v>
      </c>
      <c r="BP117" s="163">
        <v>200</v>
      </c>
      <c r="BQ117" s="130" t="s">
        <v>241</v>
      </c>
      <c r="BR117" s="135">
        <v>1</v>
      </c>
      <c r="BS117" s="135"/>
      <c r="BT117" s="163">
        <v>50</v>
      </c>
      <c r="BU117" s="163">
        <v>40</v>
      </c>
      <c r="BV117" s="130"/>
      <c r="BW117" s="104"/>
      <c r="BX117" s="135"/>
      <c r="BY117" s="135"/>
      <c r="BZ117" s="135">
        <v>3</v>
      </c>
      <c r="CA117" s="135">
        <v>4</v>
      </c>
      <c r="CB117" s="135">
        <v>5</v>
      </c>
      <c r="CC117" s="135">
        <v>6</v>
      </c>
      <c r="CD117" s="135">
        <v>7</v>
      </c>
      <c r="CE117" s="135">
        <v>8</v>
      </c>
      <c r="CF117" s="135">
        <v>5</v>
      </c>
      <c r="CG117" s="135">
        <v>6</v>
      </c>
      <c r="CH117" s="163">
        <v>5</v>
      </c>
      <c r="CI117" s="130" t="s">
        <v>4537</v>
      </c>
      <c r="CJ117" s="135"/>
      <c r="CK117" s="135"/>
      <c r="CL117" s="130"/>
      <c r="CM117" s="193">
        <v>112002</v>
      </c>
      <c r="CN117" s="193">
        <v>100057</v>
      </c>
      <c r="CO117" s="193"/>
      <c r="CP117" s="193">
        <v>112002</v>
      </c>
      <c r="CQ117" s="193"/>
      <c r="CR117" s="193"/>
    </row>
    <row r="118" spans="1:96" ht="15.75" customHeight="1" x14ac:dyDescent="0.35">
      <c r="A118" s="288"/>
      <c r="B118" s="81" t="s">
        <v>4473</v>
      </c>
      <c r="C118" s="75" t="s">
        <v>4478</v>
      </c>
      <c r="D118" s="138">
        <v>12221</v>
      </c>
      <c r="E118" s="135">
        <v>70203</v>
      </c>
      <c r="F118" s="135"/>
      <c r="G118" s="139"/>
      <c r="H118" s="135"/>
      <c r="I118" s="135"/>
      <c r="J118" s="135"/>
      <c r="K118" s="135">
        <v>1</v>
      </c>
      <c r="L118" s="135"/>
      <c r="M118" s="139"/>
      <c r="N118" s="139"/>
      <c r="O118" s="154"/>
      <c r="P118" s="135">
        <v>1</v>
      </c>
      <c r="Q118" s="135">
        <v>2</v>
      </c>
      <c r="R118" s="135"/>
      <c r="S118" s="163">
        <v>1</v>
      </c>
      <c r="T118" s="163">
        <v>1</v>
      </c>
      <c r="U118" s="163">
        <v>1</v>
      </c>
      <c r="V118" s="135"/>
      <c r="W118" s="135"/>
      <c r="X118" s="163"/>
      <c r="Y118" s="135">
        <v>1508</v>
      </c>
      <c r="Z118" s="135">
        <v>1000</v>
      </c>
      <c r="AA118" s="135">
        <v>200</v>
      </c>
      <c r="AB118" s="135"/>
      <c r="AC118" s="135"/>
      <c r="AD118" s="135"/>
      <c r="AE118" s="135"/>
      <c r="AF118" s="163">
        <v>1</v>
      </c>
      <c r="AG118" s="169">
        <v>100</v>
      </c>
      <c r="AH118" s="135"/>
      <c r="AI118" s="135"/>
      <c r="AJ118" s="135"/>
      <c r="AK118" s="135">
        <v>0</v>
      </c>
      <c r="AL118" s="135">
        <v>21002</v>
      </c>
      <c r="AM118" s="135">
        <v>1000</v>
      </c>
      <c r="AN118" s="135"/>
      <c r="AO118" s="130" t="s">
        <v>265</v>
      </c>
      <c r="AP118" s="130">
        <v>1</v>
      </c>
      <c r="AQ118" s="130" t="s">
        <v>265</v>
      </c>
      <c r="AR118" s="130">
        <v>1</v>
      </c>
      <c r="AS118" s="130" t="s">
        <v>265</v>
      </c>
      <c r="AT118" s="130">
        <v>1</v>
      </c>
      <c r="AU118" s="130" t="s">
        <v>4475</v>
      </c>
      <c r="AV118" s="130"/>
      <c r="AW118" s="104" t="s">
        <v>248</v>
      </c>
      <c r="AX118" s="130" t="s">
        <v>249</v>
      </c>
      <c r="AY118" s="130"/>
      <c r="AZ118" s="130"/>
      <c r="BA118" s="130"/>
      <c r="BB118" s="179"/>
      <c r="BC118" s="179"/>
      <c r="BD118" s="104"/>
      <c r="BE118" s="130"/>
      <c r="BF118" s="138">
        <v>12221</v>
      </c>
      <c r="BG118" s="130"/>
      <c r="BH118" s="185" t="s">
        <v>434</v>
      </c>
      <c r="BI118" s="130" t="s">
        <v>268</v>
      </c>
      <c r="BJ118" s="130" t="s">
        <v>275</v>
      </c>
      <c r="BK118" s="130" t="s">
        <v>253</v>
      </c>
      <c r="BL118" s="135"/>
      <c r="BM118" s="135"/>
      <c r="BN118" s="135"/>
      <c r="BO118" s="163">
        <v>100</v>
      </c>
      <c r="BP118" s="163">
        <v>200</v>
      </c>
      <c r="BQ118" s="130" t="s">
        <v>241</v>
      </c>
      <c r="BR118" s="135">
        <v>1</v>
      </c>
      <c r="BS118" s="135"/>
      <c r="BT118" s="163">
        <v>50</v>
      </c>
      <c r="BU118" s="163">
        <v>50</v>
      </c>
      <c r="BV118" s="130"/>
      <c r="BW118" s="104"/>
      <c r="BX118" s="135"/>
      <c r="BY118" s="135"/>
      <c r="BZ118" s="135">
        <v>4</v>
      </c>
      <c r="CA118" s="135">
        <v>6</v>
      </c>
      <c r="CB118" s="135">
        <v>6</v>
      </c>
      <c r="CC118" s="135">
        <v>6</v>
      </c>
      <c r="CD118" s="135">
        <v>6</v>
      </c>
      <c r="CE118" s="135">
        <v>7</v>
      </c>
      <c r="CF118" s="135">
        <v>6</v>
      </c>
      <c r="CG118" s="135">
        <v>6</v>
      </c>
      <c r="CH118" s="163">
        <v>2</v>
      </c>
      <c r="CI118" s="130" t="s">
        <v>4538</v>
      </c>
      <c r="CJ118" s="135"/>
      <c r="CK118" s="135"/>
      <c r="CL118" s="130"/>
      <c r="CM118" s="193">
        <v>112002</v>
      </c>
      <c r="CN118" s="193">
        <v>100057</v>
      </c>
      <c r="CO118" s="193"/>
      <c r="CP118" s="193">
        <v>112002</v>
      </c>
      <c r="CQ118" s="193"/>
      <c r="CR118" s="193"/>
    </row>
    <row r="119" spans="1:96" ht="15.75" customHeight="1" x14ac:dyDescent="0.35">
      <c r="A119" s="288"/>
      <c r="B119" s="81" t="s">
        <v>446</v>
      </c>
      <c r="C119" s="75" t="s">
        <v>447</v>
      </c>
      <c r="D119" s="138">
        <v>12231</v>
      </c>
      <c r="E119" s="135">
        <v>70207</v>
      </c>
      <c r="F119" s="135"/>
      <c r="G119" s="139"/>
      <c r="H119" s="135"/>
      <c r="I119" s="135"/>
      <c r="J119" s="135"/>
      <c r="K119" s="135">
        <v>1</v>
      </c>
      <c r="L119" s="139"/>
      <c r="M119" s="139"/>
      <c r="N119" s="139"/>
      <c r="O119" s="154"/>
      <c r="P119" s="135">
        <v>1</v>
      </c>
      <c r="Q119" s="135">
        <v>3</v>
      </c>
      <c r="R119" s="135"/>
      <c r="S119" s="163">
        <v>1</v>
      </c>
      <c r="T119" s="163">
        <v>1</v>
      </c>
      <c r="U119" s="163">
        <v>1</v>
      </c>
      <c r="V119" s="135"/>
      <c r="W119" s="135"/>
      <c r="X119" s="163"/>
      <c r="Y119" s="135">
        <v>1330</v>
      </c>
      <c r="Z119" s="135">
        <v>800</v>
      </c>
      <c r="AA119" s="135">
        <v>300</v>
      </c>
      <c r="AB119" s="135"/>
      <c r="AC119" s="135"/>
      <c r="AD119" s="135"/>
      <c r="AE119" s="135"/>
      <c r="AF119" s="163">
        <v>1</v>
      </c>
      <c r="AG119" s="169">
        <v>100</v>
      </c>
      <c r="AH119" s="135"/>
      <c r="AI119" s="135"/>
      <c r="AJ119" s="135"/>
      <c r="AK119" s="135">
        <v>0</v>
      </c>
      <c r="AL119" s="135">
        <v>21002</v>
      </c>
      <c r="AM119" s="135">
        <v>1000</v>
      </c>
      <c r="AN119" s="135"/>
      <c r="AO119" s="130" t="s">
        <v>265</v>
      </c>
      <c r="AP119" s="174">
        <v>1</v>
      </c>
      <c r="AQ119" s="130" t="s">
        <v>265</v>
      </c>
      <c r="AR119" s="174">
        <v>1</v>
      </c>
      <c r="AS119" s="130" t="s">
        <v>265</v>
      </c>
      <c r="AT119" s="174">
        <v>1</v>
      </c>
      <c r="AU119" s="130" t="s">
        <v>4568</v>
      </c>
      <c r="AV119" s="130"/>
      <c r="AW119" s="104" t="s">
        <v>248</v>
      </c>
      <c r="AX119" s="130" t="s">
        <v>249</v>
      </c>
      <c r="AY119" s="130"/>
      <c r="AZ119" s="130"/>
      <c r="BA119" s="130"/>
      <c r="BB119" s="179"/>
      <c r="BC119" s="179"/>
      <c r="BD119" s="104"/>
      <c r="BE119" s="130"/>
      <c r="BF119" s="138">
        <v>12231</v>
      </c>
      <c r="BG119" s="130"/>
      <c r="BH119" s="185" t="s">
        <v>434</v>
      </c>
      <c r="BI119" s="130" t="s">
        <v>377</v>
      </c>
      <c r="BJ119" s="130" t="s">
        <v>269</v>
      </c>
      <c r="BK119" s="130" t="s">
        <v>253</v>
      </c>
      <c r="BL119" s="135"/>
      <c r="BM119" s="135"/>
      <c r="BN119" s="135"/>
      <c r="BO119" s="163">
        <v>100</v>
      </c>
      <c r="BP119" s="163">
        <v>200</v>
      </c>
      <c r="BQ119" s="130" t="s">
        <v>241</v>
      </c>
      <c r="BR119" s="135">
        <v>1</v>
      </c>
      <c r="BS119" s="135"/>
      <c r="BT119" s="163">
        <v>50</v>
      </c>
      <c r="BU119" s="163">
        <v>50</v>
      </c>
      <c r="BV119" s="130"/>
      <c r="BW119" s="104"/>
      <c r="BX119" s="135"/>
      <c r="BY119" s="135"/>
      <c r="BZ119" s="135">
        <v>2</v>
      </c>
      <c r="CA119" s="135">
        <v>3</v>
      </c>
      <c r="CB119" s="135">
        <v>3</v>
      </c>
      <c r="CC119" s="135">
        <v>4</v>
      </c>
      <c r="CD119" s="135">
        <v>4</v>
      </c>
      <c r="CE119" s="135">
        <v>5</v>
      </c>
      <c r="CF119" s="135">
        <v>3</v>
      </c>
      <c r="CG119" s="135">
        <v>4</v>
      </c>
      <c r="CH119" s="163">
        <v>1</v>
      </c>
      <c r="CI119" s="130" t="s">
        <v>4519</v>
      </c>
      <c r="CJ119" s="135"/>
      <c r="CK119" s="135"/>
      <c r="CL119" s="130"/>
      <c r="CM119" s="193">
        <v>112002</v>
      </c>
      <c r="CN119" s="193">
        <v>100057</v>
      </c>
      <c r="CO119" s="193"/>
      <c r="CP119" s="193">
        <v>112002</v>
      </c>
      <c r="CQ119" s="193"/>
      <c r="CR119" s="193"/>
    </row>
    <row r="120" spans="1:96" ht="15.75" customHeight="1" x14ac:dyDescent="0.35">
      <c r="A120" s="288"/>
      <c r="B120" s="81" t="s">
        <v>448</v>
      </c>
      <c r="C120" s="75" t="s">
        <v>449</v>
      </c>
      <c r="D120" s="138">
        <v>12241</v>
      </c>
      <c r="E120" s="135">
        <v>70210</v>
      </c>
      <c r="F120" s="135"/>
      <c r="G120" s="139"/>
      <c r="H120" s="135"/>
      <c r="I120" s="135"/>
      <c r="J120" s="135"/>
      <c r="K120" s="135">
        <v>1</v>
      </c>
      <c r="L120" s="139"/>
      <c r="M120" s="139"/>
      <c r="N120" s="139"/>
      <c r="O120" s="154"/>
      <c r="P120" s="135">
        <v>1</v>
      </c>
      <c r="Q120" s="135">
        <v>2</v>
      </c>
      <c r="R120" s="135"/>
      <c r="S120" s="163">
        <v>1</v>
      </c>
      <c r="T120" s="163">
        <v>1</v>
      </c>
      <c r="U120" s="163">
        <v>1</v>
      </c>
      <c r="V120" s="135"/>
      <c r="W120" s="135"/>
      <c r="X120" s="163"/>
      <c r="Y120" s="135">
        <v>1520</v>
      </c>
      <c r="Z120" s="135">
        <v>1000</v>
      </c>
      <c r="AA120" s="135">
        <v>200</v>
      </c>
      <c r="AB120" s="135"/>
      <c r="AC120" s="135"/>
      <c r="AD120" s="135"/>
      <c r="AE120" s="135"/>
      <c r="AF120" s="163">
        <v>1</v>
      </c>
      <c r="AG120" s="169">
        <v>100</v>
      </c>
      <c r="AH120" s="135"/>
      <c r="AI120" s="135"/>
      <c r="AJ120" s="135"/>
      <c r="AK120" s="135">
        <v>0</v>
      </c>
      <c r="AL120" s="135">
        <v>21009</v>
      </c>
      <c r="AM120" s="135">
        <v>1000</v>
      </c>
      <c r="AN120" s="135"/>
      <c r="AO120" s="130" t="s">
        <v>296</v>
      </c>
      <c r="AP120" s="130">
        <v>1</v>
      </c>
      <c r="AQ120" s="130" t="s">
        <v>296</v>
      </c>
      <c r="AR120" s="130">
        <v>1</v>
      </c>
      <c r="AS120" s="130" t="s">
        <v>296</v>
      </c>
      <c r="AT120" s="130">
        <v>1</v>
      </c>
      <c r="AU120" s="130" t="s">
        <v>444</v>
      </c>
      <c r="AV120" s="130"/>
      <c r="AW120" s="104" t="s">
        <v>248</v>
      </c>
      <c r="AX120" s="130" t="s">
        <v>249</v>
      </c>
      <c r="AY120" s="130"/>
      <c r="AZ120" s="130"/>
      <c r="BA120" s="130"/>
      <c r="BB120" s="179"/>
      <c r="BC120" s="179"/>
      <c r="BD120" s="104"/>
      <c r="BE120" s="130"/>
      <c r="BF120" s="138">
        <v>12241</v>
      </c>
      <c r="BG120" s="130"/>
      <c r="BH120" s="185" t="s">
        <v>434</v>
      </c>
      <c r="BI120" s="130" t="s">
        <v>268</v>
      </c>
      <c r="BJ120" s="130" t="s">
        <v>275</v>
      </c>
      <c r="BK120" s="130" t="s">
        <v>253</v>
      </c>
      <c r="BL120" s="135"/>
      <c r="BM120" s="135"/>
      <c r="BN120" s="135"/>
      <c r="BO120" s="163">
        <v>100</v>
      </c>
      <c r="BP120" s="163">
        <v>200</v>
      </c>
      <c r="BQ120" s="130" t="s">
        <v>241</v>
      </c>
      <c r="BR120" s="135">
        <v>1</v>
      </c>
      <c r="BS120" s="135"/>
      <c r="BT120" s="163">
        <v>50</v>
      </c>
      <c r="BU120" s="163">
        <v>50</v>
      </c>
      <c r="BV120" s="130"/>
      <c r="BW120" s="104"/>
      <c r="BX120" s="135"/>
      <c r="BY120" s="135"/>
      <c r="BZ120" s="135">
        <v>4</v>
      </c>
      <c r="CA120" s="135">
        <v>6</v>
      </c>
      <c r="CB120" s="135">
        <v>6</v>
      </c>
      <c r="CC120" s="135">
        <v>6</v>
      </c>
      <c r="CD120" s="135">
        <v>6</v>
      </c>
      <c r="CE120" s="135">
        <v>7</v>
      </c>
      <c r="CF120" s="135">
        <v>6</v>
      </c>
      <c r="CG120" s="135">
        <v>6</v>
      </c>
      <c r="CH120" s="163">
        <v>26</v>
      </c>
      <c r="CI120" s="130" t="s">
        <v>4539</v>
      </c>
      <c r="CJ120" s="135"/>
      <c r="CK120" s="135"/>
      <c r="CL120" s="130"/>
      <c r="CM120" s="193">
        <v>112002</v>
      </c>
      <c r="CN120" s="193">
        <v>100057</v>
      </c>
      <c r="CO120" s="193"/>
      <c r="CP120" s="193">
        <v>112002</v>
      </c>
      <c r="CQ120" s="193"/>
      <c r="CR120" s="193"/>
    </row>
    <row r="121" spans="1:96" ht="15.75" customHeight="1" x14ac:dyDescent="0.35">
      <c r="A121" s="288"/>
      <c r="B121" s="81" t="s">
        <v>450</v>
      </c>
      <c r="C121" s="75" t="s">
        <v>449</v>
      </c>
      <c r="D121" s="138">
        <v>12251</v>
      </c>
      <c r="E121" s="135">
        <v>70211</v>
      </c>
      <c r="F121" s="135"/>
      <c r="G121" s="139"/>
      <c r="H121" s="135"/>
      <c r="I121" s="135"/>
      <c r="J121" s="135"/>
      <c r="K121" s="135">
        <v>1</v>
      </c>
      <c r="L121" s="139"/>
      <c r="M121" s="139"/>
      <c r="N121" s="139"/>
      <c r="O121" s="154"/>
      <c r="P121" s="135">
        <v>1</v>
      </c>
      <c r="Q121" s="135">
        <v>2</v>
      </c>
      <c r="R121" s="135"/>
      <c r="S121" s="163">
        <v>1</v>
      </c>
      <c r="T121" s="163">
        <v>1</v>
      </c>
      <c r="U121" s="163">
        <v>1</v>
      </c>
      <c r="V121" s="135"/>
      <c r="W121" s="135"/>
      <c r="X121" s="163"/>
      <c r="Y121" s="135">
        <v>1543</v>
      </c>
      <c r="Z121" s="135">
        <v>1100</v>
      </c>
      <c r="AA121" s="135">
        <v>200</v>
      </c>
      <c r="AB121" s="135"/>
      <c r="AC121" s="135"/>
      <c r="AD121" s="135"/>
      <c r="AE121" s="135"/>
      <c r="AF121" s="163">
        <v>1</v>
      </c>
      <c r="AG121" s="169">
        <v>100</v>
      </c>
      <c r="AH121" s="135"/>
      <c r="AI121" s="135"/>
      <c r="AJ121" s="135"/>
      <c r="AK121" s="135">
        <v>0</v>
      </c>
      <c r="AL121" s="135">
        <v>29002</v>
      </c>
      <c r="AM121" s="135">
        <v>1000</v>
      </c>
      <c r="AN121" s="135"/>
      <c r="AO121" s="130" t="s">
        <v>451</v>
      </c>
      <c r="AP121" s="130">
        <v>1</v>
      </c>
      <c r="AQ121" s="130" t="s">
        <v>451</v>
      </c>
      <c r="AR121" s="130">
        <v>1</v>
      </c>
      <c r="AS121" s="130" t="s">
        <v>451</v>
      </c>
      <c r="AT121" s="130">
        <v>1</v>
      </c>
      <c r="AU121" s="130" t="s">
        <v>444</v>
      </c>
      <c r="AV121" s="130"/>
      <c r="AW121" s="104" t="s">
        <v>248</v>
      </c>
      <c r="AX121" s="130" t="s">
        <v>249</v>
      </c>
      <c r="AY121" s="130"/>
      <c r="AZ121" s="130"/>
      <c r="BA121" s="130"/>
      <c r="BB121" s="179"/>
      <c r="BC121" s="179"/>
      <c r="BD121" s="104"/>
      <c r="BE121" s="130"/>
      <c r="BF121" s="138">
        <v>12251</v>
      </c>
      <c r="BG121" s="130"/>
      <c r="BH121" s="185" t="s">
        <v>434</v>
      </c>
      <c r="BI121" s="130" t="s">
        <v>268</v>
      </c>
      <c r="BJ121" s="130" t="s">
        <v>369</v>
      </c>
      <c r="BK121" s="130" t="s">
        <v>253</v>
      </c>
      <c r="BL121" s="135"/>
      <c r="BM121" s="135"/>
      <c r="BN121" s="135"/>
      <c r="BO121" s="163">
        <v>100</v>
      </c>
      <c r="BP121" s="163">
        <v>200</v>
      </c>
      <c r="BQ121" s="130" t="s">
        <v>241</v>
      </c>
      <c r="BR121" s="135">
        <v>1</v>
      </c>
      <c r="BS121" s="135"/>
      <c r="BT121" s="163">
        <v>50</v>
      </c>
      <c r="BU121" s="163">
        <v>50</v>
      </c>
      <c r="BV121" s="130"/>
      <c r="BW121" s="104"/>
      <c r="BX121" s="135"/>
      <c r="BY121" s="135"/>
      <c r="BZ121" s="135">
        <v>4</v>
      </c>
      <c r="CA121" s="135">
        <v>6</v>
      </c>
      <c r="CB121" s="135">
        <v>6</v>
      </c>
      <c r="CC121" s="135">
        <v>6</v>
      </c>
      <c r="CD121" s="135">
        <v>6</v>
      </c>
      <c r="CE121" s="135">
        <v>7</v>
      </c>
      <c r="CF121" s="135">
        <v>6</v>
      </c>
      <c r="CG121" s="135">
        <v>6</v>
      </c>
      <c r="CH121" s="163">
        <v>26</v>
      </c>
      <c r="CI121" s="130" t="s">
        <v>4539</v>
      </c>
      <c r="CJ121" s="135"/>
      <c r="CK121" s="135"/>
      <c r="CL121" s="130"/>
      <c r="CM121" s="193">
        <v>112002</v>
      </c>
      <c r="CN121" s="193">
        <v>100057</v>
      </c>
      <c r="CO121" s="193"/>
      <c r="CP121" s="193">
        <v>112002</v>
      </c>
      <c r="CQ121" s="193"/>
      <c r="CR121" s="193"/>
    </row>
    <row r="122" spans="1:96" ht="15.75" customHeight="1" x14ac:dyDescent="0.35">
      <c r="A122" s="288"/>
      <c r="B122" s="82" t="s">
        <v>452</v>
      </c>
      <c r="C122" s="75" t="s">
        <v>396</v>
      </c>
      <c r="D122" s="138">
        <v>12401</v>
      </c>
      <c r="E122" s="135">
        <v>70213</v>
      </c>
      <c r="F122" s="135"/>
      <c r="G122" s="139"/>
      <c r="H122" s="135"/>
      <c r="I122" s="135"/>
      <c r="J122" s="135"/>
      <c r="K122" s="135">
        <v>1</v>
      </c>
      <c r="L122" s="139"/>
      <c r="M122" s="139"/>
      <c r="N122" s="139"/>
      <c r="O122" s="154"/>
      <c r="P122" s="135">
        <v>3</v>
      </c>
      <c r="Q122" s="135">
        <v>2</v>
      </c>
      <c r="R122" s="135"/>
      <c r="S122" s="163">
        <v>1</v>
      </c>
      <c r="T122" s="163">
        <v>1</v>
      </c>
      <c r="U122" s="163">
        <v>1</v>
      </c>
      <c r="V122" s="135"/>
      <c r="W122" s="135"/>
      <c r="X122" s="163"/>
      <c r="Y122" s="135">
        <v>1532</v>
      </c>
      <c r="Z122" s="135">
        <v>1000</v>
      </c>
      <c r="AA122" s="135">
        <v>300</v>
      </c>
      <c r="AB122" s="135"/>
      <c r="AC122" s="135"/>
      <c r="AD122" s="135"/>
      <c r="AE122" s="135"/>
      <c r="AF122" s="163">
        <v>1</v>
      </c>
      <c r="AG122" s="169">
        <v>100</v>
      </c>
      <c r="AH122" s="135"/>
      <c r="AI122" s="135"/>
      <c r="AJ122" s="135"/>
      <c r="AK122" s="135">
        <v>0</v>
      </c>
      <c r="AL122" s="135">
        <v>21002</v>
      </c>
      <c r="AM122" s="135">
        <v>1000</v>
      </c>
      <c r="AN122" s="135"/>
      <c r="AO122" s="130" t="s">
        <v>265</v>
      </c>
      <c r="AP122" s="174">
        <v>1</v>
      </c>
      <c r="AQ122" s="130" t="s">
        <v>265</v>
      </c>
      <c r="AR122" s="174">
        <v>1</v>
      </c>
      <c r="AS122" s="130" t="s">
        <v>265</v>
      </c>
      <c r="AT122" s="174">
        <v>1</v>
      </c>
      <c r="AU122" s="130" t="s">
        <v>433</v>
      </c>
      <c r="AV122" s="130" t="s">
        <v>266</v>
      </c>
      <c r="AW122" s="104" t="s">
        <v>248</v>
      </c>
      <c r="AX122" s="130" t="s">
        <v>249</v>
      </c>
      <c r="AY122" s="130"/>
      <c r="AZ122" s="130"/>
      <c r="BA122" s="130"/>
      <c r="BB122" s="179"/>
      <c r="BC122" s="179"/>
      <c r="BD122" s="104"/>
      <c r="BE122" s="130"/>
      <c r="BF122" s="138">
        <v>12401</v>
      </c>
      <c r="BG122" s="130"/>
      <c r="BH122" s="185" t="s">
        <v>434</v>
      </c>
      <c r="BI122" s="130" t="s">
        <v>293</v>
      </c>
      <c r="BJ122" s="130" t="s">
        <v>269</v>
      </c>
      <c r="BK122" s="130" t="s">
        <v>253</v>
      </c>
      <c r="BL122" s="135"/>
      <c r="BM122" s="135"/>
      <c r="BN122" s="135"/>
      <c r="BO122" s="163">
        <v>100</v>
      </c>
      <c r="BP122" s="163">
        <v>200</v>
      </c>
      <c r="BQ122" s="130" t="s">
        <v>241</v>
      </c>
      <c r="BR122" s="135">
        <v>1</v>
      </c>
      <c r="BS122" s="135"/>
      <c r="BT122" s="163">
        <v>50</v>
      </c>
      <c r="BU122" s="163">
        <v>40</v>
      </c>
      <c r="BV122" s="130"/>
      <c r="BW122" s="104"/>
      <c r="BX122" s="135"/>
      <c r="BY122" s="135"/>
      <c r="BZ122" s="135">
        <v>3</v>
      </c>
      <c r="CA122" s="135">
        <v>4</v>
      </c>
      <c r="CB122" s="135">
        <v>4</v>
      </c>
      <c r="CC122" s="135">
        <v>5</v>
      </c>
      <c r="CD122" s="135">
        <v>5</v>
      </c>
      <c r="CE122" s="135">
        <v>6</v>
      </c>
      <c r="CF122" s="135">
        <v>4</v>
      </c>
      <c r="CG122" s="135">
        <v>5</v>
      </c>
      <c r="CH122" s="163">
        <v>26</v>
      </c>
      <c r="CI122" s="130" t="s">
        <v>4540</v>
      </c>
      <c r="CJ122" s="135"/>
      <c r="CK122" s="135"/>
      <c r="CL122" s="130"/>
      <c r="CM122" s="193">
        <v>112002</v>
      </c>
      <c r="CN122" s="193">
        <v>100057</v>
      </c>
      <c r="CO122" s="193"/>
      <c r="CP122" s="193">
        <v>112002</v>
      </c>
      <c r="CQ122" s="193"/>
      <c r="CR122" s="193"/>
    </row>
    <row r="123" spans="1:96" ht="15.75" customHeight="1" x14ac:dyDescent="0.35">
      <c r="A123" s="288"/>
      <c r="B123" s="82" t="s">
        <v>453</v>
      </c>
      <c r="C123" s="75" t="s">
        <v>454</v>
      </c>
      <c r="D123" s="138">
        <v>12411</v>
      </c>
      <c r="E123" s="135">
        <v>70214</v>
      </c>
      <c r="F123" s="135"/>
      <c r="G123" s="139"/>
      <c r="H123" s="135"/>
      <c r="I123" s="135"/>
      <c r="J123" s="135"/>
      <c r="K123" s="135">
        <v>1</v>
      </c>
      <c r="L123" s="135"/>
      <c r="M123" s="139"/>
      <c r="N123" s="139"/>
      <c r="O123" s="154"/>
      <c r="P123" s="135">
        <v>3</v>
      </c>
      <c r="Q123" s="135">
        <v>3</v>
      </c>
      <c r="R123" s="135"/>
      <c r="S123" s="163">
        <v>1</v>
      </c>
      <c r="T123" s="163">
        <v>1</v>
      </c>
      <c r="U123" s="163">
        <v>1</v>
      </c>
      <c r="V123" s="135"/>
      <c r="W123" s="135"/>
      <c r="X123" s="163"/>
      <c r="Y123" s="135">
        <v>1212</v>
      </c>
      <c r="Z123" s="135">
        <v>1000</v>
      </c>
      <c r="AA123" s="135">
        <v>400</v>
      </c>
      <c r="AB123" s="135">
        <v>3</v>
      </c>
      <c r="AC123" s="135"/>
      <c r="AD123" s="135"/>
      <c r="AE123" s="135"/>
      <c r="AF123" s="163">
        <v>1</v>
      </c>
      <c r="AG123" s="169">
        <v>100</v>
      </c>
      <c r="AH123" s="135"/>
      <c r="AI123" s="135"/>
      <c r="AJ123" s="135"/>
      <c r="AK123" s="135">
        <v>0</v>
      </c>
      <c r="AL123" s="135">
        <v>21002</v>
      </c>
      <c r="AM123" s="135">
        <v>1000</v>
      </c>
      <c r="AN123" s="135"/>
      <c r="AO123" s="130" t="s">
        <v>265</v>
      </c>
      <c r="AP123" s="174">
        <v>1</v>
      </c>
      <c r="AQ123" s="130" t="s">
        <v>265</v>
      </c>
      <c r="AR123" s="174">
        <v>1</v>
      </c>
      <c r="AS123" s="130" t="s">
        <v>265</v>
      </c>
      <c r="AT123" s="174">
        <v>1</v>
      </c>
      <c r="AU123" s="130" t="s">
        <v>444</v>
      </c>
      <c r="AV123" s="130"/>
      <c r="AW123" s="104" t="s">
        <v>248</v>
      </c>
      <c r="AX123" s="130" t="s">
        <v>249</v>
      </c>
      <c r="AY123" s="130"/>
      <c r="AZ123" s="130"/>
      <c r="BA123" s="130"/>
      <c r="BB123" s="179"/>
      <c r="BC123" s="179"/>
      <c r="BD123" s="104"/>
      <c r="BE123" s="130"/>
      <c r="BF123" s="138">
        <v>12411</v>
      </c>
      <c r="BG123" s="130"/>
      <c r="BH123" s="185" t="s">
        <v>434</v>
      </c>
      <c r="BI123" s="130" t="s">
        <v>251</v>
      </c>
      <c r="BJ123" s="130" t="s">
        <v>275</v>
      </c>
      <c r="BK123" s="130" t="s">
        <v>253</v>
      </c>
      <c r="BL123" s="135"/>
      <c r="BM123" s="135"/>
      <c r="BN123" s="135"/>
      <c r="BO123" s="163">
        <v>150</v>
      </c>
      <c r="BP123" s="163">
        <v>200</v>
      </c>
      <c r="BQ123" s="130" t="s">
        <v>241</v>
      </c>
      <c r="BR123" s="135">
        <v>1</v>
      </c>
      <c r="BS123" s="135"/>
      <c r="BT123" s="163">
        <v>50</v>
      </c>
      <c r="BU123" s="163">
        <v>50</v>
      </c>
      <c r="BV123" s="130"/>
      <c r="BW123" s="104"/>
      <c r="BX123" s="135"/>
      <c r="BY123" s="135"/>
      <c r="BZ123" s="135">
        <v>3</v>
      </c>
      <c r="CA123" s="135">
        <v>3</v>
      </c>
      <c r="CB123" s="135">
        <v>2</v>
      </c>
      <c r="CC123" s="135">
        <v>3</v>
      </c>
      <c r="CD123" s="135">
        <v>6</v>
      </c>
      <c r="CE123" s="135">
        <v>8</v>
      </c>
      <c r="CF123" s="135">
        <v>2</v>
      </c>
      <c r="CG123" s="135">
        <v>3</v>
      </c>
      <c r="CH123" s="163">
        <v>1</v>
      </c>
      <c r="CI123" s="130" t="s">
        <v>4541</v>
      </c>
      <c r="CJ123" s="135"/>
      <c r="CK123" s="135"/>
      <c r="CL123" s="130"/>
      <c r="CM123" s="193">
        <v>112002</v>
      </c>
      <c r="CN123" s="193">
        <v>100057</v>
      </c>
      <c r="CO123" s="193"/>
      <c r="CP123" s="193">
        <v>112002</v>
      </c>
      <c r="CQ123" s="193"/>
      <c r="CR123" s="193"/>
    </row>
    <row r="124" spans="1:96" ht="15.75" customHeight="1" x14ac:dyDescent="0.35">
      <c r="A124" s="288"/>
      <c r="B124" s="82" t="s">
        <v>455</v>
      </c>
      <c r="C124" s="75" t="s">
        <v>456</v>
      </c>
      <c r="D124" s="138">
        <v>12421</v>
      </c>
      <c r="E124" s="135">
        <v>70208</v>
      </c>
      <c r="F124" s="135"/>
      <c r="G124" s="139"/>
      <c r="H124" s="135"/>
      <c r="I124" s="135"/>
      <c r="J124" s="135"/>
      <c r="K124" s="135">
        <v>1</v>
      </c>
      <c r="L124" s="135"/>
      <c r="M124" s="139"/>
      <c r="N124" s="139"/>
      <c r="O124" s="154"/>
      <c r="P124" s="135">
        <v>2</v>
      </c>
      <c r="Q124" s="135">
        <v>3</v>
      </c>
      <c r="R124" s="135"/>
      <c r="S124" s="163">
        <v>1</v>
      </c>
      <c r="T124" s="163">
        <v>1</v>
      </c>
      <c r="U124" s="163">
        <v>1</v>
      </c>
      <c r="V124" s="135"/>
      <c r="W124" s="135"/>
      <c r="X124" s="163"/>
      <c r="Y124" s="135">
        <v>1647</v>
      </c>
      <c r="Z124" s="135">
        <v>1200</v>
      </c>
      <c r="AA124" s="135">
        <v>400</v>
      </c>
      <c r="AB124" s="135"/>
      <c r="AC124" s="135"/>
      <c r="AD124" s="135"/>
      <c r="AE124" s="135"/>
      <c r="AF124" s="163">
        <v>2</v>
      </c>
      <c r="AG124" s="169">
        <v>150</v>
      </c>
      <c r="AH124" s="135"/>
      <c r="AI124" s="135"/>
      <c r="AJ124" s="135"/>
      <c r="AK124" s="135">
        <v>0</v>
      </c>
      <c r="AL124" s="135">
        <v>21002</v>
      </c>
      <c r="AM124" s="135">
        <v>1000</v>
      </c>
      <c r="AN124" s="135"/>
      <c r="AO124" s="130" t="s">
        <v>265</v>
      </c>
      <c r="AP124" s="130">
        <v>1</v>
      </c>
      <c r="AQ124" s="130" t="s">
        <v>265</v>
      </c>
      <c r="AR124" s="130">
        <v>1</v>
      </c>
      <c r="AS124" s="130" t="s">
        <v>265</v>
      </c>
      <c r="AT124" s="130">
        <v>1</v>
      </c>
      <c r="AU124" s="130" t="s">
        <v>457</v>
      </c>
      <c r="AV124" s="130" t="s">
        <v>266</v>
      </c>
      <c r="AW124" s="104" t="s">
        <v>248</v>
      </c>
      <c r="AX124" s="130" t="s">
        <v>249</v>
      </c>
      <c r="AY124" s="130"/>
      <c r="AZ124" s="130"/>
      <c r="BA124" s="130"/>
      <c r="BB124" s="179"/>
      <c r="BC124" s="179"/>
      <c r="BD124" s="104"/>
      <c r="BE124" s="130"/>
      <c r="BF124" s="138">
        <v>12421</v>
      </c>
      <c r="BG124" s="130"/>
      <c r="BH124" s="185" t="s">
        <v>434</v>
      </c>
      <c r="BI124" s="130" t="s">
        <v>458</v>
      </c>
      <c r="BJ124" s="130" t="s">
        <v>297</v>
      </c>
      <c r="BK124" s="130" t="s">
        <v>253</v>
      </c>
      <c r="BL124" s="135"/>
      <c r="BM124" s="135"/>
      <c r="BN124" s="135"/>
      <c r="BO124" s="163">
        <v>100</v>
      </c>
      <c r="BP124" s="163">
        <v>200</v>
      </c>
      <c r="BQ124" s="130" t="s">
        <v>241</v>
      </c>
      <c r="BR124" s="135">
        <v>1</v>
      </c>
      <c r="BS124" s="135"/>
      <c r="BT124" s="163">
        <v>50</v>
      </c>
      <c r="BU124" s="163">
        <v>40</v>
      </c>
      <c r="BV124" s="130"/>
      <c r="BW124" s="104"/>
      <c r="BX124" s="135"/>
      <c r="BY124" s="135"/>
      <c r="BZ124" s="135">
        <v>4</v>
      </c>
      <c r="CA124" s="135">
        <v>4</v>
      </c>
      <c r="CB124" s="135">
        <v>5</v>
      </c>
      <c r="CC124" s="135">
        <v>6</v>
      </c>
      <c r="CD124" s="135">
        <v>7</v>
      </c>
      <c r="CE124" s="135">
        <v>8</v>
      </c>
      <c r="CF124" s="135">
        <v>5</v>
      </c>
      <c r="CG124" s="135">
        <v>6</v>
      </c>
      <c r="CH124" s="163">
        <v>5</v>
      </c>
      <c r="CI124" s="130" t="s">
        <v>4542</v>
      </c>
      <c r="CJ124" s="135"/>
      <c r="CK124" s="135"/>
      <c r="CL124" s="130"/>
      <c r="CM124" s="193">
        <v>112002</v>
      </c>
      <c r="CN124" s="193">
        <v>100057</v>
      </c>
      <c r="CO124" s="193"/>
      <c r="CP124" s="193">
        <v>112002</v>
      </c>
      <c r="CQ124" s="193"/>
      <c r="CR124" s="193"/>
    </row>
    <row r="125" spans="1:96" ht="15.75" customHeight="1" x14ac:dyDescent="0.35">
      <c r="A125" s="288"/>
      <c r="B125" s="82" t="s">
        <v>4464</v>
      </c>
      <c r="C125" s="75" t="s">
        <v>460</v>
      </c>
      <c r="D125" s="138">
        <v>12431</v>
      </c>
      <c r="E125" s="135">
        <v>70215</v>
      </c>
      <c r="F125" s="135"/>
      <c r="G125" s="139"/>
      <c r="H125" s="135"/>
      <c r="I125" s="135"/>
      <c r="J125" s="135"/>
      <c r="K125" s="135">
        <v>1</v>
      </c>
      <c r="L125" s="135"/>
      <c r="M125" s="139"/>
      <c r="N125" s="139"/>
      <c r="O125" s="154"/>
      <c r="P125" s="135">
        <v>3</v>
      </c>
      <c r="Q125" s="135">
        <v>3</v>
      </c>
      <c r="R125" s="135"/>
      <c r="S125" s="163">
        <v>1</v>
      </c>
      <c r="T125" s="163">
        <v>1</v>
      </c>
      <c r="U125" s="163">
        <v>1</v>
      </c>
      <c r="V125" s="135"/>
      <c r="W125" s="135"/>
      <c r="X125" s="163"/>
      <c r="Y125" s="135">
        <v>4070</v>
      </c>
      <c r="Z125" s="135">
        <v>2000</v>
      </c>
      <c r="AA125" s="135">
        <v>400</v>
      </c>
      <c r="AB125" s="135"/>
      <c r="AC125" s="135"/>
      <c r="AD125" s="135"/>
      <c r="AE125" s="135"/>
      <c r="AF125" s="163">
        <v>1</v>
      </c>
      <c r="AG125" s="169">
        <v>100</v>
      </c>
      <c r="AH125" s="135"/>
      <c r="AI125" s="135"/>
      <c r="AJ125" s="135"/>
      <c r="AK125" s="135">
        <v>0</v>
      </c>
      <c r="AL125" s="135">
        <v>21099</v>
      </c>
      <c r="AM125" s="135">
        <v>1000</v>
      </c>
      <c r="AN125" s="135"/>
      <c r="AO125" s="130" t="s">
        <v>461</v>
      </c>
      <c r="AP125" s="174">
        <v>1</v>
      </c>
      <c r="AQ125" s="130" t="s">
        <v>461</v>
      </c>
      <c r="AR125" s="174">
        <v>1</v>
      </c>
      <c r="AS125" s="130" t="s">
        <v>461</v>
      </c>
      <c r="AT125" s="174">
        <v>1</v>
      </c>
      <c r="AU125" s="130" t="s">
        <v>410</v>
      </c>
      <c r="AV125" s="130"/>
      <c r="AW125" s="104" t="s">
        <v>248</v>
      </c>
      <c r="AX125" s="130" t="s">
        <v>249</v>
      </c>
      <c r="AY125" s="130"/>
      <c r="AZ125" s="130"/>
      <c r="BA125" s="130"/>
      <c r="BB125" s="179"/>
      <c r="BC125" s="179"/>
      <c r="BD125" s="104"/>
      <c r="BE125" s="130"/>
      <c r="BF125" s="138">
        <v>12431</v>
      </c>
      <c r="BG125" s="130"/>
      <c r="BH125" s="185" t="s">
        <v>434</v>
      </c>
      <c r="BI125" s="130" t="s">
        <v>251</v>
      </c>
      <c r="BJ125" s="130" t="s">
        <v>369</v>
      </c>
      <c r="BK125" s="130" t="s">
        <v>253</v>
      </c>
      <c r="BL125" s="135"/>
      <c r="BM125" s="135"/>
      <c r="BN125" s="135"/>
      <c r="BO125" s="163">
        <v>150</v>
      </c>
      <c r="BP125" s="163">
        <v>200</v>
      </c>
      <c r="BQ125" s="130" t="s">
        <v>241</v>
      </c>
      <c r="BR125" s="135">
        <v>1</v>
      </c>
      <c r="BS125" s="135"/>
      <c r="BT125" s="163">
        <v>50</v>
      </c>
      <c r="BU125" s="163">
        <v>50</v>
      </c>
      <c r="BV125" s="130"/>
      <c r="BW125" s="104"/>
      <c r="BX125" s="135"/>
      <c r="BY125" s="135"/>
      <c r="BZ125" s="135">
        <v>3</v>
      </c>
      <c r="CA125" s="135">
        <v>3</v>
      </c>
      <c r="CB125" s="135">
        <v>2</v>
      </c>
      <c r="CC125" s="135">
        <v>3</v>
      </c>
      <c r="CD125" s="135">
        <v>6</v>
      </c>
      <c r="CE125" s="135">
        <v>8</v>
      </c>
      <c r="CF125" s="135">
        <v>2</v>
      </c>
      <c r="CG125" s="135">
        <v>3</v>
      </c>
      <c r="CH125" s="163"/>
      <c r="CI125" s="130" t="s">
        <v>4489</v>
      </c>
      <c r="CJ125" s="135"/>
      <c r="CK125" s="135"/>
      <c r="CL125" s="130"/>
      <c r="CM125" s="193">
        <v>112001</v>
      </c>
      <c r="CN125" s="193"/>
      <c r="CO125" s="193"/>
      <c r="CP125" s="193">
        <v>112001</v>
      </c>
      <c r="CQ125" s="193"/>
      <c r="CR125" s="193"/>
    </row>
    <row r="126" spans="1:96" ht="16.5" customHeight="1" x14ac:dyDescent="0.35">
      <c r="A126" s="288"/>
      <c r="B126" s="90" t="s">
        <v>462</v>
      </c>
      <c r="C126" s="75" t="s">
        <v>463</v>
      </c>
      <c r="D126" s="138">
        <v>12432</v>
      </c>
      <c r="E126" s="135">
        <v>70216</v>
      </c>
      <c r="F126" s="135"/>
      <c r="G126" s="139"/>
      <c r="H126" s="135"/>
      <c r="I126" s="135"/>
      <c r="J126" s="135"/>
      <c r="K126" s="135">
        <v>1</v>
      </c>
      <c r="L126" s="139"/>
      <c r="M126" s="139"/>
      <c r="N126" s="139"/>
      <c r="O126" s="154"/>
      <c r="P126" s="135">
        <v>1</v>
      </c>
      <c r="Q126" s="135">
        <v>2</v>
      </c>
      <c r="R126" s="135"/>
      <c r="S126" s="163">
        <v>1</v>
      </c>
      <c r="T126" s="163">
        <v>1</v>
      </c>
      <c r="U126" s="163">
        <v>1</v>
      </c>
      <c r="V126" s="135"/>
      <c r="W126" s="135"/>
      <c r="X126" s="163"/>
      <c r="Y126" s="135">
        <v>1548</v>
      </c>
      <c r="Z126" s="135">
        <v>800</v>
      </c>
      <c r="AA126" s="135">
        <v>200</v>
      </c>
      <c r="AB126" s="135"/>
      <c r="AC126" s="135"/>
      <c r="AD126" s="135"/>
      <c r="AE126" s="135"/>
      <c r="AF126" s="163">
        <v>1</v>
      </c>
      <c r="AG126" s="169">
        <v>100</v>
      </c>
      <c r="AH126" s="135"/>
      <c r="AI126" s="135"/>
      <c r="AJ126" s="135"/>
      <c r="AK126" s="135">
        <v>0</v>
      </c>
      <c r="AL126" s="135">
        <v>21002</v>
      </c>
      <c r="AM126" s="135">
        <v>1000</v>
      </c>
      <c r="AN126" s="135"/>
      <c r="AO126" s="130" t="s">
        <v>4476</v>
      </c>
      <c r="AP126" s="174">
        <v>1</v>
      </c>
      <c r="AQ126" s="130" t="s">
        <v>4476</v>
      </c>
      <c r="AR126" s="174">
        <v>1</v>
      </c>
      <c r="AS126" s="130" t="s">
        <v>4476</v>
      </c>
      <c r="AT126" s="174">
        <v>1</v>
      </c>
      <c r="AU126" s="130"/>
      <c r="AV126" s="130" t="s">
        <v>266</v>
      </c>
      <c r="AW126" s="104" t="s">
        <v>248</v>
      </c>
      <c r="AX126" s="130" t="s">
        <v>249</v>
      </c>
      <c r="AY126" s="130" t="s">
        <v>4477</v>
      </c>
      <c r="AZ126" s="130">
        <v>1</v>
      </c>
      <c r="BA126" s="130" t="s">
        <v>319</v>
      </c>
      <c r="BB126" s="179"/>
      <c r="BC126" s="179"/>
      <c r="BD126" s="104"/>
      <c r="BE126" s="130"/>
      <c r="BF126" s="138">
        <v>12101</v>
      </c>
      <c r="BG126" s="130"/>
      <c r="BH126" s="185" t="s">
        <v>376</v>
      </c>
      <c r="BI126" s="130" t="s">
        <v>293</v>
      </c>
      <c r="BJ126" s="130" t="s">
        <v>269</v>
      </c>
      <c r="BK126" s="130" t="s">
        <v>253</v>
      </c>
      <c r="BL126" s="135"/>
      <c r="BM126" s="135"/>
      <c r="BN126" s="135"/>
      <c r="BO126" s="163">
        <v>100</v>
      </c>
      <c r="BP126" s="163">
        <v>200</v>
      </c>
      <c r="BQ126" s="130" t="s">
        <v>241</v>
      </c>
      <c r="BR126" s="135">
        <v>1</v>
      </c>
      <c r="BS126" s="135"/>
      <c r="BT126" s="163">
        <v>50</v>
      </c>
      <c r="BU126" s="163">
        <v>30</v>
      </c>
      <c r="BV126" s="130"/>
      <c r="BW126" s="104"/>
      <c r="BX126" s="135"/>
      <c r="BY126" s="135"/>
      <c r="BZ126" s="135">
        <v>1</v>
      </c>
      <c r="CA126" s="135">
        <v>1</v>
      </c>
      <c r="CB126" s="135">
        <v>1</v>
      </c>
      <c r="CC126" s="135">
        <v>1</v>
      </c>
      <c r="CD126" s="135">
        <v>1</v>
      </c>
      <c r="CE126" s="135">
        <v>1</v>
      </c>
      <c r="CF126" s="135">
        <v>1</v>
      </c>
      <c r="CG126" s="135">
        <v>1</v>
      </c>
      <c r="CH126" s="232"/>
      <c r="CI126" s="130"/>
      <c r="CJ126" s="135"/>
      <c r="CK126" s="135"/>
      <c r="CL126" s="130"/>
      <c r="CM126" s="193">
        <v>100005</v>
      </c>
      <c r="CN126" s="193"/>
      <c r="CO126" s="193"/>
      <c r="CP126" s="193">
        <v>100005</v>
      </c>
      <c r="CQ126" s="193"/>
      <c r="CR126" s="193"/>
    </row>
    <row r="127" spans="1:96" ht="15.75" customHeight="1" x14ac:dyDescent="0.35">
      <c r="A127" s="288"/>
      <c r="B127" s="90" t="s">
        <v>464</v>
      </c>
      <c r="C127" s="75" t="s">
        <v>465</v>
      </c>
      <c r="D127" s="138">
        <v>12441</v>
      </c>
      <c r="E127" s="135">
        <v>70216</v>
      </c>
      <c r="F127" s="135"/>
      <c r="G127" s="139"/>
      <c r="H127" s="135"/>
      <c r="I127" s="135"/>
      <c r="J127" s="135"/>
      <c r="K127" s="135">
        <v>1</v>
      </c>
      <c r="L127" s="139"/>
      <c r="M127" s="139"/>
      <c r="N127" s="139"/>
      <c r="O127" s="154"/>
      <c r="P127" s="135">
        <v>1</v>
      </c>
      <c r="Q127" s="135">
        <v>2</v>
      </c>
      <c r="R127" s="135"/>
      <c r="S127" s="163">
        <v>1</v>
      </c>
      <c r="T127" s="163">
        <v>1</v>
      </c>
      <c r="U127" s="163">
        <v>1</v>
      </c>
      <c r="V127" s="135"/>
      <c r="W127" s="135"/>
      <c r="X127" s="163"/>
      <c r="Y127" s="135">
        <v>5010</v>
      </c>
      <c r="Z127" s="135">
        <v>1000</v>
      </c>
      <c r="AA127" s="135">
        <v>200</v>
      </c>
      <c r="AB127" s="135"/>
      <c r="AC127" s="135"/>
      <c r="AD127" s="135"/>
      <c r="AE127" s="135"/>
      <c r="AF127" s="163">
        <v>1</v>
      </c>
      <c r="AG127" s="169">
        <v>100</v>
      </c>
      <c r="AH127" s="135"/>
      <c r="AI127" s="135"/>
      <c r="AJ127" s="135"/>
      <c r="AK127" s="135">
        <v>0</v>
      </c>
      <c r="AL127" s="135">
        <v>21002</v>
      </c>
      <c r="AM127" s="135">
        <v>1000</v>
      </c>
      <c r="AN127" s="135"/>
      <c r="AO127" s="130" t="s">
        <v>265</v>
      </c>
      <c r="AP127" s="174">
        <v>1</v>
      </c>
      <c r="AQ127" s="130" t="s">
        <v>265</v>
      </c>
      <c r="AR127" s="174">
        <v>1</v>
      </c>
      <c r="AS127" s="130" t="s">
        <v>265</v>
      </c>
      <c r="AT127" s="174">
        <v>1</v>
      </c>
      <c r="AU127" s="130"/>
      <c r="AV127" s="130"/>
      <c r="AW127" s="104" t="s">
        <v>248</v>
      </c>
      <c r="AX127" s="130" t="s">
        <v>249</v>
      </c>
      <c r="AY127" s="130"/>
      <c r="AZ127" s="130"/>
      <c r="BA127" s="130"/>
      <c r="BB127" s="179"/>
      <c r="BC127" s="179"/>
      <c r="BD127" s="104"/>
      <c r="BE127" s="130"/>
      <c r="BF127" s="138">
        <v>12441</v>
      </c>
      <c r="BG127" s="130"/>
      <c r="BH127" s="185" t="s">
        <v>434</v>
      </c>
      <c r="BI127" s="130" t="s">
        <v>268</v>
      </c>
      <c r="BJ127" s="198" t="s">
        <v>269</v>
      </c>
      <c r="BK127" s="130" t="s">
        <v>253</v>
      </c>
      <c r="BL127" s="135"/>
      <c r="BM127" s="135"/>
      <c r="BN127" s="135"/>
      <c r="BO127" s="163">
        <v>100</v>
      </c>
      <c r="BP127" s="163">
        <v>200</v>
      </c>
      <c r="BQ127" s="130" t="s">
        <v>241</v>
      </c>
      <c r="BR127" s="135">
        <v>1</v>
      </c>
      <c r="BS127" s="135"/>
      <c r="BT127" s="163">
        <v>50</v>
      </c>
      <c r="BU127" s="163">
        <v>50</v>
      </c>
      <c r="BV127" s="130"/>
      <c r="BW127" s="104"/>
      <c r="BX127" s="135"/>
      <c r="BY127" s="135"/>
      <c r="BZ127" s="135">
        <v>4</v>
      </c>
      <c r="CA127" s="135">
        <v>6</v>
      </c>
      <c r="CB127" s="135">
        <v>6</v>
      </c>
      <c r="CC127" s="135">
        <v>6</v>
      </c>
      <c r="CD127" s="135">
        <v>7</v>
      </c>
      <c r="CE127" s="135">
        <v>8</v>
      </c>
      <c r="CF127" s="135">
        <v>6</v>
      </c>
      <c r="CG127" s="135">
        <v>6</v>
      </c>
      <c r="CH127" s="163"/>
      <c r="CI127" s="130"/>
      <c r="CJ127" s="135"/>
      <c r="CK127" s="135"/>
      <c r="CL127" s="130"/>
      <c r="CM127" s="193">
        <v>112002</v>
      </c>
      <c r="CN127" s="193"/>
      <c r="CO127" s="193"/>
      <c r="CP127" s="193">
        <v>112002</v>
      </c>
      <c r="CQ127" s="193"/>
      <c r="CR127" s="193"/>
    </row>
    <row r="128" spans="1:96" ht="15.75" customHeight="1" x14ac:dyDescent="0.35">
      <c r="A128" s="288"/>
      <c r="B128" s="85" t="s">
        <v>466</v>
      </c>
      <c r="C128" s="75" t="s">
        <v>412</v>
      </c>
      <c r="D128" s="138">
        <v>12601</v>
      </c>
      <c r="E128" s="135">
        <v>70217</v>
      </c>
      <c r="F128" s="135"/>
      <c r="G128" s="139"/>
      <c r="H128" s="135"/>
      <c r="I128" s="135"/>
      <c r="J128" s="135"/>
      <c r="K128" s="135">
        <v>2</v>
      </c>
      <c r="L128" s="139"/>
      <c r="M128" s="139"/>
      <c r="N128" s="139"/>
      <c r="O128" s="154">
        <v>1</v>
      </c>
      <c r="P128" s="135">
        <v>1</v>
      </c>
      <c r="Q128" s="135">
        <v>2</v>
      </c>
      <c r="R128" s="135"/>
      <c r="S128" s="163">
        <v>1</v>
      </c>
      <c r="T128" s="163">
        <v>1</v>
      </c>
      <c r="U128" s="163">
        <v>1</v>
      </c>
      <c r="V128" s="135"/>
      <c r="W128" s="135"/>
      <c r="X128" s="163"/>
      <c r="Y128" s="135">
        <v>1508</v>
      </c>
      <c r="Z128" s="135">
        <v>1300</v>
      </c>
      <c r="AA128" s="135">
        <v>300</v>
      </c>
      <c r="AB128" s="135">
        <v>2</v>
      </c>
      <c r="AC128" s="135"/>
      <c r="AD128" s="135"/>
      <c r="AE128" s="135">
        <v>4</v>
      </c>
      <c r="AF128" s="163">
        <v>1</v>
      </c>
      <c r="AG128" s="169">
        <v>100</v>
      </c>
      <c r="AH128" s="135"/>
      <c r="AI128" s="135"/>
      <c r="AJ128" s="135"/>
      <c r="AK128" s="135">
        <v>0</v>
      </c>
      <c r="AL128" s="135">
        <v>21009</v>
      </c>
      <c r="AM128" s="135">
        <v>1000</v>
      </c>
      <c r="AN128" s="135"/>
      <c r="AO128" s="130" t="s">
        <v>331</v>
      </c>
      <c r="AP128" s="130" t="s">
        <v>272</v>
      </c>
      <c r="AQ128" s="130" t="s">
        <v>331</v>
      </c>
      <c r="AR128" s="130" t="s">
        <v>272</v>
      </c>
      <c r="AS128" s="130" t="s">
        <v>331</v>
      </c>
      <c r="AT128" s="130" t="s">
        <v>272</v>
      </c>
      <c r="AU128" s="130" t="s">
        <v>4584</v>
      </c>
      <c r="AV128" s="130"/>
      <c r="AW128" s="104" t="s">
        <v>248</v>
      </c>
      <c r="AX128" s="130" t="s">
        <v>249</v>
      </c>
      <c r="AY128" s="130"/>
      <c r="AZ128" s="130"/>
      <c r="BA128" s="130"/>
      <c r="BB128" s="179"/>
      <c r="BC128" s="179"/>
      <c r="BD128" s="104"/>
      <c r="BE128" s="130"/>
      <c r="BF128" s="138">
        <v>12601</v>
      </c>
      <c r="BG128" s="130"/>
      <c r="BH128" s="185" t="s">
        <v>467</v>
      </c>
      <c r="BI128" s="130" t="s">
        <v>268</v>
      </c>
      <c r="BJ128" s="130" t="s">
        <v>275</v>
      </c>
      <c r="BK128" s="130" t="s">
        <v>253</v>
      </c>
      <c r="BL128" s="135"/>
      <c r="BM128" s="135"/>
      <c r="BN128" s="135"/>
      <c r="BO128" s="163">
        <v>100</v>
      </c>
      <c r="BP128" s="163">
        <v>200</v>
      </c>
      <c r="BQ128" s="130" t="s">
        <v>241</v>
      </c>
      <c r="BR128" s="135">
        <v>2</v>
      </c>
      <c r="BS128" s="135"/>
      <c r="BT128" s="163">
        <v>50</v>
      </c>
      <c r="BU128" s="163">
        <v>50</v>
      </c>
      <c r="BV128" s="130"/>
      <c r="BW128" s="104"/>
      <c r="BX128" s="135"/>
      <c r="BY128" s="135"/>
      <c r="BZ128" s="135">
        <v>4</v>
      </c>
      <c r="CA128" s="135">
        <v>6</v>
      </c>
      <c r="CB128" s="135">
        <v>6</v>
      </c>
      <c r="CC128" s="135">
        <v>6</v>
      </c>
      <c r="CD128" s="135">
        <v>6</v>
      </c>
      <c r="CE128" s="135">
        <v>7</v>
      </c>
      <c r="CF128" s="135">
        <v>6</v>
      </c>
      <c r="CG128" s="135">
        <v>6</v>
      </c>
      <c r="CH128" s="163">
        <v>26</v>
      </c>
      <c r="CI128" s="130" t="s">
        <v>4451</v>
      </c>
      <c r="CJ128" s="135"/>
      <c r="CK128" s="135"/>
      <c r="CL128" s="130"/>
      <c r="CM128" s="193">
        <v>112101</v>
      </c>
      <c r="CN128" s="193"/>
      <c r="CO128" s="193"/>
      <c r="CP128" s="193">
        <v>112101</v>
      </c>
      <c r="CQ128" s="193"/>
      <c r="CR128" s="193"/>
    </row>
    <row r="129" spans="1:96" ht="15.75" customHeight="1" x14ac:dyDescent="0.35">
      <c r="A129" s="288"/>
      <c r="B129" s="85" t="s">
        <v>452</v>
      </c>
      <c r="C129" s="75" t="s">
        <v>412</v>
      </c>
      <c r="D129" s="138">
        <v>12611</v>
      </c>
      <c r="E129" s="135">
        <v>70218</v>
      </c>
      <c r="F129" s="135"/>
      <c r="G129" s="139"/>
      <c r="H129" s="135"/>
      <c r="I129" s="135"/>
      <c r="J129" s="135"/>
      <c r="K129" s="135">
        <v>2</v>
      </c>
      <c r="L129" s="139"/>
      <c r="M129" s="139"/>
      <c r="N129" s="139"/>
      <c r="O129" s="154">
        <v>1</v>
      </c>
      <c r="P129" s="135">
        <v>3</v>
      </c>
      <c r="Q129" s="135">
        <v>2</v>
      </c>
      <c r="R129" s="135"/>
      <c r="S129" s="163">
        <v>1</v>
      </c>
      <c r="T129" s="163">
        <v>1</v>
      </c>
      <c r="U129" s="163">
        <v>1</v>
      </c>
      <c r="V129" s="135"/>
      <c r="W129" s="135"/>
      <c r="X129" s="163"/>
      <c r="Y129" s="135">
        <v>1532</v>
      </c>
      <c r="Z129" s="135">
        <v>1000</v>
      </c>
      <c r="AA129" s="135">
        <v>300</v>
      </c>
      <c r="AB129" s="135"/>
      <c r="AC129" s="135"/>
      <c r="AD129" s="135"/>
      <c r="AE129" s="135">
        <v>4</v>
      </c>
      <c r="AF129" s="163">
        <v>1</v>
      </c>
      <c r="AG129" s="169">
        <v>100</v>
      </c>
      <c r="AH129" s="135"/>
      <c r="AI129" s="135"/>
      <c r="AJ129" s="135"/>
      <c r="AK129" s="135">
        <v>0</v>
      </c>
      <c r="AL129" s="135">
        <v>21002</v>
      </c>
      <c r="AM129" s="135">
        <v>1000</v>
      </c>
      <c r="AN129" s="135"/>
      <c r="AO129" s="130" t="s">
        <v>265</v>
      </c>
      <c r="AP129" s="174">
        <v>1</v>
      </c>
      <c r="AQ129" s="130" t="s">
        <v>265</v>
      </c>
      <c r="AR129" s="174">
        <v>1</v>
      </c>
      <c r="AS129" s="130" t="s">
        <v>265</v>
      </c>
      <c r="AT129" s="174">
        <v>1</v>
      </c>
      <c r="AU129" s="130" t="s">
        <v>4584</v>
      </c>
      <c r="AV129" s="130" t="s">
        <v>266</v>
      </c>
      <c r="AW129" s="104" t="s">
        <v>248</v>
      </c>
      <c r="AX129" s="130" t="s">
        <v>249</v>
      </c>
      <c r="AY129" s="130"/>
      <c r="AZ129" s="130"/>
      <c r="BA129" s="130"/>
      <c r="BB129" s="179"/>
      <c r="BC129" s="179"/>
      <c r="BD129" s="104"/>
      <c r="BE129" s="130"/>
      <c r="BF129" s="138">
        <v>12611</v>
      </c>
      <c r="BG129" s="130"/>
      <c r="BH129" s="185" t="s">
        <v>467</v>
      </c>
      <c r="BI129" s="130" t="s">
        <v>293</v>
      </c>
      <c r="BJ129" s="130" t="s">
        <v>275</v>
      </c>
      <c r="BK129" s="130" t="s">
        <v>253</v>
      </c>
      <c r="BL129" s="135"/>
      <c r="BM129" s="135"/>
      <c r="BN129" s="135"/>
      <c r="BO129" s="163">
        <v>100</v>
      </c>
      <c r="BP129" s="163">
        <v>200</v>
      </c>
      <c r="BQ129" s="130" t="s">
        <v>241</v>
      </c>
      <c r="BR129" s="135">
        <v>2</v>
      </c>
      <c r="BS129" s="135"/>
      <c r="BT129" s="163">
        <v>50</v>
      </c>
      <c r="BU129" s="163">
        <v>40</v>
      </c>
      <c r="BV129" s="130"/>
      <c r="BW129" s="104"/>
      <c r="BX129" s="135"/>
      <c r="BY129" s="135"/>
      <c r="BZ129" s="135">
        <v>3</v>
      </c>
      <c r="CA129" s="135">
        <v>4</v>
      </c>
      <c r="CB129" s="135">
        <v>4</v>
      </c>
      <c r="CC129" s="135">
        <v>5</v>
      </c>
      <c r="CD129" s="135">
        <v>5</v>
      </c>
      <c r="CE129" s="135">
        <v>6</v>
      </c>
      <c r="CF129" s="135">
        <v>4</v>
      </c>
      <c r="CG129" s="135">
        <v>5</v>
      </c>
      <c r="CH129" s="163">
        <v>26</v>
      </c>
      <c r="CI129" s="130" t="s">
        <v>4448</v>
      </c>
      <c r="CJ129" s="135"/>
      <c r="CK129" s="135"/>
      <c r="CL129" s="130"/>
      <c r="CM129" s="193">
        <v>112102</v>
      </c>
      <c r="CN129" s="193"/>
      <c r="CO129" s="193"/>
      <c r="CP129" s="193">
        <v>112102</v>
      </c>
      <c r="CQ129" s="193"/>
      <c r="CR129" s="193"/>
    </row>
    <row r="130" spans="1:96" ht="15.75" customHeight="1" x14ac:dyDescent="0.35">
      <c r="A130" s="288"/>
      <c r="B130" s="85" t="s">
        <v>453</v>
      </c>
      <c r="C130" s="75" t="s">
        <v>412</v>
      </c>
      <c r="D130" s="138">
        <v>12621</v>
      </c>
      <c r="E130" s="135">
        <v>70219</v>
      </c>
      <c r="F130" s="135"/>
      <c r="G130" s="139"/>
      <c r="H130" s="135"/>
      <c r="I130" s="135"/>
      <c r="J130" s="135"/>
      <c r="K130" s="135">
        <v>2</v>
      </c>
      <c r="L130" s="135"/>
      <c r="M130" s="139"/>
      <c r="N130" s="139"/>
      <c r="O130" s="154">
        <v>1</v>
      </c>
      <c r="P130" s="135">
        <v>3</v>
      </c>
      <c r="Q130" s="135">
        <v>3</v>
      </c>
      <c r="R130" s="135"/>
      <c r="S130" s="163">
        <v>1</v>
      </c>
      <c r="T130" s="163">
        <v>1</v>
      </c>
      <c r="U130" s="163">
        <v>1</v>
      </c>
      <c r="V130" s="135"/>
      <c r="W130" s="135"/>
      <c r="X130" s="163"/>
      <c r="Y130" s="135">
        <v>1212</v>
      </c>
      <c r="Z130" s="135">
        <v>1600</v>
      </c>
      <c r="AA130" s="135">
        <v>400</v>
      </c>
      <c r="AB130" s="135">
        <v>3</v>
      </c>
      <c r="AC130" s="135"/>
      <c r="AD130" s="135"/>
      <c r="AE130" s="135">
        <v>4</v>
      </c>
      <c r="AF130" s="163">
        <v>1</v>
      </c>
      <c r="AG130" s="169">
        <v>100</v>
      </c>
      <c r="AH130" s="135"/>
      <c r="AI130" s="135"/>
      <c r="AJ130" s="135"/>
      <c r="AK130" s="135">
        <v>0</v>
      </c>
      <c r="AL130" s="135">
        <v>21002</v>
      </c>
      <c r="AM130" s="135">
        <v>1000</v>
      </c>
      <c r="AN130" s="135"/>
      <c r="AO130" s="130" t="s">
        <v>265</v>
      </c>
      <c r="AP130" s="174">
        <v>1</v>
      </c>
      <c r="AQ130" s="130" t="s">
        <v>265</v>
      </c>
      <c r="AR130" s="174">
        <v>1</v>
      </c>
      <c r="AS130" s="130" t="s">
        <v>265</v>
      </c>
      <c r="AT130" s="174">
        <v>1</v>
      </c>
      <c r="AU130" s="130" t="s">
        <v>4584</v>
      </c>
      <c r="AV130" s="130"/>
      <c r="AW130" s="104" t="s">
        <v>248</v>
      </c>
      <c r="AX130" s="130" t="s">
        <v>249</v>
      </c>
      <c r="AY130" s="130"/>
      <c r="AZ130" s="130"/>
      <c r="BA130" s="130"/>
      <c r="BB130" s="179"/>
      <c r="BC130" s="179"/>
      <c r="BD130" s="104"/>
      <c r="BE130" s="130"/>
      <c r="BF130" s="138">
        <v>12621</v>
      </c>
      <c r="BG130" s="130"/>
      <c r="BH130" s="185" t="s">
        <v>467</v>
      </c>
      <c r="BI130" s="130" t="s">
        <v>251</v>
      </c>
      <c r="BJ130" s="130" t="s">
        <v>252</v>
      </c>
      <c r="BK130" s="130" t="s">
        <v>253</v>
      </c>
      <c r="BL130" s="135"/>
      <c r="BM130" s="135"/>
      <c r="BN130" s="135"/>
      <c r="BO130" s="163">
        <v>150</v>
      </c>
      <c r="BP130" s="163">
        <v>200</v>
      </c>
      <c r="BQ130" s="130" t="s">
        <v>241</v>
      </c>
      <c r="BR130" s="135">
        <v>2</v>
      </c>
      <c r="BS130" s="135"/>
      <c r="BT130" s="163">
        <v>50</v>
      </c>
      <c r="BU130" s="163">
        <v>50</v>
      </c>
      <c r="BV130" s="130"/>
      <c r="BW130" s="104"/>
      <c r="BX130" s="135"/>
      <c r="BY130" s="135"/>
      <c r="BZ130" s="135">
        <v>3</v>
      </c>
      <c r="CA130" s="135">
        <v>3</v>
      </c>
      <c r="CB130" s="135">
        <v>2</v>
      </c>
      <c r="CC130" s="135">
        <v>3</v>
      </c>
      <c r="CD130" s="135">
        <v>6</v>
      </c>
      <c r="CE130" s="135">
        <v>8</v>
      </c>
      <c r="CF130" s="135">
        <v>2</v>
      </c>
      <c r="CG130" s="135">
        <v>3</v>
      </c>
      <c r="CH130" s="163">
        <v>31</v>
      </c>
      <c r="CI130" s="130" t="s">
        <v>4452</v>
      </c>
      <c r="CJ130" s="135"/>
      <c r="CK130" s="135"/>
      <c r="CL130" s="130"/>
      <c r="CM130" s="193">
        <v>112103</v>
      </c>
      <c r="CN130" s="193"/>
      <c r="CO130" s="193"/>
      <c r="CP130" s="193">
        <v>112103</v>
      </c>
      <c r="CQ130" s="193"/>
      <c r="CR130" s="193"/>
    </row>
    <row r="131" spans="1:96" ht="15.75" customHeight="1" x14ac:dyDescent="0.35">
      <c r="A131" s="288"/>
      <c r="B131" s="87" t="s">
        <v>469</v>
      </c>
      <c r="C131" s="75" t="s">
        <v>419</v>
      </c>
      <c r="D131" s="138">
        <v>12701</v>
      </c>
      <c r="E131" s="135">
        <v>70220</v>
      </c>
      <c r="F131" s="135"/>
      <c r="G131" s="139">
        <v>302</v>
      </c>
      <c r="H131" s="135"/>
      <c r="I131" s="135"/>
      <c r="J131" s="135"/>
      <c r="K131" s="135">
        <v>3</v>
      </c>
      <c r="L131" s="135"/>
      <c r="M131" s="138">
        <v>10819</v>
      </c>
      <c r="N131" s="139"/>
      <c r="O131" s="154">
        <v>5</v>
      </c>
      <c r="P131" s="135">
        <v>3</v>
      </c>
      <c r="Q131" s="135">
        <v>3</v>
      </c>
      <c r="R131" s="135"/>
      <c r="S131" s="163">
        <v>1</v>
      </c>
      <c r="T131" s="163">
        <v>1</v>
      </c>
      <c r="U131" s="163">
        <v>1</v>
      </c>
      <c r="V131" s="135"/>
      <c r="W131" s="135"/>
      <c r="X131" s="163"/>
      <c r="Y131" s="135">
        <v>1703</v>
      </c>
      <c r="Z131" s="135">
        <v>1000</v>
      </c>
      <c r="AA131" s="135">
        <v>400</v>
      </c>
      <c r="AB131" s="135">
        <v>3</v>
      </c>
      <c r="AC131" s="135">
        <v>1</v>
      </c>
      <c r="AD131" s="135"/>
      <c r="AE131" s="135">
        <v>4</v>
      </c>
      <c r="AF131" s="163">
        <v>1</v>
      </c>
      <c r="AG131" s="169">
        <v>100</v>
      </c>
      <c r="AH131" s="135"/>
      <c r="AI131" s="135"/>
      <c r="AJ131" s="135"/>
      <c r="AK131" s="135">
        <v>0</v>
      </c>
      <c r="AL131" s="135">
        <v>21009</v>
      </c>
      <c r="AM131" s="135">
        <v>1000</v>
      </c>
      <c r="AN131" s="135"/>
      <c r="AO131" s="130" t="s">
        <v>470</v>
      </c>
      <c r="AP131" s="130" t="s">
        <v>272</v>
      </c>
      <c r="AQ131" s="130" t="s">
        <v>470</v>
      </c>
      <c r="AR131" s="130" t="s">
        <v>272</v>
      </c>
      <c r="AS131" s="130" t="s">
        <v>470</v>
      </c>
      <c r="AT131" s="130" t="s">
        <v>272</v>
      </c>
      <c r="AU131" s="130" t="s">
        <v>4584</v>
      </c>
      <c r="AV131" s="130"/>
      <c r="AW131" s="104" t="s">
        <v>248</v>
      </c>
      <c r="AX131" s="130" t="s">
        <v>249</v>
      </c>
      <c r="AY131" s="130"/>
      <c r="AZ131" s="130"/>
      <c r="BA131" s="130"/>
      <c r="BB131" s="179"/>
      <c r="BC131" s="179"/>
      <c r="BD131" s="104"/>
      <c r="BE131" s="130" t="s">
        <v>335</v>
      </c>
      <c r="BF131" s="138">
        <v>12701</v>
      </c>
      <c r="BG131" s="130"/>
      <c r="BH131" s="185" t="s">
        <v>467</v>
      </c>
      <c r="BI131" s="130" t="s">
        <v>251</v>
      </c>
      <c r="BJ131" s="130" t="s">
        <v>252</v>
      </c>
      <c r="BK131" s="130" t="s">
        <v>253</v>
      </c>
      <c r="BL131" s="135"/>
      <c r="BM131" s="135"/>
      <c r="BN131" s="135"/>
      <c r="BO131" s="163">
        <v>150</v>
      </c>
      <c r="BP131" s="163">
        <v>200</v>
      </c>
      <c r="BQ131" s="130" t="s">
        <v>241</v>
      </c>
      <c r="BR131" s="135">
        <v>3</v>
      </c>
      <c r="BS131" s="135"/>
      <c r="BT131" s="163">
        <v>50</v>
      </c>
      <c r="BU131" s="163">
        <v>50</v>
      </c>
      <c r="BV131" s="130"/>
      <c r="BW131" s="104"/>
      <c r="BX131" s="135"/>
      <c r="BY131" s="135"/>
      <c r="BZ131" s="135">
        <v>3</v>
      </c>
      <c r="CA131" s="135">
        <v>3</v>
      </c>
      <c r="CB131" s="135">
        <v>2</v>
      </c>
      <c r="CC131" s="135">
        <v>3</v>
      </c>
      <c r="CD131" s="135">
        <v>6</v>
      </c>
      <c r="CE131" s="135">
        <v>8</v>
      </c>
      <c r="CF131" s="135">
        <v>2</v>
      </c>
      <c r="CG131" s="135">
        <v>3</v>
      </c>
      <c r="CH131" s="163"/>
      <c r="CI131" s="130"/>
      <c r="CJ131" s="135"/>
      <c r="CK131" s="135"/>
      <c r="CL131" s="130"/>
      <c r="CM131" s="193">
        <v>112201</v>
      </c>
      <c r="CN131" s="193"/>
      <c r="CO131" s="193"/>
      <c r="CP131" s="193">
        <v>112201</v>
      </c>
      <c r="CQ131" s="193"/>
      <c r="CR131" s="193"/>
    </row>
    <row r="132" spans="1:96" ht="15.75" customHeight="1" x14ac:dyDescent="0.35">
      <c r="A132" s="288"/>
      <c r="B132" s="87" t="s">
        <v>471</v>
      </c>
      <c r="C132" s="75" t="s">
        <v>419</v>
      </c>
      <c r="D132" s="138">
        <v>12711</v>
      </c>
      <c r="E132" s="135">
        <v>70221</v>
      </c>
      <c r="F132" s="135"/>
      <c r="G132" s="139">
        <v>302</v>
      </c>
      <c r="H132" s="135"/>
      <c r="I132" s="135"/>
      <c r="J132" s="135"/>
      <c r="K132" s="135">
        <v>3</v>
      </c>
      <c r="L132" s="139"/>
      <c r="M132" s="138">
        <v>10820</v>
      </c>
      <c r="N132" s="139"/>
      <c r="O132" s="154">
        <v>5</v>
      </c>
      <c r="P132" s="135">
        <v>3</v>
      </c>
      <c r="Q132" s="135">
        <v>3</v>
      </c>
      <c r="R132" s="135"/>
      <c r="S132" s="163">
        <v>1</v>
      </c>
      <c r="T132" s="163">
        <v>1</v>
      </c>
      <c r="U132" s="163">
        <v>1</v>
      </c>
      <c r="V132" s="135"/>
      <c r="W132" s="135"/>
      <c r="X132" s="163"/>
      <c r="Y132" s="135">
        <v>1702</v>
      </c>
      <c r="Z132" s="135">
        <v>1000</v>
      </c>
      <c r="AA132" s="135">
        <v>400</v>
      </c>
      <c r="AB132" s="135">
        <v>3</v>
      </c>
      <c r="AC132" s="135">
        <v>1</v>
      </c>
      <c r="AD132" s="135"/>
      <c r="AE132" s="135">
        <v>4</v>
      </c>
      <c r="AF132" s="163">
        <v>1</v>
      </c>
      <c r="AG132" s="169">
        <v>100</v>
      </c>
      <c r="AH132" s="135"/>
      <c r="AI132" s="135"/>
      <c r="AJ132" s="135"/>
      <c r="AK132" s="135">
        <v>0</v>
      </c>
      <c r="AL132" s="135">
        <v>21009</v>
      </c>
      <c r="AM132" s="135">
        <v>1000</v>
      </c>
      <c r="AN132" s="135"/>
      <c r="AO132" s="130" t="s">
        <v>472</v>
      </c>
      <c r="AP132" s="174" t="s">
        <v>272</v>
      </c>
      <c r="AQ132" s="130" t="s">
        <v>472</v>
      </c>
      <c r="AR132" s="130" t="s">
        <v>272</v>
      </c>
      <c r="AS132" s="130" t="s">
        <v>472</v>
      </c>
      <c r="AT132" s="130" t="s">
        <v>272</v>
      </c>
      <c r="AU132" s="130" t="s">
        <v>4584</v>
      </c>
      <c r="AV132" s="130"/>
      <c r="AW132" s="104" t="s">
        <v>248</v>
      </c>
      <c r="AX132" s="130" t="s">
        <v>249</v>
      </c>
      <c r="AY132" s="130"/>
      <c r="AZ132" s="130"/>
      <c r="BA132" s="130"/>
      <c r="BB132" s="179"/>
      <c r="BC132" s="179"/>
      <c r="BD132" s="104"/>
      <c r="BE132" s="130" t="s">
        <v>335</v>
      </c>
      <c r="BF132" s="138">
        <v>12711</v>
      </c>
      <c r="BG132" s="130"/>
      <c r="BH132" s="185" t="s">
        <v>467</v>
      </c>
      <c r="BI132" s="130" t="s">
        <v>251</v>
      </c>
      <c r="BJ132" s="130" t="s">
        <v>252</v>
      </c>
      <c r="BK132" s="130" t="s">
        <v>253</v>
      </c>
      <c r="BL132" s="135"/>
      <c r="BM132" s="135"/>
      <c r="BN132" s="135"/>
      <c r="BO132" s="163">
        <v>150</v>
      </c>
      <c r="BP132" s="163">
        <v>200</v>
      </c>
      <c r="BQ132" s="130" t="s">
        <v>241</v>
      </c>
      <c r="BR132" s="135">
        <v>3</v>
      </c>
      <c r="BS132" s="135"/>
      <c r="BT132" s="163">
        <v>50</v>
      </c>
      <c r="BU132" s="163">
        <v>50</v>
      </c>
      <c r="BV132" s="130"/>
      <c r="BW132" s="104"/>
      <c r="BX132" s="135"/>
      <c r="BY132" s="135"/>
      <c r="BZ132" s="135">
        <v>3</v>
      </c>
      <c r="CA132" s="135">
        <v>3</v>
      </c>
      <c r="CB132" s="135">
        <v>2</v>
      </c>
      <c r="CC132" s="135">
        <v>3</v>
      </c>
      <c r="CD132" s="135">
        <v>6</v>
      </c>
      <c r="CE132" s="135">
        <v>8</v>
      </c>
      <c r="CF132" s="135">
        <v>2</v>
      </c>
      <c r="CG132" s="135">
        <v>3</v>
      </c>
      <c r="CH132" s="163"/>
      <c r="CI132" s="130"/>
      <c r="CJ132" s="135"/>
      <c r="CK132" s="135"/>
      <c r="CL132" s="130"/>
      <c r="CM132" s="193">
        <v>112202</v>
      </c>
      <c r="CN132" s="193"/>
      <c r="CO132" s="193"/>
      <c r="CP132" s="193">
        <v>112202</v>
      </c>
      <c r="CQ132" s="193"/>
      <c r="CR132" s="193"/>
    </row>
    <row r="133" spans="1:96" ht="15.75" customHeight="1" x14ac:dyDescent="0.35">
      <c r="A133" s="288"/>
      <c r="B133" s="87" t="s">
        <v>473</v>
      </c>
      <c r="C133" s="75" t="s">
        <v>419</v>
      </c>
      <c r="D133" s="138">
        <v>12721</v>
      </c>
      <c r="E133" s="135">
        <v>70222</v>
      </c>
      <c r="F133" s="135"/>
      <c r="G133" s="139">
        <v>302</v>
      </c>
      <c r="H133" s="135"/>
      <c r="I133" s="135"/>
      <c r="J133" s="135"/>
      <c r="K133" s="135">
        <v>3</v>
      </c>
      <c r="L133" s="139"/>
      <c r="M133" s="138">
        <v>10821</v>
      </c>
      <c r="N133" s="139"/>
      <c r="O133" s="154">
        <v>5</v>
      </c>
      <c r="P133" s="135">
        <v>2</v>
      </c>
      <c r="Q133" s="135">
        <v>3</v>
      </c>
      <c r="R133" s="135"/>
      <c r="S133" s="163">
        <v>1</v>
      </c>
      <c r="T133" s="163">
        <v>1</v>
      </c>
      <c r="U133" s="163">
        <v>1</v>
      </c>
      <c r="V133" s="135"/>
      <c r="W133" s="135"/>
      <c r="X133" s="163"/>
      <c r="Y133" s="135">
        <v>1323</v>
      </c>
      <c r="Z133" s="135">
        <v>1000</v>
      </c>
      <c r="AA133" s="135">
        <v>400</v>
      </c>
      <c r="AB133" s="135">
        <v>3</v>
      </c>
      <c r="AC133" s="135">
        <v>1</v>
      </c>
      <c r="AD133" s="135"/>
      <c r="AE133" s="135">
        <v>4</v>
      </c>
      <c r="AF133" s="163">
        <v>1</v>
      </c>
      <c r="AG133" s="169">
        <v>100</v>
      </c>
      <c r="AH133" s="135"/>
      <c r="AI133" s="135"/>
      <c r="AJ133" s="135"/>
      <c r="AK133" s="135">
        <v>0</v>
      </c>
      <c r="AL133" s="135">
        <v>8002</v>
      </c>
      <c r="AM133" s="135">
        <v>1000</v>
      </c>
      <c r="AN133" s="135"/>
      <c r="AO133" s="130" t="s">
        <v>474</v>
      </c>
      <c r="AP133" s="174" t="s">
        <v>329</v>
      </c>
      <c r="AQ133" s="130" t="s">
        <v>474</v>
      </c>
      <c r="AR133" s="174" t="s">
        <v>329</v>
      </c>
      <c r="AS133" s="130" t="s">
        <v>474</v>
      </c>
      <c r="AT133" s="174" t="s">
        <v>329</v>
      </c>
      <c r="AU133" s="130" t="s">
        <v>4584</v>
      </c>
      <c r="AV133" s="130"/>
      <c r="AW133" s="104" t="s">
        <v>248</v>
      </c>
      <c r="AX133" s="130" t="s">
        <v>249</v>
      </c>
      <c r="AY133" s="130"/>
      <c r="AZ133" s="130"/>
      <c r="BA133" s="130"/>
      <c r="BB133" s="179"/>
      <c r="BC133" s="179"/>
      <c r="BD133" s="104"/>
      <c r="BE133" s="130" t="s">
        <v>335</v>
      </c>
      <c r="BF133" s="138">
        <v>12721</v>
      </c>
      <c r="BG133" s="130"/>
      <c r="BH133" s="185" t="s">
        <v>467</v>
      </c>
      <c r="BI133" s="130" t="s">
        <v>377</v>
      </c>
      <c r="BJ133" s="130" t="s">
        <v>275</v>
      </c>
      <c r="BK133" s="130" t="s">
        <v>253</v>
      </c>
      <c r="BL133" s="135"/>
      <c r="BM133" s="135"/>
      <c r="BN133" s="135"/>
      <c r="BO133" s="163">
        <v>100</v>
      </c>
      <c r="BP133" s="163">
        <v>200</v>
      </c>
      <c r="BQ133" s="130" t="s">
        <v>241</v>
      </c>
      <c r="BR133" s="135">
        <v>3</v>
      </c>
      <c r="BS133" s="135"/>
      <c r="BT133" s="163">
        <v>50</v>
      </c>
      <c r="BU133" s="163">
        <v>30</v>
      </c>
      <c r="BV133" s="130"/>
      <c r="BW133" s="104"/>
      <c r="BX133" s="135"/>
      <c r="BY133" s="135"/>
      <c r="BZ133" s="135">
        <v>3</v>
      </c>
      <c r="CA133" s="135">
        <v>4</v>
      </c>
      <c r="CB133" s="135">
        <v>4</v>
      </c>
      <c r="CC133" s="135">
        <v>5</v>
      </c>
      <c r="CD133" s="135">
        <v>5</v>
      </c>
      <c r="CE133" s="135">
        <v>6</v>
      </c>
      <c r="CF133" s="135">
        <v>5</v>
      </c>
      <c r="CG133" s="135">
        <v>5</v>
      </c>
      <c r="CH133" s="163"/>
      <c r="CI133" s="130"/>
      <c r="CJ133" s="135"/>
      <c r="CK133" s="135"/>
      <c r="CL133" s="130"/>
      <c r="CM133" s="193">
        <v>112203</v>
      </c>
      <c r="CN133" s="193"/>
      <c r="CO133" s="193"/>
      <c r="CP133" s="193">
        <v>112203</v>
      </c>
      <c r="CQ133" s="193"/>
      <c r="CR133" s="193"/>
    </row>
    <row r="134" spans="1:96" ht="15.75" customHeight="1" x14ac:dyDescent="0.35">
      <c r="A134" s="288"/>
      <c r="B134" s="87" t="s">
        <v>475</v>
      </c>
      <c r="C134" s="75" t="s">
        <v>419</v>
      </c>
      <c r="D134" s="138">
        <v>12731</v>
      </c>
      <c r="E134" s="135">
        <v>70223</v>
      </c>
      <c r="F134" s="135"/>
      <c r="G134" s="139">
        <v>302</v>
      </c>
      <c r="H134" s="135"/>
      <c r="I134" s="135"/>
      <c r="J134" s="135"/>
      <c r="K134" s="135">
        <v>3</v>
      </c>
      <c r="L134" s="139">
        <v>1</v>
      </c>
      <c r="M134" s="138">
        <v>10822</v>
      </c>
      <c r="N134" s="139"/>
      <c r="O134" s="154">
        <v>5</v>
      </c>
      <c r="P134" s="135">
        <v>3</v>
      </c>
      <c r="Q134" s="135">
        <v>3</v>
      </c>
      <c r="R134" s="135"/>
      <c r="S134" s="163">
        <v>1</v>
      </c>
      <c r="T134" s="163">
        <v>1</v>
      </c>
      <c r="U134" s="163">
        <v>1</v>
      </c>
      <c r="V134" s="135"/>
      <c r="W134" s="135"/>
      <c r="X134" s="163"/>
      <c r="Y134" s="135">
        <v>1704</v>
      </c>
      <c r="Z134" s="135">
        <v>1000</v>
      </c>
      <c r="AA134" s="135">
        <v>400</v>
      </c>
      <c r="AB134" s="135">
        <v>3</v>
      </c>
      <c r="AC134" s="135">
        <v>1</v>
      </c>
      <c r="AD134" s="135"/>
      <c r="AE134" s="135">
        <v>4</v>
      </c>
      <c r="AF134" s="163">
        <v>1</v>
      </c>
      <c r="AG134" s="169">
        <v>100</v>
      </c>
      <c r="AH134" s="135"/>
      <c r="AI134" s="135"/>
      <c r="AJ134" s="135"/>
      <c r="AK134" s="135">
        <v>0</v>
      </c>
      <c r="AL134" s="135">
        <v>21033</v>
      </c>
      <c r="AM134" s="135">
        <v>1000</v>
      </c>
      <c r="AN134" s="135"/>
      <c r="AO134" s="130" t="s">
        <v>476</v>
      </c>
      <c r="AP134" s="174" t="s">
        <v>340</v>
      </c>
      <c r="AQ134" s="130" t="s">
        <v>476</v>
      </c>
      <c r="AR134" s="174" t="s">
        <v>340</v>
      </c>
      <c r="AS134" s="130" t="s">
        <v>476</v>
      </c>
      <c r="AT134" s="174" t="s">
        <v>340</v>
      </c>
      <c r="AU134" s="130" t="s">
        <v>4589</v>
      </c>
      <c r="AV134" s="130"/>
      <c r="AW134" s="104" t="s">
        <v>425</v>
      </c>
      <c r="AX134" s="130" t="s">
        <v>249</v>
      </c>
      <c r="AY134" s="130"/>
      <c r="AZ134" s="130"/>
      <c r="BA134" s="130"/>
      <c r="BB134" s="179"/>
      <c r="BC134" s="179"/>
      <c r="BD134" s="104"/>
      <c r="BE134" s="130" t="s">
        <v>335</v>
      </c>
      <c r="BF134" s="138">
        <v>12731</v>
      </c>
      <c r="BG134" s="130"/>
      <c r="BH134" s="185" t="s">
        <v>467</v>
      </c>
      <c r="BI134" s="130" t="s">
        <v>251</v>
      </c>
      <c r="BJ134" s="130" t="s">
        <v>354</v>
      </c>
      <c r="BK134" s="130" t="s">
        <v>253</v>
      </c>
      <c r="BL134" s="135"/>
      <c r="BM134" s="135"/>
      <c r="BN134" s="135"/>
      <c r="BO134" s="163">
        <v>150</v>
      </c>
      <c r="BP134" s="163">
        <v>200</v>
      </c>
      <c r="BQ134" s="130" t="s">
        <v>241</v>
      </c>
      <c r="BR134" s="135">
        <v>3</v>
      </c>
      <c r="BS134" s="135"/>
      <c r="BT134" s="163">
        <v>50</v>
      </c>
      <c r="BU134" s="163">
        <v>50</v>
      </c>
      <c r="BV134" s="130"/>
      <c r="BW134" s="104"/>
      <c r="BX134" s="135"/>
      <c r="BY134" s="135"/>
      <c r="BZ134" s="135">
        <v>3</v>
      </c>
      <c r="CA134" s="135">
        <v>3</v>
      </c>
      <c r="CB134" s="135">
        <v>2</v>
      </c>
      <c r="CC134" s="135">
        <v>3</v>
      </c>
      <c r="CD134" s="135">
        <v>6</v>
      </c>
      <c r="CE134" s="135">
        <v>8</v>
      </c>
      <c r="CF134" s="135">
        <v>2</v>
      </c>
      <c r="CG134" s="135">
        <v>3</v>
      </c>
      <c r="CH134" s="163"/>
      <c r="CI134" s="130"/>
      <c r="CJ134" s="135"/>
      <c r="CK134" s="135"/>
      <c r="CL134" s="130"/>
      <c r="CM134" s="193">
        <v>112204</v>
      </c>
      <c r="CN134" s="193"/>
      <c r="CO134" s="193"/>
      <c r="CP134" s="193">
        <v>112204</v>
      </c>
      <c r="CQ134" s="193"/>
      <c r="CR134" s="193"/>
    </row>
    <row r="135" spans="1:96" ht="15.75" customHeight="1" x14ac:dyDescent="0.35">
      <c r="A135" s="288"/>
      <c r="B135" s="90" t="s">
        <v>469</v>
      </c>
      <c r="C135" s="75" t="s">
        <v>4583</v>
      </c>
      <c r="D135" s="138">
        <v>12791</v>
      </c>
      <c r="E135" s="135">
        <v>70220</v>
      </c>
      <c r="F135" s="135"/>
      <c r="G135" s="139">
        <v>302</v>
      </c>
      <c r="H135" s="135"/>
      <c r="I135" s="135"/>
      <c r="J135" s="135"/>
      <c r="K135" s="135">
        <v>3</v>
      </c>
      <c r="L135" s="135"/>
      <c r="M135" s="138">
        <v>10819</v>
      </c>
      <c r="N135" s="139"/>
      <c r="O135" s="154">
        <v>5</v>
      </c>
      <c r="P135" s="135">
        <v>3</v>
      </c>
      <c r="Q135" s="135">
        <v>3</v>
      </c>
      <c r="R135" s="135"/>
      <c r="S135" s="163">
        <v>1</v>
      </c>
      <c r="T135" s="163">
        <v>1</v>
      </c>
      <c r="U135" s="163">
        <v>1</v>
      </c>
      <c r="V135" s="135"/>
      <c r="W135" s="135"/>
      <c r="X135" s="163"/>
      <c r="Y135" s="135">
        <v>1703</v>
      </c>
      <c r="Z135" s="135">
        <v>1000</v>
      </c>
      <c r="AA135" s="135">
        <v>400</v>
      </c>
      <c r="AB135" s="135">
        <v>3</v>
      </c>
      <c r="AC135" s="135">
        <v>1</v>
      </c>
      <c r="AD135" s="135"/>
      <c r="AE135" s="135">
        <v>4</v>
      </c>
      <c r="AF135" s="163">
        <v>1</v>
      </c>
      <c r="AG135" s="169">
        <v>100</v>
      </c>
      <c r="AH135" s="135"/>
      <c r="AI135" s="135"/>
      <c r="AJ135" s="135"/>
      <c r="AK135" s="135">
        <v>0</v>
      </c>
      <c r="AL135" s="135">
        <v>21009</v>
      </c>
      <c r="AM135" s="135">
        <v>1000</v>
      </c>
      <c r="AN135" s="135"/>
      <c r="AO135" s="130" t="s">
        <v>470</v>
      </c>
      <c r="AP135" s="130" t="s">
        <v>272</v>
      </c>
      <c r="AQ135" s="130" t="s">
        <v>470</v>
      </c>
      <c r="AR135" s="130" t="s">
        <v>272</v>
      </c>
      <c r="AS135" s="130" t="s">
        <v>470</v>
      </c>
      <c r="AT135" s="130" t="s">
        <v>272</v>
      </c>
      <c r="AU135" s="130" t="s">
        <v>4584</v>
      </c>
      <c r="AV135" s="130"/>
      <c r="AW135" s="104" t="s">
        <v>248</v>
      </c>
      <c r="AX135" s="130" t="s">
        <v>249</v>
      </c>
      <c r="AY135" s="130"/>
      <c r="AZ135" s="130"/>
      <c r="BA135" s="130"/>
      <c r="BB135" s="179"/>
      <c r="BC135" s="179"/>
      <c r="BD135" s="104"/>
      <c r="BE135" s="130" t="s">
        <v>335</v>
      </c>
      <c r="BF135" s="138">
        <v>12701</v>
      </c>
      <c r="BG135" s="130"/>
      <c r="BH135" s="185" t="s">
        <v>467</v>
      </c>
      <c r="BI135" s="130" t="s">
        <v>251</v>
      </c>
      <c r="BJ135" s="130" t="s">
        <v>252</v>
      </c>
      <c r="BK135" s="130" t="s">
        <v>253</v>
      </c>
      <c r="BL135" s="135"/>
      <c r="BM135" s="135"/>
      <c r="BN135" s="135"/>
      <c r="BO135" s="163">
        <v>150</v>
      </c>
      <c r="BP135" s="163">
        <v>200</v>
      </c>
      <c r="BQ135" s="130" t="s">
        <v>241</v>
      </c>
      <c r="BR135" s="135">
        <v>3</v>
      </c>
      <c r="BS135" s="135"/>
      <c r="BT135" s="163">
        <v>50</v>
      </c>
      <c r="BU135" s="163">
        <v>50</v>
      </c>
      <c r="BV135" s="130"/>
      <c r="BW135" s="104"/>
      <c r="BX135" s="135"/>
      <c r="BY135" s="135"/>
      <c r="BZ135" s="135">
        <v>3</v>
      </c>
      <c r="CA135" s="135">
        <v>3</v>
      </c>
      <c r="CB135" s="135">
        <v>2</v>
      </c>
      <c r="CC135" s="135">
        <v>3</v>
      </c>
      <c r="CD135" s="135">
        <v>6</v>
      </c>
      <c r="CE135" s="135">
        <v>8</v>
      </c>
      <c r="CF135" s="135">
        <v>2</v>
      </c>
      <c r="CG135" s="135">
        <v>3</v>
      </c>
      <c r="CH135" s="163"/>
      <c r="CI135" s="130"/>
      <c r="CJ135" s="135"/>
      <c r="CK135" s="135"/>
      <c r="CL135" s="130"/>
      <c r="CM135" s="193">
        <v>1200008</v>
      </c>
      <c r="CN135" s="193"/>
      <c r="CO135" s="193"/>
      <c r="CP135" s="193">
        <v>1200008</v>
      </c>
      <c r="CQ135" s="193"/>
      <c r="CR135" s="193"/>
    </row>
    <row r="136" spans="1:96" ht="15.75" customHeight="1" x14ac:dyDescent="0.35">
      <c r="A136" s="288"/>
      <c r="B136" s="90" t="s">
        <v>471</v>
      </c>
      <c r="C136" s="75" t="s">
        <v>4583</v>
      </c>
      <c r="D136" s="138">
        <v>12792</v>
      </c>
      <c r="E136" s="135">
        <v>70221</v>
      </c>
      <c r="F136" s="135"/>
      <c r="G136" s="139">
        <v>302</v>
      </c>
      <c r="H136" s="135"/>
      <c r="I136" s="135"/>
      <c r="J136" s="135"/>
      <c r="K136" s="135">
        <v>3</v>
      </c>
      <c r="L136" s="139"/>
      <c r="M136" s="138">
        <v>10820</v>
      </c>
      <c r="N136" s="139"/>
      <c r="O136" s="154">
        <v>5</v>
      </c>
      <c r="P136" s="135">
        <v>3</v>
      </c>
      <c r="Q136" s="135">
        <v>3</v>
      </c>
      <c r="R136" s="135"/>
      <c r="S136" s="163">
        <v>1</v>
      </c>
      <c r="T136" s="163">
        <v>1</v>
      </c>
      <c r="U136" s="163">
        <v>1</v>
      </c>
      <c r="V136" s="135"/>
      <c r="W136" s="135"/>
      <c r="X136" s="163"/>
      <c r="Y136" s="135">
        <v>1702</v>
      </c>
      <c r="Z136" s="135">
        <v>1000</v>
      </c>
      <c r="AA136" s="135">
        <v>400</v>
      </c>
      <c r="AB136" s="135">
        <v>3</v>
      </c>
      <c r="AC136" s="135">
        <v>1</v>
      </c>
      <c r="AD136" s="135"/>
      <c r="AE136" s="135">
        <v>4</v>
      </c>
      <c r="AF136" s="163">
        <v>1</v>
      </c>
      <c r="AG136" s="169">
        <v>100</v>
      </c>
      <c r="AH136" s="135"/>
      <c r="AI136" s="135"/>
      <c r="AJ136" s="135"/>
      <c r="AK136" s="135">
        <v>0</v>
      </c>
      <c r="AL136" s="135">
        <v>21009</v>
      </c>
      <c r="AM136" s="135">
        <v>1000</v>
      </c>
      <c r="AN136" s="135"/>
      <c r="AO136" s="130" t="s">
        <v>472</v>
      </c>
      <c r="AP136" s="174" t="s">
        <v>272</v>
      </c>
      <c r="AQ136" s="130" t="s">
        <v>472</v>
      </c>
      <c r="AR136" s="130" t="s">
        <v>272</v>
      </c>
      <c r="AS136" s="130" t="s">
        <v>472</v>
      </c>
      <c r="AT136" s="130" t="s">
        <v>272</v>
      </c>
      <c r="AU136" s="130" t="s">
        <v>4584</v>
      </c>
      <c r="AV136" s="130"/>
      <c r="AW136" s="104" t="s">
        <v>248</v>
      </c>
      <c r="AX136" s="130" t="s">
        <v>249</v>
      </c>
      <c r="AY136" s="130"/>
      <c r="AZ136" s="130"/>
      <c r="BA136" s="130"/>
      <c r="BB136" s="179"/>
      <c r="BC136" s="179"/>
      <c r="BD136" s="104"/>
      <c r="BE136" s="130" t="s">
        <v>335</v>
      </c>
      <c r="BF136" s="138">
        <v>12711</v>
      </c>
      <c r="BG136" s="130"/>
      <c r="BH136" s="185" t="s">
        <v>467</v>
      </c>
      <c r="BI136" s="130" t="s">
        <v>251</v>
      </c>
      <c r="BJ136" s="130" t="s">
        <v>252</v>
      </c>
      <c r="BK136" s="130" t="s">
        <v>253</v>
      </c>
      <c r="BL136" s="135"/>
      <c r="BM136" s="135"/>
      <c r="BN136" s="135"/>
      <c r="BO136" s="163">
        <v>150</v>
      </c>
      <c r="BP136" s="163">
        <v>200</v>
      </c>
      <c r="BQ136" s="130" t="s">
        <v>241</v>
      </c>
      <c r="BR136" s="135">
        <v>3</v>
      </c>
      <c r="BS136" s="135"/>
      <c r="BT136" s="163">
        <v>50</v>
      </c>
      <c r="BU136" s="163">
        <v>50</v>
      </c>
      <c r="BV136" s="130"/>
      <c r="BW136" s="104"/>
      <c r="BX136" s="135"/>
      <c r="BY136" s="135"/>
      <c r="BZ136" s="135">
        <v>3</v>
      </c>
      <c r="CA136" s="135">
        <v>3</v>
      </c>
      <c r="CB136" s="135">
        <v>2</v>
      </c>
      <c r="CC136" s="135">
        <v>3</v>
      </c>
      <c r="CD136" s="135">
        <v>6</v>
      </c>
      <c r="CE136" s="135">
        <v>8</v>
      </c>
      <c r="CF136" s="135">
        <v>2</v>
      </c>
      <c r="CG136" s="135">
        <v>3</v>
      </c>
      <c r="CH136" s="163"/>
      <c r="CI136" s="130"/>
      <c r="CJ136" s="135"/>
      <c r="CK136" s="135"/>
      <c r="CL136" s="130"/>
      <c r="CM136" s="193">
        <v>1200009</v>
      </c>
      <c r="CN136" s="193"/>
      <c r="CO136" s="193"/>
      <c r="CP136" s="193">
        <v>1200009</v>
      </c>
      <c r="CQ136" s="193"/>
      <c r="CR136" s="193"/>
    </row>
    <row r="137" spans="1:96" ht="15.75" customHeight="1" x14ac:dyDescent="0.35">
      <c r="A137" s="288"/>
      <c r="B137" s="90" t="s">
        <v>473</v>
      </c>
      <c r="C137" s="75" t="s">
        <v>4583</v>
      </c>
      <c r="D137" s="138">
        <v>12793</v>
      </c>
      <c r="E137" s="135">
        <v>70222</v>
      </c>
      <c r="F137" s="135"/>
      <c r="G137" s="139">
        <v>302</v>
      </c>
      <c r="H137" s="135"/>
      <c r="I137" s="135"/>
      <c r="J137" s="135"/>
      <c r="K137" s="135">
        <v>3</v>
      </c>
      <c r="L137" s="139"/>
      <c r="M137" s="138">
        <v>10821</v>
      </c>
      <c r="N137" s="139"/>
      <c r="O137" s="154">
        <v>5</v>
      </c>
      <c r="P137" s="135">
        <v>2</v>
      </c>
      <c r="Q137" s="135">
        <v>3</v>
      </c>
      <c r="R137" s="135"/>
      <c r="S137" s="163">
        <v>1</v>
      </c>
      <c r="T137" s="163">
        <v>1</v>
      </c>
      <c r="U137" s="163">
        <v>1</v>
      </c>
      <c r="V137" s="135"/>
      <c r="W137" s="135"/>
      <c r="X137" s="163"/>
      <c r="Y137" s="135">
        <v>1323</v>
      </c>
      <c r="Z137" s="135">
        <v>1000</v>
      </c>
      <c r="AA137" s="135">
        <v>400</v>
      </c>
      <c r="AB137" s="135">
        <v>3</v>
      </c>
      <c r="AC137" s="135">
        <v>1</v>
      </c>
      <c r="AD137" s="135"/>
      <c r="AE137" s="135">
        <v>4</v>
      </c>
      <c r="AF137" s="163">
        <v>1</v>
      </c>
      <c r="AG137" s="169">
        <v>100</v>
      </c>
      <c r="AH137" s="135"/>
      <c r="AI137" s="135"/>
      <c r="AJ137" s="135"/>
      <c r="AK137" s="135">
        <v>0</v>
      </c>
      <c r="AL137" s="135">
        <v>8002</v>
      </c>
      <c r="AM137" s="135">
        <v>1000</v>
      </c>
      <c r="AN137" s="135"/>
      <c r="AO137" s="130" t="s">
        <v>474</v>
      </c>
      <c r="AP137" s="174" t="s">
        <v>329</v>
      </c>
      <c r="AQ137" s="130" t="s">
        <v>474</v>
      </c>
      <c r="AR137" s="174" t="s">
        <v>329</v>
      </c>
      <c r="AS137" s="130" t="s">
        <v>474</v>
      </c>
      <c r="AT137" s="174" t="s">
        <v>329</v>
      </c>
      <c r="AU137" s="130" t="s">
        <v>4584</v>
      </c>
      <c r="AV137" s="130"/>
      <c r="AW137" s="104" t="s">
        <v>248</v>
      </c>
      <c r="AX137" s="130" t="s">
        <v>249</v>
      </c>
      <c r="AY137" s="130"/>
      <c r="AZ137" s="130"/>
      <c r="BA137" s="130"/>
      <c r="BB137" s="179"/>
      <c r="BC137" s="179"/>
      <c r="BD137" s="104"/>
      <c r="BE137" s="130" t="s">
        <v>335</v>
      </c>
      <c r="BF137" s="138">
        <v>12721</v>
      </c>
      <c r="BG137" s="130"/>
      <c r="BH137" s="185" t="s">
        <v>467</v>
      </c>
      <c r="BI137" s="130" t="s">
        <v>377</v>
      </c>
      <c r="BJ137" s="130" t="s">
        <v>275</v>
      </c>
      <c r="BK137" s="130" t="s">
        <v>253</v>
      </c>
      <c r="BL137" s="135"/>
      <c r="BM137" s="135"/>
      <c r="BN137" s="135"/>
      <c r="BO137" s="163">
        <v>100</v>
      </c>
      <c r="BP137" s="163">
        <v>200</v>
      </c>
      <c r="BQ137" s="130" t="s">
        <v>241</v>
      </c>
      <c r="BR137" s="135">
        <v>3</v>
      </c>
      <c r="BS137" s="135"/>
      <c r="BT137" s="163">
        <v>50</v>
      </c>
      <c r="BU137" s="163">
        <v>30</v>
      </c>
      <c r="BV137" s="130"/>
      <c r="BW137" s="104"/>
      <c r="BX137" s="135"/>
      <c r="BY137" s="135"/>
      <c r="BZ137" s="135">
        <v>3</v>
      </c>
      <c r="CA137" s="135">
        <v>4</v>
      </c>
      <c r="CB137" s="135">
        <v>4</v>
      </c>
      <c r="CC137" s="135">
        <v>5</v>
      </c>
      <c r="CD137" s="135">
        <v>5</v>
      </c>
      <c r="CE137" s="135">
        <v>6</v>
      </c>
      <c r="CF137" s="135">
        <v>5</v>
      </c>
      <c r="CG137" s="135">
        <v>5</v>
      </c>
      <c r="CH137" s="163"/>
      <c r="CI137" s="130"/>
      <c r="CJ137" s="135"/>
      <c r="CK137" s="135"/>
      <c r="CL137" s="130"/>
      <c r="CM137" s="193">
        <v>1200010</v>
      </c>
      <c r="CN137" s="193"/>
      <c r="CO137" s="193"/>
      <c r="CP137" s="193">
        <v>1200010</v>
      </c>
      <c r="CQ137" s="193"/>
      <c r="CR137" s="193"/>
    </row>
    <row r="138" spans="1:96" ht="15.75" customHeight="1" x14ac:dyDescent="0.35">
      <c r="A138" s="288"/>
      <c r="B138" s="90" t="s">
        <v>475</v>
      </c>
      <c r="C138" s="75" t="s">
        <v>4583</v>
      </c>
      <c r="D138" s="138">
        <v>12794</v>
      </c>
      <c r="E138" s="135">
        <v>70223</v>
      </c>
      <c r="F138" s="135"/>
      <c r="G138" s="139">
        <v>302</v>
      </c>
      <c r="H138" s="135"/>
      <c r="I138" s="135"/>
      <c r="J138" s="135"/>
      <c r="K138" s="135">
        <v>3</v>
      </c>
      <c r="L138" s="139">
        <v>1</v>
      </c>
      <c r="M138" s="138">
        <v>10822</v>
      </c>
      <c r="N138" s="139"/>
      <c r="O138" s="154">
        <v>5</v>
      </c>
      <c r="P138" s="135">
        <v>3</v>
      </c>
      <c r="Q138" s="135">
        <v>3</v>
      </c>
      <c r="R138" s="135"/>
      <c r="S138" s="163">
        <v>1</v>
      </c>
      <c r="T138" s="163">
        <v>1</v>
      </c>
      <c r="U138" s="163">
        <v>1</v>
      </c>
      <c r="V138" s="135"/>
      <c r="W138" s="135"/>
      <c r="X138" s="163"/>
      <c r="Y138" s="135">
        <v>1704</v>
      </c>
      <c r="Z138" s="135">
        <v>1000</v>
      </c>
      <c r="AA138" s="135">
        <v>400</v>
      </c>
      <c r="AB138" s="135">
        <v>3</v>
      </c>
      <c r="AC138" s="135">
        <v>1</v>
      </c>
      <c r="AD138" s="135"/>
      <c r="AE138" s="135">
        <v>4</v>
      </c>
      <c r="AF138" s="163">
        <v>1</v>
      </c>
      <c r="AG138" s="169">
        <v>100</v>
      </c>
      <c r="AH138" s="135"/>
      <c r="AI138" s="135"/>
      <c r="AJ138" s="135"/>
      <c r="AK138" s="135">
        <v>0</v>
      </c>
      <c r="AL138" s="135">
        <v>21033</v>
      </c>
      <c r="AM138" s="135">
        <v>1000</v>
      </c>
      <c r="AN138" s="135"/>
      <c r="AO138" s="130" t="s">
        <v>476</v>
      </c>
      <c r="AP138" s="174" t="s">
        <v>340</v>
      </c>
      <c r="AQ138" s="130" t="s">
        <v>476</v>
      </c>
      <c r="AR138" s="174" t="s">
        <v>340</v>
      </c>
      <c r="AS138" s="130" t="s">
        <v>476</v>
      </c>
      <c r="AT138" s="174" t="s">
        <v>340</v>
      </c>
      <c r="AU138" s="130" t="s">
        <v>4589</v>
      </c>
      <c r="AV138" s="130"/>
      <c r="AW138" s="104" t="s">
        <v>425</v>
      </c>
      <c r="AX138" s="130" t="s">
        <v>249</v>
      </c>
      <c r="AY138" s="130"/>
      <c r="AZ138" s="130"/>
      <c r="BA138" s="130"/>
      <c r="BB138" s="179"/>
      <c r="BC138" s="179"/>
      <c r="BD138" s="104"/>
      <c r="BE138" s="130" t="s">
        <v>335</v>
      </c>
      <c r="BF138" s="138">
        <v>12731</v>
      </c>
      <c r="BG138" s="130"/>
      <c r="BH138" s="185" t="s">
        <v>467</v>
      </c>
      <c r="BI138" s="130" t="s">
        <v>251</v>
      </c>
      <c r="BJ138" s="130" t="s">
        <v>354</v>
      </c>
      <c r="BK138" s="130" t="s">
        <v>253</v>
      </c>
      <c r="BL138" s="135"/>
      <c r="BM138" s="135"/>
      <c r="BN138" s="135"/>
      <c r="BO138" s="163">
        <v>150</v>
      </c>
      <c r="BP138" s="163">
        <v>200</v>
      </c>
      <c r="BQ138" s="130" t="s">
        <v>241</v>
      </c>
      <c r="BR138" s="135">
        <v>3</v>
      </c>
      <c r="BS138" s="135"/>
      <c r="BT138" s="163">
        <v>50</v>
      </c>
      <c r="BU138" s="163">
        <v>50</v>
      </c>
      <c r="BV138" s="130"/>
      <c r="BW138" s="104"/>
      <c r="BX138" s="135"/>
      <c r="BY138" s="135"/>
      <c r="BZ138" s="135">
        <v>3</v>
      </c>
      <c r="CA138" s="135">
        <v>3</v>
      </c>
      <c r="CB138" s="135">
        <v>2</v>
      </c>
      <c r="CC138" s="135">
        <v>3</v>
      </c>
      <c r="CD138" s="135">
        <v>6</v>
      </c>
      <c r="CE138" s="135">
        <v>8</v>
      </c>
      <c r="CF138" s="135">
        <v>2</v>
      </c>
      <c r="CG138" s="135">
        <v>3</v>
      </c>
      <c r="CH138" s="163"/>
      <c r="CI138" s="130"/>
      <c r="CJ138" s="135"/>
      <c r="CK138" s="135"/>
      <c r="CL138" s="130"/>
      <c r="CM138" s="193">
        <v>1200011</v>
      </c>
      <c r="CN138" s="193"/>
      <c r="CO138" s="193"/>
      <c r="CP138" s="193">
        <v>1200011</v>
      </c>
      <c r="CQ138" s="193"/>
      <c r="CR138" s="193"/>
    </row>
    <row r="139" spans="1:96" ht="15.75" customHeight="1" x14ac:dyDescent="0.35">
      <c r="A139" s="288"/>
      <c r="B139" s="253" t="s">
        <v>469</v>
      </c>
      <c r="C139" s="75" t="s">
        <v>4607</v>
      </c>
      <c r="D139" s="138">
        <v>12800</v>
      </c>
      <c r="E139" s="135">
        <v>70220</v>
      </c>
      <c r="F139" s="135"/>
      <c r="G139" s="139">
        <v>302</v>
      </c>
      <c r="H139" s="258"/>
      <c r="I139" s="258"/>
      <c r="J139" s="135"/>
      <c r="K139" s="258">
        <v>3</v>
      </c>
      <c r="L139" s="135">
        <v>1</v>
      </c>
      <c r="M139" s="135">
        <v>10819</v>
      </c>
      <c r="N139" s="139"/>
      <c r="O139" s="154">
        <v>5</v>
      </c>
      <c r="P139" s="258">
        <v>3</v>
      </c>
      <c r="Q139" s="135">
        <v>3</v>
      </c>
      <c r="R139" s="135"/>
      <c r="S139" s="163">
        <v>1</v>
      </c>
      <c r="T139" s="259">
        <v>1</v>
      </c>
      <c r="U139" s="259">
        <v>1</v>
      </c>
      <c r="V139" s="258"/>
      <c r="W139" s="258"/>
      <c r="X139" s="163"/>
      <c r="Y139" s="135">
        <v>1703</v>
      </c>
      <c r="Z139" s="258">
        <v>1000</v>
      </c>
      <c r="AA139" s="258">
        <v>400</v>
      </c>
      <c r="AB139" s="135">
        <v>3</v>
      </c>
      <c r="AC139" s="135">
        <v>1</v>
      </c>
      <c r="AD139" s="135"/>
      <c r="AE139" s="135">
        <v>4</v>
      </c>
      <c r="AF139" s="163">
        <v>1</v>
      </c>
      <c r="AG139" s="169">
        <v>100</v>
      </c>
      <c r="AH139" s="258"/>
      <c r="AI139" s="135"/>
      <c r="AJ139" s="135"/>
      <c r="AK139" s="135">
        <v>0</v>
      </c>
      <c r="AL139" s="135">
        <v>21009</v>
      </c>
      <c r="AM139" s="135">
        <v>1000</v>
      </c>
      <c r="AN139" s="135"/>
      <c r="AO139" s="130" t="s">
        <v>470</v>
      </c>
      <c r="AP139" s="260" t="s">
        <v>272</v>
      </c>
      <c r="AQ139" s="260" t="s">
        <v>470</v>
      </c>
      <c r="AR139" s="260" t="s">
        <v>272</v>
      </c>
      <c r="AS139" s="260" t="s">
        <v>470</v>
      </c>
      <c r="AT139" s="260" t="s">
        <v>272</v>
      </c>
      <c r="AU139" s="130" t="s">
        <v>4584</v>
      </c>
      <c r="AV139" s="260"/>
      <c r="AW139" s="104" t="s">
        <v>248</v>
      </c>
      <c r="AX139" s="260" t="s">
        <v>249</v>
      </c>
      <c r="AY139" s="130"/>
      <c r="AZ139" s="130"/>
      <c r="BA139" s="130"/>
      <c r="BB139" s="179"/>
      <c r="BC139" s="179"/>
      <c r="BD139" s="104"/>
      <c r="BE139" s="130" t="s">
        <v>335</v>
      </c>
      <c r="BF139" s="258">
        <v>12701</v>
      </c>
      <c r="BG139" s="130"/>
      <c r="BH139" s="185" t="s">
        <v>467</v>
      </c>
      <c r="BI139" s="260" t="s">
        <v>251</v>
      </c>
      <c r="BJ139" s="130" t="s">
        <v>252</v>
      </c>
      <c r="BK139" s="130" t="s">
        <v>253</v>
      </c>
      <c r="BL139" s="135"/>
      <c r="BM139" s="135"/>
      <c r="BN139" s="135"/>
      <c r="BO139" s="163">
        <v>150</v>
      </c>
      <c r="BP139" s="163">
        <v>200</v>
      </c>
      <c r="BQ139" s="130" t="s">
        <v>241</v>
      </c>
      <c r="BR139" s="135">
        <v>3</v>
      </c>
      <c r="BS139" s="258"/>
      <c r="BT139" s="259">
        <v>50</v>
      </c>
      <c r="BU139" s="259">
        <v>50</v>
      </c>
      <c r="BV139" s="260"/>
      <c r="BW139" s="104"/>
      <c r="BX139" s="258"/>
      <c r="BY139" s="258"/>
      <c r="BZ139" s="258">
        <v>3</v>
      </c>
      <c r="CA139" s="258">
        <v>3</v>
      </c>
      <c r="CB139" s="258">
        <v>2</v>
      </c>
      <c r="CC139" s="258">
        <v>3</v>
      </c>
      <c r="CD139" s="258">
        <v>6</v>
      </c>
      <c r="CE139" s="258">
        <v>8</v>
      </c>
      <c r="CF139" s="135">
        <v>2</v>
      </c>
      <c r="CG139" s="135">
        <v>3</v>
      </c>
      <c r="CH139" s="261"/>
      <c r="CI139" s="260"/>
      <c r="CJ139" s="258"/>
      <c r="CK139" s="258"/>
      <c r="CL139" s="260"/>
      <c r="CM139" s="263">
        <v>1210006</v>
      </c>
      <c r="CN139" s="264"/>
      <c r="CO139" s="264"/>
      <c r="CP139" s="263">
        <v>1210006</v>
      </c>
      <c r="CQ139" s="262"/>
      <c r="CR139" s="262"/>
    </row>
    <row r="140" spans="1:96" ht="15.75" customHeight="1" x14ac:dyDescent="0.35">
      <c r="A140" s="288"/>
      <c r="B140" s="90" t="s">
        <v>471</v>
      </c>
      <c r="C140" s="75" t="s">
        <v>4607</v>
      </c>
      <c r="D140" s="138">
        <v>12801</v>
      </c>
      <c r="E140" s="135">
        <v>70221</v>
      </c>
      <c r="F140" s="135"/>
      <c r="G140" s="139">
        <v>302</v>
      </c>
      <c r="H140" s="135"/>
      <c r="I140" s="135"/>
      <c r="J140" s="135"/>
      <c r="K140" s="135">
        <v>3</v>
      </c>
      <c r="L140" s="139">
        <v>1</v>
      </c>
      <c r="M140" s="138">
        <v>10820</v>
      </c>
      <c r="N140" s="139"/>
      <c r="O140" s="154">
        <v>5</v>
      </c>
      <c r="P140" s="135">
        <v>3</v>
      </c>
      <c r="Q140" s="135">
        <v>3</v>
      </c>
      <c r="R140" s="135"/>
      <c r="S140" s="163">
        <v>1</v>
      </c>
      <c r="T140" s="163">
        <v>1</v>
      </c>
      <c r="U140" s="163">
        <v>1</v>
      </c>
      <c r="V140" s="135"/>
      <c r="W140" s="135"/>
      <c r="X140" s="163"/>
      <c r="Y140" s="135">
        <v>1702</v>
      </c>
      <c r="Z140" s="135">
        <v>1000</v>
      </c>
      <c r="AA140" s="135">
        <v>400</v>
      </c>
      <c r="AB140" s="135">
        <v>3</v>
      </c>
      <c r="AC140" s="135">
        <v>1</v>
      </c>
      <c r="AD140" s="135"/>
      <c r="AE140" s="135">
        <v>4</v>
      </c>
      <c r="AF140" s="163">
        <v>1</v>
      </c>
      <c r="AG140" s="169">
        <v>100</v>
      </c>
      <c r="AH140" s="135"/>
      <c r="AI140" s="135"/>
      <c r="AJ140" s="135"/>
      <c r="AK140" s="135">
        <v>0</v>
      </c>
      <c r="AL140" s="135">
        <v>21009</v>
      </c>
      <c r="AM140" s="135">
        <v>1000</v>
      </c>
      <c r="AN140" s="135"/>
      <c r="AO140" s="130" t="s">
        <v>472</v>
      </c>
      <c r="AP140" s="174" t="s">
        <v>272</v>
      </c>
      <c r="AQ140" s="130" t="s">
        <v>472</v>
      </c>
      <c r="AR140" s="130" t="s">
        <v>272</v>
      </c>
      <c r="AS140" s="130" t="s">
        <v>472</v>
      </c>
      <c r="AT140" s="130" t="s">
        <v>272</v>
      </c>
      <c r="AU140" s="130" t="s">
        <v>4584</v>
      </c>
      <c r="AV140" s="130"/>
      <c r="AW140" s="104" t="s">
        <v>248</v>
      </c>
      <c r="AX140" s="130" t="s">
        <v>249</v>
      </c>
      <c r="AY140" s="130"/>
      <c r="AZ140" s="130"/>
      <c r="BA140" s="130"/>
      <c r="BB140" s="179"/>
      <c r="BC140" s="179"/>
      <c r="BD140" s="104"/>
      <c r="BE140" s="130" t="s">
        <v>335</v>
      </c>
      <c r="BF140" s="138">
        <v>12711</v>
      </c>
      <c r="BG140" s="130"/>
      <c r="BH140" s="185" t="s">
        <v>467</v>
      </c>
      <c r="BI140" s="130" t="s">
        <v>251</v>
      </c>
      <c r="BJ140" s="130" t="s">
        <v>252</v>
      </c>
      <c r="BK140" s="130" t="s">
        <v>253</v>
      </c>
      <c r="BL140" s="135"/>
      <c r="BM140" s="135"/>
      <c r="BN140" s="135"/>
      <c r="BO140" s="163">
        <v>150</v>
      </c>
      <c r="BP140" s="163">
        <v>200</v>
      </c>
      <c r="BQ140" s="130" t="s">
        <v>241</v>
      </c>
      <c r="BR140" s="135">
        <v>3</v>
      </c>
      <c r="BS140" s="135"/>
      <c r="BT140" s="163">
        <v>50</v>
      </c>
      <c r="BU140" s="163">
        <v>50</v>
      </c>
      <c r="BV140" s="130"/>
      <c r="BW140" s="104"/>
      <c r="BX140" s="135"/>
      <c r="BY140" s="135"/>
      <c r="BZ140" s="135">
        <v>3</v>
      </c>
      <c r="CA140" s="135">
        <v>3</v>
      </c>
      <c r="CB140" s="135">
        <v>2</v>
      </c>
      <c r="CC140" s="135">
        <v>3</v>
      </c>
      <c r="CD140" s="135">
        <v>6</v>
      </c>
      <c r="CE140" s="135">
        <v>8</v>
      </c>
      <c r="CF140" s="135">
        <v>2</v>
      </c>
      <c r="CG140" s="135">
        <v>3</v>
      </c>
      <c r="CH140" s="163"/>
      <c r="CI140" s="130"/>
      <c r="CJ140" s="135"/>
      <c r="CK140" s="135"/>
      <c r="CL140" s="130"/>
      <c r="CM140" s="248">
        <v>1210006</v>
      </c>
      <c r="CN140" s="193"/>
      <c r="CO140" s="193"/>
      <c r="CP140" s="248">
        <v>1210006</v>
      </c>
      <c r="CQ140" s="193"/>
      <c r="CR140" s="193"/>
    </row>
    <row r="141" spans="1:96" ht="15.75" customHeight="1" x14ac:dyDescent="0.35">
      <c r="A141" s="288"/>
      <c r="B141" s="90" t="s">
        <v>473</v>
      </c>
      <c r="C141" s="75" t="s">
        <v>4607</v>
      </c>
      <c r="D141" s="138">
        <v>12802</v>
      </c>
      <c r="E141" s="135">
        <v>70222</v>
      </c>
      <c r="F141" s="135"/>
      <c r="G141" s="139">
        <v>302</v>
      </c>
      <c r="H141" s="135"/>
      <c r="I141" s="135"/>
      <c r="J141" s="135"/>
      <c r="K141" s="135">
        <v>3</v>
      </c>
      <c r="L141" s="139">
        <v>1</v>
      </c>
      <c r="M141" s="138">
        <v>10821</v>
      </c>
      <c r="N141" s="139"/>
      <c r="O141" s="154">
        <v>5</v>
      </c>
      <c r="P141" s="135">
        <v>2</v>
      </c>
      <c r="Q141" s="135">
        <v>3</v>
      </c>
      <c r="R141" s="135"/>
      <c r="S141" s="163">
        <v>1</v>
      </c>
      <c r="T141" s="163">
        <v>1</v>
      </c>
      <c r="U141" s="163">
        <v>1</v>
      </c>
      <c r="V141" s="135"/>
      <c r="W141" s="135"/>
      <c r="X141" s="163"/>
      <c r="Y141" s="135">
        <v>1323</v>
      </c>
      <c r="Z141" s="135">
        <v>1000</v>
      </c>
      <c r="AA141" s="135">
        <v>400</v>
      </c>
      <c r="AB141" s="135">
        <v>3</v>
      </c>
      <c r="AC141" s="135">
        <v>1</v>
      </c>
      <c r="AD141" s="135"/>
      <c r="AE141" s="135">
        <v>4</v>
      </c>
      <c r="AF141" s="163">
        <v>1</v>
      </c>
      <c r="AG141" s="169">
        <v>100</v>
      </c>
      <c r="AH141" s="135"/>
      <c r="AI141" s="135"/>
      <c r="AJ141" s="135"/>
      <c r="AK141" s="135">
        <v>0</v>
      </c>
      <c r="AL141" s="135">
        <v>8002</v>
      </c>
      <c r="AM141" s="135">
        <v>1000</v>
      </c>
      <c r="AN141" s="135"/>
      <c r="AO141" s="130" t="s">
        <v>474</v>
      </c>
      <c r="AP141" s="174" t="s">
        <v>329</v>
      </c>
      <c r="AQ141" s="130" t="s">
        <v>474</v>
      </c>
      <c r="AR141" s="174" t="s">
        <v>329</v>
      </c>
      <c r="AS141" s="130" t="s">
        <v>474</v>
      </c>
      <c r="AT141" s="174" t="s">
        <v>329</v>
      </c>
      <c r="AU141" s="130" t="s">
        <v>4584</v>
      </c>
      <c r="AV141" s="130"/>
      <c r="AW141" s="104" t="s">
        <v>248</v>
      </c>
      <c r="AX141" s="130" t="s">
        <v>249</v>
      </c>
      <c r="AY141" s="130"/>
      <c r="AZ141" s="130"/>
      <c r="BA141" s="130"/>
      <c r="BB141" s="179"/>
      <c r="BC141" s="179"/>
      <c r="BD141" s="104"/>
      <c r="BE141" s="130" t="s">
        <v>335</v>
      </c>
      <c r="BF141" s="138">
        <v>12721</v>
      </c>
      <c r="BG141" s="130"/>
      <c r="BH141" s="185" t="s">
        <v>467</v>
      </c>
      <c r="BI141" s="130" t="s">
        <v>377</v>
      </c>
      <c r="BJ141" s="130" t="s">
        <v>275</v>
      </c>
      <c r="BK141" s="130" t="s">
        <v>253</v>
      </c>
      <c r="BL141" s="135"/>
      <c r="BM141" s="135"/>
      <c r="BN141" s="135"/>
      <c r="BO141" s="163">
        <v>100</v>
      </c>
      <c r="BP141" s="163">
        <v>200</v>
      </c>
      <c r="BQ141" s="130" t="s">
        <v>241</v>
      </c>
      <c r="BR141" s="135">
        <v>3</v>
      </c>
      <c r="BS141" s="135"/>
      <c r="BT141" s="163">
        <v>50</v>
      </c>
      <c r="BU141" s="163">
        <v>30</v>
      </c>
      <c r="BV141" s="130"/>
      <c r="BW141" s="104"/>
      <c r="BX141" s="135"/>
      <c r="BY141" s="135"/>
      <c r="BZ141" s="135">
        <v>3</v>
      </c>
      <c r="CA141" s="135">
        <v>4</v>
      </c>
      <c r="CB141" s="135">
        <v>4</v>
      </c>
      <c r="CC141" s="135">
        <v>5</v>
      </c>
      <c r="CD141" s="135">
        <v>5</v>
      </c>
      <c r="CE141" s="135">
        <v>6</v>
      </c>
      <c r="CF141" s="135">
        <v>5</v>
      </c>
      <c r="CG141" s="135">
        <v>5</v>
      </c>
      <c r="CH141" s="163"/>
      <c r="CI141" s="130"/>
      <c r="CJ141" s="135"/>
      <c r="CK141" s="135"/>
      <c r="CL141" s="130"/>
      <c r="CM141" s="248">
        <v>1210007</v>
      </c>
      <c r="CN141" s="193"/>
      <c r="CO141" s="193"/>
      <c r="CP141" s="248">
        <v>1210007</v>
      </c>
      <c r="CQ141" s="193"/>
      <c r="CR141" s="193"/>
    </row>
    <row r="142" spans="1:96" ht="15.75" customHeight="1" x14ac:dyDescent="0.35">
      <c r="A142" s="296"/>
      <c r="B142" s="90" t="s">
        <v>475</v>
      </c>
      <c r="C142" s="75" t="s">
        <v>4607</v>
      </c>
      <c r="D142" s="138">
        <v>12803</v>
      </c>
      <c r="E142" s="135">
        <v>70223</v>
      </c>
      <c r="F142" s="135"/>
      <c r="G142" s="139">
        <v>302</v>
      </c>
      <c r="H142" s="135"/>
      <c r="I142" s="135"/>
      <c r="J142" s="135"/>
      <c r="K142" s="135">
        <v>3</v>
      </c>
      <c r="L142" s="139">
        <v>1</v>
      </c>
      <c r="M142" s="138">
        <v>10822</v>
      </c>
      <c r="N142" s="139"/>
      <c r="O142" s="154">
        <v>5</v>
      </c>
      <c r="P142" s="135">
        <v>3</v>
      </c>
      <c r="Q142" s="135">
        <v>3</v>
      </c>
      <c r="R142" s="135"/>
      <c r="S142" s="163">
        <v>1</v>
      </c>
      <c r="T142" s="163">
        <v>1</v>
      </c>
      <c r="U142" s="163">
        <v>1</v>
      </c>
      <c r="V142" s="135"/>
      <c r="W142" s="135"/>
      <c r="X142" s="163"/>
      <c r="Y142" s="135">
        <v>1704</v>
      </c>
      <c r="Z142" s="135">
        <v>1000</v>
      </c>
      <c r="AA142" s="135">
        <v>400</v>
      </c>
      <c r="AB142" s="135">
        <v>3</v>
      </c>
      <c r="AC142" s="135">
        <v>1</v>
      </c>
      <c r="AD142" s="135"/>
      <c r="AE142" s="135">
        <v>4</v>
      </c>
      <c r="AF142" s="163">
        <v>1</v>
      </c>
      <c r="AG142" s="169">
        <v>100</v>
      </c>
      <c r="AH142" s="135"/>
      <c r="AI142" s="135"/>
      <c r="AJ142" s="135"/>
      <c r="AK142" s="135">
        <v>0</v>
      </c>
      <c r="AL142" s="135">
        <v>21033</v>
      </c>
      <c r="AM142" s="135">
        <v>1000</v>
      </c>
      <c r="AN142" s="135"/>
      <c r="AO142" s="130" t="s">
        <v>476</v>
      </c>
      <c r="AP142" s="174" t="s">
        <v>340</v>
      </c>
      <c r="AQ142" s="130" t="s">
        <v>476</v>
      </c>
      <c r="AR142" s="174" t="s">
        <v>340</v>
      </c>
      <c r="AS142" s="130" t="s">
        <v>476</v>
      </c>
      <c r="AT142" s="174" t="s">
        <v>340</v>
      </c>
      <c r="AU142" s="130" t="s">
        <v>4589</v>
      </c>
      <c r="AV142" s="130"/>
      <c r="AW142" s="104" t="s">
        <v>425</v>
      </c>
      <c r="AX142" s="130" t="s">
        <v>249</v>
      </c>
      <c r="AY142" s="130"/>
      <c r="AZ142" s="130"/>
      <c r="BA142" s="130"/>
      <c r="BB142" s="179"/>
      <c r="BC142" s="179"/>
      <c r="BD142" s="104"/>
      <c r="BE142" s="130" t="s">
        <v>335</v>
      </c>
      <c r="BF142" s="138">
        <v>12731</v>
      </c>
      <c r="BG142" s="130"/>
      <c r="BH142" s="185" t="s">
        <v>467</v>
      </c>
      <c r="BI142" s="130" t="s">
        <v>251</v>
      </c>
      <c r="BJ142" s="130" t="s">
        <v>354</v>
      </c>
      <c r="BK142" s="130" t="s">
        <v>253</v>
      </c>
      <c r="BL142" s="135"/>
      <c r="BM142" s="135"/>
      <c r="BN142" s="135"/>
      <c r="BO142" s="163">
        <v>150</v>
      </c>
      <c r="BP142" s="163">
        <v>200</v>
      </c>
      <c r="BQ142" s="130" t="s">
        <v>241</v>
      </c>
      <c r="BR142" s="135">
        <v>3</v>
      </c>
      <c r="BS142" s="135"/>
      <c r="BT142" s="163">
        <v>50</v>
      </c>
      <c r="BU142" s="163">
        <v>50</v>
      </c>
      <c r="BV142" s="130"/>
      <c r="BW142" s="104"/>
      <c r="BX142" s="135"/>
      <c r="BY142" s="135"/>
      <c r="BZ142" s="135">
        <v>3</v>
      </c>
      <c r="CA142" s="135">
        <v>3</v>
      </c>
      <c r="CB142" s="135">
        <v>2</v>
      </c>
      <c r="CC142" s="135">
        <v>3</v>
      </c>
      <c r="CD142" s="135">
        <v>6</v>
      </c>
      <c r="CE142" s="135">
        <v>8</v>
      </c>
      <c r="CF142" s="135">
        <v>2</v>
      </c>
      <c r="CG142" s="135">
        <v>3</v>
      </c>
      <c r="CH142" s="163"/>
      <c r="CI142" s="130"/>
      <c r="CJ142" s="135"/>
      <c r="CK142" s="135"/>
      <c r="CL142" s="130"/>
      <c r="CM142" s="248">
        <v>1210008</v>
      </c>
      <c r="CN142" s="193"/>
      <c r="CO142" s="193"/>
      <c r="CP142" s="248">
        <v>1210008</v>
      </c>
      <c r="CQ142" s="193"/>
      <c r="CR142" s="193"/>
    </row>
    <row r="143" spans="1:96" ht="15.75" customHeight="1" x14ac:dyDescent="0.35">
      <c r="A143" s="90"/>
      <c r="B143" s="144" t="s">
        <v>477</v>
      </c>
      <c r="D143" s="138">
        <v>12901</v>
      </c>
      <c r="E143" s="135">
        <v>70032</v>
      </c>
      <c r="F143" s="135"/>
      <c r="G143" s="139"/>
      <c r="H143" s="135"/>
      <c r="I143" s="135"/>
      <c r="J143" s="135"/>
      <c r="K143" s="135">
        <v>2</v>
      </c>
      <c r="L143" s="135"/>
      <c r="M143" s="139"/>
      <c r="N143" s="139"/>
      <c r="O143" s="154">
        <v>1</v>
      </c>
      <c r="P143" s="135">
        <v>1</v>
      </c>
      <c r="Q143" s="135">
        <v>1</v>
      </c>
      <c r="R143" s="135"/>
      <c r="S143" s="163">
        <v>1</v>
      </c>
      <c r="T143" s="163">
        <v>1</v>
      </c>
      <c r="U143" s="163">
        <v>1</v>
      </c>
      <c r="V143" s="135"/>
      <c r="W143" s="135"/>
      <c r="X143" s="163"/>
      <c r="Y143" s="135">
        <v>1020</v>
      </c>
      <c r="Z143" s="135">
        <v>1300</v>
      </c>
      <c r="AA143" s="135">
        <v>300</v>
      </c>
      <c r="AB143" s="135">
        <v>2</v>
      </c>
      <c r="AC143" s="135"/>
      <c r="AD143" s="135"/>
      <c r="AE143" s="135">
        <v>4</v>
      </c>
      <c r="AF143" s="163">
        <v>1</v>
      </c>
      <c r="AG143" s="169">
        <v>100</v>
      </c>
      <c r="AH143" s="135"/>
      <c r="AI143" s="135"/>
      <c r="AJ143" s="135"/>
      <c r="AK143" s="135">
        <v>0</v>
      </c>
      <c r="AL143" s="135">
        <v>21005</v>
      </c>
      <c r="AM143" s="135">
        <v>1000</v>
      </c>
      <c r="AN143" s="135"/>
      <c r="AO143" s="130" t="s">
        <v>327</v>
      </c>
      <c r="AP143" s="130" t="s">
        <v>272</v>
      </c>
      <c r="AQ143" s="130" t="s">
        <v>328</v>
      </c>
      <c r="AR143" s="130" t="s">
        <v>329</v>
      </c>
      <c r="AS143" s="130" t="s">
        <v>328</v>
      </c>
      <c r="AT143" s="130" t="s">
        <v>329</v>
      </c>
      <c r="AU143" s="130" t="s">
        <v>4584</v>
      </c>
      <c r="AV143" s="130" t="s">
        <v>266</v>
      </c>
      <c r="AW143" s="104" t="s">
        <v>248</v>
      </c>
      <c r="AX143" s="130" t="s">
        <v>249</v>
      </c>
      <c r="AY143" s="130"/>
      <c r="AZ143" s="130"/>
      <c r="BA143" s="130"/>
      <c r="BB143" s="179"/>
      <c r="BC143" s="179"/>
      <c r="BD143" s="104"/>
      <c r="BE143" s="130"/>
      <c r="BF143" s="138">
        <v>10611</v>
      </c>
      <c r="BG143" s="130"/>
      <c r="BH143" s="185" t="s">
        <v>324</v>
      </c>
      <c r="BI143" s="130" t="s">
        <v>280</v>
      </c>
      <c r="BJ143" s="130" t="s">
        <v>297</v>
      </c>
      <c r="BK143" s="130" t="s">
        <v>253</v>
      </c>
      <c r="BL143" s="135"/>
      <c r="BM143" s="135"/>
      <c r="BN143" s="135"/>
      <c r="BO143" s="163">
        <v>100</v>
      </c>
      <c r="BP143" s="163">
        <v>200</v>
      </c>
      <c r="BQ143" s="130" t="s">
        <v>241</v>
      </c>
      <c r="BR143" s="135">
        <v>2</v>
      </c>
      <c r="BS143" s="135"/>
      <c r="BT143" s="163">
        <v>50</v>
      </c>
      <c r="BU143" s="163">
        <v>40</v>
      </c>
      <c r="BV143" s="130"/>
      <c r="BW143" s="104"/>
      <c r="BX143" s="135"/>
      <c r="BY143" s="135"/>
      <c r="BZ143" s="135">
        <v>1</v>
      </c>
      <c r="CA143" s="135">
        <v>1</v>
      </c>
      <c r="CB143" s="135">
        <v>1</v>
      </c>
      <c r="CC143" s="135">
        <v>1</v>
      </c>
      <c r="CD143" s="135">
        <v>1</v>
      </c>
      <c r="CE143" s="135">
        <v>1</v>
      </c>
      <c r="CF143" s="135">
        <v>1</v>
      </c>
      <c r="CG143" s="135">
        <v>1</v>
      </c>
      <c r="CH143" s="163"/>
      <c r="CI143" s="130"/>
      <c r="CJ143" s="135"/>
      <c r="CK143" s="135"/>
      <c r="CL143" s="130"/>
      <c r="CM143" s="193">
        <v>200203</v>
      </c>
      <c r="CN143" s="193"/>
      <c r="CO143" s="193"/>
      <c r="CP143" s="193">
        <v>200203</v>
      </c>
      <c r="CQ143" s="193"/>
      <c r="CR143" s="193"/>
    </row>
    <row r="144" spans="1:96" ht="15.75" customHeight="1" x14ac:dyDescent="0.35">
      <c r="A144" s="295" t="s">
        <v>478</v>
      </c>
      <c r="B144" s="80" t="s">
        <v>479</v>
      </c>
      <c r="C144" s="91" t="s">
        <v>480</v>
      </c>
      <c r="D144" s="138">
        <v>13101</v>
      </c>
      <c r="E144" s="135">
        <v>70301</v>
      </c>
      <c r="F144" s="135"/>
      <c r="G144" s="139"/>
      <c r="H144" s="135">
        <v>0</v>
      </c>
      <c r="I144" s="135"/>
      <c r="J144" s="135"/>
      <c r="K144" s="135">
        <v>1</v>
      </c>
      <c r="L144" s="139"/>
      <c r="M144" s="139"/>
      <c r="N144" s="139"/>
      <c r="O144" s="154"/>
      <c r="P144" s="135">
        <v>3</v>
      </c>
      <c r="Q144" s="135">
        <v>3</v>
      </c>
      <c r="R144" s="135"/>
      <c r="S144" s="163">
        <v>1</v>
      </c>
      <c r="T144" s="163">
        <v>1</v>
      </c>
      <c r="U144" s="163">
        <v>1</v>
      </c>
      <c r="V144" s="135"/>
      <c r="W144" s="135"/>
      <c r="X144" s="163"/>
      <c r="Y144" s="135">
        <v>1824</v>
      </c>
      <c r="Z144" s="135">
        <v>1000</v>
      </c>
      <c r="AA144" s="135">
        <v>300</v>
      </c>
      <c r="AB144" s="135">
        <v>3</v>
      </c>
      <c r="AC144" s="135"/>
      <c r="AD144" s="135"/>
      <c r="AE144" s="135"/>
      <c r="AF144" s="163">
        <v>1</v>
      </c>
      <c r="AG144" s="169">
        <v>100</v>
      </c>
      <c r="AH144" s="135"/>
      <c r="AI144" s="135"/>
      <c r="AJ144" s="135"/>
      <c r="AK144" s="135">
        <v>0</v>
      </c>
      <c r="AL144" s="135">
        <v>21002</v>
      </c>
      <c r="AM144" s="135">
        <v>1000</v>
      </c>
      <c r="AN144" s="135"/>
      <c r="AO144" s="130" t="s">
        <v>265</v>
      </c>
      <c r="AP144" s="130" t="s">
        <v>246</v>
      </c>
      <c r="AQ144" s="130" t="s">
        <v>265</v>
      </c>
      <c r="AR144" s="130" t="s">
        <v>246</v>
      </c>
      <c r="AS144" s="130" t="s">
        <v>265</v>
      </c>
      <c r="AT144" s="130" t="s">
        <v>246</v>
      </c>
      <c r="AU144" s="130"/>
      <c r="AV144" s="130"/>
      <c r="AW144" s="104" t="s">
        <v>248</v>
      </c>
      <c r="AX144" s="130" t="s">
        <v>249</v>
      </c>
      <c r="AY144" s="130"/>
      <c r="AZ144" s="130"/>
      <c r="BA144" s="130"/>
      <c r="BB144" s="179"/>
      <c r="BC144" s="179"/>
      <c r="BD144" s="104"/>
      <c r="BE144" s="130"/>
      <c r="BF144" s="135">
        <v>13101</v>
      </c>
      <c r="BG144" s="130"/>
      <c r="BH144" s="185" t="s">
        <v>267</v>
      </c>
      <c r="BI144" s="130" t="s">
        <v>293</v>
      </c>
      <c r="BJ144" s="130" t="s">
        <v>269</v>
      </c>
      <c r="BK144" s="130" t="s">
        <v>253</v>
      </c>
      <c r="BL144" s="135"/>
      <c r="BM144" s="135"/>
      <c r="BN144" s="135"/>
      <c r="BO144" s="163">
        <v>150</v>
      </c>
      <c r="BP144" s="163">
        <v>200</v>
      </c>
      <c r="BQ144" s="130" t="s">
        <v>241</v>
      </c>
      <c r="BR144" s="135">
        <v>1</v>
      </c>
      <c r="BS144" s="135"/>
      <c r="BT144" s="163">
        <v>50</v>
      </c>
      <c r="BU144" s="163">
        <v>50</v>
      </c>
      <c r="BV144" s="130"/>
      <c r="BW144" s="104"/>
      <c r="BX144" s="135"/>
      <c r="BY144" s="135"/>
      <c r="BZ144" s="135">
        <v>3</v>
      </c>
      <c r="CA144" s="135">
        <v>3</v>
      </c>
      <c r="CB144" s="135">
        <v>2</v>
      </c>
      <c r="CC144" s="135">
        <v>3</v>
      </c>
      <c r="CD144" s="135">
        <v>6</v>
      </c>
      <c r="CE144" s="135">
        <v>8</v>
      </c>
      <c r="CF144" s="135">
        <v>2</v>
      </c>
      <c r="CG144" s="135">
        <v>3</v>
      </c>
      <c r="CH144" s="163">
        <v>1</v>
      </c>
      <c r="CI144" s="130" t="s">
        <v>4552</v>
      </c>
      <c r="CJ144" s="135"/>
      <c r="CK144" s="135"/>
      <c r="CL144" s="130"/>
      <c r="CM144" s="193">
        <v>100005</v>
      </c>
      <c r="CN144" s="193">
        <v>100057</v>
      </c>
      <c r="CO144" s="193"/>
      <c r="CP144" s="193">
        <v>100005</v>
      </c>
      <c r="CQ144" s="193"/>
      <c r="CR144" s="193"/>
    </row>
    <row r="145" spans="1:96" ht="15.75" customHeight="1" x14ac:dyDescent="0.35">
      <c r="A145" s="288"/>
      <c r="B145" s="80" t="s">
        <v>481</v>
      </c>
      <c r="C145" s="92" t="s">
        <v>482</v>
      </c>
      <c r="D145" s="138">
        <v>13111</v>
      </c>
      <c r="E145" s="135">
        <v>70302</v>
      </c>
      <c r="F145" s="135"/>
      <c r="G145" s="139"/>
      <c r="H145" s="135"/>
      <c r="I145" s="135"/>
      <c r="J145" s="135"/>
      <c r="K145" s="135">
        <v>1</v>
      </c>
      <c r="L145" s="139"/>
      <c r="M145" s="139"/>
      <c r="N145" s="139"/>
      <c r="O145" s="154"/>
      <c r="P145" s="135">
        <v>2</v>
      </c>
      <c r="Q145" s="135">
        <v>3</v>
      </c>
      <c r="R145" s="135"/>
      <c r="S145" s="163">
        <v>1</v>
      </c>
      <c r="T145" s="163">
        <v>1</v>
      </c>
      <c r="U145" s="163">
        <v>1</v>
      </c>
      <c r="V145" s="135"/>
      <c r="W145" s="135"/>
      <c r="X145" s="163"/>
      <c r="Y145" s="135">
        <v>1821</v>
      </c>
      <c r="Z145" s="135">
        <v>850</v>
      </c>
      <c r="AA145" s="135">
        <v>400</v>
      </c>
      <c r="AB145" s="135"/>
      <c r="AC145" s="135"/>
      <c r="AD145" s="135"/>
      <c r="AE145" s="135"/>
      <c r="AF145" s="163">
        <v>1</v>
      </c>
      <c r="AG145" s="169">
        <v>100</v>
      </c>
      <c r="AH145" s="135"/>
      <c r="AI145" s="135"/>
      <c r="AJ145" s="135"/>
      <c r="AK145" s="135">
        <v>0</v>
      </c>
      <c r="AL145" s="135">
        <v>21002</v>
      </c>
      <c r="AM145" s="135">
        <v>1000</v>
      </c>
      <c r="AN145" s="135"/>
      <c r="AO145" s="130" t="s">
        <v>265</v>
      </c>
      <c r="AP145" s="130" t="s">
        <v>246</v>
      </c>
      <c r="AQ145" s="130" t="s">
        <v>265</v>
      </c>
      <c r="AR145" s="130" t="s">
        <v>246</v>
      </c>
      <c r="AS145" s="130" t="s">
        <v>265</v>
      </c>
      <c r="AT145" s="130" t="s">
        <v>246</v>
      </c>
      <c r="AU145" s="130"/>
      <c r="AV145" s="130" t="s">
        <v>266</v>
      </c>
      <c r="AW145" s="104" t="s">
        <v>248</v>
      </c>
      <c r="AX145" s="130" t="s">
        <v>249</v>
      </c>
      <c r="AY145" s="130"/>
      <c r="AZ145" s="130"/>
      <c r="BA145" s="130"/>
      <c r="BB145" s="179"/>
      <c r="BC145" s="179"/>
      <c r="BD145" s="104"/>
      <c r="BE145" s="130"/>
      <c r="BF145" s="135">
        <v>13111</v>
      </c>
      <c r="BG145" s="130"/>
      <c r="BH145" s="185" t="s">
        <v>267</v>
      </c>
      <c r="BI145" s="130" t="s">
        <v>363</v>
      </c>
      <c r="BJ145" s="130" t="s">
        <v>269</v>
      </c>
      <c r="BK145" s="130" t="s">
        <v>253</v>
      </c>
      <c r="BL145" s="135"/>
      <c r="BM145" s="135"/>
      <c r="BN145" s="135"/>
      <c r="BO145" s="163">
        <v>100</v>
      </c>
      <c r="BP145" s="163">
        <v>200</v>
      </c>
      <c r="BQ145" s="130" t="s">
        <v>241</v>
      </c>
      <c r="BR145" s="135">
        <v>1</v>
      </c>
      <c r="BS145" s="135"/>
      <c r="BT145" s="163">
        <v>50</v>
      </c>
      <c r="BU145" s="163">
        <v>40</v>
      </c>
      <c r="BV145" s="130"/>
      <c r="BW145" s="104"/>
      <c r="BX145" s="135"/>
      <c r="BY145" s="135"/>
      <c r="BZ145" s="135">
        <v>1</v>
      </c>
      <c r="CA145" s="135">
        <v>2</v>
      </c>
      <c r="CB145" s="135">
        <v>1</v>
      </c>
      <c r="CC145" s="135">
        <v>2</v>
      </c>
      <c r="CD145" s="135">
        <v>1</v>
      </c>
      <c r="CE145" s="135">
        <v>1</v>
      </c>
      <c r="CF145" s="135">
        <v>1</v>
      </c>
      <c r="CG145" s="135">
        <v>1</v>
      </c>
      <c r="CH145" s="163">
        <v>5</v>
      </c>
      <c r="CI145" s="130" t="s">
        <v>4552</v>
      </c>
      <c r="CJ145" s="135"/>
      <c r="CK145" s="135"/>
      <c r="CL145" s="130"/>
      <c r="CM145" s="193">
        <v>100005</v>
      </c>
      <c r="CN145" s="193">
        <v>100057</v>
      </c>
      <c r="CO145" s="193"/>
      <c r="CP145" s="193">
        <v>100005</v>
      </c>
      <c r="CQ145" s="193"/>
      <c r="CR145" s="193"/>
    </row>
    <row r="146" spans="1:96" ht="15.75" customHeight="1" x14ac:dyDescent="0.35">
      <c r="A146" s="288"/>
      <c r="B146" s="80" t="s">
        <v>483</v>
      </c>
      <c r="C146" s="92" t="s">
        <v>382</v>
      </c>
      <c r="D146" s="138">
        <v>13121</v>
      </c>
      <c r="E146" s="135">
        <v>70303</v>
      </c>
      <c r="F146" s="135"/>
      <c r="G146" s="139"/>
      <c r="H146" s="135">
        <v>0</v>
      </c>
      <c r="I146" s="135"/>
      <c r="J146" s="135"/>
      <c r="K146" s="135">
        <v>1</v>
      </c>
      <c r="L146" s="139"/>
      <c r="M146" s="139"/>
      <c r="N146" s="139"/>
      <c r="O146" s="154"/>
      <c r="P146" s="135">
        <v>3</v>
      </c>
      <c r="Q146" s="135">
        <v>3</v>
      </c>
      <c r="R146" s="135"/>
      <c r="S146" s="163">
        <v>1</v>
      </c>
      <c r="T146" s="163">
        <v>1</v>
      </c>
      <c r="U146" s="163">
        <v>1</v>
      </c>
      <c r="V146" s="135"/>
      <c r="W146" s="135"/>
      <c r="X146" s="163"/>
      <c r="Y146" s="135">
        <v>1216</v>
      </c>
      <c r="Z146" s="135">
        <v>1000</v>
      </c>
      <c r="AA146" s="135">
        <v>200</v>
      </c>
      <c r="AB146" s="135">
        <v>3</v>
      </c>
      <c r="AC146" s="135"/>
      <c r="AD146" s="135"/>
      <c r="AE146" s="135"/>
      <c r="AF146" s="163">
        <v>1</v>
      </c>
      <c r="AG146" s="169">
        <v>100</v>
      </c>
      <c r="AH146" s="135"/>
      <c r="AI146" s="135"/>
      <c r="AJ146" s="135"/>
      <c r="AK146" s="135">
        <v>0</v>
      </c>
      <c r="AL146" s="135">
        <v>21002</v>
      </c>
      <c r="AM146" s="135">
        <v>1000</v>
      </c>
      <c r="AN146" s="135"/>
      <c r="AO146" s="130" t="s">
        <v>265</v>
      </c>
      <c r="AP146" s="130" t="s">
        <v>246</v>
      </c>
      <c r="AQ146" s="130" t="s">
        <v>265</v>
      </c>
      <c r="AR146" s="130" t="s">
        <v>246</v>
      </c>
      <c r="AS146" s="130" t="s">
        <v>265</v>
      </c>
      <c r="AT146" s="130" t="s">
        <v>246</v>
      </c>
      <c r="AU146" s="130"/>
      <c r="AV146" s="130"/>
      <c r="AW146" s="104" t="s">
        <v>248</v>
      </c>
      <c r="AX146" s="130" t="s">
        <v>249</v>
      </c>
      <c r="AY146" s="130"/>
      <c r="AZ146" s="130"/>
      <c r="BA146" s="130"/>
      <c r="BB146" s="179"/>
      <c r="BC146" s="179"/>
      <c r="BD146" s="104"/>
      <c r="BE146" s="130"/>
      <c r="BF146" s="135">
        <v>13121</v>
      </c>
      <c r="BG146" s="130"/>
      <c r="BH146" s="185" t="s">
        <v>267</v>
      </c>
      <c r="BI146" s="130" t="s">
        <v>251</v>
      </c>
      <c r="BJ146" s="130" t="s">
        <v>275</v>
      </c>
      <c r="BK146" s="130" t="s">
        <v>253</v>
      </c>
      <c r="BL146" s="135"/>
      <c r="BM146" s="135"/>
      <c r="BN146" s="135"/>
      <c r="BO146" s="163">
        <v>150</v>
      </c>
      <c r="BP146" s="163">
        <v>200</v>
      </c>
      <c r="BQ146" s="130" t="s">
        <v>241</v>
      </c>
      <c r="BR146" s="135">
        <v>1</v>
      </c>
      <c r="BS146" s="135"/>
      <c r="BT146" s="163">
        <v>50</v>
      </c>
      <c r="BU146" s="163">
        <v>50</v>
      </c>
      <c r="BV146" s="130"/>
      <c r="BW146" s="104"/>
      <c r="BX146" s="135"/>
      <c r="BY146" s="135"/>
      <c r="BZ146" s="135">
        <v>3</v>
      </c>
      <c r="CA146" s="135">
        <v>3</v>
      </c>
      <c r="CB146" s="135">
        <v>2</v>
      </c>
      <c r="CC146" s="135">
        <v>3</v>
      </c>
      <c r="CD146" s="135">
        <v>6</v>
      </c>
      <c r="CE146" s="135">
        <v>8</v>
      </c>
      <c r="CF146" s="135">
        <v>2</v>
      </c>
      <c r="CG146" s="135">
        <v>3</v>
      </c>
      <c r="CH146" s="163">
        <v>2</v>
      </c>
      <c r="CI146" s="130" t="s">
        <v>4551</v>
      </c>
      <c r="CJ146" s="135"/>
      <c r="CK146" s="135"/>
      <c r="CL146" s="130"/>
      <c r="CM146" s="193">
        <v>100005</v>
      </c>
      <c r="CN146" s="193">
        <v>100057</v>
      </c>
      <c r="CO146" s="193"/>
      <c r="CP146" s="193">
        <v>100005</v>
      </c>
      <c r="CQ146" s="193"/>
      <c r="CR146" s="193"/>
    </row>
    <row r="147" spans="1:96" ht="15.75" customHeight="1" x14ac:dyDescent="0.35">
      <c r="A147" s="288"/>
      <c r="B147" s="231" t="s">
        <v>4461</v>
      </c>
      <c r="C147" s="92" t="s">
        <v>386</v>
      </c>
      <c r="D147" s="138">
        <v>13201</v>
      </c>
      <c r="E147" s="135">
        <v>70304</v>
      </c>
      <c r="F147" s="135"/>
      <c r="G147" s="139"/>
      <c r="H147" s="135">
        <v>0</v>
      </c>
      <c r="I147" s="135"/>
      <c r="J147" s="135"/>
      <c r="K147" s="135">
        <v>1</v>
      </c>
      <c r="L147" s="139"/>
      <c r="M147" s="139"/>
      <c r="N147" s="139"/>
      <c r="O147" s="154"/>
      <c r="P147" s="135">
        <v>0</v>
      </c>
      <c r="Q147" s="135">
        <v>3</v>
      </c>
      <c r="R147" s="135"/>
      <c r="S147" s="163">
        <v>1</v>
      </c>
      <c r="T147" s="163">
        <v>1</v>
      </c>
      <c r="U147" s="163">
        <v>1</v>
      </c>
      <c r="V147" s="135"/>
      <c r="W147" s="135"/>
      <c r="X147" s="163"/>
      <c r="Y147" s="135">
        <v>1829</v>
      </c>
      <c r="Z147" s="135">
        <v>1300</v>
      </c>
      <c r="AA147" s="135">
        <v>300</v>
      </c>
      <c r="AB147" s="135"/>
      <c r="AC147" s="135"/>
      <c r="AD147" s="135"/>
      <c r="AE147" s="135"/>
      <c r="AF147" s="163">
        <v>1</v>
      </c>
      <c r="AG147" s="169">
        <v>100</v>
      </c>
      <c r="AH147" s="135"/>
      <c r="AI147" s="135"/>
      <c r="AJ147" s="135"/>
      <c r="AK147" s="135">
        <v>0</v>
      </c>
      <c r="AL147" s="135">
        <v>24020</v>
      </c>
      <c r="AM147" s="135">
        <v>1000</v>
      </c>
      <c r="AN147" s="135"/>
      <c r="AO147" s="130" t="s">
        <v>4459</v>
      </c>
      <c r="AP147" s="130" t="s">
        <v>272</v>
      </c>
      <c r="AQ147" s="130" t="s">
        <v>4459</v>
      </c>
      <c r="AR147" s="174" t="s">
        <v>4460</v>
      </c>
      <c r="AS147" s="130" t="s">
        <v>4459</v>
      </c>
      <c r="AT147" s="174" t="s">
        <v>4460</v>
      </c>
      <c r="AU147" s="130" t="s">
        <v>4586</v>
      </c>
      <c r="AV147" s="130" t="s">
        <v>251</v>
      </c>
      <c r="AW147" s="104" t="s">
        <v>248</v>
      </c>
      <c r="AX147" s="130" t="s">
        <v>249</v>
      </c>
      <c r="AY147" s="130"/>
      <c r="AZ147" s="130"/>
      <c r="BA147" s="130"/>
      <c r="BB147" s="179"/>
      <c r="BC147" s="179"/>
      <c r="BD147" s="104"/>
      <c r="BE147" s="130"/>
      <c r="BF147" s="135">
        <v>13271</v>
      </c>
      <c r="BG147" s="130"/>
      <c r="BH147" s="185" t="s">
        <v>267</v>
      </c>
      <c r="BI147" s="130" t="s">
        <v>251</v>
      </c>
      <c r="BJ147" s="130" t="s">
        <v>297</v>
      </c>
      <c r="BK147" s="130" t="s">
        <v>253</v>
      </c>
      <c r="BL147" s="135"/>
      <c r="BM147" s="135"/>
      <c r="BN147" s="135"/>
      <c r="BO147" s="163">
        <v>100</v>
      </c>
      <c r="BP147" s="163">
        <v>200</v>
      </c>
      <c r="BQ147" s="130" t="s">
        <v>241</v>
      </c>
      <c r="BR147" s="135">
        <v>1</v>
      </c>
      <c r="BS147" s="135"/>
      <c r="BT147" s="163">
        <v>50</v>
      </c>
      <c r="BU147" s="163">
        <v>30</v>
      </c>
      <c r="BV147" s="130"/>
      <c r="BW147" s="104"/>
      <c r="BX147" s="135"/>
      <c r="BY147" s="135"/>
      <c r="BZ147" s="135">
        <v>1</v>
      </c>
      <c r="CA147" s="135">
        <v>1</v>
      </c>
      <c r="CB147" s="135">
        <v>1</v>
      </c>
      <c r="CC147" s="135">
        <v>1</v>
      </c>
      <c r="CD147" s="135">
        <v>1</v>
      </c>
      <c r="CE147" s="135">
        <v>1</v>
      </c>
      <c r="CF147" s="135">
        <v>1</v>
      </c>
      <c r="CG147" s="135">
        <v>1</v>
      </c>
      <c r="CH147" s="179">
        <v>1</v>
      </c>
      <c r="CI147" s="130" t="s">
        <v>4550</v>
      </c>
      <c r="CJ147" s="135"/>
      <c r="CK147" s="135"/>
      <c r="CL147" s="130"/>
      <c r="CM147" s="193">
        <v>100005</v>
      </c>
      <c r="CN147" s="193">
        <v>100057</v>
      </c>
      <c r="CO147" s="193"/>
      <c r="CP147" s="193">
        <v>100005</v>
      </c>
      <c r="CQ147" s="193"/>
      <c r="CR147" s="193"/>
    </row>
    <row r="148" spans="1:96" ht="15.75" customHeight="1" x14ac:dyDescent="0.35">
      <c r="A148" s="288"/>
      <c r="B148" s="94" t="s">
        <v>485</v>
      </c>
      <c r="C148" s="92" t="s">
        <v>386</v>
      </c>
      <c r="D148" s="138">
        <v>13211</v>
      </c>
      <c r="E148" s="135">
        <v>70305</v>
      </c>
      <c r="F148" s="135"/>
      <c r="G148" s="139"/>
      <c r="H148" s="135"/>
      <c r="I148" s="135"/>
      <c r="J148" s="135"/>
      <c r="K148" s="135">
        <v>1</v>
      </c>
      <c r="L148" s="139"/>
      <c r="M148" s="139"/>
      <c r="N148" s="139"/>
      <c r="O148" s="154"/>
      <c r="P148" s="135">
        <v>2</v>
      </c>
      <c r="Q148" s="135">
        <v>3</v>
      </c>
      <c r="R148" s="135"/>
      <c r="S148" s="163">
        <v>1</v>
      </c>
      <c r="T148" s="163">
        <v>1</v>
      </c>
      <c r="U148" s="163">
        <v>1</v>
      </c>
      <c r="V148" s="135"/>
      <c r="W148" s="135"/>
      <c r="X148" s="163"/>
      <c r="Y148" s="135">
        <v>1827</v>
      </c>
      <c r="Z148" s="135">
        <v>1000</v>
      </c>
      <c r="AA148" s="135">
        <v>300</v>
      </c>
      <c r="AB148" s="135"/>
      <c r="AC148" s="135"/>
      <c r="AD148" s="135"/>
      <c r="AE148" s="135"/>
      <c r="AF148" s="163">
        <v>1</v>
      </c>
      <c r="AG148" s="169">
        <v>100</v>
      </c>
      <c r="AH148" s="135"/>
      <c r="AI148" s="135"/>
      <c r="AJ148" s="135"/>
      <c r="AK148" s="135">
        <v>0</v>
      </c>
      <c r="AL148" s="135">
        <v>21002</v>
      </c>
      <c r="AM148" s="135">
        <v>1000</v>
      </c>
      <c r="AN148" s="135"/>
      <c r="AO148" s="130" t="s">
        <v>265</v>
      </c>
      <c r="AP148" s="130" t="s">
        <v>246</v>
      </c>
      <c r="AQ148" s="130" t="s">
        <v>265</v>
      </c>
      <c r="AR148" s="130" t="s">
        <v>246</v>
      </c>
      <c r="AS148" s="130" t="s">
        <v>265</v>
      </c>
      <c r="AT148" s="130" t="s">
        <v>246</v>
      </c>
      <c r="AU148" s="130"/>
      <c r="AV148" s="130" t="s">
        <v>266</v>
      </c>
      <c r="AW148" s="104" t="s">
        <v>248</v>
      </c>
      <c r="AX148" s="130" t="s">
        <v>249</v>
      </c>
      <c r="AY148" s="130"/>
      <c r="AZ148" s="130"/>
      <c r="BA148" s="130"/>
      <c r="BB148" s="179"/>
      <c r="BC148" s="179"/>
      <c r="BD148" s="104"/>
      <c r="BE148" s="130"/>
      <c r="BF148" s="135">
        <v>13211</v>
      </c>
      <c r="BG148" s="130"/>
      <c r="BH148" s="185" t="s">
        <v>267</v>
      </c>
      <c r="BI148" s="130" t="s">
        <v>363</v>
      </c>
      <c r="BJ148" s="130" t="s">
        <v>297</v>
      </c>
      <c r="BK148" s="130" t="s">
        <v>253</v>
      </c>
      <c r="BL148" s="135"/>
      <c r="BM148" s="135"/>
      <c r="BN148" s="135"/>
      <c r="BO148" s="163">
        <v>100</v>
      </c>
      <c r="BP148" s="163">
        <v>200</v>
      </c>
      <c r="BQ148" s="130" t="s">
        <v>241</v>
      </c>
      <c r="BR148" s="135">
        <v>1</v>
      </c>
      <c r="BS148" s="135"/>
      <c r="BT148" s="163">
        <v>50</v>
      </c>
      <c r="BU148" s="163">
        <v>40</v>
      </c>
      <c r="BV148" s="130"/>
      <c r="BW148" s="104"/>
      <c r="BX148" s="135"/>
      <c r="BY148" s="135"/>
      <c r="BZ148" s="135">
        <v>1</v>
      </c>
      <c r="CA148" s="135">
        <v>2</v>
      </c>
      <c r="CB148" s="135">
        <v>1</v>
      </c>
      <c r="CC148" s="135">
        <v>2</v>
      </c>
      <c r="CD148" s="135">
        <v>1</v>
      </c>
      <c r="CE148" s="135">
        <v>1</v>
      </c>
      <c r="CF148" s="135">
        <v>1</v>
      </c>
      <c r="CG148" s="135">
        <v>1</v>
      </c>
      <c r="CH148" s="163">
        <v>1</v>
      </c>
      <c r="CI148" s="130" t="s">
        <v>4549</v>
      </c>
      <c r="CJ148" s="135"/>
      <c r="CK148" s="135"/>
      <c r="CL148" s="130"/>
      <c r="CM148" s="193">
        <v>100005</v>
      </c>
      <c r="CN148" s="193">
        <v>100057</v>
      </c>
      <c r="CO148" s="193"/>
      <c r="CP148" s="193">
        <v>100005</v>
      </c>
      <c r="CQ148" s="193"/>
      <c r="CR148" s="193"/>
    </row>
    <row r="149" spans="1:96" ht="15.75" customHeight="1" x14ac:dyDescent="0.35">
      <c r="A149" s="288"/>
      <c r="B149" s="81" t="s">
        <v>486</v>
      </c>
      <c r="C149" s="92" t="s">
        <v>382</v>
      </c>
      <c r="D149" s="138">
        <v>13221</v>
      </c>
      <c r="E149" s="135">
        <v>70306</v>
      </c>
      <c r="F149" s="135"/>
      <c r="G149" s="139"/>
      <c r="H149" s="135">
        <v>0</v>
      </c>
      <c r="I149" s="135"/>
      <c r="J149" s="135"/>
      <c r="K149" s="135">
        <v>1</v>
      </c>
      <c r="L149" s="139"/>
      <c r="M149" s="139"/>
      <c r="N149" s="139"/>
      <c r="O149" s="154"/>
      <c r="P149" s="135">
        <v>3</v>
      </c>
      <c r="Q149" s="135">
        <v>3</v>
      </c>
      <c r="R149" s="135"/>
      <c r="S149" s="163">
        <v>1</v>
      </c>
      <c r="T149" s="163">
        <v>1</v>
      </c>
      <c r="U149" s="163">
        <v>1</v>
      </c>
      <c r="V149" s="135"/>
      <c r="W149" s="135"/>
      <c r="X149" s="163"/>
      <c r="Y149" s="135">
        <v>1828</v>
      </c>
      <c r="Z149" s="135">
        <v>600</v>
      </c>
      <c r="AA149" s="135">
        <v>300</v>
      </c>
      <c r="AB149" s="135">
        <v>3</v>
      </c>
      <c r="AC149" s="135"/>
      <c r="AD149" s="135"/>
      <c r="AE149" s="135"/>
      <c r="AF149" s="163">
        <v>1</v>
      </c>
      <c r="AG149" s="169">
        <v>100</v>
      </c>
      <c r="AH149" s="135"/>
      <c r="AI149" s="135"/>
      <c r="AJ149" s="135"/>
      <c r="AK149" s="135">
        <v>0</v>
      </c>
      <c r="AL149" s="135">
        <v>21002</v>
      </c>
      <c r="AM149" s="135">
        <v>1000</v>
      </c>
      <c r="AN149" s="135"/>
      <c r="AO149" s="130" t="s">
        <v>265</v>
      </c>
      <c r="AP149" s="130" t="s">
        <v>246</v>
      </c>
      <c r="AQ149" s="130" t="s">
        <v>265</v>
      </c>
      <c r="AR149" s="130" t="s">
        <v>246</v>
      </c>
      <c r="AS149" s="130" t="s">
        <v>265</v>
      </c>
      <c r="AT149" s="130" t="s">
        <v>246</v>
      </c>
      <c r="AU149" s="130"/>
      <c r="AV149" s="130"/>
      <c r="AW149" s="104" t="s">
        <v>248</v>
      </c>
      <c r="AX149" s="130" t="s">
        <v>249</v>
      </c>
      <c r="AY149" s="130"/>
      <c r="AZ149" s="130"/>
      <c r="BA149" s="130"/>
      <c r="BB149" s="179"/>
      <c r="BC149" s="179"/>
      <c r="BD149" s="104"/>
      <c r="BE149" s="130"/>
      <c r="BF149" s="135">
        <v>13221</v>
      </c>
      <c r="BG149" s="130"/>
      <c r="BH149" s="185" t="s">
        <v>267</v>
      </c>
      <c r="BI149" s="130" t="s">
        <v>251</v>
      </c>
      <c r="BJ149" s="130" t="s">
        <v>275</v>
      </c>
      <c r="BK149" s="130" t="s">
        <v>253</v>
      </c>
      <c r="BL149" s="135"/>
      <c r="BM149" s="135"/>
      <c r="BN149" s="135"/>
      <c r="BO149" s="163">
        <v>150</v>
      </c>
      <c r="BP149" s="163">
        <v>200</v>
      </c>
      <c r="BQ149" s="130" t="s">
        <v>241</v>
      </c>
      <c r="BR149" s="135">
        <v>1</v>
      </c>
      <c r="BS149" s="135"/>
      <c r="BT149" s="163">
        <v>50</v>
      </c>
      <c r="BU149" s="163">
        <v>50</v>
      </c>
      <c r="BV149" s="130"/>
      <c r="BW149" s="104"/>
      <c r="BX149" s="135"/>
      <c r="BY149" s="135"/>
      <c r="BZ149" s="135">
        <v>3</v>
      </c>
      <c r="CA149" s="135">
        <v>3</v>
      </c>
      <c r="CB149" s="135">
        <v>2</v>
      </c>
      <c r="CC149" s="135">
        <v>3</v>
      </c>
      <c r="CD149" s="135">
        <v>6</v>
      </c>
      <c r="CE149" s="135">
        <v>8</v>
      </c>
      <c r="CF149" s="135">
        <v>2</v>
      </c>
      <c r="CG149" s="135">
        <v>3</v>
      </c>
      <c r="CH149" s="163">
        <v>2</v>
      </c>
      <c r="CI149" s="130" t="s">
        <v>4548</v>
      </c>
      <c r="CJ149" s="135"/>
      <c r="CK149" s="135"/>
      <c r="CL149" s="130"/>
      <c r="CM149" s="193">
        <v>100005</v>
      </c>
      <c r="CN149" s="193">
        <v>100057</v>
      </c>
      <c r="CO149" s="193"/>
      <c r="CP149" s="193">
        <v>100005</v>
      </c>
      <c r="CQ149" s="193"/>
      <c r="CR149" s="193"/>
    </row>
    <row r="150" spans="1:96" ht="15.75" customHeight="1" x14ac:dyDescent="0.35">
      <c r="A150" s="288"/>
      <c r="B150" s="81" t="s">
        <v>487</v>
      </c>
      <c r="C150" s="92" t="s">
        <v>382</v>
      </c>
      <c r="D150" s="138">
        <v>13231</v>
      </c>
      <c r="E150" s="135">
        <v>70307</v>
      </c>
      <c r="F150" s="135"/>
      <c r="G150" s="139"/>
      <c r="H150" s="135"/>
      <c r="I150" s="135"/>
      <c r="J150" s="135"/>
      <c r="K150" s="135">
        <v>1</v>
      </c>
      <c r="L150" s="139"/>
      <c r="M150" s="139"/>
      <c r="N150" s="139"/>
      <c r="O150" s="154"/>
      <c r="P150" s="135">
        <v>3</v>
      </c>
      <c r="Q150" s="135">
        <v>2</v>
      </c>
      <c r="R150" s="135"/>
      <c r="S150" s="163">
        <v>1</v>
      </c>
      <c r="T150" s="163">
        <v>1</v>
      </c>
      <c r="U150" s="163">
        <v>1</v>
      </c>
      <c r="V150" s="135"/>
      <c r="W150" s="135"/>
      <c r="X150" s="163"/>
      <c r="Y150" s="135">
        <v>1830</v>
      </c>
      <c r="Z150" s="135">
        <v>1000</v>
      </c>
      <c r="AA150" s="135">
        <v>300</v>
      </c>
      <c r="AB150" s="135"/>
      <c r="AC150" s="135"/>
      <c r="AD150" s="135"/>
      <c r="AE150" s="135"/>
      <c r="AF150" s="163">
        <v>1</v>
      </c>
      <c r="AG150" s="169">
        <v>100</v>
      </c>
      <c r="AH150" s="135"/>
      <c r="AI150" s="135"/>
      <c r="AJ150" s="135"/>
      <c r="AK150" s="135">
        <v>0</v>
      </c>
      <c r="AL150" s="135">
        <v>21002</v>
      </c>
      <c r="AM150" s="135">
        <v>1000</v>
      </c>
      <c r="AN150" s="135"/>
      <c r="AO150" s="130" t="s">
        <v>265</v>
      </c>
      <c r="AP150" s="130" t="s">
        <v>246</v>
      </c>
      <c r="AQ150" s="130" t="s">
        <v>265</v>
      </c>
      <c r="AR150" s="130" t="s">
        <v>246</v>
      </c>
      <c r="AS150" s="130" t="s">
        <v>265</v>
      </c>
      <c r="AT150" s="130" t="s">
        <v>246</v>
      </c>
      <c r="AU150" s="130"/>
      <c r="AV150" s="130" t="s">
        <v>266</v>
      </c>
      <c r="AW150" s="104" t="s">
        <v>248</v>
      </c>
      <c r="AX150" s="130" t="s">
        <v>249</v>
      </c>
      <c r="AY150" s="130"/>
      <c r="AZ150" s="130"/>
      <c r="BA150" s="130"/>
      <c r="BB150" s="179"/>
      <c r="BC150" s="179"/>
      <c r="BD150" s="104"/>
      <c r="BE150" s="130"/>
      <c r="BF150" s="135">
        <v>13231</v>
      </c>
      <c r="BG150" s="130"/>
      <c r="BH150" s="185" t="s">
        <v>267</v>
      </c>
      <c r="BI150" s="130" t="s">
        <v>293</v>
      </c>
      <c r="BJ150" s="130" t="s">
        <v>297</v>
      </c>
      <c r="BK150" s="130" t="s">
        <v>253</v>
      </c>
      <c r="BL150" s="135"/>
      <c r="BM150" s="135"/>
      <c r="BN150" s="135"/>
      <c r="BO150" s="163">
        <v>100</v>
      </c>
      <c r="BP150" s="163">
        <v>200</v>
      </c>
      <c r="BQ150" s="130" t="s">
        <v>241</v>
      </c>
      <c r="BR150" s="135">
        <v>1</v>
      </c>
      <c r="BS150" s="135"/>
      <c r="BT150" s="163">
        <v>50</v>
      </c>
      <c r="BU150" s="163">
        <v>40</v>
      </c>
      <c r="BV150" s="130"/>
      <c r="BW150" s="104"/>
      <c r="BX150" s="135"/>
      <c r="BY150" s="135"/>
      <c r="BZ150" s="135">
        <v>3</v>
      </c>
      <c r="CA150" s="135">
        <v>4</v>
      </c>
      <c r="CB150" s="135">
        <v>4</v>
      </c>
      <c r="CC150" s="135">
        <v>5</v>
      </c>
      <c r="CD150" s="135">
        <v>5</v>
      </c>
      <c r="CE150" s="135">
        <v>6</v>
      </c>
      <c r="CF150" s="135">
        <v>4</v>
      </c>
      <c r="CG150" s="135">
        <v>5</v>
      </c>
      <c r="CH150" s="163">
        <v>2</v>
      </c>
      <c r="CI150" s="130" t="s">
        <v>4548</v>
      </c>
      <c r="CJ150" s="135"/>
      <c r="CK150" s="135"/>
      <c r="CL150" s="130"/>
      <c r="CM150" s="193">
        <v>100005</v>
      </c>
      <c r="CN150" s="193">
        <v>100057</v>
      </c>
      <c r="CO150" s="193"/>
      <c r="CP150" s="193">
        <v>100005</v>
      </c>
      <c r="CQ150" s="193"/>
      <c r="CR150" s="193"/>
    </row>
    <row r="151" spans="1:96" ht="15.75" customHeight="1" x14ac:dyDescent="0.35">
      <c r="A151" s="288"/>
      <c r="B151" s="81" t="s">
        <v>488</v>
      </c>
      <c r="C151" s="92" t="s">
        <v>449</v>
      </c>
      <c r="D151" s="138">
        <v>13241</v>
      </c>
      <c r="E151" s="135">
        <v>70308</v>
      </c>
      <c r="F151" s="135"/>
      <c r="G151" s="139"/>
      <c r="H151" s="135"/>
      <c r="I151" s="135"/>
      <c r="J151" s="135"/>
      <c r="K151" s="135">
        <v>1</v>
      </c>
      <c r="L151" s="139"/>
      <c r="M151" s="139"/>
      <c r="N151" s="139"/>
      <c r="O151" s="154"/>
      <c r="P151" s="135">
        <v>3</v>
      </c>
      <c r="Q151" s="135">
        <v>2</v>
      </c>
      <c r="R151" s="135"/>
      <c r="S151" s="163">
        <v>1</v>
      </c>
      <c r="T151" s="163">
        <v>1</v>
      </c>
      <c r="U151" s="163">
        <v>1</v>
      </c>
      <c r="V151" s="135"/>
      <c r="W151" s="135"/>
      <c r="X151" s="163"/>
      <c r="Y151" s="135">
        <v>1536</v>
      </c>
      <c r="Z151" s="135">
        <v>1000</v>
      </c>
      <c r="AA151" s="135">
        <v>300</v>
      </c>
      <c r="AB151" s="135"/>
      <c r="AC151" s="135"/>
      <c r="AD151" s="135"/>
      <c r="AE151" s="135"/>
      <c r="AF151" s="163">
        <v>1</v>
      </c>
      <c r="AG151" s="169">
        <v>100</v>
      </c>
      <c r="AH151" s="135"/>
      <c r="AI151" s="135"/>
      <c r="AJ151" s="135"/>
      <c r="AK151" s="135">
        <v>0</v>
      </c>
      <c r="AL151" s="135">
        <v>21009</v>
      </c>
      <c r="AM151" s="135">
        <v>1000</v>
      </c>
      <c r="AN151" s="135"/>
      <c r="AO151" s="130" t="s">
        <v>402</v>
      </c>
      <c r="AP151" s="130" t="s">
        <v>246</v>
      </c>
      <c r="AQ151" s="130" t="s">
        <v>402</v>
      </c>
      <c r="AR151" s="130" t="s">
        <v>246</v>
      </c>
      <c r="AS151" s="130" t="s">
        <v>402</v>
      </c>
      <c r="AT151" s="130" t="s">
        <v>246</v>
      </c>
      <c r="AU151" s="130"/>
      <c r="AV151" s="130" t="s">
        <v>266</v>
      </c>
      <c r="AW151" s="104" t="s">
        <v>248</v>
      </c>
      <c r="AX151" s="130" t="s">
        <v>249</v>
      </c>
      <c r="AY151" s="130"/>
      <c r="AZ151" s="130"/>
      <c r="BA151" s="130"/>
      <c r="BB151" s="179"/>
      <c r="BC151" s="179"/>
      <c r="BD151" s="104"/>
      <c r="BE151" s="130"/>
      <c r="BF151" s="135">
        <v>13241</v>
      </c>
      <c r="BG151" s="130"/>
      <c r="BH151" s="185" t="s">
        <v>267</v>
      </c>
      <c r="BI151" s="130" t="s">
        <v>293</v>
      </c>
      <c r="BJ151" s="130" t="s">
        <v>297</v>
      </c>
      <c r="BK151" s="130" t="s">
        <v>253</v>
      </c>
      <c r="BL151" s="135"/>
      <c r="BM151" s="135"/>
      <c r="BN151" s="135"/>
      <c r="BO151" s="163">
        <v>100</v>
      </c>
      <c r="BP151" s="163">
        <v>200</v>
      </c>
      <c r="BQ151" s="130" t="s">
        <v>241</v>
      </c>
      <c r="BR151" s="135">
        <v>1</v>
      </c>
      <c r="BS151" s="135"/>
      <c r="BT151" s="163">
        <v>50</v>
      </c>
      <c r="BU151" s="163">
        <v>40</v>
      </c>
      <c r="BV151" s="130"/>
      <c r="BW151" s="104"/>
      <c r="BX151" s="135"/>
      <c r="BY151" s="135"/>
      <c r="BZ151" s="135">
        <v>3</v>
      </c>
      <c r="CA151" s="135">
        <v>4</v>
      </c>
      <c r="CB151" s="135">
        <v>4</v>
      </c>
      <c r="CC151" s="135">
        <v>5</v>
      </c>
      <c r="CD151" s="135">
        <v>5</v>
      </c>
      <c r="CE151" s="135">
        <v>6</v>
      </c>
      <c r="CF151" s="135">
        <v>4</v>
      </c>
      <c r="CG151" s="135">
        <v>5</v>
      </c>
      <c r="CH151" s="163">
        <v>4</v>
      </c>
      <c r="CI151" s="130" t="s">
        <v>4547</v>
      </c>
      <c r="CJ151" s="135"/>
      <c r="CK151" s="135"/>
      <c r="CL151" s="130"/>
      <c r="CM151" s="193">
        <v>100005</v>
      </c>
      <c r="CN151" s="193">
        <v>100057</v>
      </c>
      <c r="CO151" s="193"/>
      <c r="CP151" s="193">
        <v>100005</v>
      </c>
      <c r="CQ151" s="193"/>
      <c r="CR151" s="193"/>
    </row>
    <row r="152" spans="1:96" ht="15.75" customHeight="1" x14ac:dyDescent="0.35">
      <c r="A152" s="288"/>
      <c r="B152" s="81" t="s">
        <v>489</v>
      </c>
      <c r="C152" s="92" t="s">
        <v>449</v>
      </c>
      <c r="D152" s="138">
        <v>13251</v>
      </c>
      <c r="E152" s="135">
        <v>70309</v>
      </c>
      <c r="F152" s="135"/>
      <c r="G152" s="139"/>
      <c r="H152" s="135"/>
      <c r="I152" s="135"/>
      <c r="J152" s="135"/>
      <c r="K152" s="135">
        <v>1</v>
      </c>
      <c r="L152" s="139"/>
      <c r="M152" s="139"/>
      <c r="N152" s="139"/>
      <c r="O152" s="154"/>
      <c r="P152" s="135">
        <v>3</v>
      </c>
      <c r="Q152" s="135">
        <v>2</v>
      </c>
      <c r="R152" s="135"/>
      <c r="S152" s="163">
        <v>1</v>
      </c>
      <c r="T152" s="163">
        <v>1</v>
      </c>
      <c r="U152" s="163">
        <v>1</v>
      </c>
      <c r="V152" s="135"/>
      <c r="W152" s="135"/>
      <c r="X152" s="163"/>
      <c r="Y152" s="135">
        <v>1507</v>
      </c>
      <c r="Z152" s="135">
        <v>1000</v>
      </c>
      <c r="AA152" s="135">
        <v>200</v>
      </c>
      <c r="AB152" s="135"/>
      <c r="AC152" s="135"/>
      <c r="AD152" s="135"/>
      <c r="AE152" s="135"/>
      <c r="AF152" s="163">
        <v>1</v>
      </c>
      <c r="AG152" s="169">
        <v>100</v>
      </c>
      <c r="AH152" s="135"/>
      <c r="AI152" s="135"/>
      <c r="AJ152" s="135"/>
      <c r="AK152" s="135">
        <v>0</v>
      </c>
      <c r="AL152" s="135">
        <v>21009</v>
      </c>
      <c r="AM152" s="135">
        <v>1000</v>
      </c>
      <c r="AN152" s="135"/>
      <c r="AO152" s="130" t="s">
        <v>296</v>
      </c>
      <c r="AP152" s="130">
        <v>1</v>
      </c>
      <c r="AQ152" s="130" t="s">
        <v>296</v>
      </c>
      <c r="AR152" s="130">
        <v>1</v>
      </c>
      <c r="AS152" s="130" t="s">
        <v>296</v>
      </c>
      <c r="AT152" s="130">
        <v>1</v>
      </c>
      <c r="AU152" s="130"/>
      <c r="AV152" s="130" t="s">
        <v>266</v>
      </c>
      <c r="AW152" s="104" t="s">
        <v>248</v>
      </c>
      <c r="AX152" s="130" t="s">
        <v>249</v>
      </c>
      <c r="AY152" s="130"/>
      <c r="AZ152" s="130"/>
      <c r="BA152" s="130"/>
      <c r="BB152" s="179"/>
      <c r="BC152" s="179"/>
      <c r="BD152" s="104"/>
      <c r="BE152" s="130"/>
      <c r="BF152" s="135">
        <v>13251</v>
      </c>
      <c r="BG152" s="130"/>
      <c r="BH152" s="185" t="s">
        <v>267</v>
      </c>
      <c r="BI152" s="130" t="s">
        <v>293</v>
      </c>
      <c r="BJ152" s="130" t="s">
        <v>297</v>
      </c>
      <c r="BK152" s="130" t="s">
        <v>253</v>
      </c>
      <c r="BL152" s="135"/>
      <c r="BM152" s="135"/>
      <c r="BN152" s="135"/>
      <c r="BO152" s="163">
        <v>100</v>
      </c>
      <c r="BP152" s="163">
        <v>200</v>
      </c>
      <c r="BQ152" s="130" t="s">
        <v>241</v>
      </c>
      <c r="BR152" s="135">
        <v>1</v>
      </c>
      <c r="BS152" s="135"/>
      <c r="BT152" s="163">
        <v>50</v>
      </c>
      <c r="BU152" s="163">
        <v>40</v>
      </c>
      <c r="BV152" s="130"/>
      <c r="BW152" s="104"/>
      <c r="BX152" s="135"/>
      <c r="BY152" s="135"/>
      <c r="BZ152" s="135">
        <v>3</v>
      </c>
      <c r="CA152" s="135">
        <v>4</v>
      </c>
      <c r="CB152" s="135">
        <v>4</v>
      </c>
      <c r="CC152" s="135">
        <v>5</v>
      </c>
      <c r="CD152" s="135">
        <v>5</v>
      </c>
      <c r="CE152" s="135">
        <v>6</v>
      </c>
      <c r="CF152" s="135">
        <v>4</v>
      </c>
      <c r="CG152" s="135">
        <v>5</v>
      </c>
      <c r="CH152" s="163">
        <v>4</v>
      </c>
      <c r="CI152" s="130" t="s">
        <v>4546</v>
      </c>
      <c r="CJ152" s="135"/>
      <c r="CK152" s="135"/>
      <c r="CL152" s="130"/>
      <c r="CM152" s="193">
        <v>100005</v>
      </c>
      <c r="CN152" s="193">
        <v>100057</v>
      </c>
      <c r="CO152" s="193"/>
      <c r="CP152" s="193">
        <v>100005</v>
      </c>
      <c r="CQ152" s="193"/>
      <c r="CR152" s="193"/>
    </row>
    <row r="153" spans="1:96" ht="15.75" customHeight="1" x14ac:dyDescent="0.35">
      <c r="A153" s="288"/>
      <c r="B153" s="81" t="s">
        <v>490</v>
      </c>
      <c r="C153" s="92" t="s">
        <v>449</v>
      </c>
      <c r="D153" s="138">
        <v>13261</v>
      </c>
      <c r="E153" s="135">
        <v>70310</v>
      </c>
      <c r="F153" s="135"/>
      <c r="G153" s="139"/>
      <c r="H153" s="135"/>
      <c r="I153" s="135"/>
      <c r="J153" s="135"/>
      <c r="K153" s="135">
        <v>1</v>
      </c>
      <c r="L153" s="139"/>
      <c r="M153" s="139"/>
      <c r="N153" s="139"/>
      <c r="O153" s="154"/>
      <c r="P153" s="135">
        <v>1</v>
      </c>
      <c r="Q153" s="135">
        <v>2</v>
      </c>
      <c r="R153" s="135"/>
      <c r="S153" s="163">
        <v>1</v>
      </c>
      <c r="T153" s="163">
        <v>1</v>
      </c>
      <c r="U153" s="163">
        <v>1</v>
      </c>
      <c r="V153" s="135"/>
      <c r="W153" s="135"/>
      <c r="X153" s="163"/>
      <c r="Y153" s="135">
        <v>1825</v>
      </c>
      <c r="Z153" s="135">
        <v>1000</v>
      </c>
      <c r="AA153" s="135">
        <v>400</v>
      </c>
      <c r="AB153" s="135">
        <v>2</v>
      </c>
      <c r="AC153" s="135"/>
      <c r="AD153" s="135"/>
      <c r="AE153" s="135"/>
      <c r="AF153" s="163">
        <v>1</v>
      </c>
      <c r="AG153" s="169">
        <v>100</v>
      </c>
      <c r="AH153" s="135"/>
      <c r="AI153" s="135"/>
      <c r="AJ153" s="135"/>
      <c r="AK153" s="135">
        <v>0</v>
      </c>
      <c r="AL153" s="135">
        <v>21009</v>
      </c>
      <c r="AM153" s="135">
        <v>1000</v>
      </c>
      <c r="AN153" s="135"/>
      <c r="AO153" s="130" t="s">
        <v>422</v>
      </c>
      <c r="AP153" s="174">
        <v>1</v>
      </c>
      <c r="AQ153" s="130" t="s">
        <v>422</v>
      </c>
      <c r="AR153" s="174">
        <v>1</v>
      </c>
      <c r="AS153" s="130" t="s">
        <v>422</v>
      </c>
      <c r="AT153" s="174">
        <v>1</v>
      </c>
      <c r="AU153" s="130"/>
      <c r="AV153" s="130"/>
      <c r="AW153" s="104" t="s">
        <v>248</v>
      </c>
      <c r="AX153" s="130" t="s">
        <v>249</v>
      </c>
      <c r="AY153" s="130"/>
      <c r="AZ153" s="130"/>
      <c r="BA153" s="130"/>
      <c r="BB153" s="179"/>
      <c r="BC153" s="179"/>
      <c r="BD153" s="104"/>
      <c r="BE153" s="130"/>
      <c r="BF153" s="135">
        <v>13261</v>
      </c>
      <c r="BG153" s="130"/>
      <c r="BH153" s="185" t="s">
        <v>267</v>
      </c>
      <c r="BI153" s="130" t="s">
        <v>363</v>
      </c>
      <c r="BJ153" s="130" t="s">
        <v>275</v>
      </c>
      <c r="BK153" s="130" t="s">
        <v>253</v>
      </c>
      <c r="BL153" s="135"/>
      <c r="BM153" s="135"/>
      <c r="BN153" s="135"/>
      <c r="BO153" s="163">
        <v>100</v>
      </c>
      <c r="BP153" s="163">
        <v>200</v>
      </c>
      <c r="BQ153" s="130" t="s">
        <v>241</v>
      </c>
      <c r="BR153" s="135">
        <v>1</v>
      </c>
      <c r="BS153" s="135"/>
      <c r="BT153" s="163">
        <v>50</v>
      </c>
      <c r="BU153" s="163">
        <v>40</v>
      </c>
      <c r="BV153" s="130"/>
      <c r="BW153" s="104"/>
      <c r="BX153" s="135"/>
      <c r="BY153" s="135"/>
      <c r="BZ153" s="135">
        <v>1</v>
      </c>
      <c r="CA153" s="135">
        <v>1</v>
      </c>
      <c r="CB153" s="135">
        <v>1</v>
      </c>
      <c r="CC153" s="135">
        <v>1</v>
      </c>
      <c r="CD153" s="135">
        <v>1</v>
      </c>
      <c r="CE153" s="135">
        <v>1</v>
      </c>
      <c r="CF153" s="135">
        <v>1</v>
      </c>
      <c r="CG153" s="135">
        <v>1</v>
      </c>
      <c r="CH153" s="163">
        <v>4</v>
      </c>
      <c r="CI153" s="130" t="s">
        <v>4545</v>
      </c>
      <c r="CJ153" s="135"/>
      <c r="CK153" s="135"/>
      <c r="CL153" s="130"/>
      <c r="CM153" s="193">
        <v>100005</v>
      </c>
      <c r="CN153" s="193">
        <v>100057</v>
      </c>
      <c r="CO153" s="193"/>
      <c r="CP153" s="193">
        <v>100005</v>
      </c>
      <c r="CQ153" s="193"/>
      <c r="CR153" s="193"/>
    </row>
    <row r="154" spans="1:96" ht="15.75" customHeight="1" x14ac:dyDescent="0.35">
      <c r="A154" s="288"/>
      <c r="B154" s="81" t="s">
        <v>491</v>
      </c>
      <c r="C154" s="92" t="s">
        <v>443</v>
      </c>
      <c r="D154" s="138">
        <v>13271</v>
      </c>
      <c r="E154" s="135">
        <v>70311</v>
      </c>
      <c r="F154" s="135"/>
      <c r="G154" s="139"/>
      <c r="H154" s="135">
        <v>0</v>
      </c>
      <c r="I154" s="135"/>
      <c r="J154" s="135"/>
      <c r="K154" s="135">
        <v>1</v>
      </c>
      <c r="L154" s="139"/>
      <c r="M154" s="139"/>
      <c r="N154" s="139"/>
      <c r="O154" s="154"/>
      <c r="P154" s="135">
        <v>0</v>
      </c>
      <c r="Q154" s="135">
        <v>3</v>
      </c>
      <c r="R154" s="135"/>
      <c r="S154" s="163">
        <v>1</v>
      </c>
      <c r="T154" s="163">
        <v>1</v>
      </c>
      <c r="U154" s="163">
        <v>1</v>
      </c>
      <c r="V154" s="135"/>
      <c r="W154" s="135"/>
      <c r="X154" s="163"/>
      <c r="Y154" s="135">
        <v>1822</v>
      </c>
      <c r="Z154" s="135">
        <v>750</v>
      </c>
      <c r="AA154" s="135">
        <v>400</v>
      </c>
      <c r="AB154" s="135"/>
      <c r="AC154" s="135"/>
      <c r="AD154" s="135"/>
      <c r="AE154" s="135"/>
      <c r="AF154" s="163">
        <v>1</v>
      </c>
      <c r="AG154" s="169">
        <v>100</v>
      </c>
      <c r="AH154" s="135"/>
      <c r="AI154" s="135"/>
      <c r="AJ154" s="135"/>
      <c r="AK154" s="135">
        <v>0</v>
      </c>
      <c r="AL154" s="135">
        <v>21002</v>
      </c>
      <c r="AM154" s="135">
        <v>1000</v>
      </c>
      <c r="AN154" s="135"/>
      <c r="AO154" s="130" t="s">
        <v>265</v>
      </c>
      <c r="AP154" s="130" t="s">
        <v>246</v>
      </c>
      <c r="AQ154" s="130" t="s">
        <v>265</v>
      </c>
      <c r="AR154" s="130" t="s">
        <v>246</v>
      </c>
      <c r="AS154" s="130" t="s">
        <v>265</v>
      </c>
      <c r="AT154" s="130" t="s">
        <v>246</v>
      </c>
      <c r="AU154" s="130"/>
      <c r="AV154" s="130"/>
      <c r="AW154" s="104" t="s">
        <v>248</v>
      </c>
      <c r="AX154" s="130" t="s">
        <v>249</v>
      </c>
      <c r="AY154" s="130"/>
      <c r="AZ154" s="130"/>
      <c r="BA154" s="130"/>
      <c r="BB154" s="179"/>
      <c r="BC154" s="179"/>
      <c r="BD154" s="104"/>
      <c r="BE154" s="130"/>
      <c r="BF154" s="135">
        <v>13271</v>
      </c>
      <c r="BG154" s="130"/>
      <c r="BH154" s="185" t="s">
        <v>267</v>
      </c>
      <c r="BI154" s="130" t="s">
        <v>251</v>
      </c>
      <c r="BJ154" s="130" t="s">
        <v>275</v>
      </c>
      <c r="BK154" s="130" t="s">
        <v>253</v>
      </c>
      <c r="BL154" s="135"/>
      <c r="BM154" s="135"/>
      <c r="BN154" s="135"/>
      <c r="BO154" s="163">
        <v>100</v>
      </c>
      <c r="BP154" s="163">
        <v>200</v>
      </c>
      <c r="BQ154" s="130" t="s">
        <v>241</v>
      </c>
      <c r="BR154" s="135">
        <v>1</v>
      </c>
      <c r="BS154" s="135"/>
      <c r="BT154" s="163">
        <v>50</v>
      </c>
      <c r="BU154" s="163">
        <v>20</v>
      </c>
      <c r="BV154" s="130"/>
      <c r="BW154" s="104"/>
      <c r="BX154" s="135"/>
      <c r="BY154" s="135"/>
      <c r="BZ154" s="135">
        <v>1</v>
      </c>
      <c r="CA154" s="135">
        <v>2</v>
      </c>
      <c r="CB154" s="135">
        <v>1</v>
      </c>
      <c r="CC154" s="135">
        <v>2</v>
      </c>
      <c r="CD154" s="135">
        <v>1</v>
      </c>
      <c r="CE154" s="135">
        <v>2</v>
      </c>
      <c r="CF154" s="135">
        <v>1</v>
      </c>
      <c r="CG154" s="135">
        <v>2</v>
      </c>
      <c r="CH154" s="163">
        <v>5</v>
      </c>
      <c r="CI154" s="130" t="s">
        <v>4544</v>
      </c>
      <c r="CJ154" s="135"/>
      <c r="CK154" s="135"/>
      <c r="CL154" s="130"/>
      <c r="CM154" s="193">
        <v>100005</v>
      </c>
      <c r="CN154" s="193">
        <v>100057</v>
      </c>
      <c r="CO154" s="193"/>
      <c r="CP154" s="193">
        <v>100005</v>
      </c>
      <c r="CQ154" s="193"/>
      <c r="CR154" s="193"/>
    </row>
    <row r="155" spans="1:96" ht="15.75" customHeight="1" x14ac:dyDescent="0.35">
      <c r="A155" s="288"/>
      <c r="B155" s="81" t="s">
        <v>492</v>
      </c>
      <c r="C155" s="92" t="s">
        <v>443</v>
      </c>
      <c r="D155" s="138">
        <v>13281</v>
      </c>
      <c r="E155" s="135">
        <v>70312</v>
      </c>
      <c r="F155" s="135"/>
      <c r="G155" s="139"/>
      <c r="H155" s="135">
        <v>0</v>
      </c>
      <c r="I155" s="135"/>
      <c r="J155" s="135"/>
      <c r="K155" s="135">
        <v>1</v>
      </c>
      <c r="L155" s="139"/>
      <c r="M155" s="139"/>
      <c r="N155" s="139"/>
      <c r="O155" s="154"/>
      <c r="P155" s="135">
        <v>4</v>
      </c>
      <c r="Q155" s="135">
        <v>3</v>
      </c>
      <c r="R155" s="135"/>
      <c r="S155" s="163">
        <v>1</v>
      </c>
      <c r="T155" s="163">
        <v>1</v>
      </c>
      <c r="U155" s="163">
        <v>1</v>
      </c>
      <c r="V155" s="135"/>
      <c r="W155" s="135"/>
      <c r="X155" s="163"/>
      <c r="Y155" s="135">
        <v>1826</v>
      </c>
      <c r="Z155" s="135">
        <v>750</v>
      </c>
      <c r="AA155" s="135">
        <v>400</v>
      </c>
      <c r="AB155" s="135">
        <v>3</v>
      </c>
      <c r="AC155" s="135"/>
      <c r="AD155" s="135"/>
      <c r="AE155" s="135"/>
      <c r="AF155" s="163">
        <v>1</v>
      </c>
      <c r="AG155" s="169">
        <v>100</v>
      </c>
      <c r="AH155" s="135"/>
      <c r="AI155" s="135"/>
      <c r="AJ155" s="135"/>
      <c r="AK155" s="135">
        <v>0</v>
      </c>
      <c r="AL155" s="135">
        <v>21002</v>
      </c>
      <c r="AM155" s="135">
        <v>1000</v>
      </c>
      <c r="AN155" s="135"/>
      <c r="AO155" s="130" t="s">
        <v>265</v>
      </c>
      <c r="AP155" s="130" t="s">
        <v>246</v>
      </c>
      <c r="AQ155" s="130" t="s">
        <v>265</v>
      </c>
      <c r="AR155" s="130" t="s">
        <v>246</v>
      </c>
      <c r="AS155" s="130" t="s">
        <v>265</v>
      </c>
      <c r="AT155" s="130" t="s">
        <v>246</v>
      </c>
      <c r="AU155" s="130"/>
      <c r="AV155" s="130"/>
      <c r="AW155" s="104" t="s">
        <v>425</v>
      </c>
      <c r="AX155" s="130" t="s">
        <v>249</v>
      </c>
      <c r="AY155" s="130"/>
      <c r="AZ155" s="130"/>
      <c r="BA155" s="130"/>
      <c r="BB155" s="179"/>
      <c r="BC155" s="179"/>
      <c r="BD155" s="104"/>
      <c r="BE155" s="130"/>
      <c r="BF155" s="135">
        <v>13281</v>
      </c>
      <c r="BG155" s="130"/>
      <c r="BH155" s="185" t="s">
        <v>267</v>
      </c>
      <c r="BI155" s="130" t="s">
        <v>251</v>
      </c>
      <c r="BJ155" s="130" t="s">
        <v>275</v>
      </c>
      <c r="BK155" s="130" t="s">
        <v>253</v>
      </c>
      <c r="BL155" s="135"/>
      <c r="BM155" s="135"/>
      <c r="BN155" s="135"/>
      <c r="BO155" s="163">
        <v>100</v>
      </c>
      <c r="BP155" s="163">
        <v>200</v>
      </c>
      <c r="BQ155" s="130" t="s">
        <v>241</v>
      </c>
      <c r="BR155" s="135">
        <v>1</v>
      </c>
      <c r="BS155" s="135"/>
      <c r="BT155" s="163">
        <v>50</v>
      </c>
      <c r="BU155" s="163">
        <v>50</v>
      </c>
      <c r="BV155" s="130"/>
      <c r="BW155" s="104"/>
      <c r="BX155" s="135"/>
      <c r="BY155" s="135"/>
      <c r="BZ155" s="135">
        <v>1</v>
      </c>
      <c r="CA155" s="135">
        <v>1</v>
      </c>
      <c r="CB155" s="135">
        <v>1</v>
      </c>
      <c r="CC155" s="135">
        <v>1</v>
      </c>
      <c r="CD155" s="135">
        <v>1</v>
      </c>
      <c r="CE155" s="135">
        <v>1</v>
      </c>
      <c r="CF155" s="135">
        <v>1</v>
      </c>
      <c r="CG155" s="135">
        <v>1</v>
      </c>
      <c r="CH155" s="163">
        <v>5</v>
      </c>
      <c r="CI155" s="130" t="s">
        <v>4543</v>
      </c>
      <c r="CJ155" s="135"/>
      <c r="CK155" s="135"/>
      <c r="CL155" s="130"/>
      <c r="CM155" s="193">
        <v>100005</v>
      </c>
      <c r="CN155" s="193">
        <v>100057</v>
      </c>
      <c r="CO155" s="193"/>
      <c r="CP155" s="193">
        <v>100005</v>
      </c>
      <c r="CQ155" s="193"/>
      <c r="CR155" s="193"/>
    </row>
    <row r="156" spans="1:96" ht="15.75" customHeight="1" x14ac:dyDescent="0.35">
      <c r="A156" s="288"/>
      <c r="B156" s="98" t="s">
        <v>493</v>
      </c>
      <c r="C156" s="92" t="s">
        <v>494</v>
      </c>
      <c r="D156" s="138">
        <v>13501</v>
      </c>
      <c r="E156" s="135">
        <v>70313</v>
      </c>
      <c r="F156" s="135"/>
      <c r="G156" s="139"/>
      <c r="H156" s="135">
        <v>0</v>
      </c>
      <c r="I156" s="135"/>
      <c r="J156" s="135"/>
      <c r="K156" s="135">
        <v>11</v>
      </c>
      <c r="L156" s="135"/>
      <c r="M156" s="139"/>
      <c r="N156" s="139"/>
      <c r="O156" s="154"/>
      <c r="P156" s="135">
        <v>1</v>
      </c>
      <c r="Q156" s="135">
        <v>1</v>
      </c>
      <c r="R156" s="135"/>
      <c r="S156" s="163">
        <v>1</v>
      </c>
      <c r="T156" s="163">
        <v>1</v>
      </c>
      <c r="U156" s="163">
        <v>1</v>
      </c>
      <c r="V156" s="135"/>
      <c r="W156" s="135"/>
      <c r="X156" s="163"/>
      <c r="Y156" s="135">
        <v>1891</v>
      </c>
      <c r="Z156" s="135">
        <v>1000</v>
      </c>
      <c r="AA156" s="135">
        <v>500</v>
      </c>
      <c r="AB156" s="135">
        <v>1</v>
      </c>
      <c r="AC156" s="135"/>
      <c r="AD156" s="135"/>
      <c r="AE156" s="135"/>
      <c r="AF156" s="163">
        <v>1</v>
      </c>
      <c r="AG156" s="169">
        <v>100</v>
      </c>
      <c r="AH156" s="135"/>
      <c r="AI156" s="135"/>
      <c r="AJ156" s="135"/>
      <c r="AK156" s="135">
        <v>0</v>
      </c>
      <c r="AL156" s="135">
        <v>23023</v>
      </c>
      <c r="AM156" s="135">
        <v>1000</v>
      </c>
      <c r="AN156" s="135"/>
      <c r="AO156" s="130" t="s">
        <v>265</v>
      </c>
      <c r="AP156" s="130" t="s">
        <v>246</v>
      </c>
      <c r="AQ156" s="130" t="s">
        <v>265</v>
      </c>
      <c r="AR156" s="130" t="s">
        <v>246</v>
      </c>
      <c r="AS156" s="130" t="s">
        <v>265</v>
      </c>
      <c r="AT156" s="130" t="s">
        <v>246</v>
      </c>
      <c r="AU156" s="130" t="s">
        <v>495</v>
      </c>
      <c r="AV156" s="130"/>
      <c r="AW156" s="104" t="s">
        <v>248</v>
      </c>
      <c r="AX156" s="130" t="s">
        <v>249</v>
      </c>
      <c r="AY156" s="130"/>
      <c r="AZ156" s="130"/>
      <c r="BA156" s="130"/>
      <c r="BB156" s="179"/>
      <c r="BC156" s="179"/>
      <c r="BD156" s="104"/>
      <c r="BE156" s="130"/>
      <c r="BF156" s="135">
        <v>10551</v>
      </c>
      <c r="BG156" s="130"/>
      <c r="BH156" s="185" t="s">
        <v>267</v>
      </c>
      <c r="BI156" s="187" t="s">
        <v>289</v>
      </c>
      <c r="BJ156" s="130" t="s">
        <v>252</v>
      </c>
      <c r="BK156" s="130" t="s">
        <v>253</v>
      </c>
      <c r="BL156" s="130"/>
      <c r="BM156" s="135"/>
      <c r="BN156" s="135"/>
      <c r="BO156" s="163">
        <v>50</v>
      </c>
      <c r="BP156" s="163">
        <v>200</v>
      </c>
      <c r="BQ156" s="130" t="s">
        <v>241</v>
      </c>
      <c r="BR156" s="135">
        <v>1</v>
      </c>
      <c r="BS156" s="135"/>
      <c r="BT156" s="163">
        <v>50</v>
      </c>
      <c r="BU156" s="163">
        <v>50</v>
      </c>
      <c r="BV156" s="130"/>
      <c r="BW156" s="104"/>
      <c r="BX156" s="130"/>
      <c r="BY156" s="135"/>
      <c r="BZ156" s="135">
        <v>3</v>
      </c>
      <c r="CA156" s="135">
        <v>4</v>
      </c>
      <c r="CB156" s="135">
        <v>4</v>
      </c>
      <c r="CC156" s="135">
        <v>4</v>
      </c>
      <c r="CD156" s="135">
        <v>5</v>
      </c>
      <c r="CE156" s="135">
        <v>6</v>
      </c>
      <c r="CF156" s="135">
        <v>4</v>
      </c>
      <c r="CG156" s="135">
        <v>4</v>
      </c>
      <c r="CH156" s="163"/>
      <c r="CI156" s="130"/>
      <c r="CJ156" s="130"/>
      <c r="CK156" s="135"/>
      <c r="CL156" s="130"/>
      <c r="CM156" s="193">
        <v>100005</v>
      </c>
      <c r="CN156" s="193">
        <v>100057</v>
      </c>
      <c r="CO156" s="193"/>
      <c r="CP156" s="193">
        <v>100005</v>
      </c>
      <c r="CQ156" s="193"/>
      <c r="CR156" s="193"/>
    </row>
    <row r="157" spans="1:96" ht="15.75" customHeight="1" x14ac:dyDescent="0.35">
      <c r="A157" s="288"/>
      <c r="B157" s="85" t="s">
        <v>496</v>
      </c>
      <c r="C157" s="92" t="s">
        <v>412</v>
      </c>
      <c r="D157" s="138">
        <v>13601</v>
      </c>
      <c r="E157" s="135">
        <v>70314</v>
      </c>
      <c r="F157" s="135"/>
      <c r="G157" s="139"/>
      <c r="H157" s="135">
        <v>0</v>
      </c>
      <c r="I157" s="135"/>
      <c r="J157" s="135"/>
      <c r="K157" s="135">
        <v>2</v>
      </c>
      <c r="L157" s="139"/>
      <c r="M157" s="139"/>
      <c r="N157" s="139"/>
      <c r="O157" s="154">
        <v>1</v>
      </c>
      <c r="P157" s="135">
        <v>3</v>
      </c>
      <c r="Q157" s="135">
        <v>3</v>
      </c>
      <c r="R157" s="135"/>
      <c r="S157" s="163">
        <v>1</v>
      </c>
      <c r="T157" s="163">
        <v>1</v>
      </c>
      <c r="U157" s="163">
        <v>1</v>
      </c>
      <c r="V157" s="135"/>
      <c r="W157" s="135"/>
      <c r="X157" s="163"/>
      <c r="Y157" s="135">
        <v>18241</v>
      </c>
      <c r="Z157" s="135">
        <v>1400</v>
      </c>
      <c r="AA157" s="135">
        <v>400</v>
      </c>
      <c r="AB157" s="135">
        <v>3</v>
      </c>
      <c r="AC157" s="135"/>
      <c r="AD157" s="135"/>
      <c r="AE157" s="135">
        <v>4</v>
      </c>
      <c r="AF157" s="163">
        <v>1</v>
      </c>
      <c r="AG157" s="169">
        <v>100</v>
      </c>
      <c r="AH157" s="135"/>
      <c r="AI157" s="135"/>
      <c r="AJ157" s="135"/>
      <c r="AK157" s="135">
        <v>0</v>
      </c>
      <c r="AL157" s="135">
        <v>21002</v>
      </c>
      <c r="AM157" s="135">
        <v>1000</v>
      </c>
      <c r="AN157" s="135"/>
      <c r="AO157" s="130" t="s">
        <v>265</v>
      </c>
      <c r="AP157" s="130" t="s">
        <v>246</v>
      </c>
      <c r="AQ157" s="130" t="s">
        <v>265</v>
      </c>
      <c r="AR157" s="130" t="s">
        <v>246</v>
      </c>
      <c r="AS157" s="130" t="s">
        <v>265</v>
      </c>
      <c r="AT157" s="130" t="s">
        <v>246</v>
      </c>
      <c r="AU157" s="130" t="s">
        <v>4584</v>
      </c>
      <c r="AV157" s="130"/>
      <c r="AW157" s="104" t="s">
        <v>248</v>
      </c>
      <c r="AX157" s="130" t="s">
        <v>249</v>
      </c>
      <c r="AY157" s="130"/>
      <c r="AZ157" s="130"/>
      <c r="BA157" s="130"/>
      <c r="BB157" s="179"/>
      <c r="BC157" s="179"/>
      <c r="BD157" s="104"/>
      <c r="BE157" s="130"/>
      <c r="BF157" s="135">
        <v>13601</v>
      </c>
      <c r="BG157" s="130"/>
      <c r="BH157" s="185" t="s">
        <v>497</v>
      </c>
      <c r="BI157" s="130" t="s">
        <v>293</v>
      </c>
      <c r="BJ157" s="130" t="s">
        <v>269</v>
      </c>
      <c r="BK157" s="130" t="s">
        <v>253</v>
      </c>
      <c r="BL157" s="135"/>
      <c r="BM157" s="135"/>
      <c r="BN157" s="135"/>
      <c r="BO157" s="163">
        <v>150</v>
      </c>
      <c r="BP157" s="163">
        <v>200</v>
      </c>
      <c r="BQ157" s="130" t="s">
        <v>241</v>
      </c>
      <c r="BR157" s="135">
        <v>2</v>
      </c>
      <c r="BS157" s="135"/>
      <c r="BT157" s="163">
        <v>50</v>
      </c>
      <c r="BU157" s="163">
        <v>50</v>
      </c>
      <c r="BV157" s="130"/>
      <c r="BW157" s="104"/>
      <c r="BX157" s="135"/>
      <c r="BY157" s="135"/>
      <c r="BZ157" s="135">
        <v>3</v>
      </c>
      <c r="CA157" s="135">
        <v>3</v>
      </c>
      <c r="CB157" s="135">
        <v>2</v>
      </c>
      <c r="CC157" s="135">
        <v>3</v>
      </c>
      <c r="CD157" s="135">
        <v>6</v>
      </c>
      <c r="CE157" s="135">
        <v>8</v>
      </c>
      <c r="CF157" s="135">
        <v>2</v>
      </c>
      <c r="CG157" s="135">
        <v>3</v>
      </c>
      <c r="CH157" s="163">
        <v>5</v>
      </c>
      <c r="CI157" s="130" t="s">
        <v>4453</v>
      </c>
      <c r="CJ157" s="135"/>
      <c r="CK157" s="135"/>
      <c r="CL157" s="130"/>
      <c r="CM157" s="193">
        <v>113101</v>
      </c>
      <c r="CN157" s="193">
        <v>100057</v>
      </c>
      <c r="CO157" s="193"/>
      <c r="CP157" s="193">
        <v>113101</v>
      </c>
      <c r="CQ157" s="193"/>
      <c r="CR157" s="193"/>
    </row>
    <row r="158" spans="1:96" ht="15.75" customHeight="1" x14ac:dyDescent="0.35">
      <c r="A158" s="288"/>
      <c r="B158" s="85" t="s">
        <v>499</v>
      </c>
      <c r="C158" s="92" t="s">
        <v>412</v>
      </c>
      <c r="D158" s="138">
        <v>13611</v>
      </c>
      <c r="E158" s="135">
        <v>70315</v>
      </c>
      <c r="F158" s="135"/>
      <c r="G158" s="139"/>
      <c r="H158" s="135">
        <v>0</v>
      </c>
      <c r="I158" s="135"/>
      <c r="J158" s="135"/>
      <c r="K158" s="135">
        <v>2</v>
      </c>
      <c r="L158" s="139"/>
      <c r="M158" s="139"/>
      <c r="N158" s="139"/>
      <c r="O158" s="154">
        <v>1</v>
      </c>
      <c r="P158" s="135">
        <v>3</v>
      </c>
      <c r="Q158" s="135">
        <v>3</v>
      </c>
      <c r="R158" s="135"/>
      <c r="S158" s="163">
        <v>1</v>
      </c>
      <c r="T158" s="163">
        <v>1</v>
      </c>
      <c r="U158" s="163">
        <v>1</v>
      </c>
      <c r="V158" s="135"/>
      <c r="W158" s="135"/>
      <c r="X158" s="163"/>
      <c r="Y158" s="135">
        <v>18281</v>
      </c>
      <c r="Z158" s="135">
        <v>1100</v>
      </c>
      <c r="AA158" s="135">
        <v>400</v>
      </c>
      <c r="AB158" s="135">
        <v>3</v>
      </c>
      <c r="AC158" s="135"/>
      <c r="AD158" s="135"/>
      <c r="AE158" s="135">
        <v>4</v>
      </c>
      <c r="AF158" s="163">
        <v>1</v>
      </c>
      <c r="AG158" s="169">
        <v>100</v>
      </c>
      <c r="AH158" s="135"/>
      <c r="AI158" s="135"/>
      <c r="AJ158" s="135"/>
      <c r="AK158" s="135">
        <v>0</v>
      </c>
      <c r="AL158" s="135">
        <v>21002</v>
      </c>
      <c r="AM158" s="135">
        <v>1000</v>
      </c>
      <c r="AN158" s="135"/>
      <c r="AO158" s="130" t="s">
        <v>265</v>
      </c>
      <c r="AP158" s="130" t="s">
        <v>246</v>
      </c>
      <c r="AQ158" s="130" t="s">
        <v>265</v>
      </c>
      <c r="AR158" s="130" t="s">
        <v>246</v>
      </c>
      <c r="AS158" s="130" t="s">
        <v>265</v>
      </c>
      <c r="AT158" s="130" t="s">
        <v>246</v>
      </c>
      <c r="AU158" s="130" t="s">
        <v>4584</v>
      </c>
      <c r="AV158" s="130"/>
      <c r="AW158" s="104" t="s">
        <v>248</v>
      </c>
      <c r="AX158" s="130" t="s">
        <v>249</v>
      </c>
      <c r="AY158" s="130"/>
      <c r="AZ158" s="130"/>
      <c r="BA158" s="130"/>
      <c r="BB158" s="179"/>
      <c r="BC158" s="179"/>
      <c r="BD158" s="104"/>
      <c r="BE158" s="130"/>
      <c r="BF158" s="135">
        <v>13611</v>
      </c>
      <c r="BG158" s="130"/>
      <c r="BH158" s="185" t="s">
        <v>497</v>
      </c>
      <c r="BI158" s="130" t="s">
        <v>251</v>
      </c>
      <c r="BJ158" s="130" t="s">
        <v>252</v>
      </c>
      <c r="BK158" s="130" t="s">
        <v>253</v>
      </c>
      <c r="BL158" s="135"/>
      <c r="BM158" s="135"/>
      <c r="BN158" s="135"/>
      <c r="BO158" s="163">
        <v>150</v>
      </c>
      <c r="BP158" s="163">
        <v>200</v>
      </c>
      <c r="BQ158" s="130" t="s">
        <v>241</v>
      </c>
      <c r="BR158" s="135">
        <v>2</v>
      </c>
      <c r="BS158" s="135"/>
      <c r="BT158" s="163">
        <v>50</v>
      </c>
      <c r="BU158" s="163">
        <v>50</v>
      </c>
      <c r="BV158" s="130"/>
      <c r="BW158" s="104"/>
      <c r="BX158" s="135"/>
      <c r="BY158" s="135"/>
      <c r="BZ158" s="135">
        <v>3</v>
      </c>
      <c r="CA158" s="135">
        <v>3</v>
      </c>
      <c r="CB158" s="135">
        <v>2</v>
      </c>
      <c r="CC158" s="135">
        <v>3</v>
      </c>
      <c r="CD158" s="135">
        <v>6</v>
      </c>
      <c r="CE158" s="135">
        <v>8</v>
      </c>
      <c r="CF158" s="135">
        <v>2</v>
      </c>
      <c r="CG158" s="135">
        <v>3</v>
      </c>
      <c r="CH158" s="163">
        <v>2</v>
      </c>
      <c r="CI158" s="130" t="s">
        <v>4454</v>
      </c>
      <c r="CJ158" s="135"/>
      <c r="CK158" s="135"/>
      <c r="CL158" s="130"/>
      <c r="CM158" s="193">
        <v>113102</v>
      </c>
      <c r="CN158" s="193">
        <v>100057</v>
      </c>
      <c r="CO158" s="193"/>
      <c r="CP158" s="193">
        <v>113102</v>
      </c>
      <c r="CQ158" s="193"/>
      <c r="CR158" s="193"/>
    </row>
    <row r="159" spans="1:96" ht="15.75" customHeight="1" x14ac:dyDescent="0.35">
      <c r="A159" s="288"/>
      <c r="B159" s="85" t="s">
        <v>500</v>
      </c>
      <c r="C159" s="92" t="s">
        <v>412</v>
      </c>
      <c r="D159" s="138">
        <v>13621</v>
      </c>
      <c r="E159" s="135">
        <v>70316</v>
      </c>
      <c r="F159" s="135"/>
      <c r="G159" s="139"/>
      <c r="H159" s="135"/>
      <c r="I159" s="135"/>
      <c r="J159" s="135"/>
      <c r="K159" s="135">
        <v>2</v>
      </c>
      <c r="L159" s="139"/>
      <c r="M159" s="139"/>
      <c r="N159" s="139"/>
      <c r="O159" s="154">
        <v>1</v>
      </c>
      <c r="P159" s="135">
        <v>1</v>
      </c>
      <c r="Q159" s="135">
        <v>2</v>
      </c>
      <c r="R159" s="135"/>
      <c r="S159" s="163">
        <v>1</v>
      </c>
      <c r="T159" s="163">
        <v>1</v>
      </c>
      <c r="U159" s="163">
        <v>1</v>
      </c>
      <c r="V159" s="135"/>
      <c r="W159" s="135"/>
      <c r="X159" s="163"/>
      <c r="Y159" s="135">
        <v>18251</v>
      </c>
      <c r="Z159" s="135">
        <v>1200</v>
      </c>
      <c r="AA159" s="135">
        <v>400</v>
      </c>
      <c r="AB159" s="135">
        <v>2</v>
      </c>
      <c r="AC159" s="135"/>
      <c r="AD159" s="135"/>
      <c r="AE159" s="135">
        <v>4</v>
      </c>
      <c r="AF159" s="163">
        <v>1</v>
      </c>
      <c r="AG159" s="169">
        <v>100</v>
      </c>
      <c r="AH159" s="135"/>
      <c r="AI159" s="135"/>
      <c r="AJ159" s="135"/>
      <c r="AK159" s="135">
        <v>0</v>
      </c>
      <c r="AL159" s="135">
        <v>21009</v>
      </c>
      <c r="AM159" s="135">
        <v>1000</v>
      </c>
      <c r="AN159" s="135"/>
      <c r="AO159" s="130" t="s">
        <v>422</v>
      </c>
      <c r="AP159" s="174">
        <v>1</v>
      </c>
      <c r="AQ159" s="130" t="s">
        <v>422</v>
      </c>
      <c r="AR159" s="174">
        <v>1</v>
      </c>
      <c r="AS159" s="130" t="s">
        <v>422</v>
      </c>
      <c r="AT159" s="174">
        <v>1</v>
      </c>
      <c r="AU159" s="130" t="s">
        <v>4587</v>
      </c>
      <c r="AV159" s="130"/>
      <c r="AW159" s="104" t="s">
        <v>248</v>
      </c>
      <c r="AX159" s="130" t="s">
        <v>249</v>
      </c>
      <c r="AY159" s="130"/>
      <c r="AZ159" s="130"/>
      <c r="BA159" s="130"/>
      <c r="BB159" s="179"/>
      <c r="BC159" s="179"/>
      <c r="BD159" s="104"/>
      <c r="BE159" s="130"/>
      <c r="BF159" s="135">
        <v>13621</v>
      </c>
      <c r="BG159" s="130"/>
      <c r="BH159" s="185" t="s">
        <v>497</v>
      </c>
      <c r="BI159" s="130" t="s">
        <v>363</v>
      </c>
      <c r="BJ159" s="130" t="s">
        <v>252</v>
      </c>
      <c r="BK159" s="130" t="s">
        <v>253</v>
      </c>
      <c r="BL159" s="135"/>
      <c r="BM159" s="135"/>
      <c r="BN159" s="135"/>
      <c r="BO159" s="163">
        <v>100</v>
      </c>
      <c r="BP159" s="163">
        <v>200</v>
      </c>
      <c r="BQ159" s="130" t="s">
        <v>241</v>
      </c>
      <c r="BR159" s="135">
        <v>2</v>
      </c>
      <c r="BS159" s="135"/>
      <c r="BT159" s="163">
        <v>50</v>
      </c>
      <c r="BU159" s="163">
        <v>40</v>
      </c>
      <c r="BV159" s="130"/>
      <c r="BW159" s="104"/>
      <c r="BX159" s="135"/>
      <c r="BY159" s="135"/>
      <c r="BZ159" s="135">
        <v>1</v>
      </c>
      <c r="CA159" s="135">
        <v>1</v>
      </c>
      <c r="CB159" s="135">
        <v>1</v>
      </c>
      <c r="CC159" s="135">
        <v>1</v>
      </c>
      <c r="CD159" s="135">
        <v>1</v>
      </c>
      <c r="CE159" s="135">
        <v>1</v>
      </c>
      <c r="CF159" s="135">
        <v>1</v>
      </c>
      <c r="CG159" s="135">
        <v>1</v>
      </c>
      <c r="CH159" s="163">
        <v>32</v>
      </c>
      <c r="CI159" s="130" t="s">
        <v>4446</v>
      </c>
      <c r="CJ159" s="135"/>
      <c r="CK159" s="135"/>
      <c r="CL159" s="130"/>
      <c r="CM159" s="193">
        <v>113103</v>
      </c>
      <c r="CN159" s="193">
        <v>100057</v>
      </c>
      <c r="CO159" s="193"/>
      <c r="CP159" s="193">
        <v>113103</v>
      </c>
      <c r="CQ159" s="193"/>
      <c r="CR159" s="193"/>
    </row>
    <row r="160" spans="1:96" ht="15.75" customHeight="1" x14ac:dyDescent="0.35">
      <c r="A160" s="288"/>
      <c r="B160" s="87" t="s">
        <v>501</v>
      </c>
      <c r="C160" s="92" t="s">
        <v>419</v>
      </c>
      <c r="D160" s="138">
        <v>13701</v>
      </c>
      <c r="E160" s="135">
        <v>70317</v>
      </c>
      <c r="F160" s="135"/>
      <c r="G160" s="139">
        <v>302</v>
      </c>
      <c r="H160" s="135">
        <v>0</v>
      </c>
      <c r="I160" s="135"/>
      <c r="J160" s="135"/>
      <c r="K160" s="135">
        <v>3</v>
      </c>
      <c r="L160" s="139"/>
      <c r="M160" s="138">
        <v>10823</v>
      </c>
      <c r="N160" s="139"/>
      <c r="O160" s="154">
        <v>5</v>
      </c>
      <c r="P160" s="135">
        <v>0</v>
      </c>
      <c r="Q160" s="135">
        <v>3</v>
      </c>
      <c r="R160" s="135"/>
      <c r="S160" s="163">
        <v>1</v>
      </c>
      <c r="T160" s="163">
        <v>1</v>
      </c>
      <c r="U160" s="163">
        <v>1</v>
      </c>
      <c r="V160" s="135"/>
      <c r="W160" s="135"/>
      <c r="X160" s="163"/>
      <c r="Y160" s="135">
        <v>18221</v>
      </c>
      <c r="Z160" s="135">
        <v>1000</v>
      </c>
      <c r="AA160" s="135">
        <v>400</v>
      </c>
      <c r="AB160" s="135"/>
      <c r="AC160" s="135">
        <v>1</v>
      </c>
      <c r="AD160" s="135"/>
      <c r="AE160" s="135">
        <v>4</v>
      </c>
      <c r="AF160" s="163">
        <v>1</v>
      </c>
      <c r="AG160" s="169">
        <v>100</v>
      </c>
      <c r="AH160" s="135"/>
      <c r="AI160" s="135"/>
      <c r="AJ160" s="135"/>
      <c r="AK160" s="135">
        <v>0</v>
      </c>
      <c r="AL160" s="135">
        <v>21005</v>
      </c>
      <c r="AM160" s="135">
        <v>1000</v>
      </c>
      <c r="AN160" s="135"/>
      <c r="AO160" s="130" t="s">
        <v>502</v>
      </c>
      <c r="AP160" s="130" t="s">
        <v>272</v>
      </c>
      <c r="AQ160" s="130" t="s">
        <v>502</v>
      </c>
      <c r="AR160" s="130" t="s">
        <v>272</v>
      </c>
      <c r="AS160" s="130" t="s">
        <v>502</v>
      </c>
      <c r="AT160" s="130" t="s">
        <v>272</v>
      </c>
      <c r="AU160" s="130" t="s">
        <v>4584</v>
      </c>
      <c r="AV160" s="130"/>
      <c r="AW160" s="104" t="s">
        <v>248</v>
      </c>
      <c r="AX160" s="130" t="s">
        <v>249</v>
      </c>
      <c r="AY160" s="130"/>
      <c r="AZ160" s="130"/>
      <c r="BA160" s="130"/>
      <c r="BB160" s="179"/>
      <c r="BC160" s="179"/>
      <c r="BD160" s="104"/>
      <c r="BE160" s="130" t="s">
        <v>335</v>
      </c>
      <c r="BF160" s="135">
        <v>13701</v>
      </c>
      <c r="BG160" s="130"/>
      <c r="BH160" s="185" t="s">
        <v>497</v>
      </c>
      <c r="BI160" s="130" t="s">
        <v>251</v>
      </c>
      <c r="BJ160" s="130" t="s">
        <v>336</v>
      </c>
      <c r="BK160" s="130" t="s">
        <v>253</v>
      </c>
      <c r="BL160" s="135"/>
      <c r="BM160" s="135"/>
      <c r="BN160" s="135"/>
      <c r="BO160" s="163">
        <v>100</v>
      </c>
      <c r="BP160" s="163">
        <v>200</v>
      </c>
      <c r="BQ160" s="130" t="s">
        <v>241</v>
      </c>
      <c r="BR160" s="135">
        <v>3</v>
      </c>
      <c r="BS160" s="135"/>
      <c r="BT160" s="163">
        <v>50</v>
      </c>
      <c r="BU160" s="163">
        <v>20</v>
      </c>
      <c r="BV160" s="130"/>
      <c r="BW160" s="104"/>
      <c r="BX160" s="135"/>
      <c r="BY160" s="135"/>
      <c r="BZ160" s="135">
        <v>1</v>
      </c>
      <c r="CA160" s="135">
        <v>2</v>
      </c>
      <c r="CB160" s="135">
        <v>1</v>
      </c>
      <c r="CC160" s="135">
        <v>2</v>
      </c>
      <c r="CD160" s="135">
        <v>1</v>
      </c>
      <c r="CE160" s="135">
        <v>2</v>
      </c>
      <c r="CF160" s="135">
        <v>1</v>
      </c>
      <c r="CG160" s="135">
        <v>2</v>
      </c>
      <c r="CH160" s="163"/>
      <c r="CI160" s="130"/>
      <c r="CJ160" s="135"/>
      <c r="CK160" s="135"/>
      <c r="CL160" s="130"/>
      <c r="CM160" s="193">
        <v>113201</v>
      </c>
      <c r="CN160" s="193">
        <v>100057</v>
      </c>
      <c r="CO160" s="193"/>
      <c r="CP160" s="193">
        <v>113201</v>
      </c>
      <c r="CQ160" s="193"/>
      <c r="CR160" s="193"/>
    </row>
    <row r="161" spans="1:96" ht="15.75" customHeight="1" x14ac:dyDescent="0.35">
      <c r="A161" s="288"/>
      <c r="B161" s="87" t="s">
        <v>503</v>
      </c>
      <c r="C161" s="92" t="s">
        <v>419</v>
      </c>
      <c r="D161" s="138">
        <v>13711</v>
      </c>
      <c r="E161" s="135">
        <v>70318</v>
      </c>
      <c r="F161" s="135"/>
      <c r="G161" s="139">
        <v>302</v>
      </c>
      <c r="H161" s="135"/>
      <c r="I161" s="135"/>
      <c r="J161" s="135"/>
      <c r="K161" s="135">
        <v>3</v>
      </c>
      <c r="L161" s="139"/>
      <c r="M161" s="138">
        <v>10824</v>
      </c>
      <c r="N161" s="139"/>
      <c r="O161" s="154">
        <v>5</v>
      </c>
      <c r="P161" s="135">
        <v>2</v>
      </c>
      <c r="Q161" s="135">
        <v>3</v>
      </c>
      <c r="R161" s="135"/>
      <c r="S161" s="163">
        <v>1</v>
      </c>
      <c r="T161" s="163">
        <v>1</v>
      </c>
      <c r="U161" s="163">
        <v>1</v>
      </c>
      <c r="V161" s="135"/>
      <c r="W161" s="135"/>
      <c r="X161" s="163"/>
      <c r="Y161" s="135">
        <v>18211</v>
      </c>
      <c r="Z161" s="135">
        <v>1000</v>
      </c>
      <c r="AA161" s="135">
        <v>400</v>
      </c>
      <c r="AB161" s="135"/>
      <c r="AC161" s="135">
        <v>1</v>
      </c>
      <c r="AD161" s="135"/>
      <c r="AE161" s="135">
        <v>4</v>
      </c>
      <c r="AF161" s="163">
        <v>1</v>
      </c>
      <c r="AG161" s="169">
        <v>100</v>
      </c>
      <c r="AH161" s="135"/>
      <c r="AI161" s="135"/>
      <c r="AJ161" s="135"/>
      <c r="AK161" s="135">
        <v>0</v>
      </c>
      <c r="AL161" s="135">
        <v>21005</v>
      </c>
      <c r="AM161" s="135">
        <v>1000</v>
      </c>
      <c r="AN161" s="135"/>
      <c r="AO161" s="130" t="s">
        <v>504</v>
      </c>
      <c r="AP161" s="130" t="s">
        <v>272</v>
      </c>
      <c r="AQ161" s="130" t="s">
        <v>504</v>
      </c>
      <c r="AR161" s="130" t="s">
        <v>272</v>
      </c>
      <c r="AS161" s="130" t="s">
        <v>504</v>
      </c>
      <c r="AT161" s="130" t="s">
        <v>272</v>
      </c>
      <c r="AU161" s="130" t="s">
        <v>4584</v>
      </c>
      <c r="AV161" s="130" t="s">
        <v>266</v>
      </c>
      <c r="AW161" s="104" t="s">
        <v>248</v>
      </c>
      <c r="AX161" s="130" t="s">
        <v>249</v>
      </c>
      <c r="AY161" s="130"/>
      <c r="AZ161" s="130"/>
      <c r="BA161" s="130"/>
      <c r="BB161" s="179"/>
      <c r="BC161" s="179"/>
      <c r="BD161" s="104"/>
      <c r="BE161" s="130" t="s">
        <v>335</v>
      </c>
      <c r="BF161" s="135">
        <v>13711</v>
      </c>
      <c r="BG161" s="130"/>
      <c r="BH161" s="185" t="s">
        <v>497</v>
      </c>
      <c r="BI161" s="130" t="s">
        <v>363</v>
      </c>
      <c r="BJ161" s="130" t="s">
        <v>252</v>
      </c>
      <c r="BK161" s="130" t="s">
        <v>253</v>
      </c>
      <c r="BL161" s="135"/>
      <c r="BM161" s="135"/>
      <c r="BN161" s="135"/>
      <c r="BO161" s="163">
        <v>100</v>
      </c>
      <c r="BP161" s="163">
        <v>200</v>
      </c>
      <c r="BQ161" s="130" t="s">
        <v>241</v>
      </c>
      <c r="BR161" s="135">
        <v>3</v>
      </c>
      <c r="BS161" s="135"/>
      <c r="BT161" s="163">
        <v>50</v>
      </c>
      <c r="BU161" s="163">
        <v>40</v>
      </c>
      <c r="BV161" s="130"/>
      <c r="BW161" s="104"/>
      <c r="BX161" s="135"/>
      <c r="BY161" s="135"/>
      <c r="BZ161" s="135">
        <v>1</v>
      </c>
      <c r="CA161" s="135">
        <v>2</v>
      </c>
      <c r="CB161" s="135">
        <v>1</v>
      </c>
      <c r="CC161" s="135">
        <v>2</v>
      </c>
      <c r="CD161" s="135">
        <v>1</v>
      </c>
      <c r="CE161" s="135">
        <v>1</v>
      </c>
      <c r="CF161" s="135">
        <v>1</v>
      </c>
      <c r="CG161" s="135">
        <v>1</v>
      </c>
      <c r="CH161" s="163"/>
      <c r="CI161" s="130"/>
      <c r="CJ161" s="135"/>
      <c r="CK161" s="135"/>
      <c r="CL161" s="130"/>
      <c r="CM161" s="193">
        <v>113202</v>
      </c>
      <c r="CN161" s="193">
        <v>100057</v>
      </c>
      <c r="CO161" s="193"/>
      <c r="CP161" s="193">
        <v>113202</v>
      </c>
      <c r="CQ161" s="193"/>
      <c r="CR161" s="193"/>
    </row>
    <row r="162" spans="1:96" ht="15.75" customHeight="1" x14ac:dyDescent="0.35">
      <c r="A162" s="288"/>
      <c r="B162" s="87" t="s">
        <v>505</v>
      </c>
      <c r="C162" s="92" t="s">
        <v>419</v>
      </c>
      <c r="D162" s="138">
        <v>13721</v>
      </c>
      <c r="E162" s="135">
        <v>70319</v>
      </c>
      <c r="F162" s="135"/>
      <c r="G162" s="139">
        <v>302</v>
      </c>
      <c r="H162" s="135"/>
      <c r="I162" s="135"/>
      <c r="J162" s="135"/>
      <c r="K162" s="135">
        <v>3</v>
      </c>
      <c r="L162" s="139"/>
      <c r="M162" s="138">
        <v>10825</v>
      </c>
      <c r="N162" s="139"/>
      <c r="O162" s="154">
        <v>5</v>
      </c>
      <c r="P162" s="135">
        <v>2</v>
      </c>
      <c r="Q162" s="135">
        <v>3</v>
      </c>
      <c r="R162" s="135"/>
      <c r="S162" s="163">
        <v>1</v>
      </c>
      <c r="T162" s="163">
        <v>1</v>
      </c>
      <c r="U162" s="163">
        <v>1</v>
      </c>
      <c r="V162" s="135"/>
      <c r="W162" s="135"/>
      <c r="X162" s="163"/>
      <c r="Y162" s="135">
        <v>17061</v>
      </c>
      <c r="Z162" s="135">
        <v>1000</v>
      </c>
      <c r="AA162" s="135">
        <v>400</v>
      </c>
      <c r="AB162" s="135"/>
      <c r="AC162" s="135">
        <v>1</v>
      </c>
      <c r="AD162" s="135"/>
      <c r="AE162" s="135">
        <v>4</v>
      </c>
      <c r="AF162" s="163">
        <v>1</v>
      </c>
      <c r="AG162" s="169">
        <v>100</v>
      </c>
      <c r="AH162" s="135"/>
      <c r="AI162" s="135"/>
      <c r="AJ162" s="135"/>
      <c r="AK162" s="135">
        <v>0</v>
      </c>
      <c r="AL162" s="135">
        <v>8002</v>
      </c>
      <c r="AM162" s="135">
        <v>1000</v>
      </c>
      <c r="AN162" s="135"/>
      <c r="AO162" s="130" t="s">
        <v>506</v>
      </c>
      <c r="AP162" s="130" t="s">
        <v>329</v>
      </c>
      <c r="AQ162" s="130" t="s">
        <v>506</v>
      </c>
      <c r="AR162" s="130" t="s">
        <v>329</v>
      </c>
      <c r="AS162" s="130" t="s">
        <v>506</v>
      </c>
      <c r="AT162" s="130" t="s">
        <v>329</v>
      </c>
      <c r="AU162" s="130" t="s">
        <v>4584</v>
      </c>
      <c r="AV162" s="130" t="s">
        <v>266</v>
      </c>
      <c r="AW162" s="104" t="s">
        <v>248</v>
      </c>
      <c r="AX162" s="130" t="s">
        <v>249</v>
      </c>
      <c r="AY162" s="130"/>
      <c r="AZ162" s="130"/>
      <c r="BA162" s="130"/>
      <c r="BB162" s="179"/>
      <c r="BC162" s="179"/>
      <c r="BD162" s="104"/>
      <c r="BE162" s="130" t="s">
        <v>335</v>
      </c>
      <c r="BF162" s="135">
        <v>13721</v>
      </c>
      <c r="BG162" s="130"/>
      <c r="BH162" s="185" t="s">
        <v>497</v>
      </c>
      <c r="BI162" s="130" t="s">
        <v>251</v>
      </c>
      <c r="BJ162" s="130" t="s">
        <v>252</v>
      </c>
      <c r="BK162" s="130" t="s">
        <v>253</v>
      </c>
      <c r="BL162" s="135"/>
      <c r="BM162" s="135"/>
      <c r="BN162" s="135"/>
      <c r="BO162" s="163">
        <v>100</v>
      </c>
      <c r="BP162" s="163">
        <v>200</v>
      </c>
      <c r="BQ162" s="130" t="s">
        <v>241</v>
      </c>
      <c r="BR162" s="135">
        <v>3</v>
      </c>
      <c r="BS162" s="135"/>
      <c r="BT162" s="163">
        <v>50</v>
      </c>
      <c r="BU162" s="163">
        <v>40</v>
      </c>
      <c r="BV162" s="130"/>
      <c r="BW162" s="104"/>
      <c r="BX162" s="135"/>
      <c r="BY162" s="135"/>
      <c r="BZ162" s="135">
        <v>1</v>
      </c>
      <c r="CA162" s="135">
        <v>2</v>
      </c>
      <c r="CB162" s="135">
        <v>1</v>
      </c>
      <c r="CC162" s="135">
        <v>2</v>
      </c>
      <c r="CD162" s="135">
        <v>1</v>
      </c>
      <c r="CE162" s="135">
        <v>1</v>
      </c>
      <c r="CF162" s="135">
        <v>1</v>
      </c>
      <c r="CG162" s="135">
        <v>1</v>
      </c>
      <c r="CH162" s="163"/>
      <c r="CI162" s="130"/>
      <c r="CJ162" s="135"/>
      <c r="CK162" s="135"/>
      <c r="CL162" s="130"/>
      <c r="CM162" s="193">
        <v>113203</v>
      </c>
      <c r="CN162" s="193">
        <v>100057</v>
      </c>
      <c r="CO162" s="193"/>
      <c r="CP162" s="193">
        <v>113203</v>
      </c>
      <c r="CQ162" s="193"/>
      <c r="CR162" s="193"/>
    </row>
    <row r="163" spans="1:96" ht="15.75" customHeight="1" x14ac:dyDescent="0.35">
      <c r="A163" s="288"/>
      <c r="B163" s="95" t="s">
        <v>507</v>
      </c>
      <c r="C163" s="96" t="s">
        <v>419</v>
      </c>
      <c r="D163" s="138">
        <v>13731</v>
      </c>
      <c r="E163" s="135">
        <v>70320</v>
      </c>
      <c r="F163" s="135"/>
      <c r="G163" s="139">
        <v>302</v>
      </c>
      <c r="H163" s="135">
        <v>0</v>
      </c>
      <c r="I163" s="135"/>
      <c r="J163" s="135"/>
      <c r="K163" s="135">
        <v>3</v>
      </c>
      <c r="L163" s="139">
        <v>1</v>
      </c>
      <c r="M163" s="138">
        <v>10826</v>
      </c>
      <c r="N163" s="139"/>
      <c r="O163" s="154">
        <v>5</v>
      </c>
      <c r="P163" s="135">
        <v>4</v>
      </c>
      <c r="Q163" s="135">
        <v>3</v>
      </c>
      <c r="R163" s="135"/>
      <c r="S163" s="163">
        <v>1</v>
      </c>
      <c r="T163" s="163">
        <v>1</v>
      </c>
      <c r="U163" s="163">
        <v>1</v>
      </c>
      <c r="V163" s="135"/>
      <c r="W163" s="135"/>
      <c r="X163" s="163"/>
      <c r="Y163" s="135">
        <v>18261</v>
      </c>
      <c r="Z163" s="135">
        <v>1000</v>
      </c>
      <c r="AA163" s="135">
        <v>400</v>
      </c>
      <c r="AB163" s="135">
        <v>3</v>
      </c>
      <c r="AC163" s="135">
        <v>1</v>
      </c>
      <c r="AD163" s="135"/>
      <c r="AE163" s="135">
        <v>4</v>
      </c>
      <c r="AF163" s="163">
        <v>1</v>
      </c>
      <c r="AG163" s="169">
        <v>100</v>
      </c>
      <c r="AH163" s="135"/>
      <c r="AI163" s="135"/>
      <c r="AJ163" s="135"/>
      <c r="AK163" s="135">
        <v>0</v>
      </c>
      <c r="AL163" s="135">
        <v>8002</v>
      </c>
      <c r="AM163" s="135">
        <v>1000</v>
      </c>
      <c r="AN163" s="135"/>
      <c r="AO163" s="130" t="s">
        <v>508</v>
      </c>
      <c r="AP163" s="130" t="s">
        <v>340</v>
      </c>
      <c r="AQ163" s="130" t="s">
        <v>508</v>
      </c>
      <c r="AR163" s="130" t="s">
        <v>340</v>
      </c>
      <c r="AS163" s="130" t="s">
        <v>508</v>
      </c>
      <c r="AT163" s="130" t="s">
        <v>340</v>
      </c>
      <c r="AU163" s="130" t="s">
        <v>4584</v>
      </c>
      <c r="AV163" s="130"/>
      <c r="AW163" s="104" t="s">
        <v>425</v>
      </c>
      <c r="AX163" s="130" t="s">
        <v>249</v>
      </c>
      <c r="AY163" s="130"/>
      <c r="AZ163" s="130"/>
      <c r="BA163" s="130"/>
      <c r="BB163" s="179"/>
      <c r="BC163" s="179"/>
      <c r="BD163" s="104"/>
      <c r="BE163" s="130" t="s">
        <v>335</v>
      </c>
      <c r="BF163" s="135">
        <v>13731</v>
      </c>
      <c r="BG163" s="130"/>
      <c r="BH163" s="185" t="s">
        <v>497</v>
      </c>
      <c r="BI163" s="130" t="s">
        <v>251</v>
      </c>
      <c r="BJ163" s="130" t="s">
        <v>336</v>
      </c>
      <c r="BK163" s="130" t="s">
        <v>253</v>
      </c>
      <c r="BL163" s="135"/>
      <c r="BM163" s="135"/>
      <c r="BN163" s="135"/>
      <c r="BO163" s="163">
        <v>100</v>
      </c>
      <c r="BP163" s="163">
        <v>200</v>
      </c>
      <c r="BQ163" s="130" t="s">
        <v>241</v>
      </c>
      <c r="BR163" s="135">
        <v>3</v>
      </c>
      <c r="BS163" s="135"/>
      <c r="BT163" s="163">
        <v>50</v>
      </c>
      <c r="BU163" s="163">
        <v>50</v>
      </c>
      <c r="BV163" s="130"/>
      <c r="BW163" s="104"/>
      <c r="BX163" s="135"/>
      <c r="BY163" s="135"/>
      <c r="BZ163" s="135">
        <v>1</v>
      </c>
      <c r="CA163" s="135">
        <v>1</v>
      </c>
      <c r="CB163" s="135">
        <v>1</v>
      </c>
      <c r="CC163" s="135">
        <v>1</v>
      </c>
      <c r="CD163" s="135">
        <v>1</v>
      </c>
      <c r="CE163" s="135">
        <v>1</v>
      </c>
      <c r="CF163" s="135">
        <v>1</v>
      </c>
      <c r="CG163" s="135">
        <v>1</v>
      </c>
      <c r="CH163" s="163"/>
      <c r="CI163" s="130"/>
      <c r="CJ163" s="135"/>
      <c r="CK163" s="135"/>
      <c r="CL163" s="130"/>
      <c r="CM163" s="193">
        <v>113204</v>
      </c>
      <c r="CN163" s="193">
        <v>100057</v>
      </c>
      <c r="CO163" s="193"/>
      <c r="CP163" s="193">
        <v>113204</v>
      </c>
      <c r="CQ163" s="193"/>
      <c r="CR163" s="193"/>
    </row>
    <row r="164" spans="1:96" ht="15.75" customHeight="1" x14ac:dyDescent="0.35">
      <c r="A164" s="288"/>
      <c r="B164" s="90" t="s">
        <v>501</v>
      </c>
      <c r="C164" s="75" t="s">
        <v>4583</v>
      </c>
      <c r="D164" s="138">
        <v>13791</v>
      </c>
      <c r="E164" s="135">
        <v>70317</v>
      </c>
      <c r="F164" s="135"/>
      <c r="G164" s="139">
        <v>302</v>
      </c>
      <c r="H164" s="135">
        <v>0</v>
      </c>
      <c r="I164" s="135"/>
      <c r="J164" s="135"/>
      <c r="K164" s="135">
        <v>3</v>
      </c>
      <c r="L164" s="139"/>
      <c r="M164" s="138">
        <v>10823</v>
      </c>
      <c r="N164" s="139"/>
      <c r="O164" s="154">
        <v>5</v>
      </c>
      <c r="P164" s="135">
        <v>0</v>
      </c>
      <c r="Q164" s="135">
        <v>3</v>
      </c>
      <c r="R164" s="135"/>
      <c r="S164" s="163">
        <v>1</v>
      </c>
      <c r="T164" s="163">
        <v>1</v>
      </c>
      <c r="U164" s="163">
        <v>1</v>
      </c>
      <c r="V164" s="135"/>
      <c r="W164" s="135"/>
      <c r="X164" s="163"/>
      <c r="Y164" s="135">
        <v>18221</v>
      </c>
      <c r="Z164" s="135">
        <v>1000</v>
      </c>
      <c r="AA164" s="135">
        <v>400</v>
      </c>
      <c r="AB164" s="135"/>
      <c r="AC164" s="135">
        <v>1</v>
      </c>
      <c r="AD164" s="135"/>
      <c r="AE164" s="135">
        <v>4</v>
      </c>
      <c r="AF164" s="163">
        <v>1</v>
      </c>
      <c r="AG164" s="169">
        <v>100</v>
      </c>
      <c r="AH164" s="135"/>
      <c r="AI164" s="135"/>
      <c r="AJ164" s="135"/>
      <c r="AK164" s="135">
        <v>0</v>
      </c>
      <c r="AL164" s="135">
        <v>21005</v>
      </c>
      <c r="AM164" s="135">
        <v>1000</v>
      </c>
      <c r="AN164" s="135"/>
      <c r="AO164" s="130" t="s">
        <v>502</v>
      </c>
      <c r="AP164" s="130" t="s">
        <v>272</v>
      </c>
      <c r="AQ164" s="130" t="s">
        <v>502</v>
      </c>
      <c r="AR164" s="130" t="s">
        <v>272</v>
      </c>
      <c r="AS164" s="130" t="s">
        <v>502</v>
      </c>
      <c r="AT164" s="130" t="s">
        <v>272</v>
      </c>
      <c r="AU164" s="130" t="s">
        <v>4584</v>
      </c>
      <c r="AV164" s="130"/>
      <c r="AW164" s="104" t="s">
        <v>248</v>
      </c>
      <c r="AX164" s="130" t="s">
        <v>249</v>
      </c>
      <c r="AY164" s="130"/>
      <c r="AZ164" s="130"/>
      <c r="BA164" s="130"/>
      <c r="BB164" s="179"/>
      <c r="BC164" s="179"/>
      <c r="BD164" s="104"/>
      <c r="BE164" s="130" t="s">
        <v>335</v>
      </c>
      <c r="BF164" s="135">
        <v>13701</v>
      </c>
      <c r="BG164" s="130"/>
      <c r="BH164" s="185" t="s">
        <v>497</v>
      </c>
      <c r="BI164" s="130" t="s">
        <v>251</v>
      </c>
      <c r="BJ164" s="130" t="s">
        <v>336</v>
      </c>
      <c r="BK164" s="130" t="s">
        <v>253</v>
      </c>
      <c r="BL164" s="135"/>
      <c r="BM164" s="135"/>
      <c r="BN164" s="135"/>
      <c r="BO164" s="163">
        <v>100</v>
      </c>
      <c r="BP164" s="163">
        <v>200</v>
      </c>
      <c r="BQ164" s="130" t="s">
        <v>241</v>
      </c>
      <c r="BR164" s="135">
        <v>3</v>
      </c>
      <c r="BS164" s="135"/>
      <c r="BT164" s="163">
        <v>50</v>
      </c>
      <c r="BU164" s="163">
        <v>20</v>
      </c>
      <c r="BV164" s="130"/>
      <c r="BW164" s="104"/>
      <c r="BX164" s="135"/>
      <c r="BY164" s="135"/>
      <c r="BZ164" s="135">
        <v>1</v>
      </c>
      <c r="CA164" s="135">
        <v>2</v>
      </c>
      <c r="CB164" s="135">
        <v>1</v>
      </c>
      <c r="CC164" s="135">
        <v>2</v>
      </c>
      <c r="CD164" s="135">
        <v>1</v>
      </c>
      <c r="CE164" s="135">
        <v>2</v>
      </c>
      <c r="CF164" s="135">
        <v>1</v>
      </c>
      <c r="CG164" s="135">
        <v>2</v>
      </c>
      <c r="CH164" s="163"/>
      <c r="CI164" s="130"/>
      <c r="CJ164" s="135"/>
      <c r="CK164" s="135"/>
      <c r="CL164" s="130"/>
      <c r="CM164" s="193">
        <v>1200012</v>
      </c>
      <c r="CN164" s="193">
        <v>100057</v>
      </c>
      <c r="CO164" s="193"/>
      <c r="CP164" s="193">
        <v>1200012</v>
      </c>
      <c r="CQ164" s="193"/>
      <c r="CR164" s="193"/>
    </row>
    <row r="165" spans="1:96" ht="15.75" customHeight="1" x14ac:dyDescent="0.35">
      <c r="A165" s="288"/>
      <c r="B165" s="90" t="s">
        <v>503</v>
      </c>
      <c r="C165" s="75" t="s">
        <v>4583</v>
      </c>
      <c r="D165" s="138">
        <v>13792</v>
      </c>
      <c r="E165" s="135">
        <v>70318</v>
      </c>
      <c r="F165" s="135"/>
      <c r="G165" s="139">
        <v>302</v>
      </c>
      <c r="H165" s="135"/>
      <c r="I165" s="135"/>
      <c r="J165" s="135"/>
      <c r="K165" s="135">
        <v>3</v>
      </c>
      <c r="L165" s="139"/>
      <c r="M165" s="138">
        <v>10824</v>
      </c>
      <c r="N165" s="139"/>
      <c r="O165" s="154">
        <v>5</v>
      </c>
      <c r="P165" s="135">
        <v>2</v>
      </c>
      <c r="Q165" s="135">
        <v>3</v>
      </c>
      <c r="R165" s="135"/>
      <c r="S165" s="163">
        <v>1</v>
      </c>
      <c r="T165" s="163">
        <v>1</v>
      </c>
      <c r="U165" s="163">
        <v>1</v>
      </c>
      <c r="V165" s="135"/>
      <c r="W165" s="135"/>
      <c r="X165" s="163"/>
      <c r="Y165" s="135">
        <v>18211</v>
      </c>
      <c r="Z165" s="135">
        <v>1000</v>
      </c>
      <c r="AA165" s="135">
        <v>400</v>
      </c>
      <c r="AB165" s="135"/>
      <c r="AC165" s="135">
        <v>1</v>
      </c>
      <c r="AD165" s="135"/>
      <c r="AE165" s="135">
        <v>4</v>
      </c>
      <c r="AF165" s="163">
        <v>1</v>
      </c>
      <c r="AG165" s="169">
        <v>100</v>
      </c>
      <c r="AH165" s="135"/>
      <c r="AI165" s="135"/>
      <c r="AJ165" s="135"/>
      <c r="AK165" s="135">
        <v>0</v>
      </c>
      <c r="AL165" s="135">
        <v>21005</v>
      </c>
      <c r="AM165" s="135">
        <v>1000</v>
      </c>
      <c r="AN165" s="135"/>
      <c r="AO165" s="130" t="s">
        <v>504</v>
      </c>
      <c r="AP165" s="130" t="s">
        <v>272</v>
      </c>
      <c r="AQ165" s="130" t="s">
        <v>504</v>
      </c>
      <c r="AR165" s="130" t="s">
        <v>272</v>
      </c>
      <c r="AS165" s="130" t="s">
        <v>504</v>
      </c>
      <c r="AT165" s="130" t="s">
        <v>272</v>
      </c>
      <c r="AU165" s="130" t="s">
        <v>4584</v>
      </c>
      <c r="AV165" s="130" t="s">
        <v>266</v>
      </c>
      <c r="AW165" s="104" t="s">
        <v>248</v>
      </c>
      <c r="AX165" s="130" t="s">
        <v>249</v>
      </c>
      <c r="AY165" s="130"/>
      <c r="AZ165" s="130"/>
      <c r="BA165" s="130"/>
      <c r="BB165" s="179"/>
      <c r="BC165" s="179"/>
      <c r="BD165" s="104"/>
      <c r="BE165" s="130" t="s">
        <v>335</v>
      </c>
      <c r="BF165" s="135">
        <v>13711</v>
      </c>
      <c r="BG165" s="130"/>
      <c r="BH165" s="185" t="s">
        <v>497</v>
      </c>
      <c r="BI165" s="130" t="s">
        <v>363</v>
      </c>
      <c r="BJ165" s="130" t="s">
        <v>252</v>
      </c>
      <c r="BK165" s="130" t="s">
        <v>253</v>
      </c>
      <c r="BL165" s="135"/>
      <c r="BM165" s="135"/>
      <c r="BN165" s="135"/>
      <c r="BO165" s="163">
        <v>100</v>
      </c>
      <c r="BP165" s="163">
        <v>200</v>
      </c>
      <c r="BQ165" s="130" t="s">
        <v>241</v>
      </c>
      <c r="BR165" s="135">
        <v>3</v>
      </c>
      <c r="BS165" s="135"/>
      <c r="BT165" s="163">
        <v>50</v>
      </c>
      <c r="BU165" s="163">
        <v>40</v>
      </c>
      <c r="BV165" s="130"/>
      <c r="BW165" s="104"/>
      <c r="BX165" s="135"/>
      <c r="BY165" s="135"/>
      <c r="BZ165" s="135">
        <v>1</v>
      </c>
      <c r="CA165" s="135">
        <v>2</v>
      </c>
      <c r="CB165" s="135">
        <v>1</v>
      </c>
      <c r="CC165" s="135">
        <v>2</v>
      </c>
      <c r="CD165" s="135">
        <v>1</v>
      </c>
      <c r="CE165" s="135">
        <v>1</v>
      </c>
      <c r="CF165" s="135">
        <v>1</v>
      </c>
      <c r="CG165" s="135">
        <v>1</v>
      </c>
      <c r="CH165" s="163"/>
      <c r="CI165" s="130"/>
      <c r="CJ165" s="135"/>
      <c r="CK165" s="135"/>
      <c r="CL165" s="130"/>
      <c r="CM165" s="193">
        <v>1200013</v>
      </c>
      <c r="CN165" s="193">
        <v>100057</v>
      </c>
      <c r="CO165" s="193"/>
      <c r="CP165" s="193">
        <v>1200013</v>
      </c>
      <c r="CQ165" s="193"/>
      <c r="CR165" s="193"/>
    </row>
    <row r="166" spans="1:96" ht="15.75" customHeight="1" x14ac:dyDescent="0.35">
      <c r="A166" s="288"/>
      <c r="B166" s="90" t="s">
        <v>505</v>
      </c>
      <c r="C166" s="75" t="s">
        <v>4583</v>
      </c>
      <c r="D166" s="138">
        <v>13793</v>
      </c>
      <c r="E166" s="135">
        <v>70319</v>
      </c>
      <c r="F166" s="135"/>
      <c r="G166" s="139">
        <v>302</v>
      </c>
      <c r="H166" s="135"/>
      <c r="I166" s="135"/>
      <c r="J166" s="135"/>
      <c r="K166" s="135">
        <v>3</v>
      </c>
      <c r="L166" s="139"/>
      <c r="M166" s="138">
        <v>10825</v>
      </c>
      <c r="N166" s="139"/>
      <c r="O166" s="154">
        <v>5</v>
      </c>
      <c r="P166" s="135">
        <v>2</v>
      </c>
      <c r="Q166" s="135">
        <v>3</v>
      </c>
      <c r="R166" s="135"/>
      <c r="S166" s="163">
        <v>1</v>
      </c>
      <c r="T166" s="163">
        <v>1</v>
      </c>
      <c r="U166" s="163">
        <v>1</v>
      </c>
      <c r="V166" s="135"/>
      <c r="W166" s="135"/>
      <c r="X166" s="163"/>
      <c r="Y166" s="135">
        <v>17061</v>
      </c>
      <c r="Z166" s="135">
        <v>1000</v>
      </c>
      <c r="AA166" s="135">
        <v>400</v>
      </c>
      <c r="AB166" s="135"/>
      <c r="AC166" s="135">
        <v>1</v>
      </c>
      <c r="AD166" s="135"/>
      <c r="AE166" s="135">
        <v>4</v>
      </c>
      <c r="AF166" s="163">
        <v>1</v>
      </c>
      <c r="AG166" s="169">
        <v>100</v>
      </c>
      <c r="AH166" s="135"/>
      <c r="AI166" s="135"/>
      <c r="AJ166" s="135"/>
      <c r="AK166" s="135">
        <v>0</v>
      </c>
      <c r="AL166" s="135">
        <v>8002</v>
      </c>
      <c r="AM166" s="135">
        <v>1000</v>
      </c>
      <c r="AN166" s="135"/>
      <c r="AO166" s="130" t="s">
        <v>506</v>
      </c>
      <c r="AP166" s="130" t="s">
        <v>329</v>
      </c>
      <c r="AQ166" s="130" t="s">
        <v>506</v>
      </c>
      <c r="AR166" s="130" t="s">
        <v>329</v>
      </c>
      <c r="AS166" s="130" t="s">
        <v>506</v>
      </c>
      <c r="AT166" s="130" t="s">
        <v>329</v>
      </c>
      <c r="AU166" s="130" t="s">
        <v>4584</v>
      </c>
      <c r="AV166" s="130" t="s">
        <v>266</v>
      </c>
      <c r="AW166" s="104" t="s">
        <v>248</v>
      </c>
      <c r="AX166" s="130" t="s">
        <v>249</v>
      </c>
      <c r="AY166" s="130"/>
      <c r="AZ166" s="130"/>
      <c r="BA166" s="130"/>
      <c r="BB166" s="179"/>
      <c r="BC166" s="179"/>
      <c r="BD166" s="104"/>
      <c r="BE166" s="130" t="s">
        <v>335</v>
      </c>
      <c r="BF166" s="135">
        <v>13721</v>
      </c>
      <c r="BG166" s="130"/>
      <c r="BH166" s="185" t="s">
        <v>497</v>
      </c>
      <c r="BI166" s="130" t="s">
        <v>251</v>
      </c>
      <c r="BJ166" s="130" t="s">
        <v>252</v>
      </c>
      <c r="BK166" s="130" t="s">
        <v>253</v>
      </c>
      <c r="BL166" s="135"/>
      <c r="BM166" s="135"/>
      <c r="BN166" s="135"/>
      <c r="BO166" s="163">
        <v>100</v>
      </c>
      <c r="BP166" s="163">
        <v>200</v>
      </c>
      <c r="BQ166" s="130" t="s">
        <v>241</v>
      </c>
      <c r="BR166" s="135">
        <v>3</v>
      </c>
      <c r="BS166" s="135"/>
      <c r="BT166" s="163">
        <v>50</v>
      </c>
      <c r="BU166" s="163">
        <v>40</v>
      </c>
      <c r="BV166" s="130"/>
      <c r="BW166" s="104"/>
      <c r="BX166" s="135"/>
      <c r="BY166" s="135"/>
      <c r="BZ166" s="135">
        <v>1</v>
      </c>
      <c r="CA166" s="135">
        <v>2</v>
      </c>
      <c r="CB166" s="135">
        <v>1</v>
      </c>
      <c r="CC166" s="135">
        <v>2</v>
      </c>
      <c r="CD166" s="135">
        <v>1</v>
      </c>
      <c r="CE166" s="135">
        <v>1</v>
      </c>
      <c r="CF166" s="135">
        <v>1</v>
      </c>
      <c r="CG166" s="135">
        <v>1</v>
      </c>
      <c r="CH166" s="163"/>
      <c r="CI166" s="130"/>
      <c r="CJ166" s="135"/>
      <c r="CK166" s="135"/>
      <c r="CL166" s="130"/>
      <c r="CM166" s="193">
        <v>1200014</v>
      </c>
      <c r="CN166" s="193">
        <v>100057</v>
      </c>
      <c r="CO166" s="193"/>
      <c r="CP166" s="193">
        <v>1200014</v>
      </c>
      <c r="CQ166" s="193"/>
      <c r="CR166" s="193"/>
    </row>
    <row r="167" spans="1:96" ht="15.75" customHeight="1" x14ac:dyDescent="0.35">
      <c r="A167" s="288"/>
      <c r="B167" s="193" t="s">
        <v>507</v>
      </c>
      <c r="C167" s="75" t="s">
        <v>4583</v>
      </c>
      <c r="D167" s="138">
        <v>13794</v>
      </c>
      <c r="E167" s="135">
        <v>70320</v>
      </c>
      <c r="F167" s="135"/>
      <c r="G167" s="139">
        <v>302</v>
      </c>
      <c r="H167" s="135">
        <v>0</v>
      </c>
      <c r="I167" s="135"/>
      <c r="J167" s="135"/>
      <c r="K167" s="135">
        <v>3</v>
      </c>
      <c r="L167" s="139">
        <v>1</v>
      </c>
      <c r="M167" s="138">
        <v>10826</v>
      </c>
      <c r="N167" s="139"/>
      <c r="O167" s="154">
        <v>5</v>
      </c>
      <c r="P167" s="135">
        <v>4</v>
      </c>
      <c r="Q167" s="135">
        <v>3</v>
      </c>
      <c r="R167" s="135"/>
      <c r="S167" s="163">
        <v>1</v>
      </c>
      <c r="T167" s="163">
        <v>1</v>
      </c>
      <c r="U167" s="163">
        <v>1</v>
      </c>
      <c r="V167" s="135"/>
      <c r="W167" s="135"/>
      <c r="X167" s="163"/>
      <c r="Y167" s="135">
        <v>18261</v>
      </c>
      <c r="Z167" s="135">
        <v>1000</v>
      </c>
      <c r="AA167" s="135">
        <v>400</v>
      </c>
      <c r="AB167" s="135">
        <v>3</v>
      </c>
      <c r="AC167" s="135">
        <v>1</v>
      </c>
      <c r="AD167" s="135"/>
      <c r="AE167" s="135">
        <v>4</v>
      </c>
      <c r="AF167" s="163">
        <v>1</v>
      </c>
      <c r="AG167" s="169">
        <v>100</v>
      </c>
      <c r="AH167" s="135"/>
      <c r="AI167" s="135"/>
      <c r="AJ167" s="135"/>
      <c r="AK167" s="135">
        <v>0</v>
      </c>
      <c r="AL167" s="135">
        <v>8002</v>
      </c>
      <c r="AM167" s="135">
        <v>1000</v>
      </c>
      <c r="AN167" s="135"/>
      <c r="AO167" s="130" t="s">
        <v>508</v>
      </c>
      <c r="AP167" s="130" t="s">
        <v>340</v>
      </c>
      <c r="AQ167" s="130" t="s">
        <v>508</v>
      </c>
      <c r="AR167" s="130" t="s">
        <v>340</v>
      </c>
      <c r="AS167" s="130" t="s">
        <v>508</v>
      </c>
      <c r="AT167" s="130" t="s">
        <v>340</v>
      </c>
      <c r="AU167" s="130" t="s">
        <v>4584</v>
      </c>
      <c r="AV167" s="130"/>
      <c r="AW167" s="104" t="s">
        <v>425</v>
      </c>
      <c r="AX167" s="130" t="s">
        <v>249</v>
      </c>
      <c r="AY167" s="130"/>
      <c r="AZ167" s="130"/>
      <c r="BA167" s="130"/>
      <c r="BB167" s="179"/>
      <c r="BC167" s="179"/>
      <c r="BD167" s="104"/>
      <c r="BE167" s="130" t="s">
        <v>335</v>
      </c>
      <c r="BF167" s="135">
        <v>13731</v>
      </c>
      <c r="BG167" s="130"/>
      <c r="BH167" s="185" t="s">
        <v>497</v>
      </c>
      <c r="BI167" s="130" t="s">
        <v>251</v>
      </c>
      <c r="BJ167" s="130" t="s">
        <v>336</v>
      </c>
      <c r="BK167" s="130" t="s">
        <v>253</v>
      </c>
      <c r="BL167" s="135"/>
      <c r="BM167" s="135"/>
      <c r="BN167" s="135"/>
      <c r="BO167" s="163">
        <v>100</v>
      </c>
      <c r="BP167" s="163">
        <v>200</v>
      </c>
      <c r="BQ167" s="130" t="s">
        <v>241</v>
      </c>
      <c r="BR167" s="135">
        <v>3</v>
      </c>
      <c r="BS167" s="135"/>
      <c r="BT167" s="163">
        <v>50</v>
      </c>
      <c r="BU167" s="163">
        <v>50</v>
      </c>
      <c r="BV167" s="130"/>
      <c r="BW167" s="104"/>
      <c r="BX167" s="135"/>
      <c r="BY167" s="135"/>
      <c r="BZ167" s="135">
        <v>1</v>
      </c>
      <c r="CA167" s="135">
        <v>1</v>
      </c>
      <c r="CB167" s="135">
        <v>1</v>
      </c>
      <c r="CC167" s="135">
        <v>1</v>
      </c>
      <c r="CD167" s="135">
        <v>1</v>
      </c>
      <c r="CE167" s="135">
        <v>1</v>
      </c>
      <c r="CF167" s="135">
        <v>1</v>
      </c>
      <c r="CG167" s="135">
        <v>1</v>
      </c>
      <c r="CH167" s="163"/>
      <c r="CI167" s="130"/>
      <c r="CJ167" s="135"/>
      <c r="CK167" s="135"/>
      <c r="CL167" s="130"/>
      <c r="CM167" s="193">
        <v>1200015</v>
      </c>
      <c r="CN167" s="193">
        <v>100057</v>
      </c>
      <c r="CO167" s="193"/>
      <c r="CP167" s="193">
        <v>1200015</v>
      </c>
      <c r="CQ167" s="193"/>
      <c r="CR167" s="193"/>
    </row>
    <row r="168" spans="1:96" ht="15.75" customHeight="1" x14ac:dyDescent="0.35">
      <c r="A168" s="288"/>
      <c r="B168" s="253" t="s">
        <v>501</v>
      </c>
      <c r="C168" s="75" t="s">
        <v>4607</v>
      </c>
      <c r="D168" s="138">
        <v>13800</v>
      </c>
      <c r="E168" s="135">
        <v>70317</v>
      </c>
      <c r="F168" s="135"/>
      <c r="G168" s="139">
        <v>302</v>
      </c>
      <c r="H168" s="258">
        <v>0</v>
      </c>
      <c r="I168" s="258"/>
      <c r="J168" s="135"/>
      <c r="K168" s="258">
        <v>3</v>
      </c>
      <c r="L168" s="135">
        <v>1</v>
      </c>
      <c r="M168" s="135">
        <v>10823</v>
      </c>
      <c r="N168" s="139"/>
      <c r="O168" s="154">
        <v>5</v>
      </c>
      <c r="P168" s="258">
        <v>0</v>
      </c>
      <c r="Q168" s="135">
        <v>3</v>
      </c>
      <c r="R168" s="135"/>
      <c r="S168" s="163">
        <v>1</v>
      </c>
      <c r="T168" s="259">
        <v>1</v>
      </c>
      <c r="U168" s="259">
        <v>1</v>
      </c>
      <c r="V168" s="258"/>
      <c r="W168" s="258"/>
      <c r="X168" s="163"/>
      <c r="Y168" s="135">
        <v>18221</v>
      </c>
      <c r="Z168" s="258">
        <v>1000</v>
      </c>
      <c r="AA168" s="258">
        <v>400</v>
      </c>
      <c r="AB168" s="135"/>
      <c r="AC168" s="135">
        <v>1</v>
      </c>
      <c r="AD168" s="135"/>
      <c r="AE168" s="135">
        <v>4</v>
      </c>
      <c r="AF168" s="163">
        <v>1</v>
      </c>
      <c r="AG168" s="169">
        <v>100</v>
      </c>
      <c r="AH168" s="258"/>
      <c r="AI168" s="135"/>
      <c r="AJ168" s="135"/>
      <c r="AK168" s="135">
        <v>0</v>
      </c>
      <c r="AL168" s="135">
        <v>21005</v>
      </c>
      <c r="AM168" s="135">
        <v>1000</v>
      </c>
      <c r="AN168" s="135"/>
      <c r="AO168" s="130" t="s">
        <v>502</v>
      </c>
      <c r="AP168" s="260" t="s">
        <v>272</v>
      </c>
      <c r="AQ168" s="260" t="s">
        <v>502</v>
      </c>
      <c r="AR168" s="260" t="s">
        <v>272</v>
      </c>
      <c r="AS168" s="260" t="s">
        <v>502</v>
      </c>
      <c r="AT168" s="260" t="s">
        <v>272</v>
      </c>
      <c r="AU168" s="130" t="s">
        <v>4584</v>
      </c>
      <c r="AV168" s="260"/>
      <c r="AW168" s="104" t="s">
        <v>248</v>
      </c>
      <c r="AX168" s="260" t="s">
        <v>249</v>
      </c>
      <c r="AY168" s="130"/>
      <c r="AZ168" s="130"/>
      <c r="BA168" s="130"/>
      <c r="BB168" s="179"/>
      <c r="BC168" s="179"/>
      <c r="BD168" s="104"/>
      <c r="BE168" s="130" t="s">
        <v>335</v>
      </c>
      <c r="BF168" s="258">
        <v>13701</v>
      </c>
      <c r="BG168" s="130"/>
      <c r="BH168" s="185" t="s">
        <v>497</v>
      </c>
      <c r="BI168" s="260" t="s">
        <v>251</v>
      </c>
      <c r="BJ168" s="130" t="s">
        <v>336</v>
      </c>
      <c r="BK168" s="130" t="s">
        <v>253</v>
      </c>
      <c r="BL168" s="135"/>
      <c r="BM168" s="135"/>
      <c r="BN168" s="135"/>
      <c r="BO168" s="163">
        <v>100</v>
      </c>
      <c r="BP168" s="163">
        <v>200</v>
      </c>
      <c r="BQ168" s="130" t="s">
        <v>241</v>
      </c>
      <c r="BR168" s="135">
        <v>3</v>
      </c>
      <c r="BS168" s="258"/>
      <c r="BT168" s="259">
        <v>50</v>
      </c>
      <c r="BU168" s="259">
        <v>20</v>
      </c>
      <c r="BV168" s="260"/>
      <c r="BW168" s="104"/>
      <c r="BX168" s="258"/>
      <c r="BY168" s="258"/>
      <c r="BZ168" s="258">
        <v>1</v>
      </c>
      <c r="CA168" s="258">
        <v>2</v>
      </c>
      <c r="CB168" s="258">
        <v>1</v>
      </c>
      <c r="CC168" s="258">
        <v>2</v>
      </c>
      <c r="CD168" s="258">
        <v>1</v>
      </c>
      <c r="CE168" s="258">
        <v>2</v>
      </c>
      <c r="CF168" s="135">
        <v>1</v>
      </c>
      <c r="CG168" s="135">
        <v>2</v>
      </c>
      <c r="CH168" s="261"/>
      <c r="CI168" s="260"/>
      <c r="CJ168" s="258"/>
      <c r="CK168" s="258"/>
      <c r="CL168" s="260"/>
      <c r="CM168" s="263">
        <v>1210009</v>
      </c>
      <c r="CN168" s="264">
        <v>100057</v>
      </c>
      <c r="CO168" s="264"/>
      <c r="CP168" s="263">
        <v>1210009</v>
      </c>
      <c r="CQ168" s="262"/>
      <c r="CR168" s="262"/>
    </row>
    <row r="169" spans="1:96" ht="15.75" customHeight="1" x14ac:dyDescent="0.35">
      <c r="A169" s="288"/>
      <c r="B169" s="90" t="s">
        <v>503</v>
      </c>
      <c r="C169" s="75" t="s">
        <v>4607</v>
      </c>
      <c r="D169" s="138">
        <v>13801</v>
      </c>
      <c r="E169" s="135">
        <v>70318</v>
      </c>
      <c r="F169" s="135"/>
      <c r="G169" s="139">
        <v>302</v>
      </c>
      <c r="H169" s="135"/>
      <c r="I169" s="135"/>
      <c r="J169" s="135"/>
      <c r="K169" s="135">
        <v>3</v>
      </c>
      <c r="L169" s="135">
        <v>1</v>
      </c>
      <c r="M169" s="135">
        <v>10824</v>
      </c>
      <c r="N169" s="139"/>
      <c r="O169" s="154">
        <v>5</v>
      </c>
      <c r="P169" s="135">
        <v>2</v>
      </c>
      <c r="Q169" s="135">
        <v>3</v>
      </c>
      <c r="R169" s="135"/>
      <c r="S169" s="163">
        <v>1</v>
      </c>
      <c r="T169" s="163">
        <v>1</v>
      </c>
      <c r="U169" s="163">
        <v>1</v>
      </c>
      <c r="V169" s="135"/>
      <c r="W169" s="135"/>
      <c r="X169" s="163"/>
      <c r="Y169" s="135">
        <v>18211</v>
      </c>
      <c r="Z169" s="135">
        <v>1000</v>
      </c>
      <c r="AA169" s="135">
        <v>400</v>
      </c>
      <c r="AB169" s="135"/>
      <c r="AC169" s="135">
        <v>1</v>
      </c>
      <c r="AD169" s="135"/>
      <c r="AE169" s="135">
        <v>4</v>
      </c>
      <c r="AF169" s="163">
        <v>1</v>
      </c>
      <c r="AG169" s="169">
        <v>100</v>
      </c>
      <c r="AH169" s="135"/>
      <c r="AI169" s="135"/>
      <c r="AJ169" s="135"/>
      <c r="AK169" s="135">
        <v>0</v>
      </c>
      <c r="AL169" s="135">
        <v>21005</v>
      </c>
      <c r="AM169" s="135">
        <v>1000</v>
      </c>
      <c r="AN169" s="135"/>
      <c r="AO169" s="130" t="s">
        <v>504</v>
      </c>
      <c r="AP169" s="130" t="s">
        <v>272</v>
      </c>
      <c r="AQ169" s="130" t="s">
        <v>504</v>
      </c>
      <c r="AR169" s="130" t="s">
        <v>272</v>
      </c>
      <c r="AS169" s="130" t="s">
        <v>504</v>
      </c>
      <c r="AT169" s="130" t="s">
        <v>272</v>
      </c>
      <c r="AU169" s="130" t="s">
        <v>4584</v>
      </c>
      <c r="AV169" s="130" t="s">
        <v>266</v>
      </c>
      <c r="AW169" s="104" t="s">
        <v>248</v>
      </c>
      <c r="AX169" s="130" t="s">
        <v>249</v>
      </c>
      <c r="AY169" s="130"/>
      <c r="AZ169" s="130"/>
      <c r="BA169" s="130"/>
      <c r="BB169" s="179"/>
      <c r="BC169" s="179"/>
      <c r="BD169" s="104"/>
      <c r="BE169" s="130" t="s">
        <v>335</v>
      </c>
      <c r="BF169" s="135">
        <v>13711</v>
      </c>
      <c r="BG169" s="130"/>
      <c r="BH169" s="185" t="s">
        <v>497</v>
      </c>
      <c r="BI169" s="130" t="s">
        <v>363</v>
      </c>
      <c r="BJ169" s="130" t="s">
        <v>252</v>
      </c>
      <c r="BK169" s="130" t="s">
        <v>253</v>
      </c>
      <c r="BL169" s="135"/>
      <c r="BM169" s="135"/>
      <c r="BN169" s="135"/>
      <c r="BO169" s="163">
        <v>100</v>
      </c>
      <c r="BP169" s="163">
        <v>200</v>
      </c>
      <c r="BQ169" s="130" t="s">
        <v>241</v>
      </c>
      <c r="BR169" s="135">
        <v>3</v>
      </c>
      <c r="BS169" s="135"/>
      <c r="BT169" s="163">
        <v>50</v>
      </c>
      <c r="BU169" s="163">
        <v>40</v>
      </c>
      <c r="BV169" s="130"/>
      <c r="BW169" s="104"/>
      <c r="BX169" s="135"/>
      <c r="BY169" s="135"/>
      <c r="BZ169" s="135">
        <v>1</v>
      </c>
      <c r="CA169" s="135">
        <v>2</v>
      </c>
      <c r="CB169" s="135">
        <v>1</v>
      </c>
      <c r="CC169" s="135">
        <v>2</v>
      </c>
      <c r="CD169" s="135">
        <v>1</v>
      </c>
      <c r="CE169" s="135">
        <v>1</v>
      </c>
      <c r="CF169" s="135">
        <v>1</v>
      </c>
      <c r="CG169" s="135">
        <v>1</v>
      </c>
      <c r="CH169" s="179"/>
      <c r="CI169" s="130"/>
      <c r="CJ169" s="135"/>
      <c r="CK169" s="135"/>
      <c r="CL169" s="130"/>
      <c r="CM169" s="248">
        <v>1210009</v>
      </c>
      <c r="CN169" s="193">
        <v>100057</v>
      </c>
      <c r="CO169" s="193"/>
      <c r="CP169" s="248">
        <v>1210009</v>
      </c>
      <c r="CQ169" s="193"/>
      <c r="CR169" s="193"/>
    </row>
    <row r="170" spans="1:96" ht="15.75" customHeight="1" x14ac:dyDescent="0.35">
      <c r="A170" s="288"/>
      <c r="B170" s="90" t="s">
        <v>505</v>
      </c>
      <c r="C170" s="75" t="s">
        <v>4607</v>
      </c>
      <c r="D170" s="138">
        <v>13802</v>
      </c>
      <c r="E170" s="135">
        <v>70319</v>
      </c>
      <c r="F170" s="135"/>
      <c r="G170" s="139">
        <v>302</v>
      </c>
      <c r="H170" s="135"/>
      <c r="I170" s="135"/>
      <c r="J170" s="135"/>
      <c r="K170" s="135">
        <v>3</v>
      </c>
      <c r="L170" s="135">
        <v>1</v>
      </c>
      <c r="M170" s="135">
        <v>10825</v>
      </c>
      <c r="N170" s="139"/>
      <c r="O170" s="154">
        <v>5</v>
      </c>
      <c r="P170" s="135">
        <v>2</v>
      </c>
      <c r="Q170" s="135">
        <v>3</v>
      </c>
      <c r="R170" s="135"/>
      <c r="S170" s="163">
        <v>1</v>
      </c>
      <c r="T170" s="163">
        <v>1</v>
      </c>
      <c r="U170" s="163">
        <v>1</v>
      </c>
      <c r="V170" s="135"/>
      <c r="W170" s="135"/>
      <c r="X170" s="163"/>
      <c r="Y170" s="135">
        <v>17061</v>
      </c>
      <c r="Z170" s="135">
        <v>1000</v>
      </c>
      <c r="AA170" s="135">
        <v>400</v>
      </c>
      <c r="AB170" s="135"/>
      <c r="AC170" s="135">
        <v>1</v>
      </c>
      <c r="AD170" s="135"/>
      <c r="AE170" s="135">
        <v>4</v>
      </c>
      <c r="AF170" s="163">
        <v>1</v>
      </c>
      <c r="AG170" s="169">
        <v>100</v>
      </c>
      <c r="AH170" s="135"/>
      <c r="AI170" s="135"/>
      <c r="AJ170" s="135"/>
      <c r="AK170" s="135">
        <v>0</v>
      </c>
      <c r="AL170" s="135">
        <v>8002</v>
      </c>
      <c r="AM170" s="135">
        <v>1000</v>
      </c>
      <c r="AN170" s="135"/>
      <c r="AO170" s="130" t="s">
        <v>506</v>
      </c>
      <c r="AP170" s="130" t="s">
        <v>329</v>
      </c>
      <c r="AQ170" s="130" t="s">
        <v>506</v>
      </c>
      <c r="AR170" s="130" t="s">
        <v>329</v>
      </c>
      <c r="AS170" s="130" t="s">
        <v>506</v>
      </c>
      <c r="AT170" s="130" t="s">
        <v>329</v>
      </c>
      <c r="AU170" s="130" t="s">
        <v>4584</v>
      </c>
      <c r="AV170" s="130" t="s">
        <v>266</v>
      </c>
      <c r="AW170" s="104" t="s">
        <v>248</v>
      </c>
      <c r="AX170" s="130" t="s">
        <v>249</v>
      </c>
      <c r="AY170" s="130"/>
      <c r="AZ170" s="130"/>
      <c r="BA170" s="130"/>
      <c r="BB170" s="179"/>
      <c r="BC170" s="179"/>
      <c r="BD170" s="104"/>
      <c r="BE170" s="130" t="s">
        <v>335</v>
      </c>
      <c r="BF170" s="135">
        <v>13721</v>
      </c>
      <c r="BG170" s="130"/>
      <c r="BH170" s="185" t="s">
        <v>497</v>
      </c>
      <c r="BI170" s="130" t="s">
        <v>251</v>
      </c>
      <c r="BJ170" s="130" t="s">
        <v>252</v>
      </c>
      <c r="BK170" s="130" t="s">
        <v>253</v>
      </c>
      <c r="BL170" s="135"/>
      <c r="BM170" s="135"/>
      <c r="BN170" s="135"/>
      <c r="BO170" s="163">
        <v>100</v>
      </c>
      <c r="BP170" s="163">
        <v>200</v>
      </c>
      <c r="BQ170" s="130" t="s">
        <v>241</v>
      </c>
      <c r="BR170" s="135">
        <v>3</v>
      </c>
      <c r="BS170" s="135"/>
      <c r="BT170" s="163">
        <v>50</v>
      </c>
      <c r="BU170" s="163">
        <v>40</v>
      </c>
      <c r="BV170" s="130"/>
      <c r="BW170" s="104"/>
      <c r="BX170" s="135"/>
      <c r="BY170" s="135"/>
      <c r="BZ170" s="135">
        <v>1</v>
      </c>
      <c r="CA170" s="135">
        <v>2</v>
      </c>
      <c r="CB170" s="135">
        <v>1</v>
      </c>
      <c r="CC170" s="135">
        <v>2</v>
      </c>
      <c r="CD170" s="135">
        <v>1</v>
      </c>
      <c r="CE170" s="135">
        <v>1</v>
      </c>
      <c r="CF170" s="135">
        <v>1</v>
      </c>
      <c r="CG170" s="135">
        <v>1</v>
      </c>
      <c r="CH170" s="179"/>
      <c r="CI170" s="130"/>
      <c r="CJ170" s="135"/>
      <c r="CK170" s="135"/>
      <c r="CL170" s="130"/>
      <c r="CM170" s="248">
        <v>1210010</v>
      </c>
      <c r="CN170" s="193">
        <v>100057</v>
      </c>
      <c r="CO170" s="193"/>
      <c r="CP170" s="248">
        <v>1210010</v>
      </c>
      <c r="CQ170" s="193"/>
      <c r="CR170" s="193"/>
    </row>
    <row r="171" spans="1:96" ht="15.75" customHeight="1" x14ac:dyDescent="0.35">
      <c r="A171" s="288"/>
      <c r="B171" s="90" t="s">
        <v>507</v>
      </c>
      <c r="C171" s="75" t="s">
        <v>4607</v>
      </c>
      <c r="D171" s="138">
        <v>13803</v>
      </c>
      <c r="E171" s="135">
        <v>70320</v>
      </c>
      <c r="F171" s="135"/>
      <c r="G171" s="139">
        <v>302</v>
      </c>
      <c r="H171" s="135">
        <v>0</v>
      </c>
      <c r="I171" s="135"/>
      <c r="J171" s="135"/>
      <c r="K171" s="135">
        <v>3</v>
      </c>
      <c r="L171" s="135">
        <v>1</v>
      </c>
      <c r="M171" s="135">
        <v>10826</v>
      </c>
      <c r="N171" s="139"/>
      <c r="O171" s="154">
        <v>5</v>
      </c>
      <c r="P171" s="135">
        <v>4</v>
      </c>
      <c r="Q171" s="135">
        <v>3</v>
      </c>
      <c r="R171" s="135"/>
      <c r="S171" s="163">
        <v>1</v>
      </c>
      <c r="T171" s="163">
        <v>1</v>
      </c>
      <c r="U171" s="163">
        <v>1</v>
      </c>
      <c r="V171" s="135"/>
      <c r="W171" s="135"/>
      <c r="X171" s="163"/>
      <c r="Y171" s="135">
        <v>18261</v>
      </c>
      <c r="Z171" s="135">
        <v>1000</v>
      </c>
      <c r="AA171" s="135">
        <v>400</v>
      </c>
      <c r="AB171" s="135">
        <v>3</v>
      </c>
      <c r="AC171" s="135">
        <v>1</v>
      </c>
      <c r="AD171" s="135"/>
      <c r="AE171" s="135">
        <v>4</v>
      </c>
      <c r="AF171" s="163">
        <v>1</v>
      </c>
      <c r="AG171" s="169">
        <v>100</v>
      </c>
      <c r="AH171" s="135"/>
      <c r="AI171" s="135"/>
      <c r="AJ171" s="135"/>
      <c r="AK171" s="135">
        <v>0</v>
      </c>
      <c r="AL171" s="135">
        <v>8002</v>
      </c>
      <c r="AM171" s="135">
        <v>1000</v>
      </c>
      <c r="AN171" s="135"/>
      <c r="AO171" s="130" t="s">
        <v>508</v>
      </c>
      <c r="AP171" s="130" t="s">
        <v>340</v>
      </c>
      <c r="AQ171" s="130" t="s">
        <v>508</v>
      </c>
      <c r="AR171" s="130" t="s">
        <v>340</v>
      </c>
      <c r="AS171" s="130" t="s">
        <v>508</v>
      </c>
      <c r="AT171" s="130" t="s">
        <v>340</v>
      </c>
      <c r="AU171" s="130" t="s">
        <v>4584</v>
      </c>
      <c r="AV171" s="130"/>
      <c r="AW171" s="104" t="s">
        <v>425</v>
      </c>
      <c r="AX171" s="130" t="s">
        <v>249</v>
      </c>
      <c r="AY171" s="130"/>
      <c r="AZ171" s="130"/>
      <c r="BA171" s="130"/>
      <c r="BB171" s="179"/>
      <c r="BC171" s="179"/>
      <c r="BD171" s="104"/>
      <c r="BE171" s="130" t="s">
        <v>335</v>
      </c>
      <c r="BF171" s="135">
        <v>13731</v>
      </c>
      <c r="BG171" s="130"/>
      <c r="BH171" s="185" t="s">
        <v>497</v>
      </c>
      <c r="BI171" s="130" t="s">
        <v>251</v>
      </c>
      <c r="BJ171" s="130" t="s">
        <v>336</v>
      </c>
      <c r="BK171" s="130" t="s">
        <v>253</v>
      </c>
      <c r="BL171" s="135"/>
      <c r="BM171" s="135"/>
      <c r="BN171" s="135"/>
      <c r="BO171" s="163">
        <v>100</v>
      </c>
      <c r="BP171" s="163">
        <v>200</v>
      </c>
      <c r="BQ171" s="130" t="s">
        <v>241</v>
      </c>
      <c r="BR171" s="135">
        <v>3</v>
      </c>
      <c r="BS171" s="135"/>
      <c r="BT171" s="163">
        <v>50</v>
      </c>
      <c r="BU171" s="163">
        <v>50</v>
      </c>
      <c r="BV171" s="130"/>
      <c r="BW171" s="104"/>
      <c r="BX171" s="135"/>
      <c r="BY171" s="135"/>
      <c r="BZ171" s="135">
        <v>1</v>
      </c>
      <c r="CA171" s="135">
        <v>1</v>
      </c>
      <c r="CB171" s="135">
        <v>1</v>
      </c>
      <c r="CC171" s="135">
        <v>1</v>
      </c>
      <c r="CD171" s="135">
        <v>1</v>
      </c>
      <c r="CE171" s="135">
        <v>1</v>
      </c>
      <c r="CF171" s="135">
        <v>1</v>
      </c>
      <c r="CG171" s="135">
        <v>1</v>
      </c>
      <c r="CH171" s="179"/>
      <c r="CI171" s="130"/>
      <c r="CJ171" s="135"/>
      <c r="CK171" s="135"/>
      <c r="CL171" s="130"/>
      <c r="CM171" s="248">
        <v>1210011</v>
      </c>
      <c r="CN171" s="193">
        <v>100057</v>
      </c>
      <c r="CO171" s="193"/>
      <c r="CP171" s="248">
        <v>1210011</v>
      </c>
      <c r="CQ171" s="193"/>
      <c r="CR171" s="193"/>
    </row>
    <row r="172" spans="1:96" ht="15.75" customHeight="1" x14ac:dyDescent="0.35">
      <c r="A172" s="288"/>
      <c r="B172" s="144" t="s">
        <v>509</v>
      </c>
      <c r="C172" s="92"/>
      <c r="D172" s="138">
        <v>13901</v>
      </c>
      <c r="E172" s="135">
        <v>70351</v>
      </c>
      <c r="F172" s="135"/>
      <c r="G172" s="139"/>
      <c r="H172" s="135"/>
      <c r="I172" s="135"/>
      <c r="J172" s="135"/>
      <c r="K172" s="135">
        <v>2</v>
      </c>
      <c r="L172" s="139"/>
      <c r="M172" s="138"/>
      <c r="N172" s="139"/>
      <c r="O172" s="154">
        <v>1</v>
      </c>
      <c r="P172" s="135">
        <v>2</v>
      </c>
      <c r="Q172" s="135">
        <v>3</v>
      </c>
      <c r="R172" s="135"/>
      <c r="S172" s="163">
        <v>1</v>
      </c>
      <c r="T172" s="163">
        <v>1</v>
      </c>
      <c r="U172" s="163">
        <v>1</v>
      </c>
      <c r="V172" s="135"/>
      <c r="W172" s="135"/>
      <c r="X172" s="163"/>
      <c r="Y172" s="135">
        <v>18211</v>
      </c>
      <c r="Z172" s="135">
        <v>1000</v>
      </c>
      <c r="AA172" s="135">
        <v>400</v>
      </c>
      <c r="AB172" s="135"/>
      <c r="AC172" s="135"/>
      <c r="AD172" s="135"/>
      <c r="AE172" s="135">
        <v>4</v>
      </c>
      <c r="AF172" s="163">
        <v>1</v>
      </c>
      <c r="AG172" s="169">
        <v>100</v>
      </c>
      <c r="AH172" s="135"/>
      <c r="AI172" s="135"/>
      <c r="AJ172" s="135"/>
      <c r="AK172" s="135">
        <v>0</v>
      </c>
      <c r="AL172" s="135">
        <v>21005</v>
      </c>
      <c r="AM172" s="135">
        <v>1000</v>
      </c>
      <c r="AN172" s="135"/>
      <c r="AO172" s="130" t="s">
        <v>504</v>
      </c>
      <c r="AP172" s="130" t="s">
        <v>272</v>
      </c>
      <c r="AQ172" s="130" t="s">
        <v>504</v>
      </c>
      <c r="AR172" s="130" t="s">
        <v>272</v>
      </c>
      <c r="AS172" s="130" t="s">
        <v>504</v>
      </c>
      <c r="AT172" s="130" t="s">
        <v>272</v>
      </c>
      <c r="AU172" s="130" t="s">
        <v>4584</v>
      </c>
      <c r="AV172" s="130" t="s">
        <v>266</v>
      </c>
      <c r="AW172" s="104" t="s">
        <v>248</v>
      </c>
      <c r="AX172" s="130" t="s">
        <v>249</v>
      </c>
      <c r="AY172" s="130"/>
      <c r="AZ172" s="130"/>
      <c r="BA172" s="130"/>
      <c r="BB172" s="179"/>
      <c r="BC172" s="179"/>
      <c r="BD172" s="104"/>
      <c r="BE172" s="130"/>
      <c r="BF172" s="135">
        <v>13711</v>
      </c>
      <c r="BG172" s="130"/>
      <c r="BH172" s="185" t="s">
        <v>497</v>
      </c>
      <c r="BI172" s="130" t="s">
        <v>363</v>
      </c>
      <c r="BJ172" s="130" t="s">
        <v>252</v>
      </c>
      <c r="BK172" s="130" t="s">
        <v>253</v>
      </c>
      <c r="BL172" s="135"/>
      <c r="BM172" s="135"/>
      <c r="BN172" s="135"/>
      <c r="BO172" s="163">
        <v>100</v>
      </c>
      <c r="BP172" s="163">
        <v>200</v>
      </c>
      <c r="BQ172" s="130" t="s">
        <v>241</v>
      </c>
      <c r="BR172" s="135">
        <v>3</v>
      </c>
      <c r="BS172" s="135"/>
      <c r="BT172" s="163">
        <v>50</v>
      </c>
      <c r="BU172" s="163">
        <v>40</v>
      </c>
      <c r="BV172" s="130"/>
      <c r="BW172" s="104"/>
      <c r="BX172" s="135"/>
      <c r="BY172" s="135"/>
      <c r="BZ172" s="135">
        <v>1</v>
      </c>
      <c r="CA172" s="135">
        <v>2</v>
      </c>
      <c r="CB172" s="135">
        <v>1</v>
      </c>
      <c r="CC172" s="135">
        <v>2</v>
      </c>
      <c r="CD172" s="135">
        <v>1</v>
      </c>
      <c r="CE172" s="135">
        <v>1</v>
      </c>
      <c r="CF172" s="135">
        <v>1</v>
      </c>
      <c r="CG172" s="135">
        <v>1</v>
      </c>
      <c r="CH172" s="163"/>
      <c r="CI172" s="130"/>
      <c r="CJ172" s="135"/>
      <c r="CK172" s="135"/>
      <c r="CL172" s="130"/>
      <c r="CM172" s="193">
        <v>200137</v>
      </c>
      <c r="CN172" s="193">
        <v>100057</v>
      </c>
      <c r="CO172" s="193"/>
      <c r="CP172" s="193">
        <v>200137</v>
      </c>
      <c r="CQ172" s="193"/>
      <c r="CR172" s="193"/>
    </row>
    <row r="173" spans="1:96" ht="15.75" customHeight="1" x14ac:dyDescent="0.35">
      <c r="A173" s="296"/>
      <c r="B173" s="144" t="s">
        <v>510</v>
      </c>
      <c r="C173" s="92"/>
      <c r="D173" s="138">
        <v>13902</v>
      </c>
      <c r="E173" s="135">
        <v>70352</v>
      </c>
      <c r="F173" s="135"/>
      <c r="G173" s="139"/>
      <c r="H173" s="135"/>
      <c r="I173" s="135"/>
      <c r="J173" s="135"/>
      <c r="K173" s="135">
        <v>2</v>
      </c>
      <c r="L173" s="135"/>
      <c r="M173" s="139"/>
      <c r="N173" s="139"/>
      <c r="O173" s="154">
        <v>1</v>
      </c>
      <c r="P173" s="135">
        <v>1</v>
      </c>
      <c r="Q173" s="135">
        <v>1</v>
      </c>
      <c r="R173" s="135"/>
      <c r="S173" s="163">
        <v>1</v>
      </c>
      <c r="T173" s="163">
        <v>1</v>
      </c>
      <c r="U173" s="163">
        <v>1</v>
      </c>
      <c r="V173" s="135"/>
      <c r="W173" s="135"/>
      <c r="X173" s="163"/>
      <c r="Y173" s="135">
        <v>1020</v>
      </c>
      <c r="Z173" s="135">
        <v>1300</v>
      </c>
      <c r="AA173" s="135">
        <v>300</v>
      </c>
      <c r="AB173" s="135">
        <v>2</v>
      </c>
      <c r="AC173" s="135"/>
      <c r="AD173" s="135"/>
      <c r="AE173" s="135">
        <v>4</v>
      </c>
      <c r="AF173" s="163">
        <v>1</v>
      </c>
      <c r="AG173" s="169">
        <v>100</v>
      </c>
      <c r="AH173" s="135"/>
      <c r="AI173" s="135"/>
      <c r="AJ173" s="135"/>
      <c r="AK173" s="135">
        <v>0</v>
      </c>
      <c r="AL173" s="135">
        <v>21005</v>
      </c>
      <c r="AM173" s="135">
        <v>1000</v>
      </c>
      <c r="AN173" s="135"/>
      <c r="AO173" s="130" t="s">
        <v>327</v>
      </c>
      <c r="AP173" s="130" t="s">
        <v>272</v>
      </c>
      <c r="AQ173" s="130" t="s">
        <v>328</v>
      </c>
      <c r="AR173" s="130" t="s">
        <v>329</v>
      </c>
      <c r="AS173" s="130" t="s">
        <v>328</v>
      </c>
      <c r="AT173" s="130" t="s">
        <v>329</v>
      </c>
      <c r="AU173" s="130" t="s">
        <v>4584</v>
      </c>
      <c r="AV173" s="130" t="s">
        <v>266</v>
      </c>
      <c r="AW173" s="104" t="s">
        <v>248</v>
      </c>
      <c r="AX173" s="130" t="s">
        <v>249</v>
      </c>
      <c r="AY173" s="130"/>
      <c r="AZ173" s="130"/>
      <c r="BA173" s="130"/>
      <c r="BB173" s="179"/>
      <c r="BC173" s="179"/>
      <c r="BD173" s="104"/>
      <c r="BE173" s="130"/>
      <c r="BF173" s="138">
        <v>10611</v>
      </c>
      <c r="BG173" s="130"/>
      <c r="BH173" s="185" t="s">
        <v>324</v>
      </c>
      <c r="BI173" s="130" t="s">
        <v>280</v>
      </c>
      <c r="BJ173" s="130" t="s">
        <v>297</v>
      </c>
      <c r="BK173" s="130" t="s">
        <v>253</v>
      </c>
      <c r="BL173" s="135"/>
      <c r="BM173" s="135"/>
      <c r="BN173" s="135"/>
      <c r="BO173" s="163">
        <v>100</v>
      </c>
      <c r="BP173" s="163">
        <v>200</v>
      </c>
      <c r="BQ173" s="130" t="s">
        <v>241</v>
      </c>
      <c r="BR173" s="135">
        <v>2</v>
      </c>
      <c r="BS173" s="135"/>
      <c r="BT173" s="163">
        <v>50</v>
      </c>
      <c r="BU173" s="163">
        <v>40</v>
      </c>
      <c r="BV173" s="130"/>
      <c r="BW173" s="104"/>
      <c r="BX173" s="135"/>
      <c r="BY173" s="135"/>
      <c r="BZ173" s="135">
        <v>1</v>
      </c>
      <c r="CA173" s="135">
        <v>1</v>
      </c>
      <c r="CB173" s="135">
        <v>1</v>
      </c>
      <c r="CC173" s="135">
        <v>1</v>
      </c>
      <c r="CD173" s="135">
        <v>1</v>
      </c>
      <c r="CE173" s="135">
        <v>1</v>
      </c>
      <c r="CF173" s="135">
        <v>1</v>
      </c>
      <c r="CG173" s="135">
        <v>1</v>
      </c>
      <c r="CH173" s="163"/>
      <c r="CI173" s="130"/>
      <c r="CJ173" s="135"/>
      <c r="CK173" s="135"/>
      <c r="CL173" s="130"/>
      <c r="CM173" s="193">
        <v>200135</v>
      </c>
      <c r="CN173" s="193">
        <v>100057</v>
      </c>
      <c r="CO173" s="193"/>
      <c r="CP173" s="193">
        <v>200135</v>
      </c>
      <c r="CQ173" s="193"/>
      <c r="CR173" s="193"/>
    </row>
    <row r="174" spans="1:96" ht="15.75" customHeight="1" x14ac:dyDescent="0.35">
      <c r="A174" s="224"/>
      <c r="B174" s="225" t="s">
        <v>511</v>
      </c>
      <c r="C174" s="226"/>
      <c r="D174" s="227">
        <v>13903</v>
      </c>
      <c r="E174" s="135">
        <v>70353</v>
      </c>
      <c r="F174" s="135"/>
      <c r="G174" s="139"/>
      <c r="H174" s="135"/>
      <c r="I174" s="135"/>
      <c r="J174" s="135"/>
      <c r="K174" s="135">
        <v>2</v>
      </c>
      <c r="L174" s="135"/>
      <c r="M174" s="135"/>
      <c r="N174" s="139"/>
      <c r="O174" s="154">
        <v>1</v>
      </c>
      <c r="P174" s="135">
        <v>2</v>
      </c>
      <c r="Q174" s="135">
        <v>3</v>
      </c>
      <c r="R174" s="135"/>
      <c r="S174" s="163">
        <v>1</v>
      </c>
      <c r="T174" s="163">
        <v>1</v>
      </c>
      <c r="U174" s="163">
        <v>1</v>
      </c>
      <c r="V174" s="135"/>
      <c r="W174" s="135"/>
      <c r="X174" s="163"/>
      <c r="Y174" s="135">
        <v>17061</v>
      </c>
      <c r="Z174" s="135">
        <v>1000</v>
      </c>
      <c r="AA174" s="135">
        <v>400</v>
      </c>
      <c r="AB174" s="135"/>
      <c r="AC174" s="135"/>
      <c r="AD174" s="135"/>
      <c r="AE174" s="135">
        <v>4</v>
      </c>
      <c r="AF174" s="163">
        <v>1</v>
      </c>
      <c r="AG174" s="169">
        <v>100</v>
      </c>
      <c r="AH174" s="135"/>
      <c r="AI174" s="135"/>
      <c r="AJ174" s="135"/>
      <c r="AK174" s="135">
        <v>0</v>
      </c>
      <c r="AL174" s="135">
        <v>8002</v>
      </c>
      <c r="AM174" s="135">
        <v>1000</v>
      </c>
      <c r="AN174" s="135"/>
      <c r="AO174" s="130" t="s">
        <v>506</v>
      </c>
      <c r="AP174" s="130" t="s">
        <v>329</v>
      </c>
      <c r="AQ174" s="130" t="s">
        <v>506</v>
      </c>
      <c r="AR174" s="130" t="s">
        <v>329</v>
      </c>
      <c r="AS174" s="130" t="s">
        <v>506</v>
      </c>
      <c r="AT174" s="130" t="s">
        <v>329</v>
      </c>
      <c r="AU174" s="130" t="s">
        <v>4584</v>
      </c>
      <c r="AV174" s="130" t="s">
        <v>266</v>
      </c>
      <c r="AW174" s="104" t="s">
        <v>248</v>
      </c>
      <c r="AX174" s="130" t="s">
        <v>249</v>
      </c>
      <c r="AY174" s="130"/>
      <c r="AZ174" s="130"/>
      <c r="BA174" s="130"/>
      <c r="BB174" s="179"/>
      <c r="BC174" s="179"/>
      <c r="BD174" s="104"/>
      <c r="BE174" s="130" t="s">
        <v>335</v>
      </c>
      <c r="BF174" s="135">
        <v>13721</v>
      </c>
      <c r="BG174" s="130"/>
      <c r="BH174" s="185" t="s">
        <v>497</v>
      </c>
      <c r="BI174" s="130" t="s">
        <v>251</v>
      </c>
      <c r="BJ174" s="130" t="s">
        <v>252</v>
      </c>
      <c r="BK174" s="130" t="s">
        <v>253</v>
      </c>
      <c r="BL174" s="135"/>
      <c r="BM174" s="135"/>
      <c r="BN174" s="135"/>
      <c r="BO174" s="163">
        <v>100</v>
      </c>
      <c r="BP174" s="163">
        <v>200</v>
      </c>
      <c r="BQ174" s="130" t="s">
        <v>241</v>
      </c>
      <c r="BR174" s="135">
        <v>3</v>
      </c>
      <c r="BS174" s="135"/>
      <c r="BT174" s="163">
        <v>50</v>
      </c>
      <c r="BU174" s="163">
        <v>40</v>
      </c>
      <c r="BV174" s="130"/>
      <c r="BW174" s="104"/>
      <c r="BX174" s="135"/>
      <c r="BY174" s="135"/>
      <c r="BZ174" s="135">
        <v>1</v>
      </c>
      <c r="CA174" s="135">
        <v>2</v>
      </c>
      <c r="CB174" s="135">
        <v>1</v>
      </c>
      <c r="CC174" s="135">
        <v>2</v>
      </c>
      <c r="CD174" s="135">
        <v>1</v>
      </c>
      <c r="CE174" s="135">
        <v>1</v>
      </c>
      <c r="CF174" s="135">
        <v>1</v>
      </c>
      <c r="CG174" s="135">
        <v>1</v>
      </c>
      <c r="CH174" s="163"/>
      <c r="CI174" s="130"/>
      <c r="CJ174" s="135"/>
      <c r="CK174" s="135"/>
      <c r="CL174" s="130"/>
      <c r="CM174" s="193">
        <v>200205</v>
      </c>
      <c r="CN174" s="193">
        <v>100057</v>
      </c>
      <c r="CO174" s="193"/>
      <c r="CP174" s="193">
        <v>200205</v>
      </c>
      <c r="CQ174" s="193"/>
      <c r="CR174" s="193"/>
    </row>
    <row r="175" spans="1:96" ht="15.75" customHeight="1" x14ac:dyDescent="0.35">
      <c r="A175" s="295" t="s">
        <v>512</v>
      </c>
      <c r="B175" s="80" t="s">
        <v>513</v>
      </c>
      <c r="C175" s="91" t="s">
        <v>480</v>
      </c>
      <c r="D175" s="138">
        <v>14101</v>
      </c>
      <c r="E175" s="135">
        <v>70401</v>
      </c>
      <c r="F175" s="135"/>
      <c r="G175" s="139"/>
      <c r="H175" s="135"/>
      <c r="I175" s="135"/>
      <c r="J175" s="135"/>
      <c r="K175" s="135">
        <v>1</v>
      </c>
      <c r="L175" s="139"/>
      <c r="M175" s="139"/>
      <c r="N175" s="139"/>
      <c r="O175" s="154"/>
      <c r="P175" s="135">
        <v>2</v>
      </c>
      <c r="Q175" s="135">
        <v>3</v>
      </c>
      <c r="R175" s="135"/>
      <c r="S175" s="163">
        <v>1</v>
      </c>
      <c r="T175" s="163">
        <v>1</v>
      </c>
      <c r="U175" s="163">
        <v>1</v>
      </c>
      <c r="V175" s="135"/>
      <c r="W175" s="135"/>
      <c r="X175" s="163"/>
      <c r="Y175" s="135">
        <v>1613</v>
      </c>
      <c r="Z175" s="135">
        <v>1000</v>
      </c>
      <c r="AA175" s="135">
        <v>300</v>
      </c>
      <c r="AB175" s="135">
        <v>3</v>
      </c>
      <c r="AC175" s="135"/>
      <c r="AD175" s="135"/>
      <c r="AE175" s="135"/>
      <c r="AF175" s="163">
        <v>1</v>
      </c>
      <c r="AG175" s="169">
        <v>100</v>
      </c>
      <c r="AH175" s="135"/>
      <c r="AI175" s="135"/>
      <c r="AJ175" s="135"/>
      <c r="AK175" s="135">
        <v>0</v>
      </c>
      <c r="AL175" s="135">
        <v>21002</v>
      </c>
      <c r="AM175" s="135">
        <v>1000</v>
      </c>
      <c r="AN175" s="135"/>
      <c r="AO175" s="130" t="s">
        <v>265</v>
      </c>
      <c r="AP175" s="130" t="s">
        <v>246</v>
      </c>
      <c r="AQ175" s="130" t="s">
        <v>265</v>
      </c>
      <c r="AR175" s="130" t="s">
        <v>246</v>
      </c>
      <c r="AS175" s="130" t="s">
        <v>265</v>
      </c>
      <c r="AT175" s="130" t="s">
        <v>246</v>
      </c>
      <c r="AU175" s="130"/>
      <c r="AV175" s="130" t="s">
        <v>266</v>
      </c>
      <c r="AW175" s="104" t="s">
        <v>248</v>
      </c>
      <c r="AX175" s="130" t="s">
        <v>249</v>
      </c>
      <c r="AY175" s="130"/>
      <c r="AZ175" s="130"/>
      <c r="BA175" s="130"/>
      <c r="BB175" s="179"/>
      <c r="BC175" s="179"/>
      <c r="BD175" s="104"/>
      <c r="BE175" s="130"/>
      <c r="BF175" s="138">
        <v>14101</v>
      </c>
      <c r="BG175" s="130"/>
      <c r="BH175" s="185" t="s">
        <v>267</v>
      </c>
      <c r="BI175" s="130" t="s">
        <v>268</v>
      </c>
      <c r="BJ175" s="130" t="s">
        <v>269</v>
      </c>
      <c r="BK175" s="130" t="s">
        <v>253</v>
      </c>
      <c r="BL175" s="135"/>
      <c r="BM175" s="135"/>
      <c r="BN175" s="135"/>
      <c r="BO175" s="163">
        <v>150</v>
      </c>
      <c r="BP175" s="163">
        <v>200</v>
      </c>
      <c r="BQ175" s="130" t="s">
        <v>241</v>
      </c>
      <c r="BR175" s="135">
        <v>1</v>
      </c>
      <c r="BS175" s="135"/>
      <c r="BT175" s="163">
        <v>50</v>
      </c>
      <c r="BU175" s="163">
        <v>50</v>
      </c>
      <c r="BV175" s="130"/>
      <c r="BW175" s="104"/>
      <c r="BX175" s="135"/>
      <c r="BY175" s="135"/>
      <c r="BZ175" s="135">
        <v>3</v>
      </c>
      <c r="CA175" s="135">
        <v>3</v>
      </c>
      <c r="CB175" s="135">
        <v>2</v>
      </c>
      <c r="CC175" s="135">
        <v>3</v>
      </c>
      <c r="CD175" s="135">
        <v>6</v>
      </c>
      <c r="CE175" s="135">
        <v>8</v>
      </c>
      <c r="CF175" s="135">
        <v>2</v>
      </c>
      <c r="CG175" s="135">
        <v>3</v>
      </c>
      <c r="CH175" s="163">
        <v>1</v>
      </c>
      <c r="CI175" s="130" t="s">
        <v>4551</v>
      </c>
      <c r="CJ175" s="135"/>
      <c r="CK175" s="135"/>
      <c r="CL175" s="130"/>
      <c r="CM175" s="193">
        <v>100005</v>
      </c>
      <c r="CN175" s="193">
        <v>100057</v>
      </c>
      <c r="CO175" s="193"/>
      <c r="CP175" s="193">
        <v>100005</v>
      </c>
      <c r="CQ175" s="193"/>
      <c r="CR175" s="193"/>
    </row>
    <row r="176" spans="1:96" ht="15.75" customHeight="1" x14ac:dyDescent="0.35">
      <c r="A176" s="288"/>
      <c r="B176" s="80" t="s">
        <v>514</v>
      </c>
      <c r="C176" s="92" t="s">
        <v>482</v>
      </c>
      <c r="D176" s="138">
        <v>14111</v>
      </c>
      <c r="E176" s="135">
        <v>70402</v>
      </c>
      <c r="F176" s="135"/>
      <c r="G176" s="139"/>
      <c r="H176" s="135"/>
      <c r="I176" s="135"/>
      <c r="J176" s="135"/>
      <c r="K176" s="135">
        <v>1</v>
      </c>
      <c r="L176" s="139"/>
      <c r="M176" s="139"/>
      <c r="N176" s="139"/>
      <c r="O176" s="154"/>
      <c r="P176" s="135">
        <v>2</v>
      </c>
      <c r="Q176" s="135">
        <v>3</v>
      </c>
      <c r="R176" s="135"/>
      <c r="S176" s="163">
        <v>1</v>
      </c>
      <c r="T176" s="163">
        <v>1</v>
      </c>
      <c r="U176" s="163">
        <v>1</v>
      </c>
      <c r="V176" s="135"/>
      <c r="W176" s="135"/>
      <c r="X176" s="163"/>
      <c r="Y176" s="135">
        <v>1638</v>
      </c>
      <c r="Z176" s="135">
        <v>1000</v>
      </c>
      <c r="AA176" s="135">
        <v>400</v>
      </c>
      <c r="AB176" s="135"/>
      <c r="AC176" s="135"/>
      <c r="AD176" s="135"/>
      <c r="AE176" s="135"/>
      <c r="AF176" s="163">
        <v>1</v>
      </c>
      <c r="AG176" s="169">
        <v>100</v>
      </c>
      <c r="AH176" s="135"/>
      <c r="AI176" s="135"/>
      <c r="AJ176" s="135"/>
      <c r="AK176" s="135">
        <v>0</v>
      </c>
      <c r="AL176" s="135">
        <v>21002</v>
      </c>
      <c r="AM176" s="135">
        <v>1000</v>
      </c>
      <c r="AN176" s="135"/>
      <c r="AO176" s="130" t="s">
        <v>265</v>
      </c>
      <c r="AP176" s="130" t="s">
        <v>246</v>
      </c>
      <c r="AQ176" s="130" t="s">
        <v>265</v>
      </c>
      <c r="AR176" s="130" t="s">
        <v>246</v>
      </c>
      <c r="AS176" s="130" t="s">
        <v>265</v>
      </c>
      <c r="AT176" s="130" t="s">
        <v>246</v>
      </c>
      <c r="AU176" s="130"/>
      <c r="AV176" s="130" t="s">
        <v>266</v>
      </c>
      <c r="AW176" s="104" t="s">
        <v>248</v>
      </c>
      <c r="AX176" s="130" t="s">
        <v>249</v>
      </c>
      <c r="AY176" s="130"/>
      <c r="AZ176" s="130"/>
      <c r="BA176" s="130"/>
      <c r="BB176" s="179"/>
      <c r="BC176" s="179"/>
      <c r="BD176" s="104"/>
      <c r="BE176" s="130"/>
      <c r="BF176" s="138">
        <v>14111</v>
      </c>
      <c r="BG176" s="130"/>
      <c r="BH176" s="185" t="s">
        <v>267</v>
      </c>
      <c r="BI176" s="130" t="s">
        <v>377</v>
      </c>
      <c r="BJ176" s="130" t="s">
        <v>269</v>
      </c>
      <c r="BK176" s="130" t="s">
        <v>253</v>
      </c>
      <c r="BL176" s="135"/>
      <c r="BM176" s="135"/>
      <c r="BN176" s="135"/>
      <c r="BO176" s="163">
        <v>100</v>
      </c>
      <c r="BP176" s="163">
        <v>200</v>
      </c>
      <c r="BQ176" s="130" t="s">
        <v>241</v>
      </c>
      <c r="BR176" s="135">
        <v>1</v>
      </c>
      <c r="BS176" s="135"/>
      <c r="BT176" s="163">
        <v>50</v>
      </c>
      <c r="BU176" s="163">
        <v>40</v>
      </c>
      <c r="BV176" s="130"/>
      <c r="BW176" s="104"/>
      <c r="BX176" s="135"/>
      <c r="BY176" s="135"/>
      <c r="BZ176" s="135">
        <v>1</v>
      </c>
      <c r="CA176" s="135">
        <v>2</v>
      </c>
      <c r="CB176" s="135">
        <v>1</v>
      </c>
      <c r="CC176" s="135">
        <v>2</v>
      </c>
      <c r="CD176" s="135">
        <v>1</v>
      </c>
      <c r="CE176" s="135">
        <v>1</v>
      </c>
      <c r="CF176" s="135">
        <v>1</v>
      </c>
      <c r="CG176" s="135">
        <v>1</v>
      </c>
      <c r="CH176" s="163">
        <v>5</v>
      </c>
      <c r="CI176" s="130" t="s">
        <v>4525</v>
      </c>
      <c r="CJ176" s="135"/>
      <c r="CK176" s="135"/>
      <c r="CL176" s="130"/>
      <c r="CM176" s="193">
        <v>100005</v>
      </c>
      <c r="CN176" s="193">
        <v>100057</v>
      </c>
      <c r="CO176" s="193"/>
      <c r="CP176" s="193">
        <v>100005</v>
      </c>
      <c r="CQ176" s="193"/>
      <c r="CR176" s="193"/>
    </row>
    <row r="177" spans="1:96" ht="15.75" customHeight="1" x14ac:dyDescent="0.35">
      <c r="A177" s="288"/>
      <c r="B177" s="80" t="s">
        <v>515</v>
      </c>
      <c r="C177" s="92" t="s">
        <v>382</v>
      </c>
      <c r="D177" s="138">
        <v>14121</v>
      </c>
      <c r="E177" s="135">
        <v>70403</v>
      </c>
      <c r="F177" s="135"/>
      <c r="G177" s="139"/>
      <c r="H177" s="135"/>
      <c r="I177" s="135"/>
      <c r="J177" s="135"/>
      <c r="K177" s="135">
        <v>1</v>
      </c>
      <c r="L177" s="139"/>
      <c r="M177" s="139"/>
      <c r="N177" s="139"/>
      <c r="O177" s="154"/>
      <c r="P177" s="135">
        <v>2</v>
      </c>
      <c r="Q177" s="135">
        <v>3</v>
      </c>
      <c r="R177" s="135"/>
      <c r="S177" s="163">
        <v>1</v>
      </c>
      <c r="T177" s="163">
        <v>1</v>
      </c>
      <c r="U177" s="163">
        <v>1</v>
      </c>
      <c r="V177" s="135"/>
      <c r="W177" s="135"/>
      <c r="X177" s="163"/>
      <c r="Y177" s="135">
        <v>1211</v>
      </c>
      <c r="Z177" s="135">
        <v>1000</v>
      </c>
      <c r="AA177" s="135">
        <v>300</v>
      </c>
      <c r="AB177" s="135">
        <v>3</v>
      </c>
      <c r="AC177" s="135"/>
      <c r="AD177" s="135"/>
      <c r="AE177" s="135"/>
      <c r="AF177" s="163">
        <v>1</v>
      </c>
      <c r="AG177" s="169">
        <v>100</v>
      </c>
      <c r="AH177" s="135"/>
      <c r="AI177" s="135"/>
      <c r="AJ177" s="135"/>
      <c r="AK177" s="135">
        <v>0</v>
      </c>
      <c r="AL177" s="135">
        <v>21002</v>
      </c>
      <c r="AM177" s="135">
        <v>1000</v>
      </c>
      <c r="AN177" s="135"/>
      <c r="AO177" s="130" t="s">
        <v>265</v>
      </c>
      <c r="AP177" s="130" t="s">
        <v>246</v>
      </c>
      <c r="AQ177" s="130" t="s">
        <v>265</v>
      </c>
      <c r="AR177" s="130" t="s">
        <v>246</v>
      </c>
      <c r="AS177" s="130" t="s">
        <v>265</v>
      </c>
      <c r="AT177" s="130" t="s">
        <v>246</v>
      </c>
      <c r="AU177" s="130"/>
      <c r="AV177" s="130" t="s">
        <v>251</v>
      </c>
      <c r="AW177" s="104" t="s">
        <v>248</v>
      </c>
      <c r="AX177" s="130" t="s">
        <v>249</v>
      </c>
      <c r="AY177" s="130"/>
      <c r="AZ177" s="130"/>
      <c r="BA177" s="130"/>
      <c r="BB177" s="179"/>
      <c r="BC177" s="179"/>
      <c r="BD177" s="104"/>
      <c r="BE177" s="130"/>
      <c r="BF177" s="138">
        <v>14121</v>
      </c>
      <c r="BG177" s="130"/>
      <c r="BH177" s="185" t="s">
        <v>267</v>
      </c>
      <c r="BI177" s="130" t="s">
        <v>251</v>
      </c>
      <c r="BJ177" s="130" t="s">
        <v>275</v>
      </c>
      <c r="BK177" s="130" t="s">
        <v>253</v>
      </c>
      <c r="BL177" s="135"/>
      <c r="BM177" s="135"/>
      <c r="BN177" s="135"/>
      <c r="BO177" s="163">
        <v>150</v>
      </c>
      <c r="BP177" s="163">
        <v>200</v>
      </c>
      <c r="BQ177" s="130" t="s">
        <v>241</v>
      </c>
      <c r="BR177" s="135">
        <v>1</v>
      </c>
      <c r="BS177" s="135"/>
      <c r="BT177" s="163">
        <v>50</v>
      </c>
      <c r="BU177" s="163">
        <v>50</v>
      </c>
      <c r="BV177" s="130"/>
      <c r="BW177" s="104"/>
      <c r="BX177" s="135"/>
      <c r="BY177" s="135"/>
      <c r="BZ177" s="135">
        <v>3</v>
      </c>
      <c r="CA177" s="135">
        <v>3</v>
      </c>
      <c r="CB177" s="135">
        <v>2</v>
      </c>
      <c r="CC177" s="135">
        <v>3</v>
      </c>
      <c r="CD177" s="135">
        <v>6</v>
      </c>
      <c r="CE177" s="135">
        <v>8</v>
      </c>
      <c r="CF177" s="135">
        <v>2</v>
      </c>
      <c r="CG177" s="135">
        <v>3</v>
      </c>
      <c r="CH177" s="163">
        <v>8</v>
      </c>
      <c r="CI177" s="130" t="s">
        <v>4527</v>
      </c>
      <c r="CJ177" s="135"/>
      <c r="CK177" s="135"/>
      <c r="CL177" s="130"/>
      <c r="CM177" s="193">
        <v>100005</v>
      </c>
      <c r="CN177" s="193">
        <v>100057</v>
      </c>
      <c r="CO177" s="193"/>
      <c r="CP177" s="193">
        <v>100005</v>
      </c>
      <c r="CQ177" s="193"/>
      <c r="CR177" s="193"/>
    </row>
    <row r="178" spans="1:96" ht="15.75" customHeight="1" x14ac:dyDescent="0.35">
      <c r="A178" s="288"/>
      <c r="B178" s="93" t="s">
        <v>516</v>
      </c>
      <c r="C178" s="92" t="s">
        <v>386</v>
      </c>
      <c r="D178" s="138">
        <v>14201</v>
      </c>
      <c r="E178" s="135">
        <v>70404</v>
      </c>
      <c r="F178" s="135"/>
      <c r="G178" s="139"/>
      <c r="H178" s="135"/>
      <c r="I178" s="135"/>
      <c r="J178" s="135"/>
      <c r="K178" s="135">
        <v>1</v>
      </c>
      <c r="L178" s="139"/>
      <c r="M178" s="139"/>
      <c r="N178" s="139"/>
      <c r="O178" s="154"/>
      <c r="P178" s="135">
        <v>2</v>
      </c>
      <c r="Q178" s="135">
        <v>3</v>
      </c>
      <c r="R178" s="135"/>
      <c r="S178" s="163">
        <v>1</v>
      </c>
      <c r="T178" s="163">
        <v>1</v>
      </c>
      <c r="U178" s="163">
        <v>1</v>
      </c>
      <c r="V178" s="135"/>
      <c r="W178" s="135"/>
      <c r="X178" s="163"/>
      <c r="Y178" s="135">
        <v>1628</v>
      </c>
      <c r="Z178" s="135">
        <v>1000</v>
      </c>
      <c r="AA178" s="135">
        <v>300</v>
      </c>
      <c r="AB178" s="135"/>
      <c r="AC178" s="135"/>
      <c r="AD178" s="135"/>
      <c r="AE178" s="135"/>
      <c r="AF178" s="163">
        <v>1</v>
      </c>
      <c r="AG178" s="169">
        <v>100</v>
      </c>
      <c r="AH178" s="135"/>
      <c r="AI178" s="135"/>
      <c r="AJ178" s="135"/>
      <c r="AK178" s="135">
        <v>0</v>
      </c>
      <c r="AL178" s="135">
        <v>21002</v>
      </c>
      <c r="AM178" s="135">
        <v>1000</v>
      </c>
      <c r="AN178" s="135"/>
      <c r="AO178" s="130" t="s">
        <v>265</v>
      </c>
      <c r="AP178" s="130" t="s">
        <v>246</v>
      </c>
      <c r="AQ178" s="130" t="s">
        <v>265</v>
      </c>
      <c r="AR178" s="130" t="s">
        <v>246</v>
      </c>
      <c r="AS178" s="130" t="s">
        <v>265</v>
      </c>
      <c r="AT178" s="130" t="s">
        <v>246</v>
      </c>
      <c r="AU178" s="130"/>
      <c r="AV178" s="130" t="s">
        <v>251</v>
      </c>
      <c r="AW178" s="104" t="s">
        <v>248</v>
      </c>
      <c r="AX178" s="130" t="s">
        <v>249</v>
      </c>
      <c r="AY178" s="130"/>
      <c r="AZ178" s="130"/>
      <c r="BA178" s="130"/>
      <c r="BB178" s="179"/>
      <c r="BC178" s="179"/>
      <c r="BD178" s="104"/>
      <c r="BE178" s="130"/>
      <c r="BF178" s="138">
        <v>14201</v>
      </c>
      <c r="BG178" s="130"/>
      <c r="BH178" s="185" t="s">
        <v>267</v>
      </c>
      <c r="BI178" s="130" t="s">
        <v>363</v>
      </c>
      <c r="BJ178" s="130" t="s">
        <v>297</v>
      </c>
      <c r="BK178" s="130" t="s">
        <v>253</v>
      </c>
      <c r="BL178" s="135"/>
      <c r="BM178" s="135"/>
      <c r="BN178" s="135"/>
      <c r="BO178" s="163">
        <v>100</v>
      </c>
      <c r="BP178" s="163">
        <v>200</v>
      </c>
      <c r="BQ178" s="130" t="s">
        <v>241</v>
      </c>
      <c r="BR178" s="135">
        <v>1</v>
      </c>
      <c r="BS178" s="135"/>
      <c r="BT178" s="163">
        <v>50</v>
      </c>
      <c r="BU178" s="163">
        <v>30</v>
      </c>
      <c r="BV178" s="130"/>
      <c r="BW178" s="104"/>
      <c r="BX178" s="135"/>
      <c r="BY178" s="135"/>
      <c r="BZ178" s="135">
        <v>1</v>
      </c>
      <c r="CA178" s="135">
        <v>1</v>
      </c>
      <c r="CB178" s="135">
        <v>1</v>
      </c>
      <c r="CC178" s="135">
        <v>1</v>
      </c>
      <c r="CD178" s="135">
        <v>1</v>
      </c>
      <c r="CE178" s="135">
        <v>1</v>
      </c>
      <c r="CF178" s="135">
        <v>1</v>
      </c>
      <c r="CG178" s="135">
        <v>1</v>
      </c>
      <c r="CH178" s="163">
        <v>16</v>
      </c>
      <c r="CI178" s="130" t="s">
        <v>4519</v>
      </c>
      <c r="CJ178" s="135"/>
      <c r="CK178" s="135"/>
      <c r="CL178" s="130"/>
      <c r="CM178" s="193">
        <v>100005</v>
      </c>
      <c r="CN178" s="193">
        <v>100057</v>
      </c>
      <c r="CO178" s="193"/>
      <c r="CP178" s="193">
        <v>100005</v>
      </c>
      <c r="CQ178" s="193"/>
      <c r="CR178" s="193"/>
    </row>
    <row r="179" spans="1:96" ht="15.75" customHeight="1" x14ac:dyDescent="0.35">
      <c r="A179" s="288"/>
      <c r="B179" s="93" t="s">
        <v>517</v>
      </c>
      <c r="C179" s="92" t="s">
        <v>443</v>
      </c>
      <c r="D179" s="138">
        <v>14211</v>
      </c>
      <c r="E179" s="135">
        <v>70405</v>
      </c>
      <c r="F179" s="135"/>
      <c r="G179" s="139"/>
      <c r="H179" s="135"/>
      <c r="I179" s="135"/>
      <c r="J179" s="135"/>
      <c r="K179" s="135">
        <v>1</v>
      </c>
      <c r="L179" s="139"/>
      <c r="M179" s="139"/>
      <c r="N179" s="139"/>
      <c r="O179" s="154"/>
      <c r="P179" s="135">
        <v>2</v>
      </c>
      <c r="Q179" s="135">
        <v>3</v>
      </c>
      <c r="R179" s="135"/>
      <c r="S179" s="163">
        <v>1</v>
      </c>
      <c r="T179" s="163">
        <v>1</v>
      </c>
      <c r="U179" s="163">
        <v>1</v>
      </c>
      <c r="V179" s="135"/>
      <c r="W179" s="135"/>
      <c r="X179" s="163"/>
      <c r="Y179" s="135">
        <v>1636</v>
      </c>
      <c r="Z179" s="135">
        <v>1200</v>
      </c>
      <c r="AA179" s="135">
        <v>300</v>
      </c>
      <c r="AB179" s="135"/>
      <c r="AC179" s="135"/>
      <c r="AD179" s="135"/>
      <c r="AE179" s="135"/>
      <c r="AF179" s="163">
        <v>1</v>
      </c>
      <c r="AG179" s="169">
        <v>100</v>
      </c>
      <c r="AH179" s="135"/>
      <c r="AI179" s="135"/>
      <c r="AJ179" s="135"/>
      <c r="AK179" s="135">
        <v>0</v>
      </c>
      <c r="AL179" s="135">
        <v>21002</v>
      </c>
      <c r="AM179" s="135">
        <v>1000</v>
      </c>
      <c r="AN179" s="135"/>
      <c r="AO179" s="130" t="s">
        <v>265</v>
      </c>
      <c r="AP179" s="130" t="s">
        <v>246</v>
      </c>
      <c r="AQ179" s="130" t="s">
        <v>265</v>
      </c>
      <c r="AR179" s="130" t="s">
        <v>246</v>
      </c>
      <c r="AS179" s="130" t="s">
        <v>265</v>
      </c>
      <c r="AT179" s="130" t="s">
        <v>246</v>
      </c>
      <c r="AU179" s="130"/>
      <c r="AV179" s="130" t="s">
        <v>266</v>
      </c>
      <c r="AW179" s="104" t="s">
        <v>248</v>
      </c>
      <c r="AX179" s="130" t="s">
        <v>249</v>
      </c>
      <c r="AY179" s="130"/>
      <c r="AZ179" s="130"/>
      <c r="BA179" s="130"/>
      <c r="BB179" s="179"/>
      <c r="BC179" s="179"/>
      <c r="BD179" s="104"/>
      <c r="BE179" s="130"/>
      <c r="BF179" s="138">
        <v>14211</v>
      </c>
      <c r="BG179" s="130"/>
      <c r="BH179" s="185" t="s">
        <v>267</v>
      </c>
      <c r="BI179" s="130" t="s">
        <v>363</v>
      </c>
      <c r="BJ179" s="130" t="s">
        <v>297</v>
      </c>
      <c r="BK179" s="130" t="s">
        <v>253</v>
      </c>
      <c r="BL179" s="135"/>
      <c r="BM179" s="135"/>
      <c r="BN179" s="135"/>
      <c r="BO179" s="163">
        <v>100</v>
      </c>
      <c r="BP179" s="163">
        <v>200</v>
      </c>
      <c r="BQ179" s="130" t="s">
        <v>241</v>
      </c>
      <c r="BR179" s="135">
        <v>1</v>
      </c>
      <c r="BS179" s="135"/>
      <c r="BT179" s="163">
        <v>50</v>
      </c>
      <c r="BU179" s="163">
        <v>40</v>
      </c>
      <c r="BV179" s="130"/>
      <c r="BW179" s="104"/>
      <c r="BX179" s="135"/>
      <c r="BY179" s="135"/>
      <c r="BZ179" s="135">
        <v>1</v>
      </c>
      <c r="CA179" s="135">
        <v>2</v>
      </c>
      <c r="CB179" s="135">
        <v>1</v>
      </c>
      <c r="CC179" s="135">
        <v>2</v>
      </c>
      <c r="CD179" s="135">
        <v>1</v>
      </c>
      <c r="CE179" s="135">
        <v>1</v>
      </c>
      <c r="CF179" s="135">
        <v>1</v>
      </c>
      <c r="CG179" s="135">
        <v>1</v>
      </c>
      <c r="CH179" s="163">
        <v>5</v>
      </c>
      <c r="CI179" s="130" t="s">
        <v>4553</v>
      </c>
      <c r="CJ179" s="135"/>
      <c r="CK179" s="135"/>
      <c r="CL179" s="130"/>
      <c r="CM179" s="193">
        <v>100005</v>
      </c>
      <c r="CN179" s="193">
        <v>100057</v>
      </c>
      <c r="CO179" s="193"/>
      <c r="CP179" s="193">
        <v>100005</v>
      </c>
      <c r="CQ179" s="193"/>
      <c r="CR179" s="193"/>
    </row>
    <row r="180" spans="1:96" ht="15.75" customHeight="1" x14ac:dyDescent="0.35">
      <c r="A180" s="288"/>
      <c r="B180" s="94" t="s">
        <v>518</v>
      </c>
      <c r="C180" s="92" t="s">
        <v>519</v>
      </c>
      <c r="D180" s="138">
        <v>14221</v>
      </c>
      <c r="E180" s="135">
        <v>70406</v>
      </c>
      <c r="F180" s="135"/>
      <c r="G180" s="139"/>
      <c r="H180" s="135"/>
      <c r="I180" s="135"/>
      <c r="J180" s="135"/>
      <c r="K180" s="135">
        <v>1</v>
      </c>
      <c r="L180" s="139"/>
      <c r="M180" s="139"/>
      <c r="N180" s="139"/>
      <c r="O180" s="154"/>
      <c r="P180" s="135">
        <v>2</v>
      </c>
      <c r="Q180" s="135">
        <v>3</v>
      </c>
      <c r="R180" s="135"/>
      <c r="S180" s="163">
        <v>1</v>
      </c>
      <c r="T180" s="163">
        <v>1</v>
      </c>
      <c r="U180" s="163">
        <v>1</v>
      </c>
      <c r="V180" s="135"/>
      <c r="W180" s="135"/>
      <c r="X180" s="163"/>
      <c r="Y180" s="135">
        <v>1611</v>
      </c>
      <c r="Z180" s="135">
        <v>1500</v>
      </c>
      <c r="AA180" s="135">
        <v>300</v>
      </c>
      <c r="AB180" s="135"/>
      <c r="AC180" s="135"/>
      <c r="AD180" s="135"/>
      <c r="AE180" s="135"/>
      <c r="AF180" s="163">
        <v>1</v>
      </c>
      <c r="AG180" s="169">
        <v>100</v>
      </c>
      <c r="AH180" s="135"/>
      <c r="AI180" s="135"/>
      <c r="AJ180" s="135"/>
      <c r="AK180" s="135">
        <v>0</v>
      </c>
      <c r="AL180" s="135">
        <v>21002</v>
      </c>
      <c r="AM180" s="135">
        <v>1000</v>
      </c>
      <c r="AN180" s="135"/>
      <c r="AO180" s="130" t="s">
        <v>520</v>
      </c>
      <c r="AP180" s="130" t="s">
        <v>246</v>
      </c>
      <c r="AQ180" s="130" t="s">
        <v>520</v>
      </c>
      <c r="AR180" s="130" t="s">
        <v>246</v>
      </c>
      <c r="AS180" s="130" t="s">
        <v>520</v>
      </c>
      <c r="AT180" s="130" t="s">
        <v>246</v>
      </c>
      <c r="AU180" s="130"/>
      <c r="AV180" s="130" t="s">
        <v>251</v>
      </c>
      <c r="AW180" s="104" t="s">
        <v>248</v>
      </c>
      <c r="AX180" s="130" t="s">
        <v>249</v>
      </c>
      <c r="AY180" s="130"/>
      <c r="AZ180" s="130"/>
      <c r="BA180" s="130"/>
      <c r="BB180" s="179"/>
      <c r="BC180" s="179"/>
      <c r="BD180" s="104"/>
      <c r="BE180" s="130"/>
      <c r="BF180" s="138">
        <v>14221</v>
      </c>
      <c r="BG180" s="130"/>
      <c r="BH180" s="185" t="s">
        <v>267</v>
      </c>
      <c r="BI180" s="130" t="s">
        <v>251</v>
      </c>
      <c r="BJ180" s="130" t="s">
        <v>297</v>
      </c>
      <c r="BK180" s="130" t="s">
        <v>253</v>
      </c>
      <c r="BL180" s="135"/>
      <c r="BM180" s="135"/>
      <c r="BN180" s="135"/>
      <c r="BO180" s="163">
        <v>100</v>
      </c>
      <c r="BP180" s="163">
        <v>200</v>
      </c>
      <c r="BQ180" s="130" t="s">
        <v>241</v>
      </c>
      <c r="BR180" s="135">
        <v>1</v>
      </c>
      <c r="BS180" s="135"/>
      <c r="BT180" s="163">
        <v>50</v>
      </c>
      <c r="BU180" s="163">
        <v>30</v>
      </c>
      <c r="BV180" s="130"/>
      <c r="BW180" s="104"/>
      <c r="BX180" s="135"/>
      <c r="BY180" s="135"/>
      <c r="BZ180" s="135">
        <v>1</v>
      </c>
      <c r="CA180" s="135">
        <v>1</v>
      </c>
      <c r="CB180" s="135">
        <v>1</v>
      </c>
      <c r="CC180" s="135">
        <v>1</v>
      </c>
      <c r="CD180" s="135">
        <v>1</v>
      </c>
      <c r="CE180" s="135">
        <v>1</v>
      </c>
      <c r="CF180" s="135">
        <v>1</v>
      </c>
      <c r="CG180" s="135">
        <v>1</v>
      </c>
      <c r="CH180" s="163">
        <v>28</v>
      </c>
      <c r="CI180" s="130" t="s">
        <v>4554</v>
      </c>
      <c r="CJ180" s="135"/>
      <c r="CK180" s="135"/>
      <c r="CL180" s="130"/>
      <c r="CM180" s="193">
        <v>100005</v>
      </c>
      <c r="CN180" s="193">
        <v>100057</v>
      </c>
      <c r="CO180" s="193"/>
      <c r="CP180" s="193">
        <v>100005</v>
      </c>
      <c r="CQ180" s="193"/>
      <c r="CR180" s="193"/>
    </row>
    <row r="181" spans="1:96" ht="15.75" customHeight="1" x14ac:dyDescent="0.35">
      <c r="A181" s="288"/>
      <c r="B181" s="81" t="s">
        <v>521</v>
      </c>
      <c r="C181" s="92" t="s">
        <v>382</v>
      </c>
      <c r="D181" s="138">
        <v>14231</v>
      </c>
      <c r="E181" s="135">
        <v>70407</v>
      </c>
      <c r="F181" s="135"/>
      <c r="G181" s="139"/>
      <c r="H181" s="135"/>
      <c r="I181" s="135"/>
      <c r="J181" s="135"/>
      <c r="K181" s="135">
        <v>1</v>
      </c>
      <c r="L181" s="139"/>
      <c r="M181" s="139"/>
      <c r="N181" s="139"/>
      <c r="O181" s="154"/>
      <c r="P181" s="135">
        <v>2</v>
      </c>
      <c r="Q181" s="135">
        <v>3</v>
      </c>
      <c r="R181" s="135"/>
      <c r="S181" s="163">
        <v>1</v>
      </c>
      <c r="T181" s="163">
        <v>1</v>
      </c>
      <c r="U181" s="163">
        <v>1</v>
      </c>
      <c r="V181" s="135"/>
      <c r="W181" s="135"/>
      <c r="X181" s="163"/>
      <c r="Y181" s="135">
        <v>1212</v>
      </c>
      <c r="Z181" s="135">
        <v>1000</v>
      </c>
      <c r="AA181" s="135">
        <v>400</v>
      </c>
      <c r="AB181" s="135"/>
      <c r="AC181" s="135"/>
      <c r="AD181" s="135"/>
      <c r="AE181" s="135"/>
      <c r="AF181" s="163">
        <v>1</v>
      </c>
      <c r="AG181" s="169">
        <v>100</v>
      </c>
      <c r="AH181" s="135"/>
      <c r="AI181" s="135"/>
      <c r="AJ181" s="135"/>
      <c r="AK181" s="135">
        <v>0</v>
      </c>
      <c r="AL181" s="135">
        <v>21002</v>
      </c>
      <c r="AM181" s="135">
        <v>1000</v>
      </c>
      <c r="AN181" s="135"/>
      <c r="AO181" s="130" t="s">
        <v>265</v>
      </c>
      <c r="AP181" s="130" t="s">
        <v>246</v>
      </c>
      <c r="AQ181" s="130" t="s">
        <v>265</v>
      </c>
      <c r="AR181" s="130" t="s">
        <v>246</v>
      </c>
      <c r="AS181" s="130" t="s">
        <v>265</v>
      </c>
      <c r="AT181" s="130" t="s">
        <v>246</v>
      </c>
      <c r="AU181" s="130"/>
      <c r="AV181" s="130" t="s">
        <v>266</v>
      </c>
      <c r="AW181" s="104" t="s">
        <v>248</v>
      </c>
      <c r="AX181" s="130" t="s">
        <v>249</v>
      </c>
      <c r="AY181" s="130"/>
      <c r="AZ181" s="130"/>
      <c r="BA181" s="130"/>
      <c r="BB181" s="179"/>
      <c r="BC181" s="179"/>
      <c r="BD181" s="104"/>
      <c r="BE181" s="130"/>
      <c r="BF181" s="138">
        <v>14231</v>
      </c>
      <c r="BG181" s="130"/>
      <c r="BH181" s="185" t="s">
        <v>267</v>
      </c>
      <c r="BI181" s="130" t="s">
        <v>251</v>
      </c>
      <c r="BJ181" s="130" t="s">
        <v>275</v>
      </c>
      <c r="BK181" s="130" t="s">
        <v>253</v>
      </c>
      <c r="BL181" s="135"/>
      <c r="BM181" s="135"/>
      <c r="BN181" s="135"/>
      <c r="BO181" s="163">
        <v>100</v>
      </c>
      <c r="BP181" s="163">
        <v>200</v>
      </c>
      <c r="BQ181" s="130" t="s">
        <v>241</v>
      </c>
      <c r="BR181" s="135">
        <v>1</v>
      </c>
      <c r="BS181" s="135"/>
      <c r="BT181" s="163">
        <v>50</v>
      </c>
      <c r="BU181" s="163">
        <v>40</v>
      </c>
      <c r="BV181" s="130"/>
      <c r="BW181" s="104"/>
      <c r="BX181" s="135"/>
      <c r="BY181" s="135"/>
      <c r="BZ181" s="135">
        <v>3</v>
      </c>
      <c r="CA181" s="135">
        <v>4</v>
      </c>
      <c r="CB181" s="135">
        <v>4</v>
      </c>
      <c r="CC181" s="135">
        <v>5</v>
      </c>
      <c r="CD181" s="135">
        <v>5</v>
      </c>
      <c r="CE181" s="135">
        <v>6</v>
      </c>
      <c r="CF181" s="135">
        <v>4</v>
      </c>
      <c r="CG181" s="135">
        <v>5</v>
      </c>
      <c r="CH181" s="163">
        <v>27</v>
      </c>
      <c r="CI181" s="130" t="s">
        <v>4525</v>
      </c>
      <c r="CJ181" s="135"/>
      <c r="CK181" s="135"/>
      <c r="CL181" s="130"/>
      <c r="CM181" s="193">
        <v>100005</v>
      </c>
      <c r="CN181" s="193">
        <v>100057</v>
      </c>
      <c r="CO181" s="193"/>
      <c r="CP181" s="193">
        <v>100005</v>
      </c>
      <c r="CQ181" s="193"/>
      <c r="CR181" s="193"/>
    </row>
    <row r="182" spans="1:96" ht="15.75" customHeight="1" x14ac:dyDescent="0.35">
      <c r="A182" s="288"/>
      <c r="B182" s="81" t="s">
        <v>522</v>
      </c>
      <c r="C182" s="92" t="s">
        <v>449</v>
      </c>
      <c r="D182" s="138">
        <v>14241</v>
      </c>
      <c r="E182" s="135">
        <v>70408</v>
      </c>
      <c r="F182" s="135"/>
      <c r="G182" s="139"/>
      <c r="H182" s="135"/>
      <c r="I182" s="135"/>
      <c r="J182" s="135"/>
      <c r="K182" s="135">
        <v>1</v>
      </c>
      <c r="L182" s="139"/>
      <c r="M182" s="139"/>
      <c r="N182" s="139"/>
      <c r="O182" s="154"/>
      <c r="P182" s="135">
        <v>2</v>
      </c>
      <c r="Q182" s="135">
        <v>3</v>
      </c>
      <c r="R182" s="135"/>
      <c r="S182" s="163">
        <v>1</v>
      </c>
      <c r="T182" s="163">
        <v>1</v>
      </c>
      <c r="U182" s="163">
        <v>1</v>
      </c>
      <c r="V182" s="135"/>
      <c r="W182" s="135"/>
      <c r="X182" s="163"/>
      <c r="Y182" s="135">
        <v>1830</v>
      </c>
      <c r="Z182" s="135">
        <v>1000</v>
      </c>
      <c r="AA182" s="135">
        <v>300</v>
      </c>
      <c r="AB182" s="135"/>
      <c r="AC182" s="135"/>
      <c r="AD182" s="135"/>
      <c r="AE182" s="135"/>
      <c r="AF182" s="163">
        <v>1</v>
      </c>
      <c r="AG182" s="169">
        <v>100</v>
      </c>
      <c r="AH182" s="135"/>
      <c r="AI182" s="135"/>
      <c r="AJ182" s="135"/>
      <c r="AK182" s="135">
        <v>0</v>
      </c>
      <c r="AL182" s="135">
        <v>21009</v>
      </c>
      <c r="AM182" s="135">
        <v>1000</v>
      </c>
      <c r="AN182" s="135"/>
      <c r="AO182" s="130" t="s">
        <v>402</v>
      </c>
      <c r="AP182" s="130" t="s">
        <v>246</v>
      </c>
      <c r="AQ182" s="130" t="s">
        <v>402</v>
      </c>
      <c r="AR182" s="130" t="s">
        <v>246</v>
      </c>
      <c r="AS182" s="130" t="s">
        <v>402</v>
      </c>
      <c r="AT182" s="130" t="s">
        <v>246</v>
      </c>
      <c r="AU182" s="130"/>
      <c r="AV182" s="130" t="s">
        <v>266</v>
      </c>
      <c r="AW182" s="104" t="s">
        <v>248</v>
      </c>
      <c r="AX182" s="130" t="s">
        <v>249</v>
      </c>
      <c r="AY182" s="130"/>
      <c r="AZ182" s="130"/>
      <c r="BA182" s="130"/>
      <c r="BB182" s="179"/>
      <c r="BC182" s="179"/>
      <c r="BD182" s="104"/>
      <c r="BE182" s="130"/>
      <c r="BF182" s="138">
        <v>14241</v>
      </c>
      <c r="BG182" s="130"/>
      <c r="BH182" s="185" t="s">
        <v>267</v>
      </c>
      <c r="BI182" s="130" t="s">
        <v>293</v>
      </c>
      <c r="BJ182" s="130" t="s">
        <v>297</v>
      </c>
      <c r="BK182" s="130" t="s">
        <v>253</v>
      </c>
      <c r="BL182" s="135"/>
      <c r="BM182" s="135"/>
      <c r="BN182" s="135"/>
      <c r="BO182" s="163">
        <v>100</v>
      </c>
      <c r="BP182" s="163">
        <v>200</v>
      </c>
      <c r="BQ182" s="130" t="s">
        <v>241</v>
      </c>
      <c r="BR182" s="135">
        <v>1</v>
      </c>
      <c r="BS182" s="135"/>
      <c r="BT182" s="163">
        <v>50</v>
      </c>
      <c r="BU182" s="163">
        <v>40</v>
      </c>
      <c r="BV182" s="130"/>
      <c r="BW182" s="104"/>
      <c r="BX182" s="135"/>
      <c r="BY182" s="135"/>
      <c r="BZ182" s="135">
        <v>3</v>
      </c>
      <c r="CA182" s="135">
        <v>4</v>
      </c>
      <c r="CB182" s="135">
        <v>4</v>
      </c>
      <c r="CC182" s="135">
        <v>5</v>
      </c>
      <c r="CD182" s="135">
        <v>5</v>
      </c>
      <c r="CE182" s="135">
        <v>6</v>
      </c>
      <c r="CF182" s="135">
        <v>4</v>
      </c>
      <c r="CG182" s="135">
        <v>5</v>
      </c>
      <c r="CH182" s="163">
        <v>18</v>
      </c>
      <c r="CI182" s="130" t="s">
        <v>4555</v>
      </c>
      <c r="CJ182" s="135"/>
      <c r="CK182" s="135"/>
      <c r="CL182" s="130"/>
      <c r="CM182" s="193">
        <v>100005</v>
      </c>
      <c r="CN182" s="193">
        <v>100057</v>
      </c>
      <c r="CO182" s="193"/>
      <c r="CP182" s="193">
        <v>100005</v>
      </c>
      <c r="CQ182" s="193"/>
      <c r="CR182" s="193"/>
    </row>
    <row r="183" spans="1:96" ht="15.75" customHeight="1" x14ac:dyDescent="0.35">
      <c r="A183" s="288"/>
      <c r="B183" s="81" t="s">
        <v>523</v>
      </c>
      <c r="C183" s="92" t="s">
        <v>449</v>
      </c>
      <c r="D183" s="138">
        <v>14251</v>
      </c>
      <c r="E183" s="135">
        <v>70409</v>
      </c>
      <c r="F183" s="135"/>
      <c r="G183" s="139"/>
      <c r="H183" s="135"/>
      <c r="I183" s="135"/>
      <c r="J183" s="135"/>
      <c r="K183" s="135">
        <v>1</v>
      </c>
      <c r="L183" s="139"/>
      <c r="M183" s="139"/>
      <c r="N183" s="139"/>
      <c r="O183" s="154"/>
      <c r="P183" s="135">
        <v>2</v>
      </c>
      <c r="Q183" s="135">
        <v>3</v>
      </c>
      <c r="R183" s="135"/>
      <c r="S183" s="163">
        <v>1</v>
      </c>
      <c r="T183" s="163">
        <v>1</v>
      </c>
      <c r="U183" s="163">
        <v>1</v>
      </c>
      <c r="V183" s="135"/>
      <c r="W183" s="135"/>
      <c r="X183" s="163"/>
      <c r="Y183" s="135">
        <v>1303</v>
      </c>
      <c r="Z183" s="135">
        <v>1000</v>
      </c>
      <c r="AA183" s="135">
        <v>300</v>
      </c>
      <c r="AB183" s="135"/>
      <c r="AC183" s="135"/>
      <c r="AD183" s="135"/>
      <c r="AE183" s="135"/>
      <c r="AF183" s="163">
        <v>1</v>
      </c>
      <c r="AG183" s="169">
        <v>100</v>
      </c>
      <c r="AH183" s="135"/>
      <c r="AI183" s="135"/>
      <c r="AJ183" s="135"/>
      <c r="AK183" s="135">
        <v>0</v>
      </c>
      <c r="AL183" s="135">
        <v>21005</v>
      </c>
      <c r="AM183" s="135">
        <v>1000</v>
      </c>
      <c r="AN183" s="135"/>
      <c r="AO183" s="130" t="s">
        <v>524</v>
      </c>
      <c r="AP183" s="130">
        <v>1</v>
      </c>
      <c r="AQ183" s="130" t="s">
        <v>524</v>
      </c>
      <c r="AR183" s="130">
        <v>1</v>
      </c>
      <c r="AS183" s="130" t="s">
        <v>524</v>
      </c>
      <c r="AT183" s="130">
        <v>1</v>
      </c>
      <c r="AU183" s="130"/>
      <c r="AV183" s="130" t="s">
        <v>266</v>
      </c>
      <c r="AW183" s="104" t="s">
        <v>248</v>
      </c>
      <c r="AX183" s="130" t="s">
        <v>249</v>
      </c>
      <c r="AY183" s="130"/>
      <c r="AZ183" s="130"/>
      <c r="BA183" s="130"/>
      <c r="BB183" s="179"/>
      <c r="BC183" s="179"/>
      <c r="BD183" s="104"/>
      <c r="BE183" s="130"/>
      <c r="BF183" s="138">
        <v>14251</v>
      </c>
      <c r="BG183" s="130"/>
      <c r="BH183" s="185" t="s">
        <v>267</v>
      </c>
      <c r="BI183" s="130" t="s">
        <v>268</v>
      </c>
      <c r="BJ183" s="130" t="s">
        <v>297</v>
      </c>
      <c r="BK183" s="130" t="s">
        <v>253</v>
      </c>
      <c r="BL183" s="135"/>
      <c r="BM183" s="135"/>
      <c r="BN183" s="135"/>
      <c r="BO183" s="163">
        <v>100</v>
      </c>
      <c r="BP183" s="163">
        <v>200</v>
      </c>
      <c r="BQ183" s="130" t="s">
        <v>241</v>
      </c>
      <c r="BR183" s="135">
        <v>1</v>
      </c>
      <c r="BS183" s="135"/>
      <c r="BT183" s="163">
        <v>50</v>
      </c>
      <c r="BU183" s="163">
        <v>40</v>
      </c>
      <c r="BV183" s="130"/>
      <c r="BW183" s="104"/>
      <c r="BX183" s="135"/>
      <c r="BY183" s="135"/>
      <c r="BZ183" s="135">
        <v>3</v>
      </c>
      <c r="CA183" s="135">
        <v>4</v>
      </c>
      <c r="CB183" s="135">
        <v>4</v>
      </c>
      <c r="CC183" s="135">
        <v>5</v>
      </c>
      <c r="CD183" s="135">
        <v>5</v>
      </c>
      <c r="CE183" s="135">
        <v>6</v>
      </c>
      <c r="CF183" s="135">
        <v>4</v>
      </c>
      <c r="CG183" s="135">
        <v>5</v>
      </c>
      <c r="CH183" s="163">
        <v>18</v>
      </c>
      <c r="CI183" s="130" t="s">
        <v>4539</v>
      </c>
      <c r="CJ183" s="135"/>
      <c r="CK183" s="135"/>
      <c r="CL183" s="130"/>
      <c r="CM183" s="193">
        <v>100005</v>
      </c>
      <c r="CN183" s="193">
        <v>100057</v>
      </c>
      <c r="CO183" s="193"/>
      <c r="CP183" s="193">
        <v>100005</v>
      </c>
      <c r="CQ183" s="193"/>
      <c r="CR183" s="193"/>
    </row>
    <row r="184" spans="1:96" ht="15.75" customHeight="1" x14ac:dyDescent="0.35">
      <c r="A184" s="288"/>
      <c r="B184" s="81" t="s">
        <v>525</v>
      </c>
      <c r="C184" s="92" t="s">
        <v>449</v>
      </c>
      <c r="D184" s="138">
        <v>14261</v>
      </c>
      <c r="E184" s="135">
        <v>70410</v>
      </c>
      <c r="F184" s="135"/>
      <c r="G184" s="139"/>
      <c r="H184" s="135"/>
      <c r="I184" s="135"/>
      <c r="J184" s="135"/>
      <c r="K184" s="135">
        <v>1</v>
      </c>
      <c r="L184" s="139"/>
      <c r="M184" s="139"/>
      <c r="N184" s="139"/>
      <c r="O184" s="154"/>
      <c r="P184" s="135">
        <v>2</v>
      </c>
      <c r="Q184" s="135">
        <v>3</v>
      </c>
      <c r="R184" s="135"/>
      <c r="S184" s="163">
        <v>1</v>
      </c>
      <c r="T184" s="163">
        <v>1</v>
      </c>
      <c r="U184" s="163">
        <v>1</v>
      </c>
      <c r="V184" s="135"/>
      <c r="W184" s="135"/>
      <c r="X184" s="163"/>
      <c r="Y184" s="135">
        <v>1607</v>
      </c>
      <c r="Z184" s="135">
        <v>1000</v>
      </c>
      <c r="AA184" s="135">
        <v>300</v>
      </c>
      <c r="AB184" s="135">
        <v>2</v>
      </c>
      <c r="AC184" s="135"/>
      <c r="AD184" s="135"/>
      <c r="AE184" s="135"/>
      <c r="AF184" s="163">
        <v>1</v>
      </c>
      <c r="AG184" s="169">
        <v>100</v>
      </c>
      <c r="AH184" s="135"/>
      <c r="AI184" s="135"/>
      <c r="AJ184" s="135"/>
      <c r="AK184" s="135">
        <v>0</v>
      </c>
      <c r="AL184" s="135">
        <v>21009</v>
      </c>
      <c r="AM184" s="135">
        <v>1000</v>
      </c>
      <c r="AN184" s="135"/>
      <c r="AO184" s="130" t="s">
        <v>422</v>
      </c>
      <c r="AP184" s="174">
        <v>1</v>
      </c>
      <c r="AQ184" s="130" t="s">
        <v>422</v>
      </c>
      <c r="AR184" s="174">
        <v>1</v>
      </c>
      <c r="AS184" s="130" t="s">
        <v>422</v>
      </c>
      <c r="AT184" s="174">
        <v>1</v>
      </c>
      <c r="AU184" s="130"/>
      <c r="AV184" s="130" t="s">
        <v>266</v>
      </c>
      <c r="AW184" s="104" t="s">
        <v>248</v>
      </c>
      <c r="AX184" s="130" t="s">
        <v>249</v>
      </c>
      <c r="AY184" s="130"/>
      <c r="AZ184" s="130"/>
      <c r="BA184" s="130"/>
      <c r="BB184" s="179"/>
      <c r="BC184" s="179"/>
      <c r="BD184" s="104"/>
      <c r="BE184" s="130"/>
      <c r="BF184" s="138">
        <v>14261</v>
      </c>
      <c r="BG184" s="130"/>
      <c r="BH184" s="185" t="s">
        <v>267</v>
      </c>
      <c r="BI184" s="130" t="s">
        <v>526</v>
      </c>
      <c r="BJ184" s="130" t="s">
        <v>269</v>
      </c>
      <c r="BK184" s="130" t="s">
        <v>253</v>
      </c>
      <c r="BL184" s="135"/>
      <c r="BM184" s="135"/>
      <c r="BN184" s="135"/>
      <c r="BO184" s="163">
        <v>100</v>
      </c>
      <c r="BP184" s="163">
        <v>200</v>
      </c>
      <c r="BQ184" s="130" t="s">
        <v>241</v>
      </c>
      <c r="BR184" s="135">
        <v>1</v>
      </c>
      <c r="BS184" s="135"/>
      <c r="BT184" s="163">
        <v>50</v>
      </c>
      <c r="BU184" s="163">
        <v>40</v>
      </c>
      <c r="BV184" s="130"/>
      <c r="BW184" s="104"/>
      <c r="BX184" s="135"/>
      <c r="BY184" s="135"/>
      <c r="BZ184" s="135">
        <v>1</v>
      </c>
      <c r="CA184" s="135">
        <v>1</v>
      </c>
      <c r="CB184" s="135">
        <v>1</v>
      </c>
      <c r="CC184" s="135">
        <v>1</v>
      </c>
      <c r="CD184" s="135">
        <v>1</v>
      </c>
      <c r="CE184" s="135">
        <v>1</v>
      </c>
      <c r="CF184" s="135">
        <v>1</v>
      </c>
      <c r="CG184" s="135">
        <v>1</v>
      </c>
      <c r="CH184" s="163">
        <v>18</v>
      </c>
      <c r="CI184" s="130" t="s">
        <v>4539</v>
      </c>
      <c r="CJ184" s="135"/>
      <c r="CK184" s="135"/>
      <c r="CL184" s="130"/>
      <c r="CM184" s="193">
        <v>100005</v>
      </c>
      <c r="CN184" s="193">
        <v>100057</v>
      </c>
      <c r="CO184" s="193"/>
      <c r="CP184" s="193">
        <v>100005</v>
      </c>
      <c r="CQ184" s="193"/>
      <c r="CR184" s="193"/>
    </row>
    <row r="185" spans="1:96" ht="15.75" customHeight="1" x14ac:dyDescent="0.35">
      <c r="A185" s="288"/>
      <c r="B185" s="97" t="s">
        <v>527</v>
      </c>
      <c r="C185" s="92" t="s">
        <v>528</v>
      </c>
      <c r="D185" s="138">
        <v>14401</v>
      </c>
      <c r="E185" s="135">
        <v>70411</v>
      </c>
      <c r="F185" s="135"/>
      <c r="G185" s="139"/>
      <c r="H185" s="135"/>
      <c r="I185" s="135"/>
      <c r="J185" s="135"/>
      <c r="K185" s="135">
        <v>1</v>
      </c>
      <c r="L185" s="139"/>
      <c r="M185" s="139"/>
      <c r="N185" s="139"/>
      <c r="O185" s="154"/>
      <c r="P185" s="135">
        <v>2</v>
      </c>
      <c r="Q185" s="135">
        <v>3</v>
      </c>
      <c r="R185" s="135"/>
      <c r="S185" s="163">
        <v>1</v>
      </c>
      <c r="T185" s="163">
        <v>1</v>
      </c>
      <c r="U185" s="163">
        <v>1</v>
      </c>
      <c r="V185" s="135"/>
      <c r="W185" s="135"/>
      <c r="X185" s="163"/>
      <c r="Y185" s="135">
        <v>1629</v>
      </c>
      <c r="Z185" s="135">
        <v>1000</v>
      </c>
      <c r="AA185" s="135">
        <v>300</v>
      </c>
      <c r="AB185" s="135"/>
      <c r="AC185" s="135"/>
      <c r="AD185" s="135"/>
      <c r="AE185" s="135"/>
      <c r="AF185" s="163">
        <v>1</v>
      </c>
      <c r="AG185" s="169">
        <v>100</v>
      </c>
      <c r="AH185" s="135"/>
      <c r="AI185" s="135"/>
      <c r="AJ185" s="135"/>
      <c r="AK185" s="135">
        <v>0</v>
      </c>
      <c r="AL185" s="135">
        <v>21002</v>
      </c>
      <c r="AM185" s="135">
        <v>1000</v>
      </c>
      <c r="AN185" s="135"/>
      <c r="AO185" s="130" t="s">
        <v>265</v>
      </c>
      <c r="AP185" s="130" t="s">
        <v>246</v>
      </c>
      <c r="AQ185" s="130" t="s">
        <v>265</v>
      </c>
      <c r="AR185" s="130" t="s">
        <v>246</v>
      </c>
      <c r="AS185" s="130" t="s">
        <v>265</v>
      </c>
      <c r="AT185" s="130" t="s">
        <v>246</v>
      </c>
      <c r="AU185" s="130"/>
      <c r="AV185" s="130" t="s">
        <v>251</v>
      </c>
      <c r="AW185" s="104" t="s">
        <v>248</v>
      </c>
      <c r="AX185" s="130" t="s">
        <v>249</v>
      </c>
      <c r="AY185" s="130"/>
      <c r="AZ185" s="130"/>
      <c r="BA185" s="130"/>
      <c r="BB185" s="179"/>
      <c r="BC185" s="179"/>
      <c r="BD185" s="104"/>
      <c r="BE185" s="130"/>
      <c r="BF185" s="138">
        <v>14401</v>
      </c>
      <c r="BG185" s="130"/>
      <c r="BH185" s="185" t="s">
        <v>267</v>
      </c>
      <c r="BI185" s="130" t="s">
        <v>363</v>
      </c>
      <c r="BJ185" s="130" t="s">
        <v>297</v>
      </c>
      <c r="BK185" s="130" t="s">
        <v>253</v>
      </c>
      <c r="BL185" s="135"/>
      <c r="BM185" s="135"/>
      <c r="BN185" s="135"/>
      <c r="BO185" s="163">
        <v>100</v>
      </c>
      <c r="BP185" s="163">
        <v>200</v>
      </c>
      <c r="BQ185" s="130" t="s">
        <v>241</v>
      </c>
      <c r="BR185" s="135">
        <v>1</v>
      </c>
      <c r="BS185" s="135"/>
      <c r="BT185" s="163">
        <v>50</v>
      </c>
      <c r="BU185" s="163">
        <v>30</v>
      </c>
      <c r="BV185" s="130"/>
      <c r="BW185" s="104"/>
      <c r="BX185" s="135"/>
      <c r="BY185" s="135"/>
      <c r="BZ185" s="135">
        <v>1</v>
      </c>
      <c r="CA185" s="135">
        <v>1</v>
      </c>
      <c r="CB185" s="135">
        <v>1</v>
      </c>
      <c r="CC185" s="135">
        <v>1</v>
      </c>
      <c r="CD185" s="135">
        <v>1</v>
      </c>
      <c r="CE185" s="135">
        <v>1</v>
      </c>
      <c r="CF185" s="135">
        <v>1</v>
      </c>
      <c r="CG185" s="135">
        <v>1</v>
      </c>
      <c r="CH185" s="163">
        <v>28</v>
      </c>
      <c r="CI185" s="130" t="s">
        <v>4556</v>
      </c>
      <c r="CJ185" s="135"/>
      <c r="CK185" s="135"/>
      <c r="CL185" s="130"/>
      <c r="CM185" s="193">
        <v>100005</v>
      </c>
      <c r="CN185" s="193">
        <v>100057</v>
      </c>
      <c r="CO185" s="193"/>
      <c r="CP185" s="193">
        <v>100005</v>
      </c>
      <c r="CQ185" s="193"/>
      <c r="CR185" s="193"/>
    </row>
    <row r="186" spans="1:96" ht="15.75" customHeight="1" x14ac:dyDescent="0.35">
      <c r="A186" s="288"/>
      <c r="B186" s="97" t="s">
        <v>527</v>
      </c>
      <c r="C186" s="92" t="s">
        <v>529</v>
      </c>
      <c r="D186" s="138">
        <v>14411</v>
      </c>
      <c r="E186" s="135">
        <v>70412</v>
      </c>
      <c r="F186" s="135"/>
      <c r="G186" s="139"/>
      <c r="H186" s="135"/>
      <c r="I186" s="135"/>
      <c r="J186" s="135"/>
      <c r="K186" s="135">
        <v>1</v>
      </c>
      <c r="L186" s="139"/>
      <c r="M186" s="139"/>
      <c r="N186" s="139"/>
      <c r="O186" s="154"/>
      <c r="P186" s="135">
        <v>2</v>
      </c>
      <c r="Q186" s="135">
        <v>3</v>
      </c>
      <c r="R186" s="135"/>
      <c r="S186" s="163">
        <v>1</v>
      </c>
      <c r="T186" s="163">
        <v>1</v>
      </c>
      <c r="U186" s="163">
        <v>1</v>
      </c>
      <c r="V186" s="135"/>
      <c r="W186" s="135"/>
      <c r="X186" s="163"/>
      <c r="Y186" s="135">
        <v>1620</v>
      </c>
      <c r="Z186" s="135">
        <v>1000</v>
      </c>
      <c r="AA186" s="135">
        <v>400</v>
      </c>
      <c r="AB186" s="135"/>
      <c r="AC186" s="135"/>
      <c r="AD186" s="135"/>
      <c r="AE186" s="135"/>
      <c r="AF186" s="163">
        <v>1</v>
      </c>
      <c r="AG186" s="169">
        <v>100</v>
      </c>
      <c r="AH186" s="135"/>
      <c r="AI186" s="135"/>
      <c r="AJ186" s="135"/>
      <c r="AK186" s="135">
        <v>0</v>
      </c>
      <c r="AL186" s="135">
        <v>21002</v>
      </c>
      <c r="AM186" s="135">
        <v>1000</v>
      </c>
      <c r="AN186" s="135"/>
      <c r="AO186" s="130" t="s">
        <v>265</v>
      </c>
      <c r="AP186" s="130" t="s">
        <v>246</v>
      </c>
      <c r="AQ186" s="130" t="s">
        <v>265</v>
      </c>
      <c r="AR186" s="130" t="s">
        <v>246</v>
      </c>
      <c r="AS186" s="130" t="s">
        <v>265</v>
      </c>
      <c r="AT186" s="130" t="s">
        <v>246</v>
      </c>
      <c r="AU186" s="130"/>
      <c r="AV186" s="130" t="s">
        <v>266</v>
      </c>
      <c r="AW186" s="104" t="s">
        <v>248</v>
      </c>
      <c r="AX186" s="130" t="s">
        <v>249</v>
      </c>
      <c r="AY186" s="130"/>
      <c r="AZ186" s="130"/>
      <c r="BA186" s="130"/>
      <c r="BB186" s="179"/>
      <c r="BC186" s="179"/>
      <c r="BD186" s="104"/>
      <c r="BE186" s="130"/>
      <c r="BF186" s="138">
        <v>14411</v>
      </c>
      <c r="BG186" s="130"/>
      <c r="BH186" s="185" t="s">
        <v>267</v>
      </c>
      <c r="BI186" s="130" t="s">
        <v>363</v>
      </c>
      <c r="BJ186" s="130" t="s">
        <v>297</v>
      </c>
      <c r="BK186" s="130" t="s">
        <v>253</v>
      </c>
      <c r="BL186" s="135"/>
      <c r="BM186" s="135"/>
      <c r="BN186" s="135"/>
      <c r="BO186" s="163">
        <v>100</v>
      </c>
      <c r="BP186" s="163">
        <v>200</v>
      </c>
      <c r="BQ186" s="130" t="s">
        <v>241</v>
      </c>
      <c r="BR186" s="135">
        <v>1</v>
      </c>
      <c r="BS186" s="135"/>
      <c r="BT186" s="163">
        <v>50</v>
      </c>
      <c r="BU186" s="163">
        <v>40</v>
      </c>
      <c r="BV186" s="130"/>
      <c r="BW186" s="104"/>
      <c r="BX186" s="135"/>
      <c r="BY186" s="135"/>
      <c r="BZ186" s="135">
        <v>1</v>
      </c>
      <c r="CA186" s="135">
        <v>2</v>
      </c>
      <c r="CB186" s="135">
        <v>1</v>
      </c>
      <c r="CC186" s="135">
        <v>2</v>
      </c>
      <c r="CD186" s="135">
        <v>1</v>
      </c>
      <c r="CE186" s="135">
        <v>1</v>
      </c>
      <c r="CF186" s="135">
        <v>1</v>
      </c>
      <c r="CG186" s="135">
        <v>1</v>
      </c>
      <c r="CH186" s="163">
        <v>5</v>
      </c>
      <c r="CI186" s="130" t="s">
        <v>4557</v>
      </c>
      <c r="CJ186" s="135"/>
      <c r="CK186" s="135"/>
      <c r="CL186" s="130"/>
      <c r="CM186" s="193">
        <v>100005</v>
      </c>
      <c r="CN186" s="193">
        <v>100057</v>
      </c>
      <c r="CO186" s="193"/>
      <c r="CP186" s="193">
        <v>100005</v>
      </c>
      <c r="CQ186" s="193"/>
      <c r="CR186" s="193"/>
    </row>
    <row r="187" spans="1:96" ht="15.75" customHeight="1" x14ac:dyDescent="0.35">
      <c r="A187" s="288"/>
      <c r="B187" s="97" t="s">
        <v>530</v>
      </c>
      <c r="C187" s="92" t="s">
        <v>456</v>
      </c>
      <c r="D187" s="138">
        <v>14421</v>
      </c>
      <c r="E187" s="135">
        <v>70413</v>
      </c>
      <c r="F187" s="135"/>
      <c r="G187" s="139"/>
      <c r="H187" s="135"/>
      <c r="I187" s="135"/>
      <c r="J187" s="135"/>
      <c r="K187" s="135">
        <v>1</v>
      </c>
      <c r="L187" s="139"/>
      <c r="M187" s="139"/>
      <c r="N187" s="139"/>
      <c r="O187" s="154"/>
      <c r="P187" s="135">
        <v>2</v>
      </c>
      <c r="Q187" s="135">
        <v>3</v>
      </c>
      <c r="R187" s="135"/>
      <c r="S187" s="163">
        <v>1</v>
      </c>
      <c r="T187" s="163">
        <v>1</v>
      </c>
      <c r="U187" s="163">
        <v>1</v>
      </c>
      <c r="V187" s="135"/>
      <c r="W187" s="135"/>
      <c r="X187" s="163"/>
      <c r="Y187" s="135">
        <v>1618</v>
      </c>
      <c r="Z187" s="135">
        <v>1500</v>
      </c>
      <c r="AA187" s="135">
        <v>500</v>
      </c>
      <c r="AB187" s="135"/>
      <c r="AC187" s="135"/>
      <c r="AD187" s="135"/>
      <c r="AE187" s="135"/>
      <c r="AF187" s="163">
        <v>1</v>
      </c>
      <c r="AG187" s="169">
        <v>100</v>
      </c>
      <c r="AH187" s="135"/>
      <c r="AI187" s="135"/>
      <c r="AJ187" s="135"/>
      <c r="AK187" s="135">
        <v>0</v>
      </c>
      <c r="AL187" s="135">
        <v>21002</v>
      </c>
      <c r="AM187" s="135">
        <v>1000</v>
      </c>
      <c r="AN187" s="135"/>
      <c r="AO187" s="130" t="s">
        <v>265</v>
      </c>
      <c r="AP187" s="130" t="s">
        <v>246</v>
      </c>
      <c r="AQ187" s="130" t="s">
        <v>265</v>
      </c>
      <c r="AR187" s="130" t="s">
        <v>246</v>
      </c>
      <c r="AS187" s="130" t="s">
        <v>265</v>
      </c>
      <c r="AT187" s="130" t="s">
        <v>246</v>
      </c>
      <c r="AU187" s="130"/>
      <c r="AV187" s="130" t="s">
        <v>251</v>
      </c>
      <c r="AW187" s="104" t="s">
        <v>248</v>
      </c>
      <c r="AX187" s="130" t="s">
        <v>249</v>
      </c>
      <c r="AY187" s="130"/>
      <c r="AZ187" s="130"/>
      <c r="BA187" s="130"/>
      <c r="BB187" s="179"/>
      <c r="BC187" s="179"/>
      <c r="BD187" s="104"/>
      <c r="BE187" s="130"/>
      <c r="BF187" s="138">
        <v>14421</v>
      </c>
      <c r="BG187" s="130"/>
      <c r="BH187" s="185" t="s">
        <v>267</v>
      </c>
      <c r="BI187" s="130" t="s">
        <v>268</v>
      </c>
      <c r="BJ187" s="130" t="s">
        <v>297</v>
      </c>
      <c r="BK187" s="130" t="s">
        <v>253</v>
      </c>
      <c r="BL187" s="135"/>
      <c r="BM187" s="135"/>
      <c r="BN187" s="135"/>
      <c r="BO187" s="163">
        <v>100</v>
      </c>
      <c r="BP187" s="163">
        <v>200</v>
      </c>
      <c r="BQ187" s="130" t="s">
        <v>241</v>
      </c>
      <c r="BR187" s="135">
        <v>1</v>
      </c>
      <c r="BS187" s="135"/>
      <c r="BT187" s="163">
        <v>50</v>
      </c>
      <c r="BU187" s="163">
        <v>30</v>
      </c>
      <c r="BV187" s="130"/>
      <c r="BW187" s="104"/>
      <c r="BX187" s="135"/>
      <c r="BY187" s="135"/>
      <c r="BZ187" s="135">
        <v>1</v>
      </c>
      <c r="CA187" s="135">
        <v>1</v>
      </c>
      <c r="CB187" s="135">
        <v>1</v>
      </c>
      <c r="CC187" s="135">
        <v>1</v>
      </c>
      <c r="CD187" s="135">
        <v>1</v>
      </c>
      <c r="CE187" s="135">
        <v>1</v>
      </c>
      <c r="CF187" s="135">
        <v>1</v>
      </c>
      <c r="CG187" s="135">
        <v>1</v>
      </c>
      <c r="CH187" s="163">
        <v>5</v>
      </c>
      <c r="CI187" s="130" t="s">
        <v>4558</v>
      </c>
      <c r="CJ187" s="135"/>
      <c r="CK187" s="135"/>
      <c r="CL187" s="130"/>
      <c r="CM187" s="193">
        <v>100005</v>
      </c>
      <c r="CN187" s="193">
        <v>100057</v>
      </c>
      <c r="CO187" s="193"/>
      <c r="CP187" s="193">
        <v>100005</v>
      </c>
      <c r="CQ187" s="193"/>
      <c r="CR187" s="193"/>
    </row>
    <row r="188" spans="1:96" ht="15.75" customHeight="1" x14ac:dyDescent="0.35">
      <c r="A188" s="288"/>
      <c r="B188" s="231" t="s">
        <v>4462</v>
      </c>
      <c r="C188" s="92" t="s">
        <v>386</v>
      </c>
      <c r="D188" s="138">
        <v>14431</v>
      </c>
      <c r="E188" s="154">
        <v>70423</v>
      </c>
      <c r="F188" s="135"/>
      <c r="G188" s="139"/>
      <c r="H188" s="135"/>
      <c r="I188" s="135"/>
      <c r="J188" s="135"/>
      <c r="K188" s="135">
        <v>1</v>
      </c>
      <c r="L188" s="135"/>
      <c r="M188" s="135"/>
      <c r="N188" s="139"/>
      <c r="O188" s="154"/>
      <c r="P188" s="135">
        <v>3</v>
      </c>
      <c r="Q188" s="135">
        <v>3</v>
      </c>
      <c r="R188" s="135"/>
      <c r="S188" s="163">
        <v>1</v>
      </c>
      <c r="T188" s="163">
        <v>1</v>
      </c>
      <c r="U188" s="163">
        <v>1</v>
      </c>
      <c r="V188" s="135"/>
      <c r="W188" s="135"/>
      <c r="X188" s="163"/>
      <c r="Y188" s="135">
        <v>1643</v>
      </c>
      <c r="Z188" s="135">
        <v>1000</v>
      </c>
      <c r="AA188" s="135">
        <v>400</v>
      </c>
      <c r="AB188" s="135"/>
      <c r="AC188" s="135"/>
      <c r="AD188" s="135"/>
      <c r="AE188" s="135"/>
      <c r="AF188" s="163">
        <v>2</v>
      </c>
      <c r="AG188" s="169">
        <v>100</v>
      </c>
      <c r="AH188" s="135"/>
      <c r="AI188" s="135"/>
      <c r="AJ188" s="135"/>
      <c r="AK188" s="135">
        <v>0</v>
      </c>
      <c r="AL188" s="135">
        <v>21002</v>
      </c>
      <c r="AM188" s="135">
        <v>1000</v>
      </c>
      <c r="AN188" s="135"/>
      <c r="AO188" s="130" t="s">
        <v>265</v>
      </c>
      <c r="AP188" s="130" t="s">
        <v>246</v>
      </c>
      <c r="AQ188" s="130" t="s">
        <v>265</v>
      </c>
      <c r="AR188" s="130" t="s">
        <v>246</v>
      </c>
      <c r="AS188" s="130" t="s">
        <v>265</v>
      </c>
      <c r="AT188" s="130" t="s">
        <v>246</v>
      </c>
      <c r="AU188" s="130"/>
      <c r="AV188" s="130"/>
      <c r="AW188" s="104" t="s">
        <v>248</v>
      </c>
      <c r="AX188" s="130" t="s">
        <v>249</v>
      </c>
      <c r="AY188" s="130"/>
      <c r="AZ188" s="130"/>
      <c r="BA188" s="130"/>
      <c r="BB188" s="179"/>
      <c r="BC188" s="179"/>
      <c r="BD188" s="104"/>
      <c r="BE188" s="130"/>
      <c r="BF188" s="138">
        <v>12421</v>
      </c>
      <c r="BG188" s="130"/>
      <c r="BH188" s="185" t="s">
        <v>434</v>
      </c>
      <c r="BI188" s="130" t="s">
        <v>4463</v>
      </c>
      <c r="BJ188" s="130" t="s">
        <v>269</v>
      </c>
      <c r="BK188" s="130" t="s">
        <v>253</v>
      </c>
      <c r="BL188" s="135"/>
      <c r="BM188" s="135"/>
      <c r="BN188" s="135"/>
      <c r="BO188" s="163">
        <v>100</v>
      </c>
      <c r="BP188" s="163">
        <v>200</v>
      </c>
      <c r="BQ188" s="130" t="s">
        <v>241</v>
      </c>
      <c r="BR188" s="135">
        <v>1</v>
      </c>
      <c r="BS188" s="135"/>
      <c r="BT188" s="163">
        <v>50</v>
      </c>
      <c r="BU188" s="163">
        <v>50</v>
      </c>
      <c r="BV188" s="130"/>
      <c r="BW188" s="104"/>
      <c r="BX188" s="135"/>
      <c r="BY188" s="135"/>
      <c r="BZ188" s="135">
        <v>1</v>
      </c>
      <c r="CA188" s="135">
        <v>1</v>
      </c>
      <c r="CB188" s="135">
        <v>1</v>
      </c>
      <c r="CC188" s="135">
        <v>1</v>
      </c>
      <c r="CD188" s="135">
        <v>1</v>
      </c>
      <c r="CE188" s="135">
        <v>1</v>
      </c>
      <c r="CF188" s="135">
        <v>1</v>
      </c>
      <c r="CG188" s="135">
        <v>1</v>
      </c>
      <c r="CH188" s="179">
        <v>12</v>
      </c>
      <c r="CI188" s="130" t="s">
        <v>4559</v>
      </c>
      <c r="CJ188" s="135"/>
      <c r="CK188" s="135"/>
      <c r="CL188" s="130"/>
      <c r="CM188" s="193">
        <v>112002</v>
      </c>
      <c r="CN188" s="193"/>
      <c r="CO188" s="193"/>
      <c r="CP188" s="193">
        <v>112002</v>
      </c>
      <c r="CQ188" s="193"/>
      <c r="CR188" s="193"/>
    </row>
    <row r="189" spans="1:96" ht="15.75" customHeight="1" x14ac:dyDescent="0.35">
      <c r="A189" s="288"/>
      <c r="B189" s="98" t="s">
        <v>493</v>
      </c>
      <c r="C189" s="92" t="s">
        <v>531</v>
      </c>
      <c r="D189" s="138">
        <v>14501</v>
      </c>
      <c r="E189" s="135">
        <v>70414</v>
      </c>
      <c r="F189" s="135"/>
      <c r="G189" s="139"/>
      <c r="H189" s="135"/>
      <c r="I189" s="135"/>
      <c r="J189" s="135"/>
      <c r="K189" s="135">
        <v>11</v>
      </c>
      <c r="L189" s="135"/>
      <c r="M189" s="139"/>
      <c r="N189" s="139"/>
      <c r="O189" s="154"/>
      <c r="P189" s="135">
        <v>2</v>
      </c>
      <c r="Q189" s="135">
        <v>3</v>
      </c>
      <c r="R189" s="135"/>
      <c r="S189" s="163">
        <v>1</v>
      </c>
      <c r="T189" s="163">
        <v>1</v>
      </c>
      <c r="U189" s="163">
        <v>1</v>
      </c>
      <c r="V189" s="135"/>
      <c r="W189" s="135"/>
      <c r="X189" s="163"/>
      <c r="Y189" s="135">
        <v>1892</v>
      </c>
      <c r="Z189" s="135">
        <v>1000</v>
      </c>
      <c r="AA189" s="135">
        <v>500</v>
      </c>
      <c r="AB189" s="135">
        <v>1</v>
      </c>
      <c r="AC189" s="135"/>
      <c r="AD189" s="135"/>
      <c r="AE189" s="135"/>
      <c r="AF189" s="163">
        <v>1</v>
      </c>
      <c r="AG189" s="169">
        <v>100</v>
      </c>
      <c r="AH189" s="135"/>
      <c r="AI189" s="135"/>
      <c r="AJ189" s="135"/>
      <c r="AK189" s="135">
        <v>0</v>
      </c>
      <c r="AL189" s="135">
        <v>23023</v>
      </c>
      <c r="AM189" s="135">
        <v>1000</v>
      </c>
      <c r="AN189" s="135"/>
      <c r="AO189" s="130" t="s">
        <v>265</v>
      </c>
      <c r="AP189" s="130" t="s">
        <v>246</v>
      </c>
      <c r="AQ189" s="130" t="s">
        <v>265</v>
      </c>
      <c r="AR189" s="130" t="s">
        <v>246</v>
      </c>
      <c r="AS189" s="130" t="s">
        <v>265</v>
      </c>
      <c r="AT189" s="130" t="s">
        <v>246</v>
      </c>
      <c r="AU189" s="130" t="s">
        <v>495</v>
      </c>
      <c r="AV189" s="130" t="s">
        <v>266</v>
      </c>
      <c r="AW189" s="104" t="s">
        <v>248</v>
      </c>
      <c r="AX189" s="130" t="s">
        <v>249</v>
      </c>
      <c r="AY189" s="130"/>
      <c r="AZ189" s="130"/>
      <c r="BA189" s="130"/>
      <c r="BB189" s="179"/>
      <c r="BC189" s="179"/>
      <c r="BD189" s="104"/>
      <c r="BE189" s="130"/>
      <c r="BF189" s="138">
        <v>14501</v>
      </c>
      <c r="BG189" s="130"/>
      <c r="BH189" s="185" t="s">
        <v>274</v>
      </c>
      <c r="BI189" s="187" t="s">
        <v>289</v>
      </c>
      <c r="BJ189" s="130" t="s">
        <v>252</v>
      </c>
      <c r="BK189" s="130" t="s">
        <v>253</v>
      </c>
      <c r="BL189" s="130"/>
      <c r="BM189" s="135"/>
      <c r="BN189" s="135"/>
      <c r="BO189" s="163">
        <v>50</v>
      </c>
      <c r="BP189" s="163">
        <v>200</v>
      </c>
      <c r="BQ189" s="130" t="s">
        <v>241</v>
      </c>
      <c r="BR189" s="135">
        <v>1</v>
      </c>
      <c r="BS189" s="135"/>
      <c r="BT189" s="163">
        <v>50</v>
      </c>
      <c r="BU189" s="163">
        <v>50</v>
      </c>
      <c r="BV189" s="130"/>
      <c r="BW189" s="104"/>
      <c r="BX189" s="130"/>
      <c r="BY189" s="135"/>
      <c r="BZ189" s="135">
        <v>3</v>
      </c>
      <c r="CA189" s="135">
        <v>4</v>
      </c>
      <c r="CB189" s="135">
        <v>4</v>
      </c>
      <c r="CC189" s="135">
        <v>4</v>
      </c>
      <c r="CD189" s="135">
        <v>5</v>
      </c>
      <c r="CE189" s="135">
        <v>6</v>
      </c>
      <c r="CF189" s="135">
        <v>4</v>
      </c>
      <c r="CG189" s="135">
        <v>4</v>
      </c>
      <c r="CH189" s="163"/>
      <c r="CI189" s="130"/>
      <c r="CJ189" s="130"/>
      <c r="CK189" s="135"/>
      <c r="CL189" s="130"/>
      <c r="CM189" s="193">
        <v>100005</v>
      </c>
      <c r="CN189" s="193"/>
      <c r="CO189" s="193"/>
      <c r="CP189" s="193">
        <v>100005</v>
      </c>
      <c r="CQ189" s="193"/>
      <c r="CR189" s="193"/>
    </row>
    <row r="190" spans="1:96" ht="15.75" customHeight="1" x14ac:dyDescent="0.35">
      <c r="A190" s="288"/>
      <c r="B190" s="98" t="s">
        <v>493</v>
      </c>
      <c r="C190" s="92" t="s">
        <v>532</v>
      </c>
      <c r="D190" s="138">
        <v>14511</v>
      </c>
      <c r="E190" s="135">
        <v>70414</v>
      </c>
      <c r="F190" s="135"/>
      <c r="G190" s="139"/>
      <c r="H190" s="135"/>
      <c r="I190" s="135"/>
      <c r="J190" s="135"/>
      <c r="K190" s="135">
        <v>11</v>
      </c>
      <c r="L190" s="135"/>
      <c r="M190" s="139"/>
      <c r="N190" s="139"/>
      <c r="O190" s="154"/>
      <c r="P190" s="135">
        <v>2</v>
      </c>
      <c r="Q190" s="135">
        <v>3</v>
      </c>
      <c r="R190" s="135"/>
      <c r="S190" s="163">
        <v>1</v>
      </c>
      <c r="T190" s="163">
        <v>1</v>
      </c>
      <c r="U190" s="163">
        <v>1</v>
      </c>
      <c r="V190" s="135"/>
      <c r="W190" s="135"/>
      <c r="X190" s="163"/>
      <c r="Y190" s="135">
        <v>4070</v>
      </c>
      <c r="Z190" s="135">
        <v>1000</v>
      </c>
      <c r="AA190" s="135">
        <v>400</v>
      </c>
      <c r="AB190" s="135">
        <v>1</v>
      </c>
      <c r="AC190" s="135"/>
      <c r="AD190" s="135"/>
      <c r="AE190" s="135"/>
      <c r="AF190" s="163">
        <v>1</v>
      </c>
      <c r="AG190" s="169">
        <v>100</v>
      </c>
      <c r="AH190" s="135"/>
      <c r="AI190" s="135"/>
      <c r="AJ190" s="135"/>
      <c r="AK190" s="135">
        <v>0</v>
      </c>
      <c r="AL190" s="135">
        <v>21099</v>
      </c>
      <c r="AM190" s="135">
        <v>1000</v>
      </c>
      <c r="AN190" s="135"/>
      <c r="AO190" s="130" t="s">
        <v>533</v>
      </c>
      <c r="AP190" s="130" t="s">
        <v>246</v>
      </c>
      <c r="AQ190" s="130" t="s">
        <v>533</v>
      </c>
      <c r="AR190" s="130" t="s">
        <v>246</v>
      </c>
      <c r="AS190" s="130" t="s">
        <v>533</v>
      </c>
      <c r="AT190" s="130" t="s">
        <v>246</v>
      </c>
      <c r="AU190" s="130" t="s">
        <v>495</v>
      </c>
      <c r="AV190" s="130" t="s">
        <v>266</v>
      </c>
      <c r="AW190" s="104" t="s">
        <v>248</v>
      </c>
      <c r="AX190" s="130" t="s">
        <v>249</v>
      </c>
      <c r="AY190" s="130"/>
      <c r="AZ190" s="130"/>
      <c r="BA190" s="130"/>
      <c r="BB190" s="179"/>
      <c r="BC190" s="179"/>
      <c r="BD190" s="104"/>
      <c r="BE190" s="130"/>
      <c r="BF190" s="138">
        <v>14511</v>
      </c>
      <c r="BG190" s="130"/>
      <c r="BH190" s="185" t="s">
        <v>274</v>
      </c>
      <c r="BI190" s="187" t="s">
        <v>289</v>
      </c>
      <c r="BJ190" s="130" t="s">
        <v>252</v>
      </c>
      <c r="BK190" s="130" t="s">
        <v>253</v>
      </c>
      <c r="BL190" s="130"/>
      <c r="BM190" s="135"/>
      <c r="BN190" s="135"/>
      <c r="BO190" s="163">
        <v>50</v>
      </c>
      <c r="BP190" s="163">
        <v>200</v>
      </c>
      <c r="BQ190" s="130" t="s">
        <v>241</v>
      </c>
      <c r="BR190" s="135">
        <v>1</v>
      </c>
      <c r="BS190" s="135"/>
      <c r="BT190" s="163">
        <v>50</v>
      </c>
      <c r="BU190" s="163">
        <v>50</v>
      </c>
      <c r="BV190" s="130"/>
      <c r="BW190" s="104"/>
      <c r="BX190" s="130"/>
      <c r="BY190" s="135"/>
      <c r="BZ190" s="135">
        <v>3</v>
      </c>
      <c r="CA190" s="135">
        <v>4</v>
      </c>
      <c r="CB190" s="135">
        <v>4</v>
      </c>
      <c r="CC190" s="135">
        <v>4</v>
      </c>
      <c r="CD190" s="135">
        <v>5</v>
      </c>
      <c r="CE190" s="135">
        <v>6</v>
      </c>
      <c r="CF190" s="135">
        <v>4</v>
      </c>
      <c r="CG190" s="135">
        <v>4</v>
      </c>
      <c r="CH190" s="163"/>
      <c r="CI190" s="130"/>
      <c r="CJ190" s="130"/>
      <c r="CK190" s="135"/>
      <c r="CL190" s="130"/>
      <c r="CM190" s="193">
        <v>100005</v>
      </c>
      <c r="CN190" s="193"/>
      <c r="CO190" s="193"/>
      <c r="CP190" s="193">
        <v>100005</v>
      </c>
      <c r="CQ190" s="193"/>
      <c r="CR190" s="193"/>
    </row>
    <row r="191" spans="1:96" ht="15.75" customHeight="1" x14ac:dyDescent="0.35">
      <c r="A191" s="288"/>
      <c r="B191" s="98" t="s">
        <v>493</v>
      </c>
      <c r="C191" s="92" t="s">
        <v>534</v>
      </c>
      <c r="D191" s="138">
        <v>14521</v>
      </c>
      <c r="E191" s="135">
        <v>70024</v>
      </c>
      <c r="F191" s="135"/>
      <c r="G191" s="139"/>
      <c r="H191" s="135"/>
      <c r="I191" s="135"/>
      <c r="J191" s="135"/>
      <c r="K191" s="135">
        <v>12</v>
      </c>
      <c r="L191" s="135"/>
      <c r="M191" s="139"/>
      <c r="N191" s="139"/>
      <c r="O191" s="154"/>
      <c r="P191" s="135">
        <v>1</v>
      </c>
      <c r="Q191" s="135">
        <v>1</v>
      </c>
      <c r="R191" s="135"/>
      <c r="S191" s="163">
        <v>1</v>
      </c>
      <c r="T191" s="163">
        <v>1</v>
      </c>
      <c r="U191" s="163">
        <v>1</v>
      </c>
      <c r="V191" s="135"/>
      <c r="W191" s="135"/>
      <c r="X191" s="163"/>
      <c r="Y191" s="135">
        <v>4098</v>
      </c>
      <c r="Z191" s="135">
        <v>1000</v>
      </c>
      <c r="AA191" s="135">
        <v>300</v>
      </c>
      <c r="AB191" s="135">
        <v>1</v>
      </c>
      <c r="AC191" s="135"/>
      <c r="AD191" s="135"/>
      <c r="AE191" s="135"/>
      <c r="AF191" s="163">
        <v>1</v>
      </c>
      <c r="AG191" s="169">
        <v>100</v>
      </c>
      <c r="AH191" s="135"/>
      <c r="AI191" s="135"/>
      <c r="AJ191" s="135"/>
      <c r="AK191" s="135">
        <v>0</v>
      </c>
      <c r="AL191" s="135"/>
      <c r="AM191" s="135"/>
      <c r="AN191" s="135"/>
      <c r="AO191" s="130"/>
      <c r="AP191" s="130"/>
      <c r="AQ191" s="130"/>
      <c r="AR191" s="130"/>
      <c r="AS191" s="130"/>
      <c r="AT191" s="130"/>
      <c r="AU191" s="130" t="s">
        <v>357</v>
      </c>
      <c r="AV191" s="130"/>
      <c r="AW191" s="104" t="s">
        <v>248</v>
      </c>
      <c r="AX191" s="130" t="s">
        <v>249</v>
      </c>
      <c r="AY191" s="130"/>
      <c r="AZ191" s="130"/>
      <c r="BA191" s="130"/>
      <c r="BB191" s="179"/>
      <c r="BC191" s="179"/>
      <c r="BD191" s="104"/>
      <c r="BE191" s="130"/>
      <c r="BF191" s="135">
        <v>10901</v>
      </c>
      <c r="BG191" s="130"/>
      <c r="BH191" s="185" t="s">
        <v>274</v>
      </c>
      <c r="BI191" s="130" t="s">
        <v>280</v>
      </c>
      <c r="BJ191" s="130" t="s">
        <v>262</v>
      </c>
      <c r="BK191" s="130" t="s">
        <v>253</v>
      </c>
      <c r="BL191" s="135"/>
      <c r="BM191" s="135"/>
      <c r="BN191" s="135"/>
      <c r="BO191" s="163">
        <v>100</v>
      </c>
      <c r="BP191" s="163">
        <v>200</v>
      </c>
      <c r="BQ191" s="130" t="s">
        <v>241</v>
      </c>
      <c r="BR191" s="135">
        <v>1</v>
      </c>
      <c r="BS191" s="135"/>
      <c r="BT191" s="163">
        <v>50</v>
      </c>
      <c r="BU191" s="163">
        <v>40</v>
      </c>
      <c r="BV191" s="130"/>
      <c r="BW191" s="104"/>
      <c r="BX191" s="135"/>
      <c r="BY191" s="135"/>
      <c r="BZ191" s="135"/>
      <c r="CA191" s="135"/>
      <c r="CB191" s="135"/>
      <c r="CC191" s="135"/>
      <c r="CD191" s="135"/>
      <c r="CE191" s="135"/>
      <c r="CF191" s="135"/>
      <c r="CG191" s="135"/>
      <c r="CH191" s="163"/>
      <c r="CI191" s="130"/>
      <c r="CJ191" s="135"/>
      <c r="CK191" s="135"/>
      <c r="CL191" s="130"/>
      <c r="CM191" s="193"/>
      <c r="CN191" s="193"/>
      <c r="CO191" s="193"/>
      <c r="CP191" s="193"/>
      <c r="CQ191" s="193"/>
      <c r="CR191" s="193"/>
    </row>
    <row r="192" spans="1:96" ht="15.75" customHeight="1" x14ac:dyDescent="0.35">
      <c r="A192" s="288"/>
      <c r="B192" s="85" t="s">
        <v>522</v>
      </c>
      <c r="C192" s="92" t="s">
        <v>412</v>
      </c>
      <c r="D192" s="138">
        <v>14601</v>
      </c>
      <c r="E192" s="135">
        <v>70415</v>
      </c>
      <c r="F192" s="135"/>
      <c r="G192" s="139"/>
      <c r="H192" s="135"/>
      <c r="I192" s="135"/>
      <c r="J192" s="135"/>
      <c r="K192" s="135">
        <v>2</v>
      </c>
      <c r="L192" s="139"/>
      <c r="M192" s="139"/>
      <c r="N192" s="139"/>
      <c r="O192" s="154">
        <v>1</v>
      </c>
      <c r="P192" s="135">
        <v>2</v>
      </c>
      <c r="Q192" s="135">
        <v>3</v>
      </c>
      <c r="R192" s="135"/>
      <c r="S192" s="163">
        <v>1</v>
      </c>
      <c r="T192" s="163">
        <v>1</v>
      </c>
      <c r="U192" s="163">
        <v>1</v>
      </c>
      <c r="V192" s="135"/>
      <c r="W192" s="135"/>
      <c r="X192" s="163"/>
      <c r="Y192" s="135">
        <v>15331</v>
      </c>
      <c r="Z192" s="135">
        <v>1200</v>
      </c>
      <c r="AA192" s="135">
        <v>400</v>
      </c>
      <c r="AB192" s="135">
        <v>3</v>
      </c>
      <c r="AC192" s="135"/>
      <c r="AD192" s="135"/>
      <c r="AE192" s="135">
        <v>4</v>
      </c>
      <c r="AF192" s="163">
        <v>1</v>
      </c>
      <c r="AG192" s="169">
        <v>100</v>
      </c>
      <c r="AH192" s="135"/>
      <c r="AI192" s="135"/>
      <c r="AJ192" s="135"/>
      <c r="AK192" s="135">
        <v>0</v>
      </c>
      <c r="AL192" s="135">
        <v>21002</v>
      </c>
      <c r="AM192" s="135">
        <v>1000</v>
      </c>
      <c r="AN192" s="135"/>
      <c r="AO192" s="130" t="s">
        <v>265</v>
      </c>
      <c r="AP192" s="130" t="s">
        <v>246</v>
      </c>
      <c r="AQ192" s="130" t="s">
        <v>265</v>
      </c>
      <c r="AR192" s="130" t="s">
        <v>246</v>
      </c>
      <c r="AS192" s="130" t="s">
        <v>265</v>
      </c>
      <c r="AT192" s="130" t="s">
        <v>246</v>
      </c>
      <c r="AU192" s="130" t="s">
        <v>4584</v>
      </c>
      <c r="AV192" s="130" t="s">
        <v>266</v>
      </c>
      <c r="AW192" s="104" t="s">
        <v>248</v>
      </c>
      <c r="AX192" s="130" t="s">
        <v>249</v>
      </c>
      <c r="AY192" s="130"/>
      <c r="AZ192" s="130"/>
      <c r="BA192" s="130"/>
      <c r="BB192" s="179"/>
      <c r="BC192" s="179"/>
      <c r="BD192" s="104"/>
      <c r="BE192" s="130"/>
      <c r="BF192" s="138">
        <v>14601</v>
      </c>
      <c r="BG192" s="130"/>
      <c r="BH192" s="185" t="s">
        <v>497</v>
      </c>
      <c r="BI192" s="130" t="s">
        <v>293</v>
      </c>
      <c r="BJ192" s="130" t="s">
        <v>275</v>
      </c>
      <c r="BK192" s="130" t="s">
        <v>253</v>
      </c>
      <c r="BL192" s="135"/>
      <c r="BM192" s="135"/>
      <c r="BN192" s="135"/>
      <c r="BO192" s="163">
        <v>150</v>
      </c>
      <c r="BP192" s="163">
        <v>200</v>
      </c>
      <c r="BQ192" s="130" t="s">
        <v>241</v>
      </c>
      <c r="BR192" s="135">
        <v>2</v>
      </c>
      <c r="BS192" s="135"/>
      <c r="BT192" s="163">
        <v>50</v>
      </c>
      <c r="BU192" s="163">
        <v>50</v>
      </c>
      <c r="BV192" s="130"/>
      <c r="BW192" s="104"/>
      <c r="BX192" s="135"/>
      <c r="BY192" s="135"/>
      <c r="BZ192" s="135">
        <v>3</v>
      </c>
      <c r="CA192" s="135">
        <v>3</v>
      </c>
      <c r="CB192" s="135">
        <v>2</v>
      </c>
      <c r="CC192" s="135">
        <v>3</v>
      </c>
      <c r="CD192" s="135">
        <v>6</v>
      </c>
      <c r="CE192" s="135">
        <v>8</v>
      </c>
      <c r="CF192" s="135">
        <v>2</v>
      </c>
      <c r="CG192" s="135">
        <v>3</v>
      </c>
      <c r="CH192" s="163"/>
      <c r="CI192" s="130" t="s">
        <v>4455</v>
      </c>
      <c r="CJ192" s="135"/>
      <c r="CK192" s="135"/>
      <c r="CL192" s="130"/>
      <c r="CM192" s="193">
        <v>114101</v>
      </c>
      <c r="CN192" s="193"/>
      <c r="CO192" s="193"/>
      <c r="CP192" s="193">
        <v>114101</v>
      </c>
      <c r="CQ192" s="193"/>
      <c r="CR192" s="193"/>
    </row>
    <row r="193" spans="1:96" ht="15.75" customHeight="1" x14ac:dyDescent="0.35">
      <c r="A193" s="288"/>
      <c r="B193" s="85" t="s">
        <v>536</v>
      </c>
      <c r="C193" s="92" t="s">
        <v>412</v>
      </c>
      <c r="D193" s="138">
        <v>14611</v>
      </c>
      <c r="E193" s="135">
        <v>70416</v>
      </c>
      <c r="F193" s="135"/>
      <c r="G193" s="139"/>
      <c r="H193" s="135"/>
      <c r="I193" s="135"/>
      <c r="J193" s="135"/>
      <c r="K193" s="135">
        <v>2</v>
      </c>
      <c r="L193" s="139"/>
      <c r="M193" s="139"/>
      <c r="N193" s="139"/>
      <c r="O193" s="154">
        <v>1</v>
      </c>
      <c r="P193" s="135">
        <v>2</v>
      </c>
      <c r="Q193" s="135">
        <v>3</v>
      </c>
      <c r="R193" s="135"/>
      <c r="S193" s="163">
        <v>1</v>
      </c>
      <c r="T193" s="163">
        <v>1</v>
      </c>
      <c r="U193" s="163">
        <v>1</v>
      </c>
      <c r="V193" s="135"/>
      <c r="W193" s="135"/>
      <c r="X193" s="163"/>
      <c r="Y193" s="135">
        <v>16291</v>
      </c>
      <c r="Z193" s="135">
        <v>1400</v>
      </c>
      <c r="AA193" s="135">
        <v>400</v>
      </c>
      <c r="AB193" s="135">
        <v>3</v>
      </c>
      <c r="AC193" s="135"/>
      <c r="AD193" s="135"/>
      <c r="AE193" s="135">
        <v>4</v>
      </c>
      <c r="AF193" s="163">
        <v>1</v>
      </c>
      <c r="AG193" s="169">
        <v>100</v>
      </c>
      <c r="AH193" s="135"/>
      <c r="AI193" s="135"/>
      <c r="AJ193" s="135"/>
      <c r="AK193" s="135">
        <v>0</v>
      </c>
      <c r="AL193" s="135">
        <v>21002</v>
      </c>
      <c r="AM193" s="135">
        <v>1000</v>
      </c>
      <c r="AN193" s="135"/>
      <c r="AO193" s="130" t="s">
        <v>265</v>
      </c>
      <c r="AP193" s="130" t="s">
        <v>246</v>
      </c>
      <c r="AQ193" s="130" t="s">
        <v>265</v>
      </c>
      <c r="AR193" s="130" t="s">
        <v>246</v>
      </c>
      <c r="AS193" s="130" t="s">
        <v>265</v>
      </c>
      <c r="AT193" s="130" t="s">
        <v>246</v>
      </c>
      <c r="AU193" s="130" t="s">
        <v>4584</v>
      </c>
      <c r="AV193" s="130" t="s">
        <v>266</v>
      </c>
      <c r="AW193" s="104" t="s">
        <v>248</v>
      </c>
      <c r="AX193" s="130" t="s">
        <v>249</v>
      </c>
      <c r="AY193" s="130"/>
      <c r="AZ193" s="130"/>
      <c r="BA193" s="130"/>
      <c r="BB193" s="179"/>
      <c r="BC193" s="179"/>
      <c r="BD193" s="104"/>
      <c r="BE193" s="130"/>
      <c r="BF193" s="138">
        <v>14611</v>
      </c>
      <c r="BG193" s="130"/>
      <c r="BH193" s="185" t="s">
        <v>497</v>
      </c>
      <c r="BI193" s="130" t="s">
        <v>363</v>
      </c>
      <c r="BJ193" s="130" t="s">
        <v>252</v>
      </c>
      <c r="BK193" s="130" t="s">
        <v>253</v>
      </c>
      <c r="BL193" s="135"/>
      <c r="BM193" s="135"/>
      <c r="BN193" s="135"/>
      <c r="BO193" s="163">
        <v>150</v>
      </c>
      <c r="BP193" s="163">
        <v>200</v>
      </c>
      <c r="BQ193" s="130" t="s">
        <v>241</v>
      </c>
      <c r="BR193" s="135">
        <v>2</v>
      </c>
      <c r="BS193" s="135"/>
      <c r="BT193" s="163">
        <v>50</v>
      </c>
      <c r="BU193" s="163">
        <v>50</v>
      </c>
      <c r="BV193" s="130"/>
      <c r="BW193" s="104"/>
      <c r="BX193" s="135"/>
      <c r="BY193" s="135"/>
      <c r="BZ193" s="135">
        <v>3</v>
      </c>
      <c r="CA193" s="135">
        <v>3</v>
      </c>
      <c r="CB193" s="135">
        <v>2</v>
      </c>
      <c r="CC193" s="135">
        <v>3</v>
      </c>
      <c r="CD193" s="135">
        <v>6</v>
      </c>
      <c r="CE193" s="135">
        <v>8</v>
      </c>
      <c r="CF193" s="135">
        <v>2</v>
      </c>
      <c r="CG193" s="135">
        <v>3</v>
      </c>
      <c r="CH193" s="163"/>
      <c r="CI193" s="130" t="s">
        <v>4456</v>
      </c>
      <c r="CJ193" s="135"/>
      <c r="CK193" s="135"/>
      <c r="CL193" s="130"/>
      <c r="CM193" s="193">
        <v>114102</v>
      </c>
      <c r="CN193" s="193"/>
      <c r="CO193" s="193"/>
      <c r="CP193" s="193">
        <v>114102</v>
      </c>
      <c r="CQ193" s="193"/>
      <c r="CR193" s="193"/>
    </row>
    <row r="194" spans="1:96" ht="15.75" customHeight="1" x14ac:dyDescent="0.35">
      <c r="A194" s="288"/>
      <c r="B194" s="85" t="s">
        <v>537</v>
      </c>
      <c r="C194" s="92" t="s">
        <v>412</v>
      </c>
      <c r="D194" s="138">
        <v>14621</v>
      </c>
      <c r="E194" s="135">
        <v>70417</v>
      </c>
      <c r="F194" s="135"/>
      <c r="G194" s="139"/>
      <c r="H194" s="135"/>
      <c r="I194" s="135"/>
      <c r="J194" s="135"/>
      <c r="K194" s="135">
        <v>2</v>
      </c>
      <c r="L194" s="139"/>
      <c r="M194" s="139"/>
      <c r="N194" s="139"/>
      <c r="O194" s="154">
        <v>1</v>
      </c>
      <c r="P194" s="135">
        <v>2</v>
      </c>
      <c r="Q194" s="135">
        <v>3</v>
      </c>
      <c r="R194" s="135"/>
      <c r="S194" s="163">
        <v>1</v>
      </c>
      <c r="T194" s="163">
        <v>1</v>
      </c>
      <c r="U194" s="163">
        <v>1</v>
      </c>
      <c r="V194" s="135"/>
      <c r="W194" s="135"/>
      <c r="X194" s="163"/>
      <c r="Y194" s="135">
        <v>13331</v>
      </c>
      <c r="Z194" s="135">
        <v>1400</v>
      </c>
      <c r="AA194" s="135">
        <v>400</v>
      </c>
      <c r="AB194" s="135">
        <v>2</v>
      </c>
      <c r="AC194" s="135"/>
      <c r="AD194" s="135"/>
      <c r="AE194" s="135">
        <v>4</v>
      </c>
      <c r="AF194" s="163">
        <v>1</v>
      </c>
      <c r="AG194" s="169">
        <v>100</v>
      </c>
      <c r="AH194" s="135"/>
      <c r="AI194" s="135"/>
      <c r="AJ194" s="135"/>
      <c r="AK194" s="135">
        <v>0</v>
      </c>
      <c r="AL194" s="135">
        <v>21009</v>
      </c>
      <c r="AM194" s="135">
        <v>1000</v>
      </c>
      <c r="AN194" s="135"/>
      <c r="AO194" s="130" t="s">
        <v>422</v>
      </c>
      <c r="AP194" s="174">
        <v>1</v>
      </c>
      <c r="AQ194" s="130" t="s">
        <v>422</v>
      </c>
      <c r="AR194" s="174">
        <v>1</v>
      </c>
      <c r="AS194" s="130" t="s">
        <v>422</v>
      </c>
      <c r="AT194" s="174">
        <v>1</v>
      </c>
      <c r="AU194" s="130" t="s">
        <v>4584</v>
      </c>
      <c r="AV194" s="130" t="s">
        <v>266</v>
      </c>
      <c r="AW194" s="104" t="s">
        <v>248</v>
      </c>
      <c r="AX194" s="130" t="s">
        <v>249</v>
      </c>
      <c r="AY194" s="130"/>
      <c r="AZ194" s="130"/>
      <c r="BA194" s="130"/>
      <c r="BB194" s="179"/>
      <c r="BC194" s="179"/>
      <c r="BD194" s="104"/>
      <c r="BE194" s="130"/>
      <c r="BF194" s="138">
        <v>14621</v>
      </c>
      <c r="BG194" s="130"/>
      <c r="BH194" s="185" t="s">
        <v>497</v>
      </c>
      <c r="BI194" s="130" t="s">
        <v>363</v>
      </c>
      <c r="BJ194" s="130" t="s">
        <v>252</v>
      </c>
      <c r="BK194" s="130" t="s">
        <v>253</v>
      </c>
      <c r="BL194" s="135"/>
      <c r="BM194" s="135"/>
      <c r="BN194" s="135"/>
      <c r="BO194" s="163">
        <v>100</v>
      </c>
      <c r="BP194" s="163">
        <v>200</v>
      </c>
      <c r="BQ194" s="130" t="s">
        <v>241</v>
      </c>
      <c r="BR194" s="135">
        <v>2</v>
      </c>
      <c r="BS194" s="135"/>
      <c r="BT194" s="163">
        <v>50</v>
      </c>
      <c r="BU194" s="163">
        <v>40</v>
      </c>
      <c r="BV194" s="130"/>
      <c r="BW194" s="104"/>
      <c r="BX194" s="135"/>
      <c r="BY194" s="135"/>
      <c r="BZ194" s="135">
        <v>1</v>
      </c>
      <c r="CA194" s="135">
        <v>1</v>
      </c>
      <c r="CB194" s="135">
        <v>1</v>
      </c>
      <c r="CC194" s="135">
        <v>1</v>
      </c>
      <c r="CD194" s="135">
        <v>1</v>
      </c>
      <c r="CE194" s="135">
        <v>1</v>
      </c>
      <c r="CF194" s="135">
        <v>1</v>
      </c>
      <c r="CG194" s="135">
        <v>1</v>
      </c>
      <c r="CH194" s="163">
        <v>32</v>
      </c>
      <c r="CI194" s="130" t="s">
        <v>4447</v>
      </c>
      <c r="CJ194" s="135"/>
      <c r="CK194" s="135"/>
      <c r="CL194" s="130"/>
      <c r="CM194" s="193">
        <v>114103</v>
      </c>
      <c r="CN194" s="193"/>
      <c r="CO194" s="193"/>
      <c r="CP194" s="193">
        <v>114103</v>
      </c>
      <c r="CQ194" s="193"/>
      <c r="CR194" s="193"/>
    </row>
    <row r="195" spans="1:96" ht="15.75" customHeight="1" x14ac:dyDescent="0.35">
      <c r="A195" s="288"/>
      <c r="B195" s="87" t="s">
        <v>538</v>
      </c>
      <c r="C195" s="92" t="s">
        <v>419</v>
      </c>
      <c r="D195" s="138">
        <v>14701</v>
      </c>
      <c r="E195" s="135">
        <v>70418</v>
      </c>
      <c r="F195" s="135"/>
      <c r="G195" s="139">
        <v>302</v>
      </c>
      <c r="H195" s="135"/>
      <c r="I195" s="135"/>
      <c r="J195" s="135"/>
      <c r="K195" s="135">
        <v>3</v>
      </c>
      <c r="L195" s="139"/>
      <c r="M195" s="138">
        <v>10827</v>
      </c>
      <c r="N195" s="139"/>
      <c r="O195" s="154">
        <v>5</v>
      </c>
      <c r="P195" s="135">
        <v>2</v>
      </c>
      <c r="Q195" s="135">
        <v>3</v>
      </c>
      <c r="R195" s="135"/>
      <c r="S195" s="163">
        <v>1</v>
      </c>
      <c r="T195" s="163">
        <v>1</v>
      </c>
      <c r="U195" s="163">
        <v>1</v>
      </c>
      <c r="V195" s="135"/>
      <c r="W195" s="135"/>
      <c r="X195" s="163"/>
      <c r="Y195" s="135">
        <v>16201</v>
      </c>
      <c r="Z195" s="154">
        <v>1000</v>
      </c>
      <c r="AA195" s="135">
        <v>500</v>
      </c>
      <c r="AB195" s="135"/>
      <c r="AC195" s="135">
        <v>1</v>
      </c>
      <c r="AD195" s="135"/>
      <c r="AE195" s="135">
        <v>4</v>
      </c>
      <c r="AF195" s="163">
        <v>1</v>
      </c>
      <c r="AG195" s="169">
        <v>100</v>
      </c>
      <c r="AH195" s="135"/>
      <c r="AI195" s="135"/>
      <c r="AJ195" s="135"/>
      <c r="AK195" s="135">
        <v>0</v>
      </c>
      <c r="AL195" s="135">
        <v>21009</v>
      </c>
      <c r="AM195" s="135">
        <v>1000</v>
      </c>
      <c r="AN195" s="135"/>
      <c r="AO195" s="130" t="s">
        <v>539</v>
      </c>
      <c r="AP195" s="130" t="s">
        <v>272</v>
      </c>
      <c r="AQ195" s="130" t="s">
        <v>539</v>
      </c>
      <c r="AR195" s="130" t="s">
        <v>272</v>
      </c>
      <c r="AS195" s="130" t="s">
        <v>470</v>
      </c>
      <c r="AT195" s="130" t="s">
        <v>272</v>
      </c>
      <c r="AU195" s="130" t="s">
        <v>4584</v>
      </c>
      <c r="AV195" s="130" t="s">
        <v>266</v>
      </c>
      <c r="AW195" s="104" t="s">
        <v>248</v>
      </c>
      <c r="AX195" s="130" t="s">
        <v>249</v>
      </c>
      <c r="AY195" s="130"/>
      <c r="AZ195" s="130"/>
      <c r="BA195" s="130"/>
      <c r="BB195" s="179"/>
      <c r="BC195" s="179"/>
      <c r="BD195" s="104"/>
      <c r="BE195" s="130" t="s">
        <v>335</v>
      </c>
      <c r="BF195" s="138">
        <v>14701</v>
      </c>
      <c r="BG195" s="130"/>
      <c r="BH195" s="185" t="s">
        <v>497</v>
      </c>
      <c r="BI195" s="130" t="s">
        <v>363</v>
      </c>
      <c r="BJ195" s="130" t="s">
        <v>252</v>
      </c>
      <c r="BK195" s="130" t="s">
        <v>253</v>
      </c>
      <c r="BL195" s="135"/>
      <c r="BM195" s="135"/>
      <c r="BN195" s="135"/>
      <c r="BO195" s="163">
        <v>100</v>
      </c>
      <c r="BP195" s="163">
        <v>200</v>
      </c>
      <c r="BQ195" s="130" t="s">
        <v>241</v>
      </c>
      <c r="BR195" s="135">
        <v>3</v>
      </c>
      <c r="BS195" s="135"/>
      <c r="BT195" s="163">
        <v>50</v>
      </c>
      <c r="BU195" s="163">
        <v>20</v>
      </c>
      <c r="BV195" s="130"/>
      <c r="BW195" s="104"/>
      <c r="BX195" s="135"/>
      <c r="BY195" s="135"/>
      <c r="BZ195" s="135">
        <v>1</v>
      </c>
      <c r="CA195" s="135">
        <v>2</v>
      </c>
      <c r="CB195" s="135">
        <v>1</v>
      </c>
      <c r="CC195" s="135">
        <v>2</v>
      </c>
      <c r="CD195" s="135">
        <v>1</v>
      </c>
      <c r="CE195" s="135">
        <v>2</v>
      </c>
      <c r="CF195" s="135">
        <v>1</v>
      </c>
      <c r="CG195" s="135">
        <v>2</v>
      </c>
      <c r="CH195" s="163"/>
      <c r="CI195" s="130"/>
      <c r="CJ195" s="135"/>
      <c r="CK195" s="135"/>
      <c r="CL195" s="130"/>
      <c r="CM195" s="193">
        <v>114201</v>
      </c>
      <c r="CN195" s="193"/>
      <c r="CO195" s="193"/>
      <c r="CP195" s="193">
        <v>114201</v>
      </c>
      <c r="CQ195" s="193"/>
      <c r="CR195" s="193"/>
    </row>
    <row r="196" spans="1:96" ht="15.75" customHeight="1" x14ac:dyDescent="0.35">
      <c r="A196" s="288"/>
      <c r="B196" s="87" t="s">
        <v>540</v>
      </c>
      <c r="C196" s="92" t="s">
        <v>419</v>
      </c>
      <c r="D196" s="138">
        <v>14711</v>
      </c>
      <c r="E196" s="135">
        <v>70419</v>
      </c>
      <c r="F196" s="135"/>
      <c r="G196" s="139">
        <v>302</v>
      </c>
      <c r="H196" s="135"/>
      <c r="I196" s="135"/>
      <c r="J196" s="135"/>
      <c r="K196" s="135">
        <v>3</v>
      </c>
      <c r="L196" s="139"/>
      <c r="M196" s="138">
        <v>10828</v>
      </c>
      <c r="N196" s="139"/>
      <c r="O196" s="154">
        <v>5</v>
      </c>
      <c r="P196" s="135">
        <v>2</v>
      </c>
      <c r="Q196" s="135">
        <v>3</v>
      </c>
      <c r="R196" s="135"/>
      <c r="S196" s="163">
        <v>1</v>
      </c>
      <c r="T196" s="163">
        <v>1</v>
      </c>
      <c r="U196" s="163">
        <v>1</v>
      </c>
      <c r="V196" s="135"/>
      <c r="W196" s="135"/>
      <c r="X196" s="163"/>
      <c r="Y196" s="135">
        <v>16171</v>
      </c>
      <c r="Z196" s="154">
        <v>1000</v>
      </c>
      <c r="AA196" s="135">
        <v>500</v>
      </c>
      <c r="AB196" s="135"/>
      <c r="AC196" s="135">
        <v>1</v>
      </c>
      <c r="AD196" s="135"/>
      <c r="AE196" s="135">
        <v>4</v>
      </c>
      <c r="AF196" s="163">
        <v>1</v>
      </c>
      <c r="AG196" s="169">
        <v>100</v>
      </c>
      <c r="AH196" s="135"/>
      <c r="AI196" s="135"/>
      <c r="AJ196" s="135"/>
      <c r="AK196" s="135">
        <v>0</v>
      </c>
      <c r="AL196" s="135">
        <v>24020</v>
      </c>
      <c r="AM196" s="135">
        <v>1000</v>
      </c>
      <c r="AN196" s="135"/>
      <c r="AO196" s="130" t="s">
        <v>541</v>
      </c>
      <c r="AP196" s="174" t="s">
        <v>329</v>
      </c>
      <c r="AQ196" s="130" t="s">
        <v>541</v>
      </c>
      <c r="AR196" s="174" t="s">
        <v>329</v>
      </c>
      <c r="AS196" s="130" t="s">
        <v>541</v>
      </c>
      <c r="AT196" s="174" t="s">
        <v>329</v>
      </c>
      <c r="AU196" s="130" t="s">
        <v>4586</v>
      </c>
      <c r="AV196" s="130" t="s">
        <v>266</v>
      </c>
      <c r="AW196" s="104" t="s">
        <v>248</v>
      </c>
      <c r="AX196" s="130" t="s">
        <v>249</v>
      </c>
      <c r="AY196" s="130"/>
      <c r="AZ196" s="130"/>
      <c r="BA196" s="130"/>
      <c r="BB196" s="179"/>
      <c r="BC196" s="179"/>
      <c r="BD196" s="104"/>
      <c r="BE196" s="130" t="s">
        <v>335</v>
      </c>
      <c r="BF196" s="138">
        <v>14711</v>
      </c>
      <c r="BG196" s="130"/>
      <c r="BH196" s="185" t="s">
        <v>497</v>
      </c>
      <c r="BI196" s="130" t="s">
        <v>268</v>
      </c>
      <c r="BJ196" s="130" t="s">
        <v>252</v>
      </c>
      <c r="BK196" s="130" t="s">
        <v>253</v>
      </c>
      <c r="BL196" s="135"/>
      <c r="BM196" s="135"/>
      <c r="BN196" s="135"/>
      <c r="BO196" s="163">
        <v>100</v>
      </c>
      <c r="BP196" s="163">
        <v>200</v>
      </c>
      <c r="BQ196" s="130" t="s">
        <v>241</v>
      </c>
      <c r="BR196" s="135">
        <v>3</v>
      </c>
      <c r="BS196" s="135"/>
      <c r="BT196" s="163">
        <v>50</v>
      </c>
      <c r="BU196" s="163">
        <v>40</v>
      </c>
      <c r="BV196" s="130"/>
      <c r="BW196" s="104"/>
      <c r="BX196" s="135"/>
      <c r="BY196" s="135"/>
      <c r="BZ196" s="135">
        <v>1</v>
      </c>
      <c r="CA196" s="135">
        <v>2</v>
      </c>
      <c r="CB196" s="135">
        <v>1</v>
      </c>
      <c r="CC196" s="135">
        <v>2</v>
      </c>
      <c r="CD196" s="135">
        <v>1</v>
      </c>
      <c r="CE196" s="135">
        <v>1</v>
      </c>
      <c r="CF196" s="135">
        <v>1</v>
      </c>
      <c r="CG196" s="135">
        <v>1</v>
      </c>
      <c r="CH196" s="163"/>
      <c r="CI196" s="130"/>
      <c r="CJ196" s="135"/>
      <c r="CK196" s="135"/>
      <c r="CL196" s="130"/>
      <c r="CM196" s="193">
        <v>114202</v>
      </c>
      <c r="CN196" s="193"/>
      <c r="CO196" s="193"/>
      <c r="CP196" s="193">
        <v>114202</v>
      </c>
      <c r="CQ196" s="193"/>
      <c r="CR196" s="193"/>
    </row>
    <row r="197" spans="1:96" ht="15.75" customHeight="1" x14ac:dyDescent="0.35">
      <c r="A197" s="288"/>
      <c r="B197" s="87" t="s">
        <v>542</v>
      </c>
      <c r="C197" s="92" t="s">
        <v>419</v>
      </c>
      <c r="D197" s="138">
        <v>14721</v>
      </c>
      <c r="E197" s="135">
        <v>70420</v>
      </c>
      <c r="F197" s="135"/>
      <c r="G197" s="139">
        <v>302</v>
      </c>
      <c r="H197" s="135"/>
      <c r="I197" s="135"/>
      <c r="J197" s="135"/>
      <c r="K197" s="135">
        <v>3</v>
      </c>
      <c r="L197" s="139"/>
      <c r="M197" s="138">
        <v>10829</v>
      </c>
      <c r="N197" s="139"/>
      <c r="O197" s="154">
        <v>5</v>
      </c>
      <c r="P197" s="135">
        <v>2</v>
      </c>
      <c r="Q197" s="135">
        <v>3</v>
      </c>
      <c r="R197" s="135"/>
      <c r="S197" s="163">
        <v>1</v>
      </c>
      <c r="T197" s="163">
        <v>1</v>
      </c>
      <c r="U197" s="163">
        <v>1</v>
      </c>
      <c r="V197" s="135"/>
      <c r="W197" s="135"/>
      <c r="X197" s="163"/>
      <c r="Y197" s="135">
        <v>12201</v>
      </c>
      <c r="Z197" s="154">
        <v>1000</v>
      </c>
      <c r="AA197" s="135">
        <v>500</v>
      </c>
      <c r="AB197" s="135"/>
      <c r="AC197" s="135">
        <v>1</v>
      </c>
      <c r="AD197" s="135"/>
      <c r="AE197" s="135">
        <v>4</v>
      </c>
      <c r="AF197" s="163">
        <v>1</v>
      </c>
      <c r="AG197" s="169">
        <v>100</v>
      </c>
      <c r="AH197" s="135"/>
      <c r="AI197" s="135"/>
      <c r="AJ197" s="135"/>
      <c r="AK197" s="135">
        <v>0</v>
      </c>
      <c r="AL197" s="135">
        <v>21039</v>
      </c>
      <c r="AM197" s="135">
        <v>1000</v>
      </c>
      <c r="AN197" s="135"/>
      <c r="AO197" s="130" t="s">
        <v>543</v>
      </c>
      <c r="AP197" s="174" t="s">
        <v>340</v>
      </c>
      <c r="AQ197" s="130" t="s">
        <v>543</v>
      </c>
      <c r="AR197" s="174" t="s">
        <v>340</v>
      </c>
      <c r="AS197" s="130" t="s">
        <v>543</v>
      </c>
      <c r="AT197" s="174" t="s">
        <v>340</v>
      </c>
      <c r="AU197" s="130" t="s">
        <v>4584</v>
      </c>
      <c r="AV197" s="130" t="s">
        <v>266</v>
      </c>
      <c r="AW197" s="104" t="s">
        <v>248</v>
      </c>
      <c r="AX197" s="130" t="s">
        <v>249</v>
      </c>
      <c r="AY197" s="130"/>
      <c r="AZ197" s="130"/>
      <c r="BA197" s="130"/>
      <c r="BB197" s="179"/>
      <c r="BC197" s="179"/>
      <c r="BD197" s="104"/>
      <c r="BE197" s="130" t="s">
        <v>335</v>
      </c>
      <c r="BF197" s="138">
        <v>14721</v>
      </c>
      <c r="BG197" s="130"/>
      <c r="BH197" s="185" t="s">
        <v>497</v>
      </c>
      <c r="BI197" s="130" t="s">
        <v>251</v>
      </c>
      <c r="BJ197" s="130" t="s">
        <v>252</v>
      </c>
      <c r="BK197" s="130" t="s">
        <v>253</v>
      </c>
      <c r="BL197" s="135"/>
      <c r="BM197" s="135"/>
      <c r="BN197" s="135"/>
      <c r="BO197" s="163">
        <v>100</v>
      </c>
      <c r="BP197" s="163">
        <v>200</v>
      </c>
      <c r="BQ197" s="130" t="s">
        <v>241</v>
      </c>
      <c r="BR197" s="135">
        <v>3</v>
      </c>
      <c r="BS197" s="135"/>
      <c r="BT197" s="163">
        <v>50</v>
      </c>
      <c r="BU197" s="163">
        <v>40</v>
      </c>
      <c r="BV197" s="130"/>
      <c r="BW197" s="104"/>
      <c r="BX197" s="135"/>
      <c r="BY197" s="135"/>
      <c r="BZ197" s="135">
        <v>1</v>
      </c>
      <c r="CA197" s="135">
        <v>2</v>
      </c>
      <c r="CB197" s="135">
        <v>1</v>
      </c>
      <c r="CC197" s="135">
        <v>2</v>
      </c>
      <c r="CD197" s="135">
        <v>1</v>
      </c>
      <c r="CE197" s="135">
        <v>1</v>
      </c>
      <c r="CF197" s="135">
        <v>1</v>
      </c>
      <c r="CG197" s="135">
        <v>1</v>
      </c>
      <c r="CH197" s="163"/>
      <c r="CI197" s="130"/>
      <c r="CJ197" s="135"/>
      <c r="CK197" s="135"/>
      <c r="CL197" s="130"/>
      <c r="CM197" s="193">
        <v>114203</v>
      </c>
      <c r="CN197" s="193"/>
      <c r="CO197" s="193"/>
      <c r="CP197" s="193">
        <v>114203</v>
      </c>
      <c r="CQ197" s="193"/>
      <c r="CR197" s="193"/>
    </row>
    <row r="198" spans="1:96" ht="15.75" customHeight="1" x14ac:dyDescent="0.35">
      <c r="A198" s="288"/>
      <c r="B198" s="87" t="s">
        <v>544</v>
      </c>
      <c r="C198" s="92" t="s">
        <v>419</v>
      </c>
      <c r="D198" s="138">
        <v>14722</v>
      </c>
      <c r="E198" s="135">
        <v>70420</v>
      </c>
      <c r="F198" s="135"/>
      <c r="G198" s="139">
        <v>302</v>
      </c>
      <c r="H198" s="135"/>
      <c r="I198" s="135"/>
      <c r="J198" s="135"/>
      <c r="K198" s="135">
        <v>3</v>
      </c>
      <c r="L198" s="139"/>
      <c r="M198" s="138">
        <v>10829</v>
      </c>
      <c r="N198" s="139"/>
      <c r="O198" s="154">
        <v>5</v>
      </c>
      <c r="P198" s="135">
        <v>2</v>
      </c>
      <c r="Q198" s="135">
        <v>3</v>
      </c>
      <c r="R198" s="135"/>
      <c r="S198" s="163">
        <v>1</v>
      </c>
      <c r="T198" s="163">
        <v>1</v>
      </c>
      <c r="U198" s="163">
        <v>1</v>
      </c>
      <c r="V198" s="135"/>
      <c r="W198" s="135"/>
      <c r="X198" s="163"/>
      <c r="Y198" s="135">
        <v>12201</v>
      </c>
      <c r="Z198" s="154">
        <v>1000</v>
      </c>
      <c r="AA198" s="135">
        <v>500</v>
      </c>
      <c r="AB198" s="135"/>
      <c r="AC198" s="135">
        <v>1</v>
      </c>
      <c r="AD198" s="135"/>
      <c r="AE198" s="135">
        <v>4</v>
      </c>
      <c r="AF198" s="163">
        <v>1</v>
      </c>
      <c r="AG198" s="169">
        <v>100</v>
      </c>
      <c r="AH198" s="135"/>
      <c r="AI198" s="135"/>
      <c r="AJ198" s="135"/>
      <c r="AK198" s="135">
        <v>0</v>
      </c>
      <c r="AL198" s="135">
        <v>8002</v>
      </c>
      <c r="AM198" s="135">
        <v>1000</v>
      </c>
      <c r="AN198" s="135"/>
      <c r="AO198" s="130" t="s">
        <v>545</v>
      </c>
      <c r="AP198" s="174">
        <v>1</v>
      </c>
      <c r="AQ198" s="130" t="s">
        <v>543</v>
      </c>
      <c r="AR198" s="174" t="s">
        <v>340</v>
      </c>
      <c r="AS198" s="130" t="s">
        <v>543</v>
      </c>
      <c r="AT198" s="174" t="s">
        <v>340</v>
      </c>
      <c r="AU198" s="130" t="s">
        <v>4584</v>
      </c>
      <c r="AV198" s="130" t="s">
        <v>266</v>
      </c>
      <c r="AW198" s="104" t="s">
        <v>248</v>
      </c>
      <c r="AX198" s="130" t="s">
        <v>249</v>
      </c>
      <c r="AY198" s="130"/>
      <c r="AZ198" s="130"/>
      <c r="BA198" s="130"/>
      <c r="BB198" s="179"/>
      <c r="BC198" s="179"/>
      <c r="BD198" s="104"/>
      <c r="BE198" s="130" t="s">
        <v>335</v>
      </c>
      <c r="BF198" s="138">
        <v>14721</v>
      </c>
      <c r="BG198" s="130"/>
      <c r="BH198" s="185" t="s">
        <v>497</v>
      </c>
      <c r="BI198" s="130" t="s">
        <v>251</v>
      </c>
      <c r="BJ198" s="130" t="s">
        <v>252</v>
      </c>
      <c r="BK198" s="130" t="s">
        <v>253</v>
      </c>
      <c r="BL198" s="135"/>
      <c r="BM198" s="135"/>
      <c r="BN198" s="135"/>
      <c r="BO198" s="163">
        <v>100</v>
      </c>
      <c r="BP198" s="163">
        <v>200</v>
      </c>
      <c r="BQ198" s="130" t="s">
        <v>241</v>
      </c>
      <c r="BR198" s="135">
        <v>3</v>
      </c>
      <c r="BS198" s="135"/>
      <c r="BT198" s="163">
        <v>50</v>
      </c>
      <c r="BU198" s="163">
        <v>40</v>
      </c>
      <c r="BV198" s="130"/>
      <c r="BW198" s="104"/>
      <c r="BX198" s="135"/>
      <c r="BY198" s="135"/>
      <c r="BZ198" s="135">
        <v>1</v>
      </c>
      <c r="CA198" s="135">
        <v>2</v>
      </c>
      <c r="CB198" s="135">
        <v>1</v>
      </c>
      <c r="CC198" s="135">
        <v>2</v>
      </c>
      <c r="CD198" s="135">
        <v>1</v>
      </c>
      <c r="CE198" s="135">
        <v>1</v>
      </c>
      <c r="CF198" s="135">
        <v>1</v>
      </c>
      <c r="CG198" s="135">
        <v>1</v>
      </c>
      <c r="CH198" s="163"/>
      <c r="CI198" s="130"/>
      <c r="CJ198" s="135"/>
      <c r="CK198" s="135"/>
      <c r="CL198" s="130"/>
      <c r="CM198" s="193">
        <v>114203</v>
      </c>
      <c r="CN198" s="193"/>
      <c r="CO198" s="193"/>
      <c r="CP198" s="193">
        <v>114203</v>
      </c>
      <c r="CQ198" s="193"/>
      <c r="CR198" s="193"/>
    </row>
    <row r="199" spans="1:96" ht="15.75" customHeight="1" x14ac:dyDescent="0.35">
      <c r="A199" s="288"/>
      <c r="B199" s="87" t="s">
        <v>546</v>
      </c>
      <c r="C199" s="92" t="s">
        <v>419</v>
      </c>
      <c r="D199" s="138">
        <v>14731</v>
      </c>
      <c r="E199" s="135">
        <v>70421</v>
      </c>
      <c r="F199" s="135"/>
      <c r="G199" s="139">
        <v>302</v>
      </c>
      <c r="H199" s="135"/>
      <c r="I199" s="135"/>
      <c r="J199" s="135"/>
      <c r="K199" s="135">
        <v>3</v>
      </c>
      <c r="L199" s="139">
        <v>1</v>
      </c>
      <c r="M199" s="138">
        <v>10830</v>
      </c>
      <c r="N199" s="139"/>
      <c r="O199" s="154">
        <v>5</v>
      </c>
      <c r="P199" s="135">
        <v>2</v>
      </c>
      <c r="Q199" s="135">
        <v>3</v>
      </c>
      <c r="R199" s="135"/>
      <c r="S199" s="163">
        <v>1</v>
      </c>
      <c r="T199" s="163">
        <v>1</v>
      </c>
      <c r="U199" s="163">
        <v>1</v>
      </c>
      <c r="V199" s="135"/>
      <c r="W199" s="135"/>
      <c r="X199" s="163"/>
      <c r="Y199" s="135">
        <v>16391</v>
      </c>
      <c r="Z199" s="154">
        <v>1000</v>
      </c>
      <c r="AA199" s="135">
        <v>500</v>
      </c>
      <c r="AB199" s="135">
        <v>3</v>
      </c>
      <c r="AC199" s="135">
        <v>1</v>
      </c>
      <c r="AD199" s="135"/>
      <c r="AE199" s="135">
        <v>4</v>
      </c>
      <c r="AF199" s="163">
        <v>1</v>
      </c>
      <c r="AG199" s="169">
        <v>100</v>
      </c>
      <c r="AH199" s="135"/>
      <c r="AI199" s="135"/>
      <c r="AJ199" s="135"/>
      <c r="AK199" s="135">
        <v>0</v>
      </c>
      <c r="AL199" s="135">
        <v>21039</v>
      </c>
      <c r="AM199" s="135">
        <v>1000</v>
      </c>
      <c r="AN199" s="135"/>
      <c r="AO199" s="130" t="s">
        <v>547</v>
      </c>
      <c r="AP199" s="174" t="s">
        <v>340</v>
      </c>
      <c r="AQ199" s="130" t="s">
        <v>547</v>
      </c>
      <c r="AR199" s="174" t="s">
        <v>340</v>
      </c>
      <c r="AS199" s="130" t="s">
        <v>547</v>
      </c>
      <c r="AT199" s="174" t="s">
        <v>340</v>
      </c>
      <c r="AU199" s="130" t="s">
        <v>4584</v>
      </c>
      <c r="AV199" s="130" t="s">
        <v>266</v>
      </c>
      <c r="AW199" s="104" t="s">
        <v>425</v>
      </c>
      <c r="AX199" s="130" t="s">
        <v>249</v>
      </c>
      <c r="AY199" s="130"/>
      <c r="AZ199" s="130"/>
      <c r="BA199" s="130"/>
      <c r="BB199" s="179"/>
      <c r="BC199" s="179"/>
      <c r="BD199" s="104"/>
      <c r="BE199" s="130" t="s">
        <v>335</v>
      </c>
      <c r="BF199" s="138">
        <v>14731</v>
      </c>
      <c r="BG199" s="130"/>
      <c r="BH199" s="185" t="s">
        <v>497</v>
      </c>
      <c r="BI199" s="130" t="s">
        <v>293</v>
      </c>
      <c r="BJ199" s="130" t="s">
        <v>252</v>
      </c>
      <c r="BK199" s="130" t="s">
        <v>253</v>
      </c>
      <c r="BL199" s="135"/>
      <c r="BM199" s="135"/>
      <c r="BN199" s="135"/>
      <c r="BO199" s="163">
        <v>100</v>
      </c>
      <c r="BP199" s="163">
        <v>200</v>
      </c>
      <c r="BQ199" s="130" t="s">
        <v>241</v>
      </c>
      <c r="BR199" s="135">
        <v>3</v>
      </c>
      <c r="BS199" s="135"/>
      <c r="BT199" s="163">
        <v>50</v>
      </c>
      <c r="BU199" s="163">
        <v>50</v>
      </c>
      <c r="BV199" s="130"/>
      <c r="BW199" s="104"/>
      <c r="BX199" s="135"/>
      <c r="BY199" s="135"/>
      <c r="BZ199" s="135">
        <v>1</v>
      </c>
      <c r="CA199" s="135">
        <v>1</v>
      </c>
      <c r="CB199" s="135">
        <v>1</v>
      </c>
      <c r="CC199" s="135">
        <v>1</v>
      </c>
      <c r="CD199" s="135">
        <v>1</v>
      </c>
      <c r="CE199" s="135">
        <v>1</v>
      </c>
      <c r="CF199" s="135">
        <v>1</v>
      </c>
      <c r="CG199" s="135">
        <v>1</v>
      </c>
      <c r="CH199" s="163"/>
      <c r="CI199" s="130"/>
      <c r="CJ199" s="135"/>
      <c r="CK199" s="135"/>
      <c r="CL199" s="130"/>
      <c r="CM199" s="193">
        <v>114204</v>
      </c>
      <c r="CN199" s="193"/>
      <c r="CO199" s="193"/>
      <c r="CP199" s="193">
        <v>114204</v>
      </c>
      <c r="CQ199" s="193"/>
      <c r="CR199" s="193"/>
    </row>
    <row r="200" spans="1:96" ht="15.75" customHeight="1" x14ac:dyDescent="0.35">
      <c r="A200" s="288"/>
      <c r="B200" s="90" t="s">
        <v>538</v>
      </c>
      <c r="C200" s="75" t="s">
        <v>4583</v>
      </c>
      <c r="D200" s="138">
        <v>14791</v>
      </c>
      <c r="E200" s="135">
        <v>70418</v>
      </c>
      <c r="F200" s="135"/>
      <c r="G200" s="139">
        <v>302</v>
      </c>
      <c r="H200" s="135"/>
      <c r="I200" s="135"/>
      <c r="J200" s="135"/>
      <c r="K200" s="135">
        <v>3</v>
      </c>
      <c r="L200" s="139"/>
      <c r="M200" s="138">
        <v>10827</v>
      </c>
      <c r="N200" s="139"/>
      <c r="O200" s="154">
        <v>5</v>
      </c>
      <c r="P200" s="135">
        <v>2</v>
      </c>
      <c r="Q200" s="135">
        <v>3</v>
      </c>
      <c r="R200" s="135"/>
      <c r="S200" s="163">
        <v>1</v>
      </c>
      <c r="T200" s="163">
        <v>1</v>
      </c>
      <c r="U200" s="163">
        <v>1</v>
      </c>
      <c r="V200" s="135"/>
      <c r="W200" s="135"/>
      <c r="X200" s="163"/>
      <c r="Y200" s="135">
        <v>16201</v>
      </c>
      <c r="Z200" s="154">
        <v>1000</v>
      </c>
      <c r="AA200" s="135">
        <v>500</v>
      </c>
      <c r="AB200" s="135"/>
      <c r="AC200" s="135">
        <v>1</v>
      </c>
      <c r="AD200" s="135"/>
      <c r="AE200" s="135">
        <v>4</v>
      </c>
      <c r="AF200" s="163">
        <v>1</v>
      </c>
      <c r="AG200" s="169">
        <v>100</v>
      </c>
      <c r="AH200" s="135"/>
      <c r="AI200" s="135"/>
      <c r="AJ200" s="135"/>
      <c r="AK200" s="135">
        <v>0</v>
      </c>
      <c r="AL200" s="135">
        <v>21009</v>
      </c>
      <c r="AM200" s="135">
        <v>1000</v>
      </c>
      <c r="AN200" s="135"/>
      <c r="AO200" s="130" t="s">
        <v>539</v>
      </c>
      <c r="AP200" s="130" t="s">
        <v>272</v>
      </c>
      <c r="AQ200" s="130" t="s">
        <v>539</v>
      </c>
      <c r="AR200" s="130" t="s">
        <v>272</v>
      </c>
      <c r="AS200" s="130" t="s">
        <v>470</v>
      </c>
      <c r="AT200" s="130" t="s">
        <v>272</v>
      </c>
      <c r="AU200" s="130" t="s">
        <v>4584</v>
      </c>
      <c r="AV200" s="130" t="s">
        <v>266</v>
      </c>
      <c r="AW200" s="104" t="s">
        <v>248</v>
      </c>
      <c r="AX200" s="130" t="s">
        <v>249</v>
      </c>
      <c r="AY200" s="130"/>
      <c r="AZ200" s="130"/>
      <c r="BA200" s="130"/>
      <c r="BB200" s="179"/>
      <c r="BC200" s="179"/>
      <c r="BD200" s="104"/>
      <c r="BE200" s="130" t="s">
        <v>335</v>
      </c>
      <c r="BF200" s="138">
        <v>14701</v>
      </c>
      <c r="BG200" s="130"/>
      <c r="BH200" s="185" t="s">
        <v>497</v>
      </c>
      <c r="BI200" s="130" t="s">
        <v>363</v>
      </c>
      <c r="BJ200" s="130" t="s">
        <v>252</v>
      </c>
      <c r="BK200" s="130" t="s">
        <v>253</v>
      </c>
      <c r="BL200" s="135"/>
      <c r="BM200" s="135"/>
      <c r="BN200" s="135"/>
      <c r="BO200" s="163">
        <v>100</v>
      </c>
      <c r="BP200" s="163">
        <v>200</v>
      </c>
      <c r="BQ200" s="130" t="s">
        <v>241</v>
      </c>
      <c r="BR200" s="135">
        <v>3</v>
      </c>
      <c r="BS200" s="135"/>
      <c r="BT200" s="163">
        <v>50</v>
      </c>
      <c r="BU200" s="163">
        <v>20</v>
      </c>
      <c r="BV200" s="130"/>
      <c r="BW200" s="104"/>
      <c r="BX200" s="135"/>
      <c r="BY200" s="135"/>
      <c r="BZ200" s="135">
        <v>1</v>
      </c>
      <c r="CA200" s="135">
        <v>2</v>
      </c>
      <c r="CB200" s="135">
        <v>1</v>
      </c>
      <c r="CC200" s="135">
        <v>2</v>
      </c>
      <c r="CD200" s="135">
        <v>1</v>
      </c>
      <c r="CE200" s="135">
        <v>2</v>
      </c>
      <c r="CF200" s="135">
        <v>1</v>
      </c>
      <c r="CG200" s="135">
        <v>2</v>
      </c>
      <c r="CH200" s="163"/>
      <c r="CI200" s="130"/>
      <c r="CJ200" s="135"/>
      <c r="CK200" s="135"/>
      <c r="CL200" s="130"/>
      <c r="CM200" s="193">
        <v>1200016</v>
      </c>
      <c r="CN200" s="193"/>
      <c r="CO200" s="193"/>
      <c r="CP200" s="193">
        <v>1200016</v>
      </c>
      <c r="CQ200" s="193"/>
      <c r="CR200" s="193"/>
    </row>
    <row r="201" spans="1:96" ht="15.75" customHeight="1" x14ac:dyDescent="0.35">
      <c r="A201" s="288"/>
      <c r="B201" s="90" t="s">
        <v>540</v>
      </c>
      <c r="C201" s="75" t="s">
        <v>4583</v>
      </c>
      <c r="D201" s="138">
        <v>14792</v>
      </c>
      <c r="E201" s="135">
        <v>70419</v>
      </c>
      <c r="F201" s="135"/>
      <c r="G201" s="139">
        <v>302</v>
      </c>
      <c r="H201" s="135"/>
      <c r="I201" s="135"/>
      <c r="J201" s="135"/>
      <c r="K201" s="135">
        <v>3</v>
      </c>
      <c r="L201" s="139"/>
      <c r="M201" s="138">
        <v>10828</v>
      </c>
      <c r="N201" s="139"/>
      <c r="O201" s="154">
        <v>5</v>
      </c>
      <c r="P201" s="135">
        <v>2</v>
      </c>
      <c r="Q201" s="135">
        <v>3</v>
      </c>
      <c r="R201" s="135"/>
      <c r="S201" s="163">
        <v>1</v>
      </c>
      <c r="T201" s="163">
        <v>1</v>
      </c>
      <c r="U201" s="163">
        <v>1</v>
      </c>
      <c r="V201" s="135"/>
      <c r="W201" s="135"/>
      <c r="X201" s="163"/>
      <c r="Y201" s="135">
        <v>16171</v>
      </c>
      <c r="Z201" s="154">
        <v>1000</v>
      </c>
      <c r="AA201" s="135">
        <v>500</v>
      </c>
      <c r="AB201" s="135"/>
      <c r="AC201" s="135">
        <v>1</v>
      </c>
      <c r="AD201" s="135"/>
      <c r="AE201" s="135">
        <v>4</v>
      </c>
      <c r="AF201" s="163">
        <v>1</v>
      </c>
      <c r="AG201" s="169">
        <v>100</v>
      </c>
      <c r="AH201" s="135"/>
      <c r="AI201" s="135"/>
      <c r="AJ201" s="135"/>
      <c r="AK201" s="135">
        <v>0</v>
      </c>
      <c r="AL201" s="135">
        <v>24020</v>
      </c>
      <c r="AM201" s="135">
        <v>1000</v>
      </c>
      <c r="AN201" s="135"/>
      <c r="AO201" s="130" t="s">
        <v>541</v>
      </c>
      <c r="AP201" s="174" t="s">
        <v>329</v>
      </c>
      <c r="AQ201" s="130" t="s">
        <v>541</v>
      </c>
      <c r="AR201" s="174" t="s">
        <v>329</v>
      </c>
      <c r="AS201" s="130" t="s">
        <v>541</v>
      </c>
      <c r="AT201" s="174" t="s">
        <v>329</v>
      </c>
      <c r="AU201" s="130" t="s">
        <v>4586</v>
      </c>
      <c r="AV201" s="130" t="s">
        <v>266</v>
      </c>
      <c r="AW201" s="104" t="s">
        <v>248</v>
      </c>
      <c r="AX201" s="130" t="s">
        <v>249</v>
      </c>
      <c r="AY201" s="130"/>
      <c r="AZ201" s="130"/>
      <c r="BA201" s="130"/>
      <c r="BB201" s="179"/>
      <c r="BC201" s="179"/>
      <c r="BD201" s="104"/>
      <c r="BE201" s="130" t="s">
        <v>335</v>
      </c>
      <c r="BF201" s="138">
        <v>14711</v>
      </c>
      <c r="BG201" s="130"/>
      <c r="BH201" s="185" t="s">
        <v>497</v>
      </c>
      <c r="BI201" s="130" t="s">
        <v>268</v>
      </c>
      <c r="BJ201" s="130" t="s">
        <v>252</v>
      </c>
      <c r="BK201" s="130" t="s">
        <v>253</v>
      </c>
      <c r="BL201" s="135"/>
      <c r="BM201" s="135"/>
      <c r="BN201" s="135"/>
      <c r="BO201" s="163">
        <v>100</v>
      </c>
      <c r="BP201" s="163">
        <v>200</v>
      </c>
      <c r="BQ201" s="130" t="s">
        <v>241</v>
      </c>
      <c r="BR201" s="135">
        <v>3</v>
      </c>
      <c r="BS201" s="135"/>
      <c r="BT201" s="163">
        <v>50</v>
      </c>
      <c r="BU201" s="163">
        <v>40</v>
      </c>
      <c r="BV201" s="130"/>
      <c r="BW201" s="104"/>
      <c r="BX201" s="135"/>
      <c r="BY201" s="135"/>
      <c r="BZ201" s="135">
        <v>1</v>
      </c>
      <c r="CA201" s="135">
        <v>2</v>
      </c>
      <c r="CB201" s="135">
        <v>1</v>
      </c>
      <c r="CC201" s="135">
        <v>2</v>
      </c>
      <c r="CD201" s="135">
        <v>1</v>
      </c>
      <c r="CE201" s="135">
        <v>1</v>
      </c>
      <c r="CF201" s="135">
        <v>1</v>
      </c>
      <c r="CG201" s="135">
        <v>1</v>
      </c>
      <c r="CH201" s="163"/>
      <c r="CI201" s="130"/>
      <c r="CJ201" s="135"/>
      <c r="CK201" s="135"/>
      <c r="CL201" s="130"/>
      <c r="CM201" s="193">
        <v>1200017</v>
      </c>
      <c r="CN201" s="193"/>
      <c r="CO201" s="193"/>
      <c r="CP201" s="193">
        <v>1200017</v>
      </c>
      <c r="CQ201" s="193"/>
      <c r="CR201" s="193"/>
    </row>
    <row r="202" spans="1:96" ht="15.75" customHeight="1" x14ac:dyDescent="0.35">
      <c r="A202" s="288"/>
      <c r="B202" s="90" t="s">
        <v>542</v>
      </c>
      <c r="C202" s="75" t="s">
        <v>4583</v>
      </c>
      <c r="D202" s="138">
        <v>14793</v>
      </c>
      <c r="E202" s="135">
        <v>70420</v>
      </c>
      <c r="F202" s="135"/>
      <c r="G202" s="139">
        <v>302</v>
      </c>
      <c r="H202" s="135"/>
      <c r="I202" s="135"/>
      <c r="J202" s="135"/>
      <c r="K202" s="135">
        <v>3</v>
      </c>
      <c r="L202" s="139"/>
      <c r="M202" s="138">
        <v>10829</v>
      </c>
      <c r="N202" s="139"/>
      <c r="O202" s="154">
        <v>5</v>
      </c>
      <c r="P202" s="135">
        <v>2</v>
      </c>
      <c r="Q202" s="135">
        <v>3</v>
      </c>
      <c r="R202" s="135"/>
      <c r="S202" s="163">
        <v>1</v>
      </c>
      <c r="T202" s="163">
        <v>1</v>
      </c>
      <c r="U202" s="163">
        <v>1</v>
      </c>
      <c r="V202" s="135"/>
      <c r="W202" s="135"/>
      <c r="X202" s="163"/>
      <c r="Y202" s="135">
        <v>12201</v>
      </c>
      <c r="Z202" s="154">
        <v>1000</v>
      </c>
      <c r="AA202" s="135">
        <v>500</v>
      </c>
      <c r="AB202" s="135"/>
      <c r="AC202" s="135">
        <v>1</v>
      </c>
      <c r="AD202" s="135"/>
      <c r="AE202" s="135">
        <v>4</v>
      </c>
      <c r="AF202" s="163">
        <v>1</v>
      </c>
      <c r="AG202" s="169">
        <v>100</v>
      </c>
      <c r="AH202" s="135"/>
      <c r="AI202" s="135"/>
      <c r="AJ202" s="135"/>
      <c r="AK202" s="135">
        <v>0</v>
      </c>
      <c r="AL202" s="135">
        <v>21039</v>
      </c>
      <c r="AM202" s="135">
        <v>1000</v>
      </c>
      <c r="AN202" s="135"/>
      <c r="AO202" s="130" t="s">
        <v>543</v>
      </c>
      <c r="AP202" s="174" t="s">
        <v>340</v>
      </c>
      <c r="AQ202" s="130" t="s">
        <v>543</v>
      </c>
      <c r="AR202" s="174" t="s">
        <v>340</v>
      </c>
      <c r="AS202" s="130" t="s">
        <v>543</v>
      </c>
      <c r="AT202" s="174" t="s">
        <v>340</v>
      </c>
      <c r="AU202" s="130" t="s">
        <v>4584</v>
      </c>
      <c r="AV202" s="130" t="s">
        <v>266</v>
      </c>
      <c r="AW202" s="104" t="s">
        <v>248</v>
      </c>
      <c r="AX202" s="130" t="s">
        <v>249</v>
      </c>
      <c r="AY202" s="130"/>
      <c r="AZ202" s="130"/>
      <c r="BA202" s="130"/>
      <c r="BB202" s="179"/>
      <c r="BC202" s="179"/>
      <c r="BD202" s="104"/>
      <c r="BE202" s="130" t="s">
        <v>335</v>
      </c>
      <c r="BF202" s="138">
        <v>14721</v>
      </c>
      <c r="BG202" s="130"/>
      <c r="BH202" s="185" t="s">
        <v>497</v>
      </c>
      <c r="BI202" s="130" t="s">
        <v>251</v>
      </c>
      <c r="BJ202" s="130" t="s">
        <v>252</v>
      </c>
      <c r="BK202" s="130" t="s">
        <v>253</v>
      </c>
      <c r="BL202" s="135"/>
      <c r="BM202" s="135"/>
      <c r="BN202" s="135"/>
      <c r="BO202" s="163">
        <v>100</v>
      </c>
      <c r="BP202" s="163">
        <v>200</v>
      </c>
      <c r="BQ202" s="130" t="s">
        <v>241</v>
      </c>
      <c r="BR202" s="135">
        <v>3</v>
      </c>
      <c r="BS202" s="135"/>
      <c r="BT202" s="163">
        <v>50</v>
      </c>
      <c r="BU202" s="163">
        <v>40</v>
      </c>
      <c r="BV202" s="130"/>
      <c r="BW202" s="104"/>
      <c r="BX202" s="135"/>
      <c r="BY202" s="135"/>
      <c r="BZ202" s="135">
        <v>1</v>
      </c>
      <c r="CA202" s="135">
        <v>2</v>
      </c>
      <c r="CB202" s="135">
        <v>1</v>
      </c>
      <c r="CC202" s="135">
        <v>2</v>
      </c>
      <c r="CD202" s="135">
        <v>1</v>
      </c>
      <c r="CE202" s="135">
        <v>1</v>
      </c>
      <c r="CF202" s="135">
        <v>1</v>
      </c>
      <c r="CG202" s="135">
        <v>1</v>
      </c>
      <c r="CH202" s="163"/>
      <c r="CI202" s="130"/>
      <c r="CJ202" s="135"/>
      <c r="CK202" s="135"/>
      <c r="CL202" s="130"/>
      <c r="CM202" s="193">
        <v>1200018</v>
      </c>
      <c r="CN202" s="193"/>
      <c r="CO202" s="193"/>
      <c r="CP202" s="193">
        <v>1200018</v>
      </c>
      <c r="CQ202" s="193"/>
      <c r="CR202" s="193"/>
    </row>
    <row r="203" spans="1:96" ht="15.75" customHeight="1" x14ac:dyDescent="0.35">
      <c r="A203" s="288"/>
      <c r="B203" s="90" t="s">
        <v>546</v>
      </c>
      <c r="C203" s="75" t="s">
        <v>4583</v>
      </c>
      <c r="D203" s="138">
        <v>14794</v>
      </c>
      <c r="E203" s="135">
        <v>70421</v>
      </c>
      <c r="F203" s="135"/>
      <c r="G203" s="139">
        <v>302</v>
      </c>
      <c r="H203" s="135"/>
      <c r="I203" s="135"/>
      <c r="J203" s="135"/>
      <c r="K203" s="135">
        <v>3</v>
      </c>
      <c r="L203" s="139">
        <v>1</v>
      </c>
      <c r="M203" s="138">
        <v>10830</v>
      </c>
      <c r="N203" s="139"/>
      <c r="O203" s="154">
        <v>5</v>
      </c>
      <c r="P203" s="135">
        <v>2</v>
      </c>
      <c r="Q203" s="135">
        <v>3</v>
      </c>
      <c r="R203" s="135"/>
      <c r="S203" s="163">
        <v>1</v>
      </c>
      <c r="T203" s="163">
        <v>1</v>
      </c>
      <c r="U203" s="163">
        <v>1</v>
      </c>
      <c r="V203" s="135"/>
      <c r="W203" s="135"/>
      <c r="X203" s="163"/>
      <c r="Y203" s="135">
        <v>16391</v>
      </c>
      <c r="Z203" s="154">
        <v>1000</v>
      </c>
      <c r="AA203" s="135">
        <v>500</v>
      </c>
      <c r="AB203" s="135">
        <v>3</v>
      </c>
      <c r="AC203" s="135">
        <v>1</v>
      </c>
      <c r="AD203" s="135"/>
      <c r="AE203" s="135">
        <v>4</v>
      </c>
      <c r="AF203" s="163">
        <v>1</v>
      </c>
      <c r="AG203" s="169">
        <v>100</v>
      </c>
      <c r="AH203" s="135"/>
      <c r="AI203" s="135"/>
      <c r="AJ203" s="135"/>
      <c r="AK203" s="135">
        <v>0</v>
      </c>
      <c r="AL203" s="135">
        <v>21039</v>
      </c>
      <c r="AM203" s="135">
        <v>1000</v>
      </c>
      <c r="AN203" s="135"/>
      <c r="AO203" s="130" t="s">
        <v>547</v>
      </c>
      <c r="AP203" s="174" t="s">
        <v>340</v>
      </c>
      <c r="AQ203" s="130" t="s">
        <v>547</v>
      </c>
      <c r="AR203" s="174" t="s">
        <v>340</v>
      </c>
      <c r="AS203" s="130" t="s">
        <v>547</v>
      </c>
      <c r="AT203" s="174" t="s">
        <v>340</v>
      </c>
      <c r="AU203" s="130" t="s">
        <v>4584</v>
      </c>
      <c r="AV203" s="130" t="s">
        <v>266</v>
      </c>
      <c r="AW203" s="104" t="s">
        <v>425</v>
      </c>
      <c r="AX203" s="130" t="s">
        <v>249</v>
      </c>
      <c r="AY203" s="130"/>
      <c r="AZ203" s="130"/>
      <c r="BA203" s="130"/>
      <c r="BB203" s="179"/>
      <c r="BC203" s="179"/>
      <c r="BD203" s="104"/>
      <c r="BE203" s="130" t="s">
        <v>335</v>
      </c>
      <c r="BF203" s="138">
        <v>14731</v>
      </c>
      <c r="BG203" s="130"/>
      <c r="BH203" s="185" t="s">
        <v>497</v>
      </c>
      <c r="BI203" s="130" t="s">
        <v>293</v>
      </c>
      <c r="BJ203" s="130" t="s">
        <v>252</v>
      </c>
      <c r="BK203" s="130" t="s">
        <v>253</v>
      </c>
      <c r="BL203" s="135"/>
      <c r="BM203" s="135"/>
      <c r="BN203" s="135"/>
      <c r="BO203" s="163">
        <v>100</v>
      </c>
      <c r="BP203" s="163">
        <v>200</v>
      </c>
      <c r="BQ203" s="130" t="s">
        <v>241</v>
      </c>
      <c r="BR203" s="135">
        <v>3</v>
      </c>
      <c r="BS203" s="135"/>
      <c r="BT203" s="163">
        <v>50</v>
      </c>
      <c r="BU203" s="163">
        <v>50</v>
      </c>
      <c r="BV203" s="130"/>
      <c r="BW203" s="104"/>
      <c r="BX203" s="135"/>
      <c r="BY203" s="135"/>
      <c r="BZ203" s="135">
        <v>1</v>
      </c>
      <c r="CA203" s="135">
        <v>1</v>
      </c>
      <c r="CB203" s="135">
        <v>1</v>
      </c>
      <c r="CC203" s="135">
        <v>1</v>
      </c>
      <c r="CD203" s="135">
        <v>1</v>
      </c>
      <c r="CE203" s="135">
        <v>1</v>
      </c>
      <c r="CF203" s="135">
        <v>1</v>
      </c>
      <c r="CG203" s="135">
        <v>1</v>
      </c>
      <c r="CH203" s="163"/>
      <c r="CI203" s="130"/>
      <c r="CJ203" s="135"/>
      <c r="CK203" s="135"/>
      <c r="CL203" s="130"/>
      <c r="CM203" s="193">
        <v>1200019</v>
      </c>
      <c r="CN203" s="193"/>
      <c r="CO203" s="193"/>
      <c r="CP203" s="193">
        <v>1200019</v>
      </c>
      <c r="CQ203" s="193"/>
      <c r="CR203" s="193"/>
    </row>
    <row r="204" spans="1:96" ht="15.75" customHeight="1" x14ac:dyDescent="0.35">
      <c r="A204" s="288"/>
      <c r="B204" s="87" t="s">
        <v>548</v>
      </c>
      <c r="C204" s="92"/>
      <c r="D204" s="138">
        <v>14801</v>
      </c>
      <c r="E204" s="135">
        <v>70422</v>
      </c>
      <c r="F204" s="135"/>
      <c r="G204" s="139">
        <v>302</v>
      </c>
      <c r="H204" s="135"/>
      <c r="I204" s="135"/>
      <c r="J204" s="135"/>
      <c r="K204" s="135">
        <v>3</v>
      </c>
      <c r="L204" s="139">
        <v>1</v>
      </c>
      <c r="M204" s="138"/>
      <c r="N204" s="139"/>
      <c r="O204" s="154">
        <v>5</v>
      </c>
      <c r="P204" s="135">
        <v>3</v>
      </c>
      <c r="Q204" s="135">
        <v>3</v>
      </c>
      <c r="R204" s="135"/>
      <c r="S204" s="163">
        <v>1</v>
      </c>
      <c r="T204" s="163">
        <v>1</v>
      </c>
      <c r="U204" s="163">
        <v>1</v>
      </c>
      <c r="V204" s="135"/>
      <c r="W204" s="135"/>
      <c r="X204" s="163"/>
      <c r="Y204" s="135">
        <v>2012</v>
      </c>
      <c r="Z204" s="135">
        <v>1000</v>
      </c>
      <c r="AA204" s="135">
        <v>400</v>
      </c>
      <c r="AB204" s="135">
        <v>3</v>
      </c>
      <c r="AC204" s="135">
        <v>1</v>
      </c>
      <c r="AD204" s="135"/>
      <c r="AE204" s="135">
        <v>4</v>
      </c>
      <c r="AF204" s="163">
        <v>1</v>
      </c>
      <c r="AG204" s="169">
        <v>100</v>
      </c>
      <c r="AH204" s="135"/>
      <c r="AI204" s="135"/>
      <c r="AJ204" s="135"/>
      <c r="AK204" s="135">
        <v>0</v>
      </c>
      <c r="AL204" s="135">
        <v>8003</v>
      </c>
      <c r="AM204" s="135">
        <v>1000</v>
      </c>
      <c r="AN204" s="135">
        <v>1</v>
      </c>
      <c r="AO204" s="130" t="s">
        <v>549</v>
      </c>
      <c r="AP204" s="174" t="s">
        <v>340</v>
      </c>
      <c r="AQ204" s="130" t="s">
        <v>549</v>
      </c>
      <c r="AR204" s="174" t="s">
        <v>340</v>
      </c>
      <c r="AS204" s="130" t="s">
        <v>549</v>
      </c>
      <c r="AT204" s="174" t="s">
        <v>340</v>
      </c>
      <c r="AU204" s="130" t="s">
        <v>4584</v>
      </c>
      <c r="AV204" s="130" t="s">
        <v>266</v>
      </c>
      <c r="AW204" s="104" t="s">
        <v>425</v>
      </c>
      <c r="AX204" s="130" t="s">
        <v>249</v>
      </c>
      <c r="AY204" s="130"/>
      <c r="AZ204" s="130"/>
      <c r="BA204" s="130"/>
      <c r="BB204" s="179"/>
      <c r="BC204" s="179"/>
      <c r="BD204" s="104"/>
      <c r="BE204" s="130" t="s">
        <v>335</v>
      </c>
      <c r="BF204" s="138">
        <v>14801</v>
      </c>
      <c r="BG204" s="130"/>
      <c r="BH204" s="185" t="s">
        <v>467</v>
      </c>
      <c r="BI204" s="130" t="s">
        <v>251</v>
      </c>
      <c r="BJ204" s="130" t="s">
        <v>354</v>
      </c>
      <c r="BK204" s="130" t="s">
        <v>253</v>
      </c>
      <c r="BL204" s="135"/>
      <c r="BM204" s="135"/>
      <c r="BN204" s="135"/>
      <c r="BO204" s="163">
        <v>150</v>
      </c>
      <c r="BP204" s="163">
        <v>200</v>
      </c>
      <c r="BQ204" s="130" t="s">
        <v>241</v>
      </c>
      <c r="BR204" s="135">
        <v>3</v>
      </c>
      <c r="BS204" s="135"/>
      <c r="BT204" s="163">
        <v>50</v>
      </c>
      <c r="BU204" s="163">
        <v>50</v>
      </c>
      <c r="BV204" s="130"/>
      <c r="BW204" s="104"/>
      <c r="BX204" s="135"/>
      <c r="BY204" s="135"/>
      <c r="BZ204" s="135">
        <v>3</v>
      </c>
      <c r="CA204" s="135">
        <v>3</v>
      </c>
      <c r="CB204" s="135">
        <v>2</v>
      </c>
      <c r="CC204" s="135">
        <v>3</v>
      </c>
      <c r="CD204" s="135">
        <v>6</v>
      </c>
      <c r="CE204" s="135">
        <v>8</v>
      </c>
      <c r="CF204" s="135">
        <v>2</v>
      </c>
      <c r="CG204" s="135">
        <v>3</v>
      </c>
      <c r="CH204" s="163"/>
      <c r="CI204" s="130"/>
      <c r="CJ204" s="135"/>
      <c r="CK204" s="135"/>
      <c r="CL204" s="130"/>
      <c r="CM204" s="204">
        <v>115201</v>
      </c>
      <c r="CN204" s="204"/>
      <c r="CO204" s="204"/>
      <c r="CP204" s="204">
        <v>115201</v>
      </c>
      <c r="CQ204" s="193"/>
      <c r="CR204" s="193"/>
    </row>
    <row r="205" spans="1:96" ht="15.75" customHeight="1" x14ac:dyDescent="0.35">
      <c r="A205" s="288"/>
      <c r="B205" s="87" t="s">
        <v>548</v>
      </c>
      <c r="C205" s="92"/>
      <c r="D205" s="138">
        <v>14802</v>
      </c>
      <c r="E205" s="135">
        <v>70422</v>
      </c>
      <c r="F205" s="135"/>
      <c r="G205" s="139"/>
      <c r="H205" s="135"/>
      <c r="I205" s="135"/>
      <c r="J205" s="135"/>
      <c r="K205" s="135">
        <v>3</v>
      </c>
      <c r="L205" s="139"/>
      <c r="M205" s="138"/>
      <c r="N205" s="139"/>
      <c r="O205" s="154">
        <v>5</v>
      </c>
      <c r="P205" s="135">
        <v>3</v>
      </c>
      <c r="Q205" s="135">
        <v>3</v>
      </c>
      <c r="R205" s="135"/>
      <c r="S205" s="163">
        <v>1</v>
      </c>
      <c r="T205" s="163">
        <v>1</v>
      </c>
      <c r="U205" s="163">
        <v>1</v>
      </c>
      <c r="V205" s="135"/>
      <c r="W205" s="135"/>
      <c r="X205" s="163"/>
      <c r="Y205" s="135">
        <v>2012</v>
      </c>
      <c r="Z205" s="135">
        <v>1000</v>
      </c>
      <c r="AA205" s="135">
        <v>400</v>
      </c>
      <c r="AB205" s="135">
        <v>3</v>
      </c>
      <c r="AC205" s="135">
        <v>1</v>
      </c>
      <c r="AD205" s="135"/>
      <c r="AE205" s="135">
        <v>4</v>
      </c>
      <c r="AF205" s="163">
        <v>1</v>
      </c>
      <c r="AG205" s="169">
        <v>100</v>
      </c>
      <c r="AH205" s="135"/>
      <c r="AI205" s="135"/>
      <c r="AJ205" s="135"/>
      <c r="AK205" s="135">
        <v>0</v>
      </c>
      <c r="AL205" s="135">
        <v>8002</v>
      </c>
      <c r="AM205" s="135">
        <v>1000</v>
      </c>
      <c r="AN205" s="135">
        <v>1</v>
      </c>
      <c r="AO205" s="130" t="s">
        <v>550</v>
      </c>
      <c r="AP205" s="174">
        <v>1</v>
      </c>
      <c r="AQ205" s="130" t="s">
        <v>551</v>
      </c>
      <c r="AR205" s="174" t="s">
        <v>552</v>
      </c>
      <c r="AS205" s="130" t="s">
        <v>551</v>
      </c>
      <c r="AT205" s="174" t="s">
        <v>552</v>
      </c>
      <c r="AU205" s="130" t="s">
        <v>4584</v>
      </c>
      <c r="AV205" s="130" t="s">
        <v>266</v>
      </c>
      <c r="AW205" s="104" t="s">
        <v>425</v>
      </c>
      <c r="AX205" s="130" t="s">
        <v>249</v>
      </c>
      <c r="AY205" s="130"/>
      <c r="AZ205" s="130"/>
      <c r="BA205" s="130"/>
      <c r="BB205" s="179"/>
      <c r="BC205" s="179"/>
      <c r="BD205" s="104"/>
      <c r="BE205" s="130" t="s">
        <v>335</v>
      </c>
      <c r="BF205" s="138">
        <v>14801</v>
      </c>
      <c r="BG205" s="130"/>
      <c r="BH205" s="185" t="s">
        <v>467</v>
      </c>
      <c r="BI205" s="130" t="s">
        <v>251</v>
      </c>
      <c r="BJ205" s="130" t="s">
        <v>354</v>
      </c>
      <c r="BK205" s="130" t="s">
        <v>253</v>
      </c>
      <c r="BL205" s="135"/>
      <c r="BM205" s="135"/>
      <c r="BN205" s="135"/>
      <c r="BO205" s="163">
        <v>150</v>
      </c>
      <c r="BP205" s="163">
        <v>200</v>
      </c>
      <c r="BQ205" s="130" t="s">
        <v>241</v>
      </c>
      <c r="BR205" s="135">
        <v>3</v>
      </c>
      <c r="BS205" s="135"/>
      <c r="BT205" s="163">
        <v>50</v>
      </c>
      <c r="BU205" s="163">
        <v>50</v>
      </c>
      <c r="BV205" s="130"/>
      <c r="BW205" s="104"/>
      <c r="BX205" s="135"/>
      <c r="BY205" s="135"/>
      <c r="BZ205" s="135">
        <v>3</v>
      </c>
      <c r="CA205" s="135">
        <v>3</v>
      </c>
      <c r="CB205" s="135">
        <v>2</v>
      </c>
      <c r="CC205" s="135">
        <v>3</v>
      </c>
      <c r="CD205" s="135">
        <v>6</v>
      </c>
      <c r="CE205" s="135">
        <v>8</v>
      </c>
      <c r="CF205" s="135">
        <v>2</v>
      </c>
      <c r="CG205" s="135">
        <v>3</v>
      </c>
      <c r="CH205" s="163"/>
      <c r="CI205" s="130"/>
      <c r="CJ205" s="135"/>
      <c r="CK205" s="135"/>
      <c r="CL205" s="130"/>
      <c r="CM205" s="204">
        <v>115201</v>
      </c>
      <c r="CN205" s="204"/>
      <c r="CO205" s="204"/>
      <c r="CP205" s="204">
        <v>115201</v>
      </c>
      <c r="CQ205" s="193"/>
      <c r="CR205" s="193"/>
    </row>
    <row r="206" spans="1:96" ht="15.75" customHeight="1" x14ac:dyDescent="0.35">
      <c r="A206" s="288"/>
      <c r="B206" s="87" t="s">
        <v>548</v>
      </c>
      <c r="C206" s="92"/>
      <c r="D206" s="138">
        <v>14803</v>
      </c>
      <c r="E206" s="135">
        <v>70422</v>
      </c>
      <c r="F206" s="135"/>
      <c r="G206" s="139"/>
      <c r="H206" s="135"/>
      <c r="I206" s="135"/>
      <c r="J206" s="135"/>
      <c r="K206" s="135">
        <v>3</v>
      </c>
      <c r="L206" s="139"/>
      <c r="M206" s="138"/>
      <c r="N206" s="139"/>
      <c r="O206" s="154">
        <v>5</v>
      </c>
      <c r="P206" s="135">
        <v>3</v>
      </c>
      <c r="Q206" s="135">
        <v>3</v>
      </c>
      <c r="R206" s="135"/>
      <c r="S206" s="163">
        <v>1</v>
      </c>
      <c r="T206" s="163">
        <v>1</v>
      </c>
      <c r="U206" s="163">
        <v>1</v>
      </c>
      <c r="V206" s="135"/>
      <c r="W206" s="135"/>
      <c r="X206" s="163"/>
      <c r="Y206" s="135">
        <v>2012</v>
      </c>
      <c r="Z206" s="135">
        <v>1000</v>
      </c>
      <c r="AA206" s="135">
        <v>400</v>
      </c>
      <c r="AB206" s="135">
        <v>3</v>
      </c>
      <c r="AC206" s="135">
        <v>1</v>
      </c>
      <c r="AD206" s="135"/>
      <c r="AE206" s="135">
        <v>4</v>
      </c>
      <c r="AF206" s="163">
        <v>1</v>
      </c>
      <c r="AG206" s="169">
        <v>100</v>
      </c>
      <c r="AH206" s="135"/>
      <c r="AI206" s="135"/>
      <c r="AJ206" s="135"/>
      <c r="AK206" s="135">
        <v>0</v>
      </c>
      <c r="AL206" s="135">
        <v>8002</v>
      </c>
      <c r="AM206" s="135">
        <v>1000</v>
      </c>
      <c r="AN206" s="135">
        <v>1</v>
      </c>
      <c r="AO206" s="130" t="s">
        <v>553</v>
      </c>
      <c r="AP206" s="174">
        <v>1</v>
      </c>
      <c r="AQ206" s="130" t="s">
        <v>551</v>
      </c>
      <c r="AR206" s="174" t="s">
        <v>552</v>
      </c>
      <c r="AS206" s="130" t="s">
        <v>551</v>
      </c>
      <c r="AT206" s="174" t="s">
        <v>552</v>
      </c>
      <c r="AU206" s="130" t="s">
        <v>4590</v>
      </c>
      <c r="AV206" s="130" t="s">
        <v>266</v>
      </c>
      <c r="AW206" s="104" t="s">
        <v>425</v>
      </c>
      <c r="AX206" s="130" t="s">
        <v>249</v>
      </c>
      <c r="AY206" s="130"/>
      <c r="AZ206" s="130"/>
      <c r="BA206" s="130"/>
      <c r="BB206" s="179"/>
      <c r="BC206" s="179"/>
      <c r="BD206" s="104"/>
      <c r="BE206" s="130" t="s">
        <v>335</v>
      </c>
      <c r="BF206" s="138">
        <v>14801</v>
      </c>
      <c r="BG206" s="130"/>
      <c r="BH206" s="185" t="s">
        <v>467</v>
      </c>
      <c r="BI206" s="130" t="s">
        <v>251</v>
      </c>
      <c r="BJ206" s="130" t="s">
        <v>354</v>
      </c>
      <c r="BK206" s="130" t="s">
        <v>253</v>
      </c>
      <c r="BL206" s="135"/>
      <c r="BM206" s="135"/>
      <c r="BN206" s="135"/>
      <c r="BO206" s="163">
        <v>150</v>
      </c>
      <c r="BP206" s="163">
        <v>200</v>
      </c>
      <c r="BQ206" s="130" t="s">
        <v>241</v>
      </c>
      <c r="BR206" s="135">
        <v>3</v>
      </c>
      <c r="BS206" s="135"/>
      <c r="BT206" s="163">
        <v>50</v>
      </c>
      <c r="BU206" s="163">
        <v>50</v>
      </c>
      <c r="BV206" s="130"/>
      <c r="BW206" s="104"/>
      <c r="BX206" s="135"/>
      <c r="BY206" s="135"/>
      <c r="BZ206" s="135">
        <v>3</v>
      </c>
      <c r="CA206" s="135">
        <v>3</v>
      </c>
      <c r="CB206" s="135">
        <v>2</v>
      </c>
      <c r="CC206" s="135">
        <v>3</v>
      </c>
      <c r="CD206" s="135">
        <v>6</v>
      </c>
      <c r="CE206" s="135">
        <v>8</v>
      </c>
      <c r="CF206" s="135">
        <v>2</v>
      </c>
      <c r="CG206" s="135">
        <v>3</v>
      </c>
      <c r="CH206" s="163"/>
      <c r="CI206" s="130"/>
      <c r="CJ206" s="135"/>
      <c r="CK206" s="135"/>
      <c r="CL206" s="130"/>
      <c r="CM206" s="204">
        <v>115201</v>
      </c>
      <c r="CN206" s="204"/>
      <c r="CO206" s="204"/>
      <c r="CP206" s="204">
        <v>115201</v>
      </c>
      <c r="CQ206" s="193"/>
      <c r="CR206" s="193"/>
    </row>
    <row r="207" spans="1:96" ht="15.75" customHeight="1" x14ac:dyDescent="0.35">
      <c r="A207" s="288"/>
      <c r="B207" s="253" t="s">
        <v>538</v>
      </c>
      <c r="C207" s="75" t="s">
        <v>4607</v>
      </c>
      <c r="D207" s="138">
        <v>14810</v>
      </c>
      <c r="E207" s="135">
        <v>70418</v>
      </c>
      <c r="F207" s="135"/>
      <c r="G207" s="139">
        <v>302</v>
      </c>
      <c r="H207" s="258"/>
      <c r="I207" s="258"/>
      <c r="J207" s="135"/>
      <c r="K207" s="258">
        <v>3</v>
      </c>
      <c r="L207" s="135">
        <v>1</v>
      </c>
      <c r="M207" s="135">
        <v>10827</v>
      </c>
      <c r="N207" s="139"/>
      <c r="O207" s="154">
        <v>5</v>
      </c>
      <c r="P207" s="258">
        <v>2</v>
      </c>
      <c r="Q207" s="135">
        <v>3</v>
      </c>
      <c r="R207" s="135"/>
      <c r="S207" s="163">
        <v>1</v>
      </c>
      <c r="T207" s="259">
        <v>1</v>
      </c>
      <c r="U207" s="259">
        <v>1</v>
      </c>
      <c r="V207" s="258"/>
      <c r="W207" s="258"/>
      <c r="X207" s="163"/>
      <c r="Y207" s="135">
        <v>16201</v>
      </c>
      <c r="Z207" s="258">
        <v>1000</v>
      </c>
      <c r="AA207" s="258">
        <v>500</v>
      </c>
      <c r="AB207" s="135"/>
      <c r="AC207" s="135">
        <v>1</v>
      </c>
      <c r="AD207" s="135"/>
      <c r="AE207" s="135">
        <v>4</v>
      </c>
      <c r="AF207" s="163">
        <v>1</v>
      </c>
      <c r="AG207" s="169">
        <v>100</v>
      </c>
      <c r="AH207" s="258"/>
      <c r="AI207" s="135"/>
      <c r="AJ207" s="135"/>
      <c r="AK207" s="135">
        <v>0</v>
      </c>
      <c r="AL207" s="135">
        <v>21009</v>
      </c>
      <c r="AM207" s="135">
        <v>1000</v>
      </c>
      <c r="AN207" s="135"/>
      <c r="AO207" s="130" t="s">
        <v>539</v>
      </c>
      <c r="AP207" s="260" t="s">
        <v>272</v>
      </c>
      <c r="AQ207" s="260" t="s">
        <v>539</v>
      </c>
      <c r="AR207" s="260" t="s">
        <v>272</v>
      </c>
      <c r="AS207" s="260" t="s">
        <v>470</v>
      </c>
      <c r="AT207" s="260" t="s">
        <v>272</v>
      </c>
      <c r="AU207" s="130" t="s">
        <v>4584</v>
      </c>
      <c r="AV207" s="260" t="s">
        <v>266</v>
      </c>
      <c r="AW207" s="104" t="s">
        <v>248</v>
      </c>
      <c r="AX207" s="260" t="s">
        <v>249</v>
      </c>
      <c r="AY207" s="130"/>
      <c r="AZ207" s="130"/>
      <c r="BA207" s="130"/>
      <c r="BB207" s="179"/>
      <c r="BC207" s="179"/>
      <c r="BD207" s="104"/>
      <c r="BE207" s="130" t="s">
        <v>335</v>
      </c>
      <c r="BF207" s="258">
        <v>14701</v>
      </c>
      <c r="BG207" s="130"/>
      <c r="BH207" s="185" t="s">
        <v>497</v>
      </c>
      <c r="BI207" s="260" t="s">
        <v>363</v>
      </c>
      <c r="BJ207" s="130" t="s">
        <v>252</v>
      </c>
      <c r="BK207" s="130" t="s">
        <v>253</v>
      </c>
      <c r="BL207" s="135"/>
      <c r="BM207" s="135"/>
      <c r="BN207" s="135"/>
      <c r="BO207" s="163">
        <v>100</v>
      </c>
      <c r="BP207" s="163">
        <v>200</v>
      </c>
      <c r="BQ207" s="130" t="s">
        <v>241</v>
      </c>
      <c r="BR207" s="135">
        <v>3</v>
      </c>
      <c r="BS207" s="258"/>
      <c r="BT207" s="259">
        <v>50</v>
      </c>
      <c r="BU207" s="259">
        <v>20</v>
      </c>
      <c r="BV207" s="260"/>
      <c r="BW207" s="104"/>
      <c r="BX207" s="258"/>
      <c r="BY207" s="258"/>
      <c r="BZ207" s="258">
        <v>1</v>
      </c>
      <c r="CA207" s="258">
        <v>2</v>
      </c>
      <c r="CB207" s="258">
        <v>1</v>
      </c>
      <c r="CC207" s="258">
        <v>2</v>
      </c>
      <c r="CD207" s="258">
        <v>1</v>
      </c>
      <c r="CE207" s="258">
        <v>2</v>
      </c>
      <c r="CF207" s="135">
        <v>1</v>
      </c>
      <c r="CG207" s="135">
        <v>2</v>
      </c>
      <c r="CH207" s="261"/>
      <c r="CI207" s="260"/>
      <c r="CJ207" s="258"/>
      <c r="CK207" s="258"/>
      <c r="CL207" s="260"/>
      <c r="CM207" s="263">
        <v>1210012</v>
      </c>
      <c r="CN207" s="264"/>
      <c r="CO207" s="264"/>
      <c r="CP207" s="263">
        <v>1210012</v>
      </c>
      <c r="CQ207" s="262"/>
      <c r="CR207" s="262"/>
    </row>
    <row r="208" spans="1:96" ht="15.75" customHeight="1" x14ac:dyDescent="0.35">
      <c r="A208" s="288"/>
      <c r="B208" s="90" t="s">
        <v>540</v>
      </c>
      <c r="C208" s="75" t="s">
        <v>4607</v>
      </c>
      <c r="D208" s="138">
        <v>14811</v>
      </c>
      <c r="E208" s="135">
        <v>70420</v>
      </c>
      <c r="F208" s="135"/>
      <c r="G208" s="139">
        <v>302</v>
      </c>
      <c r="H208" s="135"/>
      <c r="I208" s="135"/>
      <c r="J208" s="135"/>
      <c r="K208" s="135">
        <v>3</v>
      </c>
      <c r="L208" s="135">
        <v>1</v>
      </c>
      <c r="M208" s="135">
        <v>10829</v>
      </c>
      <c r="N208" s="139"/>
      <c r="O208" s="154">
        <v>5</v>
      </c>
      <c r="P208" s="135">
        <v>2</v>
      </c>
      <c r="Q208" s="135">
        <v>3</v>
      </c>
      <c r="R208" s="135"/>
      <c r="S208" s="163">
        <v>1</v>
      </c>
      <c r="T208" s="163">
        <v>1</v>
      </c>
      <c r="U208" s="163">
        <v>1</v>
      </c>
      <c r="V208" s="135"/>
      <c r="W208" s="135"/>
      <c r="X208" s="163"/>
      <c r="Y208" s="135">
        <v>12201</v>
      </c>
      <c r="Z208" s="135">
        <v>1000</v>
      </c>
      <c r="AA208" s="135">
        <v>500</v>
      </c>
      <c r="AB208" s="135"/>
      <c r="AC208" s="135">
        <v>1</v>
      </c>
      <c r="AD208" s="135"/>
      <c r="AE208" s="135">
        <v>4</v>
      </c>
      <c r="AF208" s="163">
        <v>1</v>
      </c>
      <c r="AG208" s="169">
        <v>100</v>
      </c>
      <c r="AH208" s="135"/>
      <c r="AI208" s="135"/>
      <c r="AJ208" s="135"/>
      <c r="AK208" s="135">
        <v>0</v>
      </c>
      <c r="AL208" s="135">
        <v>21039</v>
      </c>
      <c r="AM208" s="135">
        <v>1000</v>
      </c>
      <c r="AN208" s="135"/>
      <c r="AO208" s="130" t="s">
        <v>543</v>
      </c>
      <c r="AP208" s="130" t="s">
        <v>340</v>
      </c>
      <c r="AQ208" s="130" t="s">
        <v>543</v>
      </c>
      <c r="AR208" s="130" t="s">
        <v>340</v>
      </c>
      <c r="AS208" s="130" t="s">
        <v>543</v>
      </c>
      <c r="AT208" s="130" t="s">
        <v>340</v>
      </c>
      <c r="AU208" s="130" t="s">
        <v>4584</v>
      </c>
      <c r="AV208" s="130" t="s">
        <v>266</v>
      </c>
      <c r="AW208" s="104" t="s">
        <v>248</v>
      </c>
      <c r="AX208" s="130" t="s">
        <v>249</v>
      </c>
      <c r="AY208" s="130"/>
      <c r="AZ208" s="130"/>
      <c r="BA208" s="130"/>
      <c r="BB208" s="179"/>
      <c r="BC208" s="179"/>
      <c r="BD208" s="104"/>
      <c r="BE208" s="130" t="s">
        <v>335</v>
      </c>
      <c r="BF208" s="135">
        <v>14721</v>
      </c>
      <c r="BG208" s="130"/>
      <c r="BH208" s="185" t="s">
        <v>497</v>
      </c>
      <c r="BI208" s="130" t="s">
        <v>251</v>
      </c>
      <c r="BJ208" s="130" t="s">
        <v>252</v>
      </c>
      <c r="BK208" s="130" t="s">
        <v>253</v>
      </c>
      <c r="BL208" s="135"/>
      <c r="BM208" s="135"/>
      <c r="BN208" s="135"/>
      <c r="BO208" s="163">
        <v>100</v>
      </c>
      <c r="BP208" s="163">
        <v>200</v>
      </c>
      <c r="BQ208" s="130" t="s">
        <v>241</v>
      </c>
      <c r="BR208" s="135">
        <v>3</v>
      </c>
      <c r="BS208" s="135"/>
      <c r="BT208" s="163">
        <v>50</v>
      </c>
      <c r="BU208" s="163">
        <v>40</v>
      </c>
      <c r="BV208" s="130"/>
      <c r="BW208" s="104"/>
      <c r="BX208" s="135"/>
      <c r="BY208" s="135"/>
      <c r="BZ208" s="135">
        <v>1</v>
      </c>
      <c r="CA208" s="135">
        <v>2</v>
      </c>
      <c r="CB208" s="135">
        <v>1</v>
      </c>
      <c r="CC208" s="135">
        <v>2</v>
      </c>
      <c r="CD208" s="135">
        <v>1</v>
      </c>
      <c r="CE208" s="135">
        <v>1</v>
      </c>
      <c r="CF208" s="135">
        <v>1</v>
      </c>
      <c r="CG208" s="135">
        <v>1</v>
      </c>
      <c r="CH208" s="179"/>
      <c r="CI208" s="130"/>
      <c r="CJ208" s="135"/>
      <c r="CK208" s="135"/>
      <c r="CL208" s="130"/>
      <c r="CM208" s="248">
        <v>1210012</v>
      </c>
      <c r="CN208" s="193"/>
      <c r="CO208" s="193"/>
      <c r="CP208" s="248">
        <v>1210012</v>
      </c>
      <c r="CQ208" s="193"/>
      <c r="CR208" s="193"/>
    </row>
    <row r="209" spans="1:96" ht="15.75" customHeight="1" x14ac:dyDescent="0.35">
      <c r="A209" s="288"/>
      <c r="B209" s="90" t="s">
        <v>542</v>
      </c>
      <c r="C209" s="75" t="s">
        <v>4607</v>
      </c>
      <c r="D209" s="138">
        <v>14812</v>
      </c>
      <c r="E209" s="135">
        <v>70420</v>
      </c>
      <c r="F209" s="135"/>
      <c r="G209" s="139">
        <v>302</v>
      </c>
      <c r="H209" s="135"/>
      <c r="I209" s="135"/>
      <c r="J209" s="135"/>
      <c r="K209" s="135">
        <v>3</v>
      </c>
      <c r="L209" s="135">
        <v>1</v>
      </c>
      <c r="M209" s="135">
        <v>10829</v>
      </c>
      <c r="N209" s="139"/>
      <c r="O209" s="154">
        <v>5</v>
      </c>
      <c r="P209" s="135">
        <v>2</v>
      </c>
      <c r="Q209" s="135">
        <v>3</v>
      </c>
      <c r="R209" s="135"/>
      <c r="S209" s="163">
        <v>1</v>
      </c>
      <c r="T209" s="163">
        <v>1</v>
      </c>
      <c r="U209" s="163">
        <v>1</v>
      </c>
      <c r="V209" s="135"/>
      <c r="W209" s="135"/>
      <c r="X209" s="163"/>
      <c r="Y209" s="135">
        <v>12201</v>
      </c>
      <c r="Z209" s="135">
        <v>1000</v>
      </c>
      <c r="AA209" s="135">
        <v>500</v>
      </c>
      <c r="AB209" s="135"/>
      <c r="AC209" s="135">
        <v>1</v>
      </c>
      <c r="AD209" s="135"/>
      <c r="AE209" s="135">
        <v>4</v>
      </c>
      <c r="AF209" s="163">
        <v>1</v>
      </c>
      <c r="AG209" s="169">
        <v>100</v>
      </c>
      <c r="AH209" s="135"/>
      <c r="AI209" s="135"/>
      <c r="AJ209" s="135"/>
      <c r="AK209" s="135">
        <v>0</v>
      </c>
      <c r="AL209" s="135">
        <v>8002</v>
      </c>
      <c r="AM209" s="135">
        <v>1000</v>
      </c>
      <c r="AN209" s="135"/>
      <c r="AO209" s="130" t="s">
        <v>545</v>
      </c>
      <c r="AP209" s="130">
        <v>1</v>
      </c>
      <c r="AQ209" s="130" t="s">
        <v>543</v>
      </c>
      <c r="AR209" s="130" t="s">
        <v>340</v>
      </c>
      <c r="AS209" s="130" t="s">
        <v>543</v>
      </c>
      <c r="AT209" s="130" t="s">
        <v>340</v>
      </c>
      <c r="AU209" s="130" t="s">
        <v>4584</v>
      </c>
      <c r="AV209" s="130" t="s">
        <v>266</v>
      </c>
      <c r="AW209" s="104" t="s">
        <v>248</v>
      </c>
      <c r="AX209" s="130" t="s">
        <v>249</v>
      </c>
      <c r="AY209" s="130"/>
      <c r="AZ209" s="130"/>
      <c r="BA209" s="130"/>
      <c r="BB209" s="179"/>
      <c r="BC209" s="179"/>
      <c r="BD209" s="104"/>
      <c r="BE209" s="130" t="s">
        <v>335</v>
      </c>
      <c r="BF209" s="135">
        <v>14721</v>
      </c>
      <c r="BG209" s="130"/>
      <c r="BH209" s="185" t="s">
        <v>497</v>
      </c>
      <c r="BI209" s="130" t="s">
        <v>251</v>
      </c>
      <c r="BJ209" s="130" t="s">
        <v>252</v>
      </c>
      <c r="BK209" s="130" t="s">
        <v>253</v>
      </c>
      <c r="BL209" s="135"/>
      <c r="BM209" s="135"/>
      <c r="BN209" s="135"/>
      <c r="BO209" s="163">
        <v>100</v>
      </c>
      <c r="BP209" s="163">
        <v>200</v>
      </c>
      <c r="BQ209" s="130" t="s">
        <v>241</v>
      </c>
      <c r="BR209" s="135">
        <v>3</v>
      </c>
      <c r="BS209" s="135"/>
      <c r="BT209" s="163">
        <v>50</v>
      </c>
      <c r="BU209" s="163">
        <v>40</v>
      </c>
      <c r="BV209" s="130"/>
      <c r="BW209" s="104"/>
      <c r="BX209" s="135"/>
      <c r="BY209" s="135"/>
      <c r="BZ209" s="135">
        <v>1</v>
      </c>
      <c r="CA209" s="135">
        <v>2</v>
      </c>
      <c r="CB209" s="135">
        <v>1</v>
      </c>
      <c r="CC209" s="135">
        <v>2</v>
      </c>
      <c r="CD209" s="135">
        <v>1</v>
      </c>
      <c r="CE209" s="135">
        <v>1</v>
      </c>
      <c r="CF209" s="135">
        <v>1</v>
      </c>
      <c r="CG209" s="135">
        <v>1</v>
      </c>
      <c r="CH209" s="179"/>
      <c r="CI209" s="130"/>
      <c r="CJ209" s="135"/>
      <c r="CK209" s="135"/>
      <c r="CL209" s="130"/>
      <c r="CM209" s="248">
        <v>1210013</v>
      </c>
      <c r="CN209" s="193"/>
      <c r="CO209" s="193"/>
      <c r="CP209" s="248">
        <v>1210013</v>
      </c>
      <c r="CQ209" s="193"/>
      <c r="CR209" s="193"/>
    </row>
    <row r="210" spans="1:96" ht="15.75" customHeight="1" x14ac:dyDescent="0.35">
      <c r="A210" s="288"/>
      <c r="B210" s="90" t="s">
        <v>546</v>
      </c>
      <c r="C210" s="75" t="s">
        <v>4607</v>
      </c>
      <c r="D210" s="138">
        <v>14813</v>
      </c>
      <c r="E210" s="135">
        <v>70421</v>
      </c>
      <c r="F210" s="135"/>
      <c r="G210" s="139">
        <v>302</v>
      </c>
      <c r="H210" s="135"/>
      <c r="I210" s="135"/>
      <c r="J210" s="135"/>
      <c r="K210" s="135">
        <v>3</v>
      </c>
      <c r="L210" s="135">
        <v>1</v>
      </c>
      <c r="M210" s="135">
        <v>10830</v>
      </c>
      <c r="N210" s="139"/>
      <c r="O210" s="154">
        <v>5</v>
      </c>
      <c r="P210" s="135">
        <v>2</v>
      </c>
      <c r="Q210" s="135">
        <v>3</v>
      </c>
      <c r="R210" s="135"/>
      <c r="S210" s="163">
        <v>1</v>
      </c>
      <c r="T210" s="163">
        <v>1</v>
      </c>
      <c r="U210" s="163">
        <v>1</v>
      </c>
      <c r="V210" s="135"/>
      <c r="W210" s="135"/>
      <c r="X210" s="163"/>
      <c r="Y210" s="135">
        <v>16391</v>
      </c>
      <c r="Z210" s="135">
        <v>1000</v>
      </c>
      <c r="AA210" s="135">
        <v>500</v>
      </c>
      <c r="AB210" s="135">
        <v>3</v>
      </c>
      <c r="AC210" s="135">
        <v>1</v>
      </c>
      <c r="AD210" s="135"/>
      <c r="AE210" s="135">
        <v>4</v>
      </c>
      <c r="AF210" s="163">
        <v>1</v>
      </c>
      <c r="AG210" s="169">
        <v>100</v>
      </c>
      <c r="AH210" s="135"/>
      <c r="AI210" s="135"/>
      <c r="AJ210" s="135"/>
      <c r="AK210" s="135">
        <v>0</v>
      </c>
      <c r="AL210" s="135">
        <v>21039</v>
      </c>
      <c r="AM210" s="135">
        <v>1000</v>
      </c>
      <c r="AN210" s="135"/>
      <c r="AO210" s="130" t="s">
        <v>547</v>
      </c>
      <c r="AP210" s="130" t="s">
        <v>340</v>
      </c>
      <c r="AQ210" s="130" t="s">
        <v>547</v>
      </c>
      <c r="AR210" s="130" t="s">
        <v>340</v>
      </c>
      <c r="AS210" s="130" t="s">
        <v>547</v>
      </c>
      <c r="AT210" s="130" t="s">
        <v>340</v>
      </c>
      <c r="AU210" s="130" t="s">
        <v>4584</v>
      </c>
      <c r="AV210" s="130" t="s">
        <v>266</v>
      </c>
      <c r="AW210" s="104" t="s">
        <v>425</v>
      </c>
      <c r="AX210" s="130" t="s">
        <v>249</v>
      </c>
      <c r="AY210" s="130"/>
      <c r="AZ210" s="130"/>
      <c r="BA210" s="130"/>
      <c r="BB210" s="179"/>
      <c r="BC210" s="179"/>
      <c r="BD210" s="104"/>
      <c r="BE210" s="130" t="s">
        <v>335</v>
      </c>
      <c r="BF210" s="135">
        <v>14731</v>
      </c>
      <c r="BG210" s="130"/>
      <c r="BH210" s="185" t="s">
        <v>497</v>
      </c>
      <c r="BI210" s="130" t="s">
        <v>293</v>
      </c>
      <c r="BJ210" s="130" t="s">
        <v>252</v>
      </c>
      <c r="BK210" s="130" t="s">
        <v>253</v>
      </c>
      <c r="BL210" s="135"/>
      <c r="BM210" s="135"/>
      <c r="BN210" s="135"/>
      <c r="BO210" s="163">
        <v>100</v>
      </c>
      <c r="BP210" s="163">
        <v>200</v>
      </c>
      <c r="BQ210" s="130" t="s">
        <v>241</v>
      </c>
      <c r="BR210" s="135">
        <v>3</v>
      </c>
      <c r="BS210" s="135"/>
      <c r="BT210" s="163">
        <v>50</v>
      </c>
      <c r="BU210" s="163">
        <v>50</v>
      </c>
      <c r="BV210" s="130"/>
      <c r="BW210" s="104"/>
      <c r="BX210" s="135"/>
      <c r="BY210" s="135"/>
      <c r="BZ210" s="135">
        <v>1</v>
      </c>
      <c r="CA210" s="135">
        <v>1</v>
      </c>
      <c r="CB210" s="135">
        <v>1</v>
      </c>
      <c r="CC210" s="135">
        <v>1</v>
      </c>
      <c r="CD210" s="135">
        <v>1</v>
      </c>
      <c r="CE210" s="135">
        <v>1</v>
      </c>
      <c r="CF210" s="135">
        <v>1</v>
      </c>
      <c r="CG210" s="135">
        <v>1</v>
      </c>
      <c r="CH210" s="179"/>
      <c r="CI210" s="130"/>
      <c r="CJ210" s="135"/>
      <c r="CK210" s="135"/>
      <c r="CL210" s="130"/>
      <c r="CM210" s="248">
        <v>1210014</v>
      </c>
      <c r="CN210" s="193"/>
      <c r="CO210" s="193"/>
      <c r="CP210" s="248">
        <v>1210014</v>
      </c>
      <c r="CQ210" s="193"/>
      <c r="CR210" s="193"/>
    </row>
    <row r="211" spans="1:96" ht="15.75" customHeight="1" x14ac:dyDescent="0.35">
      <c r="A211" s="296"/>
      <c r="B211" s="144" t="s">
        <v>554</v>
      </c>
      <c r="C211" s="92"/>
      <c r="D211" s="138">
        <v>14901</v>
      </c>
      <c r="E211" s="135">
        <v>70416</v>
      </c>
      <c r="F211" s="135"/>
      <c r="G211" s="139"/>
      <c r="H211" s="135"/>
      <c r="I211" s="135"/>
      <c r="J211" s="135"/>
      <c r="K211" s="135">
        <v>2</v>
      </c>
      <c r="L211" s="139"/>
      <c r="M211" s="139"/>
      <c r="N211" s="139"/>
      <c r="O211" s="154">
        <v>1</v>
      </c>
      <c r="P211" s="135">
        <v>2</v>
      </c>
      <c r="Q211" s="135">
        <v>3</v>
      </c>
      <c r="R211" s="135"/>
      <c r="S211" s="163">
        <v>1</v>
      </c>
      <c r="T211" s="163">
        <v>1</v>
      </c>
      <c r="U211" s="163">
        <v>1</v>
      </c>
      <c r="V211" s="135"/>
      <c r="W211" s="135"/>
      <c r="X211" s="163"/>
      <c r="Y211" s="135">
        <v>16291</v>
      </c>
      <c r="Z211" s="135">
        <v>1400</v>
      </c>
      <c r="AA211" s="135">
        <v>400</v>
      </c>
      <c r="AB211" s="135">
        <v>3</v>
      </c>
      <c r="AC211" s="135"/>
      <c r="AD211" s="135"/>
      <c r="AE211" s="135">
        <v>4</v>
      </c>
      <c r="AF211" s="163">
        <v>1</v>
      </c>
      <c r="AG211" s="169">
        <v>100</v>
      </c>
      <c r="AH211" s="135"/>
      <c r="AI211" s="135"/>
      <c r="AJ211" s="135"/>
      <c r="AK211" s="135">
        <v>0</v>
      </c>
      <c r="AL211" s="135">
        <v>21002</v>
      </c>
      <c r="AM211" s="135">
        <v>1000</v>
      </c>
      <c r="AN211" s="135"/>
      <c r="AO211" s="130" t="s">
        <v>265</v>
      </c>
      <c r="AP211" s="130" t="s">
        <v>246</v>
      </c>
      <c r="AQ211" s="130" t="s">
        <v>265</v>
      </c>
      <c r="AR211" s="130" t="s">
        <v>246</v>
      </c>
      <c r="AS211" s="130" t="s">
        <v>265</v>
      </c>
      <c r="AT211" s="130" t="s">
        <v>246</v>
      </c>
      <c r="AU211" s="130" t="s">
        <v>4584</v>
      </c>
      <c r="AV211" s="130" t="s">
        <v>266</v>
      </c>
      <c r="AW211" s="104" t="s">
        <v>248</v>
      </c>
      <c r="AX211" s="130" t="s">
        <v>249</v>
      </c>
      <c r="AY211" s="130"/>
      <c r="AZ211" s="130"/>
      <c r="BA211" s="130"/>
      <c r="BB211" s="179"/>
      <c r="BC211" s="179"/>
      <c r="BD211" s="104"/>
      <c r="BE211" s="130"/>
      <c r="BF211" s="138">
        <v>14611</v>
      </c>
      <c r="BG211" s="130"/>
      <c r="BH211" s="185" t="s">
        <v>497</v>
      </c>
      <c r="BI211" s="130" t="s">
        <v>363</v>
      </c>
      <c r="BJ211" s="130" t="s">
        <v>252</v>
      </c>
      <c r="BK211" s="130" t="s">
        <v>253</v>
      </c>
      <c r="BL211" s="135"/>
      <c r="BM211" s="135"/>
      <c r="BN211" s="135"/>
      <c r="BO211" s="163">
        <v>150</v>
      </c>
      <c r="BP211" s="163">
        <v>200</v>
      </c>
      <c r="BQ211" s="130" t="s">
        <v>241</v>
      </c>
      <c r="BR211" s="135">
        <v>2</v>
      </c>
      <c r="BS211" s="135"/>
      <c r="BT211" s="163">
        <v>50</v>
      </c>
      <c r="BU211" s="163">
        <v>50</v>
      </c>
      <c r="BV211" s="130"/>
      <c r="BW211" s="104"/>
      <c r="BX211" s="135"/>
      <c r="BY211" s="135"/>
      <c r="BZ211" s="135">
        <v>3</v>
      </c>
      <c r="CA211" s="135">
        <v>3</v>
      </c>
      <c r="CB211" s="135">
        <v>2</v>
      </c>
      <c r="CC211" s="135">
        <v>3</v>
      </c>
      <c r="CD211" s="135">
        <v>6</v>
      </c>
      <c r="CE211" s="135">
        <v>8</v>
      </c>
      <c r="CF211" s="135">
        <v>2</v>
      </c>
      <c r="CG211" s="135">
        <v>3</v>
      </c>
      <c r="CH211" s="163"/>
      <c r="CI211" s="130"/>
      <c r="CJ211" s="135"/>
      <c r="CK211" s="135"/>
      <c r="CL211" s="130"/>
      <c r="CM211" s="193">
        <v>114102</v>
      </c>
      <c r="CN211" s="193"/>
      <c r="CO211" s="193"/>
      <c r="CP211" s="193">
        <v>114102</v>
      </c>
      <c r="CQ211" s="193"/>
      <c r="CR211" s="193"/>
    </row>
    <row r="212" spans="1:96" ht="15.75" customHeight="1" x14ac:dyDescent="0.35">
      <c r="A212" s="287" t="s">
        <v>555</v>
      </c>
      <c r="B212" s="80" t="s">
        <v>556</v>
      </c>
      <c r="C212" s="91" t="s">
        <v>480</v>
      </c>
      <c r="D212" s="138">
        <v>40101</v>
      </c>
      <c r="E212" s="135">
        <v>71001</v>
      </c>
      <c r="F212" s="135"/>
      <c r="G212" s="139"/>
      <c r="H212" s="135">
        <v>0</v>
      </c>
      <c r="I212" s="135"/>
      <c r="J212" s="135"/>
      <c r="K212" s="135">
        <v>1</v>
      </c>
      <c r="L212" s="135"/>
      <c r="M212" s="139"/>
      <c r="N212" s="139"/>
      <c r="O212" s="154"/>
      <c r="P212" s="135">
        <v>1</v>
      </c>
      <c r="Q212" s="135">
        <v>3</v>
      </c>
      <c r="R212" s="135"/>
      <c r="S212" s="163" t="s">
        <v>246</v>
      </c>
      <c r="T212" s="163" t="s">
        <v>246</v>
      </c>
      <c r="U212" s="163" t="s">
        <v>246</v>
      </c>
      <c r="V212" s="135"/>
      <c r="W212" s="135"/>
      <c r="X212" s="163"/>
      <c r="Y212" s="135">
        <v>1101</v>
      </c>
      <c r="Z212" s="135">
        <v>1000</v>
      </c>
      <c r="AA212" s="135">
        <v>200</v>
      </c>
      <c r="AB212" s="135">
        <v>1</v>
      </c>
      <c r="AC212" s="135"/>
      <c r="AD212" s="135"/>
      <c r="AE212" s="135"/>
      <c r="AF212" s="163">
        <v>1</v>
      </c>
      <c r="AG212" s="169">
        <v>100</v>
      </c>
      <c r="AH212" s="135"/>
      <c r="AI212" s="135"/>
      <c r="AJ212" s="135"/>
      <c r="AK212" s="135">
        <v>0</v>
      </c>
      <c r="AL212" s="135">
        <v>21010</v>
      </c>
      <c r="AM212" s="135">
        <v>1000</v>
      </c>
      <c r="AN212" s="135"/>
      <c r="AO212" s="130" t="s">
        <v>308</v>
      </c>
      <c r="AP212" s="130" t="s">
        <v>246</v>
      </c>
      <c r="AQ212" s="130" t="s">
        <v>309</v>
      </c>
      <c r="AR212" s="130" t="s">
        <v>246</v>
      </c>
      <c r="AS212" s="130" t="s">
        <v>309</v>
      </c>
      <c r="AT212" s="130" t="s">
        <v>246</v>
      </c>
      <c r="AU212" s="130"/>
      <c r="AV212" s="130" t="s">
        <v>266</v>
      </c>
      <c r="AW212" s="104" t="s">
        <v>248</v>
      </c>
      <c r="AX212" s="130" t="s">
        <v>249</v>
      </c>
      <c r="AY212" s="130"/>
      <c r="AZ212" s="130"/>
      <c r="BA212" s="130"/>
      <c r="BB212" s="179"/>
      <c r="BC212" s="179"/>
      <c r="BD212" s="104"/>
      <c r="BE212" s="130"/>
      <c r="BF212" s="135">
        <v>40101</v>
      </c>
      <c r="BG212" s="130"/>
      <c r="BH212" s="185" t="s">
        <v>557</v>
      </c>
      <c r="BI212" s="130" t="s">
        <v>280</v>
      </c>
      <c r="BJ212" s="130" t="s">
        <v>287</v>
      </c>
      <c r="BK212" s="130" t="s">
        <v>253</v>
      </c>
      <c r="BL212" s="135"/>
      <c r="BM212" s="135"/>
      <c r="BN212" s="135"/>
      <c r="BO212" s="163">
        <v>50</v>
      </c>
      <c r="BP212" s="163">
        <v>200</v>
      </c>
      <c r="BQ212" s="130" t="s">
        <v>241</v>
      </c>
      <c r="BR212" s="135">
        <v>1</v>
      </c>
      <c r="BS212" s="135"/>
      <c r="BT212" s="163">
        <v>50</v>
      </c>
      <c r="BU212" s="163">
        <v>40</v>
      </c>
      <c r="BV212" s="130"/>
      <c r="BW212" s="104"/>
      <c r="BX212" s="135"/>
      <c r="BY212" s="135"/>
      <c r="BZ212" s="135">
        <v>2</v>
      </c>
      <c r="CA212" s="135">
        <v>3</v>
      </c>
      <c r="CB212" s="135">
        <v>4</v>
      </c>
      <c r="CC212" s="135">
        <v>4</v>
      </c>
      <c r="CD212" s="135">
        <v>5</v>
      </c>
      <c r="CE212" s="135">
        <v>5</v>
      </c>
      <c r="CF212" s="135">
        <v>4</v>
      </c>
      <c r="CG212" s="135">
        <v>4</v>
      </c>
      <c r="CH212" s="163">
        <v>1</v>
      </c>
      <c r="CI212" s="130" t="s">
        <v>4527</v>
      </c>
      <c r="CJ212" s="135"/>
      <c r="CK212" s="135"/>
      <c r="CL212" s="130"/>
      <c r="CM212" s="193">
        <v>117001</v>
      </c>
      <c r="CN212" s="193">
        <v>100057</v>
      </c>
      <c r="CO212" s="193"/>
      <c r="CP212" s="193">
        <v>117001</v>
      </c>
      <c r="CQ212" s="193"/>
      <c r="CR212" s="193"/>
    </row>
    <row r="213" spans="1:96" ht="15.75" customHeight="1" x14ac:dyDescent="0.35">
      <c r="A213" s="288"/>
      <c r="B213" s="80" t="s">
        <v>558</v>
      </c>
      <c r="C213" s="92" t="s">
        <v>480</v>
      </c>
      <c r="D213" s="138">
        <v>40111</v>
      </c>
      <c r="E213" s="135">
        <v>71002</v>
      </c>
      <c r="F213" s="135"/>
      <c r="G213" s="139"/>
      <c r="H213" s="135">
        <v>0</v>
      </c>
      <c r="I213" s="135"/>
      <c r="J213" s="135"/>
      <c r="K213" s="135">
        <v>1</v>
      </c>
      <c r="L213" s="135"/>
      <c r="M213" s="139"/>
      <c r="N213" s="139"/>
      <c r="O213" s="154"/>
      <c r="P213" s="135">
        <v>1</v>
      </c>
      <c r="Q213" s="135">
        <v>3</v>
      </c>
      <c r="R213" s="135"/>
      <c r="S213" s="163" t="s">
        <v>246</v>
      </c>
      <c r="T213" s="163" t="s">
        <v>246</v>
      </c>
      <c r="U213" s="163" t="s">
        <v>246</v>
      </c>
      <c r="V213" s="135"/>
      <c r="W213" s="135"/>
      <c r="X213" s="163"/>
      <c r="Y213" s="135">
        <v>1102</v>
      </c>
      <c r="Z213" s="135">
        <v>1000</v>
      </c>
      <c r="AA213" s="135">
        <v>200</v>
      </c>
      <c r="AB213" s="135">
        <v>1</v>
      </c>
      <c r="AC213" s="135"/>
      <c r="AD213" s="135"/>
      <c r="AE213" s="135"/>
      <c r="AF213" s="163">
        <v>1</v>
      </c>
      <c r="AG213" s="169">
        <v>100</v>
      </c>
      <c r="AH213" s="135"/>
      <c r="AI213" s="135"/>
      <c r="AJ213" s="135"/>
      <c r="AK213" s="135">
        <v>0</v>
      </c>
      <c r="AL213" s="135">
        <v>21010</v>
      </c>
      <c r="AM213" s="135">
        <v>1000</v>
      </c>
      <c r="AN213" s="135"/>
      <c r="AO213" s="130" t="s">
        <v>308</v>
      </c>
      <c r="AP213" s="130" t="s">
        <v>246</v>
      </c>
      <c r="AQ213" s="130" t="s">
        <v>309</v>
      </c>
      <c r="AR213" s="130" t="s">
        <v>246</v>
      </c>
      <c r="AS213" s="130" t="s">
        <v>309</v>
      </c>
      <c r="AT213" s="130" t="s">
        <v>246</v>
      </c>
      <c r="AU213" s="130"/>
      <c r="AV213" s="130" t="s">
        <v>266</v>
      </c>
      <c r="AW213" s="104" t="s">
        <v>248</v>
      </c>
      <c r="AX213" s="130" t="s">
        <v>249</v>
      </c>
      <c r="AY213" s="130"/>
      <c r="AZ213" s="130"/>
      <c r="BA213" s="130"/>
      <c r="BB213" s="179"/>
      <c r="BC213" s="179"/>
      <c r="BD213" s="104"/>
      <c r="BE213" s="130"/>
      <c r="BF213" s="135">
        <v>40111</v>
      </c>
      <c r="BG213" s="130"/>
      <c r="BH213" s="185" t="s">
        <v>557</v>
      </c>
      <c r="BI213" s="130" t="s">
        <v>280</v>
      </c>
      <c r="BJ213" s="130" t="s">
        <v>287</v>
      </c>
      <c r="BK213" s="130" t="s">
        <v>253</v>
      </c>
      <c r="BL213" s="135"/>
      <c r="BM213" s="135"/>
      <c r="BN213" s="135"/>
      <c r="BO213" s="163">
        <v>50</v>
      </c>
      <c r="BP213" s="163">
        <v>200</v>
      </c>
      <c r="BQ213" s="130" t="s">
        <v>241</v>
      </c>
      <c r="BR213" s="135">
        <v>1</v>
      </c>
      <c r="BS213" s="135"/>
      <c r="BT213" s="163">
        <v>50</v>
      </c>
      <c r="BU213" s="163">
        <v>40</v>
      </c>
      <c r="BV213" s="130"/>
      <c r="BW213" s="104"/>
      <c r="BX213" s="135"/>
      <c r="BY213" s="135"/>
      <c r="BZ213" s="135">
        <v>2</v>
      </c>
      <c r="CA213" s="135">
        <v>3</v>
      </c>
      <c r="CB213" s="135">
        <v>4</v>
      </c>
      <c r="CC213" s="135">
        <v>4</v>
      </c>
      <c r="CD213" s="135">
        <v>5</v>
      </c>
      <c r="CE213" s="135">
        <v>5</v>
      </c>
      <c r="CF213" s="135">
        <v>4</v>
      </c>
      <c r="CG213" s="135">
        <v>4</v>
      </c>
      <c r="CH213" s="163">
        <v>7</v>
      </c>
      <c r="CI213" s="130" t="s">
        <v>4551</v>
      </c>
      <c r="CJ213" s="135"/>
      <c r="CK213" s="135"/>
      <c r="CL213" s="130"/>
      <c r="CM213" s="193">
        <v>117001</v>
      </c>
      <c r="CN213" s="193">
        <v>100057</v>
      </c>
      <c r="CO213" s="193"/>
      <c r="CP213" s="193">
        <v>117001</v>
      </c>
      <c r="CQ213" s="193"/>
      <c r="CR213" s="193"/>
    </row>
    <row r="214" spans="1:96" ht="15.75" customHeight="1" x14ac:dyDescent="0.35">
      <c r="A214" s="288"/>
      <c r="B214" s="80" t="s">
        <v>559</v>
      </c>
      <c r="C214" s="92" t="s">
        <v>560</v>
      </c>
      <c r="D214" s="138">
        <v>40121</v>
      </c>
      <c r="E214" s="135">
        <v>71003</v>
      </c>
      <c r="F214" s="135"/>
      <c r="G214" s="139"/>
      <c r="H214" s="135">
        <v>0</v>
      </c>
      <c r="I214" s="135"/>
      <c r="J214" s="135"/>
      <c r="K214" s="135">
        <v>1</v>
      </c>
      <c r="L214" s="135"/>
      <c r="M214" s="139"/>
      <c r="N214" s="139"/>
      <c r="O214" s="154"/>
      <c r="P214" s="135">
        <v>1</v>
      </c>
      <c r="Q214" s="135">
        <v>3</v>
      </c>
      <c r="R214" s="135"/>
      <c r="S214" s="163">
        <v>1</v>
      </c>
      <c r="T214" s="163">
        <v>1</v>
      </c>
      <c r="U214" s="163">
        <v>1</v>
      </c>
      <c r="V214" s="135"/>
      <c r="W214" s="135"/>
      <c r="X214" s="163"/>
      <c r="Y214" s="135">
        <v>1104</v>
      </c>
      <c r="Z214" s="135">
        <v>1000</v>
      </c>
      <c r="AA214" s="135">
        <v>200</v>
      </c>
      <c r="AB214" s="135">
        <v>1</v>
      </c>
      <c r="AC214" s="135"/>
      <c r="AD214" s="135"/>
      <c r="AE214" s="135"/>
      <c r="AF214" s="163">
        <v>1</v>
      </c>
      <c r="AG214" s="169">
        <v>100</v>
      </c>
      <c r="AH214" s="135"/>
      <c r="AI214" s="135"/>
      <c r="AJ214" s="135"/>
      <c r="AK214" s="135">
        <v>0</v>
      </c>
      <c r="AL214" s="135">
        <v>21011</v>
      </c>
      <c r="AM214" s="135">
        <v>1100</v>
      </c>
      <c r="AN214" s="135"/>
      <c r="AO214" s="130" t="s">
        <v>311</v>
      </c>
      <c r="AP214" s="130" t="s">
        <v>246</v>
      </c>
      <c r="AQ214" s="130" t="s">
        <v>312</v>
      </c>
      <c r="AR214" s="130" t="s">
        <v>246</v>
      </c>
      <c r="AS214" s="130" t="s">
        <v>312</v>
      </c>
      <c r="AT214" s="130" t="s">
        <v>246</v>
      </c>
      <c r="AU214" s="130"/>
      <c r="AV214" s="130" t="s">
        <v>266</v>
      </c>
      <c r="AW214" s="104" t="s">
        <v>248</v>
      </c>
      <c r="AX214" s="130" t="s">
        <v>249</v>
      </c>
      <c r="AY214" s="130"/>
      <c r="AZ214" s="130"/>
      <c r="BA214" s="130"/>
      <c r="BB214" s="179"/>
      <c r="BC214" s="179"/>
      <c r="BD214" s="104"/>
      <c r="BE214" s="130"/>
      <c r="BF214" s="138">
        <v>40121</v>
      </c>
      <c r="BG214" s="130"/>
      <c r="BH214" s="185" t="s">
        <v>557</v>
      </c>
      <c r="BI214" s="130" t="s">
        <v>313</v>
      </c>
      <c r="BJ214" s="130" t="s">
        <v>300</v>
      </c>
      <c r="BK214" s="130" t="s">
        <v>253</v>
      </c>
      <c r="BL214" s="135"/>
      <c r="BM214" s="135"/>
      <c r="BN214" s="135"/>
      <c r="BO214" s="163">
        <v>100</v>
      </c>
      <c r="BP214" s="163">
        <v>200</v>
      </c>
      <c r="BQ214" s="130" t="s">
        <v>241</v>
      </c>
      <c r="BR214" s="135">
        <v>1</v>
      </c>
      <c r="BS214" s="135"/>
      <c r="BT214" s="163">
        <v>50</v>
      </c>
      <c r="BU214" s="163">
        <v>50</v>
      </c>
      <c r="BV214" s="130"/>
      <c r="BW214" s="104"/>
      <c r="BX214" s="135"/>
      <c r="BY214" s="135"/>
      <c r="BZ214" s="135">
        <v>1</v>
      </c>
      <c r="CA214" s="135">
        <v>1</v>
      </c>
      <c r="CB214" s="135">
        <v>1</v>
      </c>
      <c r="CC214" s="135">
        <v>2</v>
      </c>
      <c r="CD214" s="135">
        <v>2</v>
      </c>
      <c r="CE214" s="135">
        <v>2</v>
      </c>
      <c r="CF214" s="135">
        <v>1</v>
      </c>
      <c r="CG214" s="135">
        <v>2</v>
      </c>
      <c r="CH214" s="163">
        <v>20</v>
      </c>
      <c r="CI214" s="130" t="s">
        <v>4516</v>
      </c>
      <c r="CJ214" s="135"/>
      <c r="CK214" s="135"/>
      <c r="CL214" s="130"/>
      <c r="CM214" s="193">
        <v>117001</v>
      </c>
      <c r="CN214" s="193">
        <v>100057</v>
      </c>
      <c r="CO214" s="193"/>
      <c r="CP214" s="193">
        <v>117001</v>
      </c>
      <c r="CQ214" s="193"/>
      <c r="CR214" s="193"/>
    </row>
    <row r="215" spans="1:96" ht="15.75" customHeight="1" x14ac:dyDescent="0.35">
      <c r="A215" s="288"/>
      <c r="B215" s="80" t="s">
        <v>561</v>
      </c>
      <c r="C215" s="92" t="s">
        <v>382</v>
      </c>
      <c r="D215" s="138">
        <v>40131</v>
      </c>
      <c r="E215" s="135">
        <v>71004</v>
      </c>
      <c r="F215" s="135"/>
      <c r="G215" s="139"/>
      <c r="H215" s="135">
        <v>0</v>
      </c>
      <c r="I215" s="135"/>
      <c r="J215" s="135"/>
      <c r="K215" s="135">
        <v>1</v>
      </c>
      <c r="L215" s="135"/>
      <c r="M215" s="139"/>
      <c r="N215" s="139"/>
      <c r="O215" s="154"/>
      <c r="P215" s="135">
        <v>3</v>
      </c>
      <c r="Q215" s="135">
        <v>3</v>
      </c>
      <c r="R215" s="135"/>
      <c r="S215" s="163">
        <v>1</v>
      </c>
      <c r="T215" s="163">
        <v>1</v>
      </c>
      <c r="U215" s="163">
        <v>1</v>
      </c>
      <c r="V215" s="135"/>
      <c r="W215" s="135"/>
      <c r="X215" s="163"/>
      <c r="Y215" s="135">
        <v>1202</v>
      </c>
      <c r="Z215" s="135">
        <v>1000</v>
      </c>
      <c r="AA215" s="135">
        <v>200</v>
      </c>
      <c r="AB215" s="135">
        <v>1</v>
      </c>
      <c r="AC215" s="135"/>
      <c r="AD215" s="135"/>
      <c r="AE215" s="135"/>
      <c r="AF215" s="163">
        <v>1</v>
      </c>
      <c r="AG215" s="169">
        <v>100</v>
      </c>
      <c r="AH215" s="135"/>
      <c r="AI215" s="135"/>
      <c r="AJ215" s="135"/>
      <c r="AK215" s="135">
        <v>0</v>
      </c>
      <c r="AL215" s="135">
        <v>21001</v>
      </c>
      <c r="AM215" s="135">
        <v>1000</v>
      </c>
      <c r="AN215" s="135"/>
      <c r="AO215" s="130" t="s">
        <v>271</v>
      </c>
      <c r="AP215" s="130" t="s">
        <v>272</v>
      </c>
      <c r="AQ215" s="130" t="s">
        <v>271</v>
      </c>
      <c r="AR215" s="130" t="s">
        <v>272</v>
      </c>
      <c r="AS215" s="130" t="s">
        <v>271</v>
      </c>
      <c r="AT215" s="130" t="s">
        <v>272</v>
      </c>
      <c r="AU215" s="130"/>
      <c r="AV215" s="130" t="s">
        <v>273</v>
      </c>
      <c r="AW215" s="104" t="s">
        <v>248</v>
      </c>
      <c r="AX215" s="130" t="s">
        <v>249</v>
      </c>
      <c r="AY215" s="130"/>
      <c r="AZ215" s="130"/>
      <c r="BA215" s="130"/>
      <c r="BB215" s="179"/>
      <c r="BC215" s="179"/>
      <c r="BD215" s="104"/>
      <c r="BE215" s="130"/>
      <c r="BF215" s="138">
        <v>40131</v>
      </c>
      <c r="BG215" s="130"/>
      <c r="BH215" s="185" t="s">
        <v>557</v>
      </c>
      <c r="BI215" s="130" t="s">
        <v>251</v>
      </c>
      <c r="BJ215" s="130" t="s">
        <v>275</v>
      </c>
      <c r="BK215" s="130" t="s">
        <v>253</v>
      </c>
      <c r="BL215" s="135"/>
      <c r="BM215" s="135"/>
      <c r="BN215" s="135"/>
      <c r="BO215" s="163">
        <v>100</v>
      </c>
      <c r="BP215" s="163">
        <v>200</v>
      </c>
      <c r="BQ215" s="130" t="s">
        <v>241</v>
      </c>
      <c r="BR215" s="135">
        <v>1</v>
      </c>
      <c r="BS215" s="135"/>
      <c r="BT215" s="163">
        <v>50</v>
      </c>
      <c r="BU215" s="163">
        <v>10</v>
      </c>
      <c r="BV215" s="130"/>
      <c r="BW215" s="104"/>
      <c r="BX215" s="135"/>
      <c r="BY215" s="135"/>
      <c r="BZ215" s="135">
        <v>2</v>
      </c>
      <c r="CA215" s="135">
        <v>2</v>
      </c>
      <c r="CB215" s="135">
        <v>3</v>
      </c>
      <c r="CC215" s="135">
        <v>3</v>
      </c>
      <c r="CD215" s="135">
        <v>4</v>
      </c>
      <c r="CE215" s="135">
        <v>4</v>
      </c>
      <c r="CF215" s="135">
        <v>3</v>
      </c>
      <c r="CG215" s="135">
        <v>3</v>
      </c>
      <c r="CH215" s="163">
        <v>2</v>
      </c>
      <c r="CI215" s="130" t="s">
        <v>4527</v>
      </c>
      <c r="CJ215" s="135"/>
      <c r="CK215" s="135"/>
      <c r="CL215" s="130"/>
      <c r="CM215" s="193">
        <v>117001</v>
      </c>
      <c r="CN215" s="193">
        <v>100057</v>
      </c>
      <c r="CO215" s="193"/>
      <c r="CP215" s="193">
        <v>117001</v>
      </c>
      <c r="CQ215" s="193"/>
      <c r="CR215" s="193"/>
    </row>
    <row r="216" spans="1:96" ht="15.75" customHeight="1" x14ac:dyDescent="0.35">
      <c r="A216" s="288"/>
      <c r="B216" s="93" t="s">
        <v>562</v>
      </c>
      <c r="C216" s="92" t="s">
        <v>386</v>
      </c>
      <c r="D216" s="138">
        <v>40201</v>
      </c>
      <c r="E216" s="135">
        <v>71005</v>
      </c>
      <c r="F216" s="135"/>
      <c r="G216" s="139"/>
      <c r="H216" s="135"/>
      <c r="I216" s="135"/>
      <c r="J216" s="135"/>
      <c r="K216" s="135">
        <v>1</v>
      </c>
      <c r="L216" s="135"/>
      <c r="M216" s="139"/>
      <c r="N216" s="139"/>
      <c r="O216" s="154"/>
      <c r="P216" s="135">
        <v>1</v>
      </c>
      <c r="Q216" s="135">
        <v>3</v>
      </c>
      <c r="R216" s="135"/>
      <c r="S216" s="163">
        <v>1</v>
      </c>
      <c r="T216" s="163">
        <v>1</v>
      </c>
      <c r="U216" s="163">
        <v>1</v>
      </c>
      <c r="V216" s="135"/>
      <c r="W216" s="135"/>
      <c r="X216" s="163"/>
      <c r="Y216" s="135">
        <v>1107</v>
      </c>
      <c r="Z216" s="135">
        <v>1000</v>
      </c>
      <c r="AA216" s="135">
        <v>200</v>
      </c>
      <c r="AB216" s="135">
        <v>2</v>
      </c>
      <c r="AC216" s="135"/>
      <c r="AD216" s="135"/>
      <c r="AE216" s="135"/>
      <c r="AF216" s="163">
        <v>1</v>
      </c>
      <c r="AG216" s="169">
        <v>100</v>
      </c>
      <c r="AH216" s="135"/>
      <c r="AI216" s="135"/>
      <c r="AJ216" s="135"/>
      <c r="AK216" s="135">
        <v>0</v>
      </c>
      <c r="AL216" s="135">
        <v>21035</v>
      </c>
      <c r="AM216" s="135">
        <v>1000</v>
      </c>
      <c r="AN216" s="135"/>
      <c r="AO216" s="130" t="s">
        <v>440</v>
      </c>
      <c r="AP216" s="130" t="s">
        <v>272</v>
      </c>
      <c r="AQ216" s="130" t="s">
        <v>441</v>
      </c>
      <c r="AR216" s="130" t="s">
        <v>272</v>
      </c>
      <c r="AS216" s="130" t="s">
        <v>441</v>
      </c>
      <c r="AT216" s="130" t="s">
        <v>272</v>
      </c>
      <c r="AU216" s="130"/>
      <c r="AV216" s="130" t="s">
        <v>266</v>
      </c>
      <c r="AW216" s="104" t="s">
        <v>248</v>
      </c>
      <c r="AX216" s="130" t="s">
        <v>249</v>
      </c>
      <c r="AY216" s="130"/>
      <c r="AZ216" s="130"/>
      <c r="BA216" s="130"/>
      <c r="BB216" s="179"/>
      <c r="BC216" s="179"/>
      <c r="BD216" s="104"/>
      <c r="BE216" s="130"/>
      <c r="BF216" s="138">
        <v>40201</v>
      </c>
      <c r="BG216" s="130"/>
      <c r="BH216" s="185" t="s">
        <v>557</v>
      </c>
      <c r="BI216" s="130" t="s">
        <v>280</v>
      </c>
      <c r="BJ216" s="130" t="s">
        <v>269</v>
      </c>
      <c r="BK216" s="130" t="s">
        <v>253</v>
      </c>
      <c r="BL216" s="135"/>
      <c r="BM216" s="135"/>
      <c r="BN216" s="135"/>
      <c r="BO216" s="163">
        <v>100</v>
      </c>
      <c r="BP216" s="163">
        <v>200</v>
      </c>
      <c r="BQ216" s="130" t="s">
        <v>241</v>
      </c>
      <c r="BR216" s="135">
        <v>1</v>
      </c>
      <c r="BS216" s="135"/>
      <c r="BT216" s="163">
        <v>50</v>
      </c>
      <c r="BU216" s="163">
        <v>40</v>
      </c>
      <c r="BV216" s="130"/>
      <c r="BW216" s="104"/>
      <c r="BX216" s="135"/>
      <c r="BY216" s="135"/>
      <c r="BZ216" s="135">
        <v>3</v>
      </c>
      <c r="CA216" s="135">
        <v>4</v>
      </c>
      <c r="CB216" s="135">
        <v>5</v>
      </c>
      <c r="CC216" s="135">
        <v>6</v>
      </c>
      <c r="CD216" s="135">
        <v>7</v>
      </c>
      <c r="CE216" s="135">
        <v>8</v>
      </c>
      <c r="CF216" s="135">
        <v>5</v>
      </c>
      <c r="CG216" s="135">
        <v>6</v>
      </c>
      <c r="CH216" s="163">
        <v>1</v>
      </c>
      <c r="CI216" s="130" t="s">
        <v>4565</v>
      </c>
      <c r="CJ216" s="135"/>
      <c r="CK216" s="135"/>
      <c r="CL216" s="130"/>
      <c r="CM216" s="193">
        <v>117001</v>
      </c>
      <c r="CN216" s="193">
        <v>100057</v>
      </c>
      <c r="CO216" s="193"/>
      <c r="CP216" s="193">
        <v>117001</v>
      </c>
      <c r="CQ216" s="193"/>
      <c r="CR216" s="193"/>
    </row>
    <row r="217" spans="1:96" ht="15.75" customHeight="1" x14ac:dyDescent="0.35">
      <c r="A217" s="288"/>
      <c r="B217" s="93" t="s">
        <v>563</v>
      </c>
      <c r="C217" s="92" t="s">
        <v>386</v>
      </c>
      <c r="D217" s="138">
        <v>40211</v>
      </c>
      <c r="E217" s="135">
        <v>71006</v>
      </c>
      <c r="F217" s="135"/>
      <c r="G217" s="139"/>
      <c r="H217" s="135"/>
      <c r="I217" s="135"/>
      <c r="J217" s="135"/>
      <c r="K217" s="135">
        <v>1</v>
      </c>
      <c r="L217" s="135"/>
      <c r="M217" s="139"/>
      <c r="N217" s="139"/>
      <c r="O217" s="154"/>
      <c r="P217" s="135">
        <v>1</v>
      </c>
      <c r="Q217" s="135">
        <v>3</v>
      </c>
      <c r="R217" s="135"/>
      <c r="S217" s="163">
        <v>1</v>
      </c>
      <c r="T217" s="163">
        <v>1</v>
      </c>
      <c r="U217" s="163">
        <v>1</v>
      </c>
      <c r="V217" s="135"/>
      <c r="W217" s="135"/>
      <c r="X217" s="163"/>
      <c r="Y217" s="135">
        <v>1031</v>
      </c>
      <c r="Z217" s="135">
        <v>1300</v>
      </c>
      <c r="AA217" s="135">
        <v>200</v>
      </c>
      <c r="AB217" s="135">
        <v>2</v>
      </c>
      <c r="AC217" s="135"/>
      <c r="AD217" s="135"/>
      <c r="AE217" s="135"/>
      <c r="AF217" s="163">
        <v>1</v>
      </c>
      <c r="AG217" s="169">
        <v>100</v>
      </c>
      <c r="AH217" s="135"/>
      <c r="AI217" s="135"/>
      <c r="AJ217" s="135"/>
      <c r="AK217" s="135">
        <v>0</v>
      </c>
      <c r="AL217" s="135">
        <v>21035</v>
      </c>
      <c r="AM217" s="135">
        <v>1000</v>
      </c>
      <c r="AN217" s="135"/>
      <c r="AO217" s="130" t="s">
        <v>440</v>
      </c>
      <c r="AP217" s="130" t="s">
        <v>272</v>
      </c>
      <c r="AQ217" s="130" t="s">
        <v>441</v>
      </c>
      <c r="AR217" s="130" t="s">
        <v>272</v>
      </c>
      <c r="AS217" s="130" t="s">
        <v>441</v>
      </c>
      <c r="AT217" s="130" t="s">
        <v>272</v>
      </c>
      <c r="AU217" s="130"/>
      <c r="AV217" s="130" t="s">
        <v>266</v>
      </c>
      <c r="AW217" s="104" t="s">
        <v>248</v>
      </c>
      <c r="AX217" s="130" t="s">
        <v>249</v>
      </c>
      <c r="AY217" s="130"/>
      <c r="AZ217" s="130"/>
      <c r="BA217" s="130"/>
      <c r="BB217" s="179"/>
      <c r="BC217" s="179"/>
      <c r="BD217" s="104"/>
      <c r="BE217" s="130"/>
      <c r="BF217" s="138">
        <v>40211</v>
      </c>
      <c r="BG217" s="130"/>
      <c r="BH217" s="185" t="s">
        <v>557</v>
      </c>
      <c r="BI217" s="130" t="s">
        <v>280</v>
      </c>
      <c r="BJ217" s="130" t="s">
        <v>269</v>
      </c>
      <c r="BK217" s="130" t="s">
        <v>253</v>
      </c>
      <c r="BL217" s="135"/>
      <c r="BM217" s="135"/>
      <c r="BN217" s="135"/>
      <c r="BO217" s="163">
        <v>100</v>
      </c>
      <c r="BP217" s="163">
        <v>200</v>
      </c>
      <c r="BQ217" s="130" t="s">
        <v>241</v>
      </c>
      <c r="BR217" s="135">
        <v>1</v>
      </c>
      <c r="BS217" s="135"/>
      <c r="BT217" s="163">
        <v>50</v>
      </c>
      <c r="BU217" s="163">
        <v>40</v>
      </c>
      <c r="BV217" s="130"/>
      <c r="BW217" s="104"/>
      <c r="BX217" s="135"/>
      <c r="BY217" s="135"/>
      <c r="BZ217" s="135">
        <v>3</v>
      </c>
      <c r="CA217" s="135">
        <v>4</v>
      </c>
      <c r="CB217" s="135">
        <v>5</v>
      </c>
      <c r="CC217" s="135">
        <v>6</v>
      </c>
      <c r="CD217" s="135">
        <v>7</v>
      </c>
      <c r="CE217" s="135">
        <v>8</v>
      </c>
      <c r="CF217" s="135">
        <v>5</v>
      </c>
      <c r="CG217" s="135">
        <v>6</v>
      </c>
      <c r="CH217" s="163">
        <v>7</v>
      </c>
      <c r="CI217" s="130" t="s">
        <v>4566</v>
      </c>
      <c r="CJ217" s="135"/>
      <c r="CK217" s="135"/>
      <c r="CL217" s="130"/>
      <c r="CM217" s="193">
        <v>117001</v>
      </c>
      <c r="CN217" s="193">
        <v>100057</v>
      </c>
      <c r="CO217" s="193"/>
      <c r="CP217" s="193">
        <v>117001</v>
      </c>
      <c r="CQ217" s="193"/>
      <c r="CR217" s="193"/>
    </row>
    <row r="218" spans="1:96" ht="15.75" customHeight="1" x14ac:dyDescent="0.35">
      <c r="A218" s="288"/>
      <c r="B218" s="94" t="s">
        <v>564</v>
      </c>
      <c r="C218" s="92" t="s">
        <v>565</v>
      </c>
      <c r="D218" s="138">
        <v>40221</v>
      </c>
      <c r="E218" s="135">
        <v>71007</v>
      </c>
      <c r="F218" s="135"/>
      <c r="G218" s="135"/>
      <c r="H218" s="135">
        <v>0</v>
      </c>
      <c r="I218" s="135"/>
      <c r="J218" s="135"/>
      <c r="K218" s="135">
        <v>1</v>
      </c>
      <c r="L218" s="135"/>
      <c r="M218" s="135"/>
      <c r="N218" s="135"/>
      <c r="O218" s="154"/>
      <c r="P218" s="135">
        <v>1</v>
      </c>
      <c r="Q218" s="135">
        <v>3</v>
      </c>
      <c r="R218" s="135"/>
      <c r="S218" s="163">
        <v>1</v>
      </c>
      <c r="T218" s="163">
        <v>1</v>
      </c>
      <c r="U218" s="163">
        <v>1</v>
      </c>
      <c r="V218" s="135"/>
      <c r="W218" s="135"/>
      <c r="X218" s="163"/>
      <c r="Y218" s="135">
        <v>11101</v>
      </c>
      <c r="Z218" s="135">
        <v>1000</v>
      </c>
      <c r="AA218" s="135">
        <v>300</v>
      </c>
      <c r="AB218" s="135">
        <v>1</v>
      </c>
      <c r="AC218" s="135"/>
      <c r="AD218" s="135"/>
      <c r="AE218" s="135"/>
      <c r="AF218" s="163">
        <v>1</v>
      </c>
      <c r="AG218" s="163">
        <v>100</v>
      </c>
      <c r="AH218" s="135"/>
      <c r="AI218" s="135"/>
      <c r="AJ218" s="135"/>
      <c r="AK218" s="135">
        <v>0</v>
      </c>
      <c r="AL218" s="135">
        <v>21014</v>
      </c>
      <c r="AM218" s="135">
        <v>1000</v>
      </c>
      <c r="AN218" s="135"/>
      <c r="AO218" s="130" t="s">
        <v>316</v>
      </c>
      <c r="AP218" s="130" t="s">
        <v>272</v>
      </c>
      <c r="AQ218" s="130" t="s">
        <v>317</v>
      </c>
      <c r="AR218" s="130" t="s">
        <v>272</v>
      </c>
      <c r="AS218" s="130" t="s">
        <v>317</v>
      </c>
      <c r="AT218" s="130" t="s">
        <v>272</v>
      </c>
      <c r="AU218" s="130"/>
      <c r="AV218" s="130"/>
      <c r="AW218" s="130" t="s">
        <v>248</v>
      </c>
      <c r="AX218" s="130" t="s">
        <v>249</v>
      </c>
      <c r="AY218" s="130" t="s">
        <v>318</v>
      </c>
      <c r="AZ218" s="130">
        <v>1</v>
      </c>
      <c r="BA218" s="130" t="s">
        <v>319</v>
      </c>
      <c r="BB218" s="179"/>
      <c r="BC218" s="179"/>
      <c r="BD218" s="130"/>
      <c r="BE218" s="130"/>
      <c r="BF218" s="138">
        <v>40221</v>
      </c>
      <c r="BG218" s="130"/>
      <c r="BH218" s="185" t="s">
        <v>557</v>
      </c>
      <c r="BI218" s="130" t="s">
        <v>280</v>
      </c>
      <c r="BJ218" s="130" t="s">
        <v>297</v>
      </c>
      <c r="BK218" s="130" t="s">
        <v>253</v>
      </c>
      <c r="BL218" s="135"/>
      <c r="BM218" s="135"/>
      <c r="BN218" s="135"/>
      <c r="BO218" s="163">
        <v>100</v>
      </c>
      <c r="BP218" s="163">
        <v>200</v>
      </c>
      <c r="BQ218" s="130" t="s">
        <v>241</v>
      </c>
      <c r="BR218" s="135">
        <v>1</v>
      </c>
      <c r="BS218" s="135"/>
      <c r="BT218" s="163">
        <v>50</v>
      </c>
      <c r="BU218" s="163">
        <v>50</v>
      </c>
      <c r="BV218" s="130"/>
      <c r="BW218" s="130"/>
      <c r="BX218" s="135"/>
      <c r="BY218" s="135"/>
      <c r="BZ218" s="135">
        <v>3</v>
      </c>
      <c r="CA218" s="135">
        <v>4</v>
      </c>
      <c r="CB218" s="135">
        <v>4</v>
      </c>
      <c r="CC218" s="135">
        <v>5</v>
      </c>
      <c r="CD218" s="135">
        <v>5</v>
      </c>
      <c r="CE218" s="135">
        <v>6</v>
      </c>
      <c r="CF218" s="135">
        <v>4</v>
      </c>
      <c r="CG218" s="135">
        <v>5</v>
      </c>
      <c r="CH218" s="163">
        <v>26</v>
      </c>
      <c r="CI218" s="130" t="s">
        <v>4567</v>
      </c>
      <c r="CJ218" s="135"/>
      <c r="CK218" s="135"/>
      <c r="CL218" s="130"/>
      <c r="CM218" s="193">
        <v>117001</v>
      </c>
      <c r="CN218" s="193">
        <v>100057</v>
      </c>
      <c r="CO218" s="193"/>
      <c r="CP218" s="193">
        <v>117001</v>
      </c>
      <c r="CQ218" s="193"/>
      <c r="CR218" s="193"/>
    </row>
    <row r="219" spans="1:96" ht="15.75" customHeight="1" x14ac:dyDescent="0.35">
      <c r="A219" s="288"/>
      <c r="B219" s="81" t="s">
        <v>566</v>
      </c>
      <c r="C219" s="92" t="s">
        <v>449</v>
      </c>
      <c r="D219" s="138">
        <v>40231</v>
      </c>
      <c r="E219" s="135">
        <v>71008</v>
      </c>
      <c r="F219" s="135"/>
      <c r="G219" s="135"/>
      <c r="H219" s="135">
        <v>0</v>
      </c>
      <c r="I219" s="135"/>
      <c r="J219" s="135"/>
      <c r="K219" s="135">
        <v>1</v>
      </c>
      <c r="L219" s="135"/>
      <c r="M219" s="135"/>
      <c r="N219" s="135"/>
      <c r="O219" s="154"/>
      <c r="P219" s="135">
        <v>1</v>
      </c>
      <c r="Q219" s="135">
        <v>3</v>
      </c>
      <c r="R219" s="135"/>
      <c r="S219" s="163">
        <v>1</v>
      </c>
      <c r="T219" s="163">
        <v>1</v>
      </c>
      <c r="U219" s="163">
        <v>1</v>
      </c>
      <c r="V219" s="135"/>
      <c r="W219" s="135"/>
      <c r="X219" s="163"/>
      <c r="Y219" s="135">
        <v>1210</v>
      </c>
      <c r="Z219" s="135">
        <v>1000</v>
      </c>
      <c r="AA219" s="135">
        <v>300</v>
      </c>
      <c r="AB219" s="135">
        <v>1</v>
      </c>
      <c r="AC219" s="135"/>
      <c r="AD219" s="135"/>
      <c r="AE219" s="135"/>
      <c r="AF219" s="163">
        <v>1</v>
      </c>
      <c r="AG219" s="163">
        <v>100</v>
      </c>
      <c r="AH219" s="135"/>
      <c r="AI219" s="135"/>
      <c r="AJ219" s="135"/>
      <c r="AK219" s="135">
        <v>0</v>
      </c>
      <c r="AL219" s="135">
        <v>21005</v>
      </c>
      <c r="AM219" s="135">
        <v>1000</v>
      </c>
      <c r="AN219" s="135"/>
      <c r="AO219" s="130" t="s">
        <v>524</v>
      </c>
      <c r="AP219" s="130">
        <v>1</v>
      </c>
      <c r="AQ219" s="130" t="s">
        <v>524</v>
      </c>
      <c r="AR219" s="130">
        <v>1</v>
      </c>
      <c r="AS219" s="130" t="s">
        <v>524</v>
      </c>
      <c r="AT219" s="130">
        <v>1</v>
      </c>
      <c r="AU219" s="130"/>
      <c r="AV219" s="130"/>
      <c r="AW219" s="130" t="s">
        <v>248</v>
      </c>
      <c r="AX219" s="130" t="s">
        <v>249</v>
      </c>
      <c r="AY219" s="130" t="s">
        <v>318</v>
      </c>
      <c r="AZ219" s="130">
        <v>1</v>
      </c>
      <c r="BA219" s="130" t="s">
        <v>319</v>
      </c>
      <c r="BB219" s="179"/>
      <c r="BC219" s="179"/>
      <c r="BD219" s="130"/>
      <c r="BE219" s="130"/>
      <c r="BF219" s="138">
        <v>40231</v>
      </c>
      <c r="BG219" s="130"/>
      <c r="BH219" s="185" t="s">
        <v>557</v>
      </c>
      <c r="BI219" s="130" t="s">
        <v>280</v>
      </c>
      <c r="BJ219" s="130" t="s">
        <v>297</v>
      </c>
      <c r="BK219" s="130" t="s">
        <v>253</v>
      </c>
      <c r="BL219" s="135"/>
      <c r="BM219" s="135"/>
      <c r="BN219" s="135"/>
      <c r="BO219" s="163">
        <v>100</v>
      </c>
      <c r="BP219" s="163">
        <v>200</v>
      </c>
      <c r="BQ219" s="130" t="s">
        <v>241</v>
      </c>
      <c r="BR219" s="135">
        <v>1</v>
      </c>
      <c r="BS219" s="135"/>
      <c r="BT219" s="163">
        <v>50</v>
      </c>
      <c r="BU219" s="163">
        <v>50</v>
      </c>
      <c r="BV219" s="130"/>
      <c r="BW219" s="130"/>
      <c r="BX219" s="135"/>
      <c r="BY219" s="135"/>
      <c r="BZ219" s="135">
        <v>3</v>
      </c>
      <c r="CA219" s="135">
        <v>4</v>
      </c>
      <c r="CB219" s="135">
        <v>4</v>
      </c>
      <c r="CC219" s="135">
        <v>5</v>
      </c>
      <c r="CD219" s="135">
        <v>5</v>
      </c>
      <c r="CE219" s="135">
        <v>6</v>
      </c>
      <c r="CF219" s="135">
        <v>4</v>
      </c>
      <c r="CG219" s="135">
        <v>5</v>
      </c>
      <c r="CH219" s="163">
        <v>25</v>
      </c>
      <c r="CI219" s="130" t="s">
        <v>4564</v>
      </c>
      <c r="CJ219" s="135"/>
      <c r="CK219" s="135"/>
      <c r="CL219" s="130"/>
      <c r="CM219" s="193">
        <v>117001</v>
      </c>
      <c r="CN219" s="193">
        <v>100057</v>
      </c>
      <c r="CO219" s="193"/>
      <c r="CP219" s="193">
        <v>117001</v>
      </c>
      <c r="CQ219" s="193"/>
      <c r="CR219" s="193"/>
    </row>
    <row r="220" spans="1:96" ht="15.75" customHeight="1" x14ac:dyDescent="0.35">
      <c r="A220" s="288"/>
      <c r="B220" s="81" t="s">
        <v>567</v>
      </c>
      <c r="C220" s="92" t="s">
        <v>568</v>
      </c>
      <c r="D220" s="138">
        <v>40241</v>
      </c>
      <c r="E220" s="135">
        <v>71009</v>
      </c>
      <c r="F220" s="135"/>
      <c r="G220" s="139"/>
      <c r="H220" s="135"/>
      <c r="I220" s="135"/>
      <c r="J220" s="135"/>
      <c r="K220" s="135">
        <v>1</v>
      </c>
      <c r="L220" s="139"/>
      <c r="M220" s="139"/>
      <c r="N220" s="139"/>
      <c r="O220" s="154"/>
      <c r="P220" s="135">
        <v>2</v>
      </c>
      <c r="Q220" s="135">
        <v>3</v>
      </c>
      <c r="R220" s="135"/>
      <c r="S220" s="163">
        <v>1</v>
      </c>
      <c r="T220" s="163">
        <v>1</v>
      </c>
      <c r="U220" s="163">
        <v>1</v>
      </c>
      <c r="V220" s="135"/>
      <c r="W220" s="135"/>
      <c r="X220" s="163"/>
      <c r="Y220" s="135">
        <v>1822</v>
      </c>
      <c r="Z220" s="135">
        <v>700</v>
      </c>
      <c r="AA220" s="135">
        <v>400</v>
      </c>
      <c r="AB220" s="135"/>
      <c r="AC220" s="135"/>
      <c r="AD220" s="135"/>
      <c r="AE220" s="135"/>
      <c r="AF220" s="163">
        <v>1</v>
      </c>
      <c r="AG220" s="169">
        <v>100</v>
      </c>
      <c r="AH220" s="135"/>
      <c r="AI220" s="135"/>
      <c r="AJ220" s="135"/>
      <c r="AK220" s="135">
        <v>0</v>
      </c>
      <c r="AL220" s="135">
        <v>21002</v>
      </c>
      <c r="AM220" s="135">
        <v>1000</v>
      </c>
      <c r="AN220" s="135"/>
      <c r="AO220" s="130" t="s">
        <v>265</v>
      </c>
      <c r="AP220" s="130" t="s">
        <v>246</v>
      </c>
      <c r="AQ220" s="130" t="s">
        <v>265</v>
      </c>
      <c r="AR220" s="130" t="s">
        <v>246</v>
      </c>
      <c r="AS220" s="130" t="s">
        <v>265</v>
      </c>
      <c r="AT220" s="130" t="s">
        <v>246</v>
      </c>
      <c r="AU220" s="130"/>
      <c r="AV220" s="130" t="s">
        <v>266</v>
      </c>
      <c r="AW220" s="104" t="s">
        <v>248</v>
      </c>
      <c r="AX220" s="130" t="s">
        <v>249</v>
      </c>
      <c r="AY220" s="130"/>
      <c r="AZ220" s="130"/>
      <c r="BA220" s="130"/>
      <c r="BB220" s="179"/>
      <c r="BC220" s="179"/>
      <c r="BD220" s="104"/>
      <c r="BE220" s="130"/>
      <c r="BF220" s="135">
        <v>40241</v>
      </c>
      <c r="BG220" s="130"/>
      <c r="BH220" s="185" t="s">
        <v>557</v>
      </c>
      <c r="BI220" s="130" t="s">
        <v>363</v>
      </c>
      <c r="BJ220" s="130" t="s">
        <v>269</v>
      </c>
      <c r="BK220" s="130" t="s">
        <v>253</v>
      </c>
      <c r="BL220" s="135"/>
      <c r="BM220" s="135"/>
      <c r="BN220" s="135"/>
      <c r="BO220" s="163">
        <v>100</v>
      </c>
      <c r="BP220" s="163">
        <v>200</v>
      </c>
      <c r="BQ220" s="130" t="s">
        <v>241</v>
      </c>
      <c r="BR220" s="135">
        <v>1</v>
      </c>
      <c r="BS220" s="135"/>
      <c r="BT220" s="163">
        <v>50</v>
      </c>
      <c r="BU220" s="163">
        <v>40</v>
      </c>
      <c r="BV220" s="130"/>
      <c r="BW220" s="104"/>
      <c r="BX220" s="135"/>
      <c r="BY220" s="135"/>
      <c r="BZ220" s="135">
        <v>1</v>
      </c>
      <c r="CA220" s="135">
        <v>2</v>
      </c>
      <c r="CB220" s="135">
        <v>1</v>
      </c>
      <c r="CC220" s="135">
        <v>2</v>
      </c>
      <c r="CD220" s="135">
        <v>1</v>
      </c>
      <c r="CE220" s="135">
        <v>1</v>
      </c>
      <c r="CF220" s="135">
        <v>1</v>
      </c>
      <c r="CG220" s="135">
        <v>1</v>
      </c>
      <c r="CH220" s="163">
        <v>7</v>
      </c>
      <c r="CI220" s="130" t="s">
        <v>4563</v>
      </c>
      <c r="CJ220" s="135"/>
      <c r="CK220" s="135"/>
      <c r="CL220" s="130"/>
      <c r="CM220" s="193">
        <v>117001</v>
      </c>
      <c r="CN220" s="193">
        <v>100057</v>
      </c>
      <c r="CO220" s="193"/>
      <c r="CP220" s="193">
        <v>117001</v>
      </c>
      <c r="CQ220" s="193"/>
      <c r="CR220" s="193"/>
    </row>
    <row r="221" spans="1:96" ht="15.75" customHeight="1" x14ac:dyDescent="0.35">
      <c r="A221" s="288"/>
      <c r="B221" s="81" t="s">
        <v>569</v>
      </c>
      <c r="C221" s="92" t="s">
        <v>456</v>
      </c>
      <c r="D221" s="138">
        <v>40251</v>
      </c>
      <c r="E221" s="135">
        <v>71010</v>
      </c>
      <c r="F221" s="135"/>
      <c r="G221" s="139"/>
      <c r="H221" s="135">
        <v>0</v>
      </c>
      <c r="I221" s="135"/>
      <c r="J221" s="135"/>
      <c r="K221" s="135">
        <v>1</v>
      </c>
      <c r="L221" s="139"/>
      <c r="M221" s="139"/>
      <c r="N221" s="139"/>
      <c r="O221" s="154"/>
      <c r="P221" s="135">
        <v>0</v>
      </c>
      <c r="Q221" s="135">
        <v>3</v>
      </c>
      <c r="R221" s="135"/>
      <c r="S221" s="163">
        <v>1</v>
      </c>
      <c r="T221" s="163">
        <v>1</v>
      </c>
      <c r="U221" s="163">
        <v>1</v>
      </c>
      <c r="V221" s="135"/>
      <c r="W221" s="135"/>
      <c r="X221" s="163"/>
      <c r="Y221" s="135">
        <v>1821</v>
      </c>
      <c r="Z221" s="135">
        <v>700</v>
      </c>
      <c r="AA221" s="135">
        <v>400</v>
      </c>
      <c r="AB221" s="135"/>
      <c r="AC221" s="135"/>
      <c r="AD221" s="135"/>
      <c r="AE221" s="135"/>
      <c r="AF221" s="163">
        <v>1</v>
      </c>
      <c r="AG221" s="169">
        <v>100</v>
      </c>
      <c r="AH221" s="135"/>
      <c r="AI221" s="135"/>
      <c r="AJ221" s="135"/>
      <c r="AK221" s="135">
        <v>0</v>
      </c>
      <c r="AL221" s="135">
        <v>21002</v>
      </c>
      <c r="AM221" s="135">
        <v>1000</v>
      </c>
      <c r="AN221" s="135"/>
      <c r="AO221" s="130" t="s">
        <v>570</v>
      </c>
      <c r="AP221" s="130" t="s">
        <v>246</v>
      </c>
      <c r="AQ221" s="130" t="s">
        <v>570</v>
      </c>
      <c r="AR221" s="130" t="s">
        <v>246</v>
      </c>
      <c r="AS221" s="130" t="s">
        <v>570</v>
      </c>
      <c r="AT221" s="130" t="s">
        <v>246</v>
      </c>
      <c r="AU221" s="130"/>
      <c r="AV221" s="130"/>
      <c r="AW221" s="104" t="s">
        <v>248</v>
      </c>
      <c r="AX221" s="130" t="s">
        <v>249</v>
      </c>
      <c r="AY221" s="130"/>
      <c r="AZ221" s="130"/>
      <c r="BA221" s="130"/>
      <c r="BB221" s="179"/>
      <c r="BC221" s="179"/>
      <c r="BD221" s="104"/>
      <c r="BE221" s="130"/>
      <c r="BF221" s="135">
        <v>40251</v>
      </c>
      <c r="BG221" s="130"/>
      <c r="BH221" s="185" t="s">
        <v>557</v>
      </c>
      <c r="BI221" s="130" t="s">
        <v>251</v>
      </c>
      <c r="BJ221" s="130" t="s">
        <v>275</v>
      </c>
      <c r="BK221" s="130" t="s">
        <v>253</v>
      </c>
      <c r="BL221" s="135"/>
      <c r="BM221" s="135"/>
      <c r="BN221" s="135"/>
      <c r="BO221" s="163">
        <v>100</v>
      </c>
      <c r="BP221" s="163">
        <v>200</v>
      </c>
      <c r="BQ221" s="130" t="s">
        <v>241</v>
      </c>
      <c r="BR221" s="135">
        <v>1</v>
      </c>
      <c r="BS221" s="135"/>
      <c r="BT221" s="163">
        <v>50</v>
      </c>
      <c r="BU221" s="163">
        <v>20</v>
      </c>
      <c r="BV221" s="130"/>
      <c r="BW221" s="104"/>
      <c r="BX221" s="135"/>
      <c r="BY221" s="135"/>
      <c r="BZ221" s="135">
        <v>1</v>
      </c>
      <c r="CA221" s="135">
        <v>2</v>
      </c>
      <c r="CB221" s="135">
        <v>1</v>
      </c>
      <c r="CC221" s="135">
        <v>2</v>
      </c>
      <c r="CD221" s="135">
        <v>1</v>
      </c>
      <c r="CE221" s="135">
        <v>2</v>
      </c>
      <c r="CF221" s="135">
        <v>1</v>
      </c>
      <c r="CG221" s="135">
        <v>2</v>
      </c>
      <c r="CH221" s="163">
        <v>5</v>
      </c>
      <c r="CI221" s="130" t="s">
        <v>4543</v>
      </c>
      <c r="CJ221" s="135"/>
      <c r="CK221" s="135"/>
      <c r="CL221" s="130"/>
      <c r="CM221" s="193">
        <v>117001</v>
      </c>
      <c r="CN221" s="193">
        <v>100057</v>
      </c>
      <c r="CO221" s="193"/>
      <c r="CP221" s="193">
        <v>117001</v>
      </c>
      <c r="CQ221" s="193"/>
      <c r="CR221" s="193"/>
    </row>
    <row r="222" spans="1:96" ht="15.75" customHeight="1" x14ac:dyDescent="0.35">
      <c r="A222" s="288"/>
      <c r="B222" s="98" t="s">
        <v>493</v>
      </c>
      <c r="C222" s="92" t="s">
        <v>571</v>
      </c>
      <c r="D222" s="138">
        <v>40501</v>
      </c>
      <c r="E222" s="135">
        <v>70414</v>
      </c>
      <c r="F222" s="135"/>
      <c r="G222" s="139"/>
      <c r="H222" s="135"/>
      <c r="I222" s="135"/>
      <c r="J222" s="135"/>
      <c r="K222" s="135">
        <v>11</v>
      </c>
      <c r="L222" s="135"/>
      <c r="M222" s="139"/>
      <c r="N222" s="139"/>
      <c r="O222" s="154"/>
      <c r="P222" s="135">
        <v>2</v>
      </c>
      <c r="Q222" s="135">
        <v>3</v>
      </c>
      <c r="R222" s="135"/>
      <c r="S222" s="163">
        <v>1</v>
      </c>
      <c r="T222" s="163">
        <v>1</v>
      </c>
      <c r="U222" s="163">
        <v>1</v>
      </c>
      <c r="V222" s="135"/>
      <c r="W222" s="135"/>
      <c r="X222" s="163"/>
      <c r="Y222" s="135">
        <v>4070</v>
      </c>
      <c r="Z222" s="135">
        <v>1000</v>
      </c>
      <c r="AA222" s="135">
        <v>400</v>
      </c>
      <c r="AB222" s="135">
        <v>1</v>
      </c>
      <c r="AC222" s="135"/>
      <c r="AD222" s="135"/>
      <c r="AE222" s="135"/>
      <c r="AF222" s="163">
        <v>1</v>
      </c>
      <c r="AG222" s="169">
        <v>100</v>
      </c>
      <c r="AH222" s="135"/>
      <c r="AI222" s="135"/>
      <c r="AJ222" s="135"/>
      <c r="AK222" s="135">
        <v>0</v>
      </c>
      <c r="AL222" s="135">
        <v>21099</v>
      </c>
      <c r="AM222" s="135">
        <v>1000</v>
      </c>
      <c r="AN222" s="135"/>
      <c r="AO222" s="130" t="s">
        <v>572</v>
      </c>
      <c r="AP222" s="130" t="s">
        <v>246</v>
      </c>
      <c r="AQ222" s="130" t="s">
        <v>533</v>
      </c>
      <c r="AR222" s="130" t="s">
        <v>246</v>
      </c>
      <c r="AS222" s="130" t="s">
        <v>533</v>
      </c>
      <c r="AT222" s="130" t="s">
        <v>246</v>
      </c>
      <c r="AU222" s="130" t="s">
        <v>573</v>
      </c>
      <c r="AV222" s="130" t="s">
        <v>266</v>
      </c>
      <c r="AW222" s="104" t="s">
        <v>248</v>
      </c>
      <c r="AX222" s="130" t="s">
        <v>249</v>
      </c>
      <c r="AY222" s="130"/>
      <c r="AZ222" s="130"/>
      <c r="BA222" s="130"/>
      <c r="BB222" s="179"/>
      <c r="BC222" s="179"/>
      <c r="BD222" s="104"/>
      <c r="BE222" s="130"/>
      <c r="BF222" s="138">
        <v>40501</v>
      </c>
      <c r="BG222" s="130"/>
      <c r="BH222" s="185" t="s">
        <v>274</v>
      </c>
      <c r="BI222" s="187" t="s">
        <v>289</v>
      </c>
      <c r="BJ222" s="130" t="s">
        <v>252</v>
      </c>
      <c r="BK222" s="130" t="s">
        <v>253</v>
      </c>
      <c r="BL222" s="130"/>
      <c r="BM222" s="135"/>
      <c r="BN222" s="135"/>
      <c r="BO222" s="163">
        <v>50</v>
      </c>
      <c r="BP222" s="163">
        <v>200</v>
      </c>
      <c r="BQ222" s="130" t="s">
        <v>241</v>
      </c>
      <c r="BR222" s="135">
        <v>1</v>
      </c>
      <c r="BS222" s="135"/>
      <c r="BT222" s="163">
        <v>50</v>
      </c>
      <c r="BU222" s="163">
        <v>50</v>
      </c>
      <c r="BV222" s="130"/>
      <c r="BW222" s="104"/>
      <c r="BX222" s="130"/>
      <c r="BY222" s="135"/>
      <c r="BZ222" s="135">
        <v>3</v>
      </c>
      <c r="CA222" s="135">
        <v>4</v>
      </c>
      <c r="CB222" s="135">
        <v>4</v>
      </c>
      <c r="CC222" s="135">
        <v>4</v>
      </c>
      <c r="CD222" s="135">
        <v>5</v>
      </c>
      <c r="CE222" s="135">
        <v>6</v>
      </c>
      <c r="CF222" s="135">
        <v>4</v>
      </c>
      <c r="CG222" s="135">
        <v>4</v>
      </c>
      <c r="CH222" s="163"/>
      <c r="CI222" s="130"/>
      <c r="CJ222" s="130"/>
      <c r="CK222" s="135"/>
      <c r="CL222" s="130"/>
      <c r="CM222" s="193">
        <v>117001</v>
      </c>
      <c r="CN222" s="193"/>
      <c r="CO222" s="193"/>
      <c r="CP222" s="193">
        <v>117001</v>
      </c>
      <c r="CQ222" s="193"/>
      <c r="CR222" s="193"/>
    </row>
    <row r="223" spans="1:96" ht="15.75" customHeight="1" x14ac:dyDescent="0.35">
      <c r="A223" s="288"/>
      <c r="B223" s="85" t="s">
        <v>567</v>
      </c>
      <c r="C223" s="92" t="s">
        <v>574</v>
      </c>
      <c r="D223" s="138">
        <v>40601</v>
      </c>
      <c r="E223" s="135">
        <v>71011</v>
      </c>
      <c r="F223" s="135"/>
      <c r="G223" s="139"/>
      <c r="H223" s="135"/>
      <c r="I223" s="135"/>
      <c r="J223" s="135"/>
      <c r="K223" s="135">
        <v>2</v>
      </c>
      <c r="L223" s="139"/>
      <c r="M223" s="139"/>
      <c r="N223" s="139"/>
      <c r="O223" s="154">
        <v>1</v>
      </c>
      <c r="P223" s="135">
        <v>2</v>
      </c>
      <c r="Q223" s="135">
        <v>3</v>
      </c>
      <c r="R223" s="135"/>
      <c r="S223" s="163">
        <v>1</v>
      </c>
      <c r="T223" s="163">
        <v>1</v>
      </c>
      <c r="U223" s="163">
        <v>1</v>
      </c>
      <c r="V223" s="135"/>
      <c r="W223" s="135"/>
      <c r="X223" s="163"/>
      <c r="Y223" s="135">
        <v>1822</v>
      </c>
      <c r="Z223" s="135">
        <v>1000</v>
      </c>
      <c r="AA223" s="135">
        <v>400</v>
      </c>
      <c r="AB223" s="135"/>
      <c r="AC223" s="135"/>
      <c r="AD223" s="135"/>
      <c r="AE223" s="135"/>
      <c r="AF223" s="163">
        <v>1</v>
      </c>
      <c r="AG223" s="169">
        <v>100</v>
      </c>
      <c r="AH223" s="135"/>
      <c r="AI223" s="135"/>
      <c r="AJ223" s="135"/>
      <c r="AK223" s="135">
        <v>0</v>
      </c>
      <c r="AL223" s="135">
        <v>21005</v>
      </c>
      <c r="AM223" s="135">
        <v>1000</v>
      </c>
      <c r="AN223" s="135"/>
      <c r="AO223" s="130" t="s">
        <v>502</v>
      </c>
      <c r="AP223" s="130" t="s">
        <v>272</v>
      </c>
      <c r="AQ223" s="130" t="s">
        <v>502</v>
      </c>
      <c r="AR223" s="130" t="s">
        <v>272</v>
      </c>
      <c r="AS223" s="130" t="s">
        <v>502</v>
      </c>
      <c r="AT223" s="130" t="s">
        <v>272</v>
      </c>
      <c r="AU223" s="130" t="s">
        <v>4584</v>
      </c>
      <c r="AV223" s="130" t="s">
        <v>266</v>
      </c>
      <c r="AW223" s="104" t="s">
        <v>248</v>
      </c>
      <c r="AX223" s="130" t="s">
        <v>249</v>
      </c>
      <c r="AY223" s="130"/>
      <c r="AZ223" s="130"/>
      <c r="BA223" s="130"/>
      <c r="BB223" s="179"/>
      <c r="BC223" s="179"/>
      <c r="BD223" s="104"/>
      <c r="BE223" s="130"/>
      <c r="BF223" s="135">
        <v>40601</v>
      </c>
      <c r="BG223" s="130"/>
      <c r="BH223" s="185" t="s">
        <v>575</v>
      </c>
      <c r="BI223" s="130" t="s">
        <v>363</v>
      </c>
      <c r="BJ223" s="130" t="s">
        <v>252</v>
      </c>
      <c r="BK223" s="130" t="s">
        <v>253</v>
      </c>
      <c r="BL223" s="135"/>
      <c r="BM223" s="135"/>
      <c r="BN223" s="135"/>
      <c r="BO223" s="163">
        <v>100</v>
      </c>
      <c r="BP223" s="163">
        <v>200</v>
      </c>
      <c r="BQ223" s="130" t="s">
        <v>241</v>
      </c>
      <c r="BR223" s="135">
        <v>2</v>
      </c>
      <c r="BS223" s="135"/>
      <c r="BT223" s="163">
        <v>50</v>
      </c>
      <c r="BU223" s="163">
        <v>40</v>
      </c>
      <c r="BV223" s="130"/>
      <c r="BW223" s="104"/>
      <c r="BX223" s="135"/>
      <c r="BY223" s="135"/>
      <c r="BZ223" s="135">
        <v>1</v>
      </c>
      <c r="CA223" s="135">
        <v>2</v>
      </c>
      <c r="CB223" s="135">
        <v>1</v>
      </c>
      <c r="CC223" s="135">
        <v>2</v>
      </c>
      <c r="CD223" s="135">
        <v>1</v>
      </c>
      <c r="CE223" s="135">
        <v>1</v>
      </c>
      <c r="CF223" s="135">
        <v>1</v>
      </c>
      <c r="CG223" s="135">
        <v>1</v>
      </c>
      <c r="CH223" s="163">
        <v>34</v>
      </c>
      <c r="CI223" s="130" t="s">
        <v>4442</v>
      </c>
      <c r="CJ223" s="135"/>
      <c r="CK223" s="135"/>
      <c r="CL223" s="130"/>
      <c r="CM223" s="193">
        <v>117002</v>
      </c>
      <c r="CN223" s="193"/>
      <c r="CO223" s="193"/>
      <c r="CP223" s="193">
        <v>117002</v>
      </c>
      <c r="CQ223" s="193"/>
      <c r="CR223" s="193"/>
    </row>
    <row r="224" spans="1:96" ht="15.75" customHeight="1" x14ac:dyDescent="0.35">
      <c r="A224" s="288"/>
      <c r="B224" s="85" t="s">
        <v>569</v>
      </c>
      <c r="C224" s="92" t="s">
        <v>574</v>
      </c>
      <c r="D224" s="138">
        <v>40611</v>
      </c>
      <c r="E224" s="135">
        <v>71012</v>
      </c>
      <c r="F224" s="135"/>
      <c r="G224" s="139"/>
      <c r="H224" s="135">
        <v>0</v>
      </c>
      <c r="I224" s="135"/>
      <c r="J224" s="135"/>
      <c r="K224" s="135">
        <v>2</v>
      </c>
      <c r="L224" s="139"/>
      <c r="M224" s="139"/>
      <c r="N224" s="139"/>
      <c r="O224" s="154">
        <v>1</v>
      </c>
      <c r="P224" s="135">
        <v>0</v>
      </c>
      <c r="Q224" s="135">
        <v>3</v>
      </c>
      <c r="R224" s="135"/>
      <c r="S224" s="163">
        <v>1</v>
      </c>
      <c r="T224" s="163">
        <v>1</v>
      </c>
      <c r="U224" s="163">
        <v>1</v>
      </c>
      <c r="V224" s="135"/>
      <c r="W224" s="135"/>
      <c r="X224" s="163"/>
      <c r="Y224" s="135">
        <v>1821</v>
      </c>
      <c r="Z224" s="135">
        <v>1000</v>
      </c>
      <c r="AA224" s="135">
        <v>400</v>
      </c>
      <c r="AB224" s="135"/>
      <c r="AC224" s="135"/>
      <c r="AD224" s="135"/>
      <c r="AE224" s="135"/>
      <c r="AF224" s="163">
        <v>1</v>
      </c>
      <c r="AG224" s="169">
        <v>100</v>
      </c>
      <c r="AH224" s="135"/>
      <c r="AI224" s="135"/>
      <c r="AJ224" s="135"/>
      <c r="AK224" s="135">
        <v>0</v>
      </c>
      <c r="AL224" s="135">
        <v>21005</v>
      </c>
      <c r="AM224" s="135">
        <v>1000</v>
      </c>
      <c r="AN224" s="135"/>
      <c r="AO224" s="130" t="s">
        <v>504</v>
      </c>
      <c r="AP224" s="130" t="s">
        <v>272</v>
      </c>
      <c r="AQ224" s="130" t="s">
        <v>504</v>
      </c>
      <c r="AR224" s="130" t="s">
        <v>272</v>
      </c>
      <c r="AS224" s="130" t="s">
        <v>504</v>
      </c>
      <c r="AT224" s="130" t="s">
        <v>272</v>
      </c>
      <c r="AU224" s="130" t="s">
        <v>4584</v>
      </c>
      <c r="AV224" s="130"/>
      <c r="AW224" s="104" t="s">
        <v>248</v>
      </c>
      <c r="AX224" s="130" t="s">
        <v>249</v>
      </c>
      <c r="AY224" s="130"/>
      <c r="AZ224" s="130"/>
      <c r="BA224" s="130"/>
      <c r="BB224" s="179"/>
      <c r="BC224" s="179"/>
      <c r="BD224" s="104"/>
      <c r="BE224" s="130"/>
      <c r="BF224" s="135">
        <v>40611</v>
      </c>
      <c r="BG224" s="130"/>
      <c r="BH224" s="185" t="s">
        <v>575</v>
      </c>
      <c r="BI224" s="130" t="s">
        <v>251</v>
      </c>
      <c r="BJ224" s="130" t="s">
        <v>252</v>
      </c>
      <c r="BK224" s="130" t="s">
        <v>253</v>
      </c>
      <c r="BL224" s="135"/>
      <c r="BM224" s="135"/>
      <c r="BN224" s="135"/>
      <c r="BO224" s="163">
        <v>100</v>
      </c>
      <c r="BP224" s="163">
        <v>200</v>
      </c>
      <c r="BQ224" s="130" t="s">
        <v>241</v>
      </c>
      <c r="BR224" s="135">
        <v>2</v>
      </c>
      <c r="BS224" s="135"/>
      <c r="BT224" s="163">
        <v>50</v>
      </c>
      <c r="BU224" s="163">
        <v>20</v>
      </c>
      <c r="BV224" s="130"/>
      <c r="BW224" s="104"/>
      <c r="BX224" s="135"/>
      <c r="BY224" s="135"/>
      <c r="BZ224" s="135">
        <v>1</v>
      </c>
      <c r="CA224" s="135">
        <v>2</v>
      </c>
      <c r="CB224" s="135">
        <v>1</v>
      </c>
      <c r="CC224" s="135">
        <v>2</v>
      </c>
      <c r="CD224" s="135">
        <v>1</v>
      </c>
      <c r="CE224" s="135">
        <v>2</v>
      </c>
      <c r="CF224" s="135">
        <v>1</v>
      </c>
      <c r="CG224" s="135">
        <v>2</v>
      </c>
      <c r="CH224" s="163">
        <v>35</v>
      </c>
      <c r="CI224" s="130" t="s">
        <v>4443</v>
      </c>
      <c r="CJ224" s="135"/>
      <c r="CK224" s="135"/>
      <c r="CL224" s="130"/>
      <c r="CM224" s="193">
        <v>117002</v>
      </c>
      <c r="CN224" s="193"/>
      <c r="CO224" s="193"/>
      <c r="CP224" s="193">
        <v>117002</v>
      </c>
      <c r="CQ224" s="193"/>
      <c r="CR224" s="193"/>
    </row>
    <row r="225" spans="1:96" ht="15.75" customHeight="1" x14ac:dyDescent="0.35">
      <c r="A225" s="288"/>
      <c r="B225" s="87" t="s">
        <v>337</v>
      </c>
      <c r="C225" s="92" t="s">
        <v>576</v>
      </c>
      <c r="D225" s="138">
        <v>40701</v>
      </c>
      <c r="E225" s="135">
        <v>71013</v>
      </c>
      <c r="F225" s="135"/>
      <c r="G225" s="139">
        <v>302</v>
      </c>
      <c r="H225" s="135">
        <v>0</v>
      </c>
      <c r="I225" s="135"/>
      <c r="J225" s="135"/>
      <c r="K225" s="135">
        <v>3</v>
      </c>
      <c r="L225" s="135"/>
      <c r="M225" s="138"/>
      <c r="N225" s="135"/>
      <c r="O225" s="154">
        <v>5</v>
      </c>
      <c r="P225" s="135">
        <v>1</v>
      </c>
      <c r="Q225" s="135">
        <v>3</v>
      </c>
      <c r="R225" s="135"/>
      <c r="S225" s="163">
        <v>1</v>
      </c>
      <c r="T225" s="163">
        <v>1</v>
      </c>
      <c r="U225" s="163">
        <v>1</v>
      </c>
      <c r="V225" s="135"/>
      <c r="W225" s="135"/>
      <c r="X225" s="163"/>
      <c r="Y225" s="135">
        <v>1092</v>
      </c>
      <c r="Z225" s="135">
        <v>1000</v>
      </c>
      <c r="AA225" s="135">
        <v>500</v>
      </c>
      <c r="AB225" s="135">
        <v>3</v>
      </c>
      <c r="AC225" s="135"/>
      <c r="AD225" s="135"/>
      <c r="AE225" s="135">
        <v>4</v>
      </c>
      <c r="AF225" s="163">
        <v>1</v>
      </c>
      <c r="AG225" s="163">
        <v>100</v>
      </c>
      <c r="AH225" s="135"/>
      <c r="AI225" s="135"/>
      <c r="AJ225" s="135"/>
      <c r="AK225" s="135">
        <v>0</v>
      </c>
      <c r="AL225" s="135">
        <v>21005</v>
      </c>
      <c r="AM225" s="135">
        <v>1000</v>
      </c>
      <c r="AN225" s="135"/>
      <c r="AO225" s="130" t="s">
        <v>339</v>
      </c>
      <c r="AP225" s="130" t="s">
        <v>329</v>
      </c>
      <c r="AQ225" s="130" t="s">
        <v>339</v>
      </c>
      <c r="AR225" s="130" t="s">
        <v>329</v>
      </c>
      <c r="AS225" s="130" t="s">
        <v>339</v>
      </c>
      <c r="AT225" s="130" t="s">
        <v>340</v>
      </c>
      <c r="AU225" s="130" t="s">
        <v>4584</v>
      </c>
      <c r="AV225" s="130"/>
      <c r="AW225" s="130" t="s">
        <v>248</v>
      </c>
      <c r="AX225" s="130" t="s">
        <v>249</v>
      </c>
      <c r="AY225" s="130"/>
      <c r="AZ225" s="130"/>
      <c r="BA225" s="130"/>
      <c r="BB225" s="179"/>
      <c r="BC225" s="179"/>
      <c r="BD225" s="130"/>
      <c r="BE225" s="130" t="s">
        <v>335</v>
      </c>
      <c r="BF225" s="138">
        <v>40701</v>
      </c>
      <c r="BG225" s="130"/>
      <c r="BH225" s="185" t="s">
        <v>577</v>
      </c>
      <c r="BI225" s="130" t="s">
        <v>341</v>
      </c>
      <c r="BJ225" s="130" t="s">
        <v>252</v>
      </c>
      <c r="BK225" s="130" t="s">
        <v>253</v>
      </c>
      <c r="BL225" s="135"/>
      <c r="BM225" s="135"/>
      <c r="BN225" s="135"/>
      <c r="BO225" s="163">
        <v>100</v>
      </c>
      <c r="BP225" s="163">
        <v>200</v>
      </c>
      <c r="BQ225" s="130" t="s">
        <v>241</v>
      </c>
      <c r="BR225" s="135">
        <v>3</v>
      </c>
      <c r="BS225" s="135"/>
      <c r="BT225" s="163">
        <v>50</v>
      </c>
      <c r="BU225" s="163">
        <v>50</v>
      </c>
      <c r="BV225" s="130"/>
      <c r="BW225" s="130"/>
      <c r="BX225" s="135"/>
      <c r="BY225" s="135"/>
      <c r="BZ225" s="135">
        <v>1</v>
      </c>
      <c r="CA225" s="135">
        <v>1</v>
      </c>
      <c r="CB225" s="135">
        <v>1</v>
      </c>
      <c r="CC225" s="135">
        <v>1</v>
      </c>
      <c r="CD225" s="135">
        <v>1</v>
      </c>
      <c r="CE225" s="135">
        <v>1</v>
      </c>
      <c r="CF225" s="135">
        <v>1</v>
      </c>
      <c r="CG225" s="135">
        <v>1</v>
      </c>
      <c r="CH225" s="163"/>
      <c r="CI225" s="130"/>
      <c r="CJ225" s="135"/>
      <c r="CK225" s="135"/>
      <c r="CL225" s="130"/>
      <c r="CM225" s="193">
        <v>117003</v>
      </c>
      <c r="CN225" s="193"/>
      <c r="CO225" s="193"/>
      <c r="CP225" s="193">
        <v>117003</v>
      </c>
      <c r="CQ225" s="193"/>
      <c r="CR225" s="193"/>
    </row>
    <row r="226" spans="1:96" ht="15.75" customHeight="1" x14ac:dyDescent="0.35">
      <c r="A226" s="288"/>
      <c r="B226" s="87" t="s">
        <v>578</v>
      </c>
      <c r="C226" s="92" t="s">
        <v>576</v>
      </c>
      <c r="D226" s="138">
        <v>40711</v>
      </c>
      <c r="E226" s="135">
        <v>71014</v>
      </c>
      <c r="F226" s="135"/>
      <c r="G226" s="139">
        <v>302</v>
      </c>
      <c r="H226" s="135">
        <v>0</v>
      </c>
      <c r="I226" s="135"/>
      <c r="J226" s="135"/>
      <c r="K226" s="135">
        <v>3</v>
      </c>
      <c r="L226" s="135">
        <v>1</v>
      </c>
      <c r="M226" s="138"/>
      <c r="N226" s="135"/>
      <c r="O226" s="154">
        <v>5</v>
      </c>
      <c r="P226" s="135">
        <v>1</v>
      </c>
      <c r="Q226" s="135">
        <v>3</v>
      </c>
      <c r="R226" s="135"/>
      <c r="S226" s="163">
        <v>1</v>
      </c>
      <c r="T226" s="163">
        <v>1</v>
      </c>
      <c r="U226" s="163">
        <v>1</v>
      </c>
      <c r="V226" s="135"/>
      <c r="W226" s="135"/>
      <c r="X226" s="163"/>
      <c r="Y226" s="135">
        <v>11181</v>
      </c>
      <c r="Z226" s="135">
        <v>1000</v>
      </c>
      <c r="AA226" s="135">
        <v>500</v>
      </c>
      <c r="AB226" s="135">
        <v>3</v>
      </c>
      <c r="AC226" s="135">
        <v>1</v>
      </c>
      <c r="AD226" s="135"/>
      <c r="AE226" s="135">
        <v>4</v>
      </c>
      <c r="AF226" s="163">
        <v>1</v>
      </c>
      <c r="AG226" s="163">
        <v>100</v>
      </c>
      <c r="AH226" s="135"/>
      <c r="AI226" s="135"/>
      <c r="AJ226" s="135"/>
      <c r="AK226" s="135">
        <v>0</v>
      </c>
      <c r="AL226" s="135">
        <v>8002</v>
      </c>
      <c r="AM226" s="135">
        <v>1000</v>
      </c>
      <c r="AN226" s="135"/>
      <c r="AO226" s="130" t="s">
        <v>579</v>
      </c>
      <c r="AP226" s="130" t="s">
        <v>329</v>
      </c>
      <c r="AQ226" s="130" t="s">
        <v>579</v>
      </c>
      <c r="AR226" s="130" t="s">
        <v>329</v>
      </c>
      <c r="AS226" s="130" t="s">
        <v>579</v>
      </c>
      <c r="AT226" s="130" t="s">
        <v>329</v>
      </c>
      <c r="AU226" s="130" t="s">
        <v>4591</v>
      </c>
      <c r="AV226" s="130"/>
      <c r="AW226" s="130" t="s">
        <v>248</v>
      </c>
      <c r="AX226" s="130" t="s">
        <v>249</v>
      </c>
      <c r="AY226" s="130"/>
      <c r="AZ226" s="130"/>
      <c r="BA226" s="130"/>
      <c r="BB226" s="179"/>
      <c r="BC226" s="179"/>
      <c r="BD226" s="130"/>
      <c r="BE226" s="130" t="s">
        <v>335</v>
      </c>
      <c r="BF226" s="138">
        <v>40711</v>
      </c>
      <c r="BG226" s="130"/>
      <c r="BH226" s="185" t="s">
        <v>577</v>
      </c>
      <c r="BI226" s="130" t="s">
        <v>341</v>
      </c>
      <c r="BJ226" s="130" t="s">
        <v>252</v>
      </c>
      <c r="BK226" s="130" t="s">
        <v>253</v>
      </c>
      <c r="BL226" s="135"/>
      <c r="BM226" s="135"/>
      <c r="BN226" s="135"/>
      <c r="BO226" s="163">
        <v>100</v>
      </c>
      <c r="BP226" s="163">
        <v>200</v>
      </c>
      <c r="BQ226" s="130" t="s">
        <v>241</v>
      </c>
      <c r="BR226" s="135">
        <v>3</v>
      </c>
      <c r="BS226" s="135"/>
      <c r="BT226" s="163">
        <v>50</v>
      </c>
      <c r="BU226" s="163">
        <v>50</v>
      </c>
      <c r="BV226" s="130"/>
      <c r="BW226" s="130"/>
      <c r="BX226" s="135"/>
      <c r="BY226" s="135"/>
      <c r="BZ226" s="135">
        <v>1</v>
      </c>
      <c r="CA226" s="135">
        <v>1</v>
      </c>
      <c r="CB226" s="135">
        <v>1</v>
      </c>
      <c r="CC226" s="135">
        <v>1</v>
      </c>
      <c r="CD226" s="135">
        <v>1</v>
      </c>
      <c r="CE226" s="135">
        <v>1</v>
      </c>
      <c r="CF226" s="135">
        <v>1</v>
      </c>
      <c r="CG226" s="135">
        <v>1</v>
      </c>
      <c r="CH226" s="163"/>
      <c r="CI226" s="130"/>
      <c r="CJ226" s="135"/>
      <c r="CK226" s="135"/>
      <c r="CL226" s="130"/>
      <c r="CM226" s="193">
        <v>110205</v>
      </c>
      <c r="CN226" s="204"/>
      <c r="CO226" s="193"/>
      <c r="CP226" s="193">
        <v>110205</v>
      </c>
      <c r="CQ226" s="193"/>
      <c r="CR226" s="193"/>
    </row>
    <row r="227" spans="1:96" ht="15.75" customHeight="1" x14ac:dyDescent="0.35">
      <c r="A227" s="289" t="s">
        <v>580</v>
      </c>
      <c r="B227" s="103" t="s">
        <v>581</v>
      </c>
      <c r="C227" s="104" t="s">
        <v>480</v>
      </c>
      <c r="D227" s="138">
        <v>41101</v>
      </c>
      <c r="E227" s="135">
        <v>71101</v>
      </c>
      <c r="F227" s="135"/>
      <c r="G227" s="139"/>
      <c r="H227" s="135">
        <v>0</v>
      </c>
      <c r="I227" s="135"/>
      <c r="J227" s="135"/>
      <c r="K227" s="135">
        <v>1</v>
      </c>
      <c r="L227" s="139"/>
      <c r="M227" s="139"/>
      <c r="N227" s="139"/>
      <c r="O227" s="154"/>
      <c r="P227" s="135">
        <v>2</v>
      </c>
      <c r="Q227" s="135">
        <v>3</v>
      </c>
      <c r="R227" s="135"/>
      <c r="S227" s="163">
        <v>1</v>
      </c>
      <c r="T227" s="163">
        <v>1</v>
      </c>
      <c r="U227" s="163">
        <v>1</v>
      </c>
      <c r="V227" s="135"/>
      <c r="W227" s="135"/>
      <c r="X227" s="163"/>
      <c r="Y227" s="135">
        <v>1324</v>
      </c>
      <c r="Z227" s="135">
        <v>1000</v>
      </c>
      <c r="AA227" s="135">
        <v>200</v>
      </c>
      <c r="AB227" s="135"/>
      <c r="AC227" s="135"/>
      <c r="AD227" s="135"/>
      <c r="AE227" s="135"/>
      <c r="AF227" s="163">
        <v>1</v>
      </c>
      <c r="AG227" s="169">
        <v>100</v>
      </c>
      <c r="AH227" s="135"/>
      <c r="AI227" s="135"/>
      <c r="AJ227" s="135"/>
      <c r="AK227" s="135">
        <v>0</v>
      </c>
      <c r="AL227" s="135">
        <v>21002</v>
      </c>
      <c r="AM227" s="135">
        <v>1000</v>
      </c>
      <c r="AN227" s="135"/>
      <c r="AO227" s="130" t="s">
        <v>265</v>
      </c>
      <c r="AP227" s="174">
        <v>1</v>
      </c>
      <c r="AQ227" s="130" t="s">
        <v>265</v>
      </c>
      <c r="AR227" s="174">
        <v>1</v>
      </c>
      <c r="AS227" s="130" t="s">
        <v>265</v>
      </c>
      <c r="AT227" s="174">
        <v>1</v>
      </c>
      <c r="AU227" s="130"/>
      <c r="AV227" s="130"/>
      <c r="AW227" s="104" t="s">
        <v>248</v>
      </c>
      <c r="AX227" s="130" t="s">
        <v>249</v>
      </c>
      <c r="AY227" s="130"/>
      <c r="AZ227" s="130"/>
      <c r="BA227" s="130"/>
      <c r="BB227" s="179"/>
      <c r="BC227" s="179"/>
      <c r="BD227" s="104"/>
      <c r="BE227" s="130"/>
      <c r="BF227" s="138">
        <v>41101</v>
      </c>
      <c r="BG227" s="130"/>
      <c r="BH227" s="185" t="s">
        <v>4215</v>
      </c>
      <c r="BI227" s="130" t="s">
        <v>377</v>
      </c>
      <c r="BJ227" s="130" t="s">
        <v>269</v>
      </c>
      <c r="BK227" s="130" t="s">
        <v>253</v>
      </c>
      <c r="BL227" s="135"/>
      <c r="BM227" s="135"/>
      <c r="BN227" s="135"/>
      <c r="BO227" s="163">
        <v>100</v>
      </c>
      <c r="BP227" s="163">
        <v>200</v>
      </c>
      <c r="BQ227" s="130" t="s">
        <v>241</v>
      </c>
      <c r="BR227" s="135">
        <v>1</v>
      </c>
      <c r="BS227" s="135"/>
      <c r="BT227" s="163">
        <v>50</v>
      </c>
      <c r="BU227" s="163">
        <v>30</v>
      </c>
      <c r="BV227" s="130"/>
      <c r="BW227" s="104"/>
      <c r="BX227" s="135"/>
      <c r="BY227" s="135"/>
      <c r="BZ227" s="135">
        <v>3</v>
      </c>
      <c r="CA227" s="135">
        <v>4</v>
      </c>
      <c r="CB227" s="135">
        <v>4</v>
      </c>
      <c r="CC227" s="135">
        <v>5</v>
      </c>
      <c r="CD227" s="135">
        <v>5</v>
      </c>
      <c r="CE227" s="135">
        <v>6</v>
      </c>
      <c r="CF227" s="135">
        <v>5</v>
      </c>
      <c r="CG227" s="135">
        <v>5</v>
      </c>
      <c r="CH227" s="163">
        <v>1</v>
      </c>
      <c r="CI227" s="130" t="s">
        <v>4516</v>
      </c>
      <c r="CJ227" s="135"/>
      <c r="CK227" s="135"/>
      <c r="CL227" s="130"/>
      <c r="CM227" s="193">
        <v>115001</v>
      </c>
      <c r="CN227" s="193">
        <v>1165011</v>
      </c>
      <c r="CO227" s="193"/>
      <c r="CP227" s="193">
        <v>115001</v>
      </c>
      <c r="CQ227" s="193"/>
      <c r="CR227" s="193"/>
    </row>
    <row r="228" spans="1:96" ht="15.75" customHeight="1" x14ac:dyDescent="0.35">
      <c r="A228" s="290"/>
      <c r="B228" s="103" t="s">
        <v>581</v>
      </c>
      <c r="C228" s="105" t="s">
        <v>480</v>
      </c>
      <c r="D228" s="138">
        <v>41111</v>
      </c>
      <c r="E228" s="135">
        <v>71102</v>
      </c>
      <c r="F228" s="135"/>
      <c r="G228" s="139"/>
      <c r="H228" s="135">
        <v>0</v>
      </c>
      <c r="I228" s="135"/>
      <c r="J228" s="135"/>
      <c r="K228" s="135">
        <v>1</v>
      </c>
      <c r="L228" s="139"/>
      <c r="M228" s="139"/>
      <c r="N228" s="139"/>
      <c r="O228" s="154"/>
      <c r="P228" s="135">
        <v>2</v>
      </c>
      <c r="Q228" s="135">
        <v>3</v>
      </c>
      <c r="R228" s="135"/>
      <c r="S228" s="163">
        <v>1</v>
      </c>
      <c r="T228" s="163">
        <v>1</v>
      </c>
      <c r="U228" s="163">
        <v>1</v>
      </c>
      <c r="V228" s="135"/>
      <c r="W228" s="135"/>
      <c r="X228" s="163"/>
      <c r="Y228" s="135">
        <v>1325</v>
      </c>
      <c r="Z228" s="135">
        <v>1000</v>
      </c>
      <c r="AA228" s="135">
        <v>200</v>
      </c>
      <c r="AB228" s="135"/>
      <c r="AC228" s="135"/>
      <c r="AD228" s="135"/>
      <c r="AE228" s="135"/>
      <c r="AF228" s="163">
        <v>1</v>
      </c>
      <c r="AG228" s="169">
        <v>100</v>
      </c>
      <c r="AH228" s="135"/>
      <c r="AI228" s="135"/>
      <c r="AJ228" s="135"/>
      <c r="AK228" s="135">
        <v>0</v>
      </c>
      <c r="AL228" s="135">
        <v>21002</v>
      </c>
      <c r="AM228" s="135">
        <v>1000</v>
      </c>
      <c r="AN228" s="135"/>
      <c r="AO228" s="130" t="s">
        <v>265</v>
      </c>
      <c r="AP228" s="174">
        <v>1</v>
      </c>
      <c r="AQ228" s="130" t="s">
        <v>265</v>
      </c>
      <c r="AR228" s="174">
        <v>1</v>
      </c>
      <c r="AS228" s="130" t="s">
        <v>265</v>
      </c>
      <c r="AT228" s="174">
        <v>1</v>
      </c>
      <c r="AU228" s="130"/>
      <c r="AV228" s="130"/>
      <c r="AW228" s="104" t="s">
        <v>248</v>
      </c>
      <c r="AX228" s="130" t="s">
        <v>249</v>
      </c>
      <c r="AY228" s="130"/>
      <c r="AZ228" s="130"/>
      <c r="BA228" s="130"/>
      <c r="BB228" s="179"/>
      <c r="BC228" s="179"/>
      <c r="BD228" s="104"/>
      <c r="BE228" s="130"/>
      <c r="BF228" s="138">
        <v>41111</v>
      </c>
      <c r="BG228" s="130"/>
      <c r="BH228" s="185" t="s">
        <v>376</v>
      </c>
      <c r="BI228" s="130" t="s">
        <v>377</v>
      </c>
      <c r="BJ228" s="130" t="s">
        <v>269</v>
      </c>
      <c r="BK228" s="130" t="s">
        <v>253</v>
      </c>
      <c r="BL228" s="135"/>
      <c r="BM228" s="135"/>
      <c r="BN228" s="135"/>
      <c r="BO228" s="163">
        <v>100</v>
      </c>
      <c r="BP228" s="163">
        <v>200</v>
      </c>
      <c r="BQ228" s="130" t="s">
        <v>241</v>
      </c>
      <c r="BR228" s="135">
        <v>1</v>
      </c>
      <c r="BS228" s="135"/>
      <c r="BT228" s="163">
        <v>50</v>
      </c>
      <c r="BU228" s="163">
        <v>30</v>
      </c>
      <c r="BV228" s="130"/>
      <c r="BW228" s="104"/>
      <c r="BX228" s="135"/>
      <c r="BY228" s="135"/>
      <c r="BZ228" s="135">
        <v>3</v>
      </c>
      <c r="CA228" s="135">
        <v>4</v>
      </c>
      <c r="CB228" s="135">
        <v>4</v>
      </c>
      <c r="CC228" s="135">
        <v>5</v>
      </c>
      <c r="CD228" s="135">
        <v>5</v>
      </c>
      <c r="CE228" s="135">
        <v>6</v>
      </c>
      <c r="CF228" s="135">
        <v>5</v>
      </c>
      <c r="CG228" s="135">
        <v>5</v>
      </c>
      <c r="CH228" s="163">
        <v>2</v>
      </c>
      <c r="CI228" s="130" t="s">
        <v>4536</v>
      </c>
      <c r="CJ228" s="135"/>
      <c r="CK228" s="135"/>
      <c r="CL228" s="130"/>
      <c r="CM228" s="193">
        <v>115002</v>
      </c>
      <c r="CN228" s="193">
        <v>1165011</v>
      </c>
      <c r="CO228" s="193"/>
      <c r="CP228" s="193">
        <v>115002</v>
      </c>
      <c r="CQ228" s="193"/>
      <c r="CR228" s="193"/>
    </row>
    <row r="229" spans="1:96" ht="15.75" customHeight="1" x14ac:dyDescent="0.35">
      <c r="A229" s="290"/>
      <c r="B229" s="106" t="s">
        <v>582</v>
      </c>
      <c r="C229" s="105" t="s">
        <v>574</v>
      </c>
      <c r="D229" s="138">
        <v>41601</v>
      </c>
      <c r="E229" s="135">
        <v>71103</v>
      </c>
      <c r="F229" s="135"/>
      <c r="G229" s="139"/>
      <c r="H229" s="135">
        <v>0</v>
      </c>
      <c r="I229" s="135"/>
      <c r="J229" s="135"/>
      <c r="K229" s="135">
        <v>2</v>
      </c>
      <c r="L229" s="139"/>
      <c r="M229" s="139"/>
      <c r="N229" s="139"/>
      <c r="O229" s="154">
        <v>1</v>
      </c>
      <c r="P229" s="135">
        <v>2</v>
      </c>
      <c r="Q229" s="135">
        <v>3</v>
      </c>
      <c r="R229" s="135"/>
      <c r="S229" s="163">
        <v>1</v>
      </c>
      <c r="T229" s="163">
        <v>1</v>
      </c>
      <c r="U229" s="163">
        <v>1</v>
      </c>
      <c r="V229" s="135"/>
      <c r="W229" s="135"/>
      <c r="X229" s="163"/>
      <c r="Y229" s="135">
        <v>1324</v>
      </c>
      <c r="Z229" s="135">
        <v>1400</v>
      </c>
      <c r="AA229" s="135">
        <v>200</v>
      </c>
      <c r="AB229" s="135"/>
      <c r="AC229" s="135"/>
      <c r="AD229" s="135"/>
      <c r="AE229" s="135"/>
      <c r="AF229" s="163">
        <v>1</v>
      </c>
      <c r="AG229" s="169">
        <v>100</v>
      </c>
      <c r="AH229" s="135"/>
      <c r="AI229" s="135"/>
      <c r="AJ229" s="135"/>
      <c r="AK229" s="135">
        <v>0</v>
      </c>
      <c r="AL229" s="135">
        <v>21002</v>
      </c>
      <c r="AM229" s="135">
        <v>1000</v>
      </c>
      <c r="AN229" s="135"/>
      <c r="AO229" s="130" t="s">
        <v>265</v>
      </c>
      <c r="AP229" s="174">
        <v>1</v>
      </c>
      <c r="AQ229" s="130" t="s">
        <v>265</v>
      </c>
      <c r="AR229" s="174">
        <v>1</v>
      </c>
      <c r="AS229" s="130" t="s">
        <v>265</v>
      </c>
      <c r="AT229" s="174">
        <v>1</v>
      </c>
      <c r="AU229" s="130"/>
      <c r="AV229" s="130"/>
      <c r="AW229" s="104" t="s">
        <v>248</v>
      </c>
      <c r="AX229" s="130" t="s">
        <v>249</v>
      </c>
      <c r="AY229" s="130"/>
      <c r="AZ229" s="130"/>
      <c r="BA229" s="130"/>
      <c r="BB229" s="179"/>
      <c r="BC229" s="179"/>
      <c r="BD229" s="104"/>
      <c r="BE229" s="130"/>
      <c r="BF229" s="138">
        <v>41601</v>
      </c>
      <c r="BG229" s="130"/>
      <c r="BH229" s="185" t="s">
        <v>376</v>
      </c>
      <c r="BI229" s="130" t="s">
        <v>377</v>
      </c>
      <c r="BJ229" s="130" t="s">
        <v>269</v>
      </c>
      <c r="BK229" s="130" t="s">
        <v>253</v>
      </c>
      <c r="BL229" s="135"/>
      <c r="BM229" s="135"/>
      <c r="BN229" s="135"/>
      <c r="BO229" s="163">
        <v>100</v>
      </c>
      <c r="BP229" s="163">
        <v>200</v>
      </c>
      <c r="BQ229" s="130" t="s">
        <v>241</v>
      </c>
      <c r="BR229" s="135">
        <v>2</v>
      </c>
      <c r="BS229" s="135"/>
      <c r="BT229" s="163">
        <v>50</v>
      </c>
      <c r="BU229" s="163">
        <v>30</v>
      </c>
      <c r="BV229" s="130"/>
      <c r="BW229" s="104"/>
      <c r="BX229" s="135"/>
      <c r="BY229" s="135"/>
      <c r="BZ229" s="135">
        <v>3</v>
      </c>
      <c r="CA229" s="135">
        <v>4</v>
      </c>
      <c r="CB229" s="135">
        <v>4</v>
      </c>
      <c r="CC229" s="135">
        <v>5</v>
      </c>
      <c r="CD229" s="135">
        <v>5</v>
      </c>
      <c r="CE229" s="135">
        <v>6</v>
      </c>
      <c r="CF229" s="135">
        <v>5</v>
      </c>
      <c r="CG229" s="135">
        <v>5</v>
      </c>
      <c r="CH229" s="163"/>
      <c r="CI229" s="130" t="s">
        <v>4444</v>
      </c>
      <c r="CJ229" s="135"/>
      <c r="CK229" s="135"/>
      <c r="CL229" s="130"/>
      <c r="CM229" s="193">
        <v>115101</v>
      </c>
      <c r="CN229" s="193"/>
      <c r="CO229" s="193"/>
      <c r="CP229" s="193">
        <v>115101</v>
      </c>
      <c r="CQ229" s="193"/>
      <c r="CR229" s="193"/>
    </row>
    <row r="230" spans="1:96" ht="15.75" customHeight="1" x14ac:dyDescent="0.35">
      <c r="A230" s="290"/>
      <c r="B230" s="106" t="s">
        <v>582</v>
      </c>
      <c r="C230" s="105" t="s">
        <v>574</v>
      </c>
      <c r="D230" s="138">
        <v>41611</v>
      </c>
      <c r="E230" s="135">
        <v>71104</v>
      </c>
      <c r="F230" s="135"/>
      <c r="G230" s="139"/>
      <c r="H230" s="135">
        <v>0</v>
      </c>
      <c r="I230" s="135"/>
      <c r="J230" s="135"/>
      <c r="K230" s="135">
        <v>2</v>
      </c>
      <c r="L230" s="139"/>
      <c r="M230" s="139"/>
      <c r="N230" s="139"/>
      <c r="O230" s="154">
        <v>1</v>
      </c>
      <c r="P230" s="135">
        <v>2</v>
      </c>
      <c r="Q230" s="135">
        <v>3</v>
      </c>
      <c r="R230" s="135"/>
      <c r="S230" s="163">
        <v>1</v>
      </c>
      <c r="T230" s="163">
        <v>1</v>
      </c>
      <c r="U230" s="163">
        <v>1</v>
      </c>
      <c r="V230" s="135"/>
      <c r="W230" s="135"/>
      <c r="X230" s="163"/>
      <c r="Y230" s="135">
        <v>1325</v>
      </c>
      <c r="Z230" s="135">
        <v>1400</v>
      </c>
      <c r="AA230" s="135">
        <v>200</v>
      </c>
      <c r="AB230" s="135"/>
      <c r="AC230" s="135"/>
      <c r="AD230" s="135"/>
      <c r="AE230" s="135"/>
      <c r="AF230" s="163">
        <v>1</v>
      </c>
      <c r="AG230" s="169">
        <v>100</v>
      </c>
      <c r="AH230" s="135"/>
      <c r="AI230" s="135"/>
      <c r="AJ230" s="135"/>
      <c r="AK230" s="135">
        <v>0</v>
      </c>
      <c r="AL230" s="135">
        <v>21002</v>
      </c>
      <c r="AM230" s="135">
        <v>1000</v>
      </c>
      <c r="AN230" s="135"/>
      <c r="AO230" s="130" t="s">
        <v>265</v>
      </c>
      <c r="AP230" s="174">
        <v>1</v>
      </c>
      <c r="AQ230" s="130" t="s">
        <v>265</v>
      </c>
      <c r="AR230" s="174">
        <v>1</v>
      </c>
      <c r="AS230" s="130" t="s">
        <v>265</v>
      </c>
      <c r="AT230" s="174">
        <v>1</v>
      </c>
      <c r="AU230" s="130"/>
      <c r="AV230" s="130"/>
      <c r="AW230" s="104" t="s">
        <v>248</v>
      </c>
      <c r="AX230" s="130" t="s">
        <v>249</v>
      </c>
      <c r="AY230" s="130"/>
      <c r="AZ230" s="130"/>
      <c r="BA230" s="130"/>
      <c r="BB230" s="179"/>
      <c r="BC230" s="179"/>
      <c r="BD230" s="104"/>
      <c r="BE230" s="130"/>
      <c r="BF230" s="138">
        <v>41611</v>
      </c>
      <c r="BG230" s="130"/>
      <c r="BH230" s="185" t="s">
        <v>376</v>
      </c>
      <c r="BI230" s="130" t="s">
        <v>377</v>
      </c>
      <c r="BJ230" s="130" t="s">
        <v>269</v>
      </c>
      <c r="BK230" s="130" t="s">
        <v>253</v>
      </c>
      <c r="BL230" s="135"/>
      <c r="BM230" s="135"/>
      <c r="BN230" s="135"/>
      <c r="BO230" s="163">
        <v>100</v>
      </c>
      <c r="BP230" s="163">
        <v>200</v>
      </c>
      <c r="BQ230" s="130" t="s">
        <v>241</v>
      </c>
      <c r="BR230" s="135">
        <v>2</v>
      </c>
      <c r="BS230" s="135"/>
      <c r="BT230" s="163">
        <v>50</v>
      </c>
      <c r="BU230" s="163">
        <v>30</v>
      </c>
      <c r="BV230" s="130"/>
      <c r="BW230" s="104"/>
      <c r="BX230" s="135"/>
      <c r="BY230" s="135"/>
      <c r="BZ230" s="135">
        <v>3</v>
      </c>
      <c r="CA230" s="135">
        <v>4</v>
      </c>
      <c r="CB230" s="135">
        <v>4</v>
      </c>
      <c r="CC230" s="135">
        <v>5</v>
      </c>
      <c r="CD230" s="135">
        <v>5</v>
      </c>
      <c r="CE230" s="135">
        <v>6</v>
      </c>
      <c r="CF230" s="135">
        <v>5</v>
      </c>
      <c r="CG230" s="135">
        <v>5</v>
      </c>
      <c r="CH230" s="163"/>
      <c r="CI230" s="130" t="s">
        <v>4445</v>
      </c>
      <c r="CJ230" s="135"/>
      <c r="CK230" s="135"/>
      <c r="CL230" s="130"/>
      <c r="CM230" s="193">
        <v>115102</v>
      </c>
      <c r="CN230" s="193"/>
      <c r="CO230" s="193"/>
      <c r="CP230" s="193">
        <v>115102</v>
      </c>
      <c r="CQ230" s="193"/>
      <c r="CR230" s="193"/>
    </row>
    <row r="231" spans="1:96" ht="15.75" customHeight="1" x14ac:dyDescent="0.35">
      <c r="A231" s="291"/>
      <c r="B231" s="107" t="s">
        <v>583</v>
      </c>
      <c r="C231" s="108" t="s">
        <v>576</v>
      </c>
      <c r="D231" s="138">
        <v>41701</v>
      </c>
      <c r="E231" s="135">
        <v>71105</v>
      </c>
      <c r="F231" s="135"/>
      <c r="G231" s="139">
        <v>302</v>
      </c>
      <c r="H231" s="135"/>
      <c r="I231" s="135"/>
      <c r="J231" s="135"/>
      <c r="K231" s="135">
        <v>3</v>
      </c>
      <c r="L231" s="139">
        <v>1</v>
      </c>
      <c r="M231" s="138"/>
      <c r="N231" s="139"/>
      <c r="O231" s="154">
        <v>5</v>
      </c>
      <c r="P231" s="135">
        <v>2</v>
      </c>
      <c r="Q231" s="135">
        <v>3</v>
      </c>
      <c r="R231" s="135"/>
      <c r="S231" s="163">
        <v>1</v>
      </c>
      <c r="T231" s="163">
        <v>1</v>
      </c>
      <c r="U231" s="163">
        <v>1</v>
      </c>
      <c r="V231" s="135"/>
      <c r="W231" s="135"/>
      <c r="X231" s="163"/>
      <c r="Y231" s="135">
        <v>1323</v>
      </c>
      <c r="Z231" s="135">
        <v>1000</v>
      </c>
      <c r="AA231" s="135">
        <v>400</v>
      </c>
      <c r="AB231" s="135">
        <v>3</v>
      </c>
      <c r="AC231" s="135">
        <v>1</v>
      </c>
      <c r="AD231" s="135"/>
      <c r="AE231" s="135">
        <v>4</v>
      </c>
      <c r="AF231" s="163">
        <v>1</v>
      </c>
      <c r="AG231" s="169">
        <v>100</v>
      </c>
      <c r="AH231" s="135"/>
      <c r="AI231" s="135"/>
      <c r="AJ231" s="135"/>
      <c r="AK231" s="135">
        <v>0</v>
      </c>
      <c r="AL231" s="135">
        <v>8002</v>
      </c>
      <c r="AM231" s="135">
        <v>1000</v>
      </c>
      <c r="AN231" s="135"/>
      <c r="AO231" s="130" t="s">
        <v>584</v>
      </c>
      <c r="AP231" s="130" t="s">
        <v>340</v>
      </c>
      <c r="AQ231" s="130" t="s">
        <v>584</v>
      </c>
      <c r="AR231" s="130" t="s">
        <v>340</v>
      </c>
      <c r="AS231" s="130" t="s">
        <v>584</v>
      </c>
      <c r="AT231" s="130" t="s">
        <v>340</v>
      </c>
      <c r="AU231" s="130" t="s">
        <v>4584</v>
      </c>
      <c r="AV231" s="130"/>
      <c r="AW231" s="104" t="s">
        <v>248</v>
      </c>
      <c r="AX231" s="130" t="s">
        <v>249</v>
      </c>
      <c r="AY231" s="130"/>
      <c r="AZ231" s="130"/>
      <c r="BA231" s="130"/>
      <c r="BB231" s="179"/>
      <c r="BC231" s="179"/>
      <c r="BD231" s="104"/>
      <c r="BE231" s="130" t="s">
        <v>335</v>
      </c>
      <c r="BF231" s="138">
        <v>41701</v>
      </c>
      <c r="BG231" s="130"/>
      <c r="BH231" s="185" t="s">
        <v>467</v>
      </c>
      <c r="BI231" s="130" t="s">
        <v>377</v>
      </c>
      <c r="BJ231" s="130" t="s">
        <v>275</v>
      </c>
      <c r="BK231" s="130" t="s">
        <v>253</v>
      </c>
      <c r="BL231" s="135"/>
      <c r="BM231" s="135"/>
      <c r="BN231" s="135"/>
      <c r="BO231" s="163">
        <v>100</v>
      </c>
      <c r="BP231" s="163">
        <v>200</v>
      </c>
      <c r="BQ231" s="130" t="s">
        <v>241</v>
      </c>
      <c r="BR231" s="135">
        <v>3</v>
      </c>
      <c r="BS231" s="135"/>
      <c r="BT231" s="163">
        <v>50</v>
      </c>
      <c r="BU231" s="163">
        <v>30</v>
      </c>
      <c r="BV231" s="130"/>
      <c r="BW231" s="104"/>
      <c r="BX231" s="135"/>
      <c r="BY231" s="135"/>
      <c r="BZ231" s="135">
        <v>3</v>
      </c>
      <c r="CA231" s="135">
        <v>4</v>
      </c>
      <c r="CB231" s="135">
        <v>4</v>
      </c>
      <c r="CC231" s="135">
        <v>5</v>
      </c>
      <c r="CD231" s="135">
        <v>5</v>
      </c>
      <c r="CE231" s="135">
        <v>6</v>
      </c>
      <c r="CF231" s="135">
        <v>5</v>
      </c>
      <c r="CG231" s="135">
        <v>5</v>
      </c>
      <c r="CH231" s="163"/>
      <c r="CI231" s="130"/>
      <c r="CJ231" s="135"/>
      <c r="CK231" s="135"/>
      <c r="CL231" s="130"/>
      <c r="CM231" s="193">
        <v>115301</v>
      </c>
      <c r="CN231" s="193"/>
      <c r="CO231" s="193"/>
      <c r="CP231" s="193">
        <v>115301</v>
      </c>
      <c r="CQ231" s="193"/>
      <c r="CR231" s="193"/>
    </row>
    <row r="232" spans="1:96" ht="15.75" customHeight="1" x14ac:dyDescent="0.35">
      <c r="A232" s="199"/>
      <c r="B232" s="200" t="s">
        <v>585</v>
      </c>
      <c r="C232" s="201" t="s">
        <v>586</v>
      </c>
      <c r="D232" s="138">
        <v>20000</v>
      </c>
      <c r="E232" s="135"/>
      <c r="F232" s="135"/>
      <c r="G232" s="135"/>
      <c r="H232" s="135">
        <v>0</v>
      </c>
      <c r="I232" s="135"/>
      <c r="J232" s="135"/>
      <c r="K232" s="135">
        <v>6</v>
      </c>
      <c r="L232" s="135"/>
      <c r="M232" s="135"/>
      <c r="N232" s="135"/>
      <c r="O232" s="154"/>
      <c r="P232" s="135">
        <v>1</v>
      </c>
      <c r="Q232" s="135">
        <v>3</v>
      </c>
      <c r="R232" s="135"/>
      <c r="S232" s="163">
        <v>1</v>
      </c>
      <c r="T232" s="163">
        <v>1</v>
      </c>
      <c r="U232" s="163">
        <v>1</v>
      </c>
      <c r="V232" s="135"/>
      <c r="W232" s="135"/>
      <c r="X232" s="163"/>
      <c r="Y232" s="135">
        <v>4080</v>
      </c>
      <c r="Z232" s="135">
        <v>1000</v>
      </c>
      <c r="AA232" s="135">
        <v>0</v>
      </c>
      <c r="AB232" s="135"/>
      <c r="AC232" s="135"/>
      <c r="AD232" s="135"/>
      <c r="AE232" s="135"/>
      <c r="AF232" s="163">
        <v>1</v>
      </c>
      <c r="AG232" s="163">
        <v>100</v>
      </c>
      <c r="AH232" s="135"/>
      <c r="AI232" s="135"/>
      <c r="AJ232" s="135"/>
      <c r="AK232" s="135">
        <v>0</v>
      </c>
      <c r="AL232" s="135">
        <v>21001</v>
      </c>
      <c r="AM232" s="135">
        <v>4000</v>
      </c>
      <c r="AN232" s="135"/>
      <c r="AO232" s="130" t="s">
        <v>587</v>
      </c>
      <c r="AP232" s="135">
        <v>1</v>
      </c>
      <c r="AQ232" s="130" t="s">
        <v>587</v>
      </c>
      <c r="AR232" s="135" t="s">
        <v>246</v>
      </c>
      <c r="AS232" s="130" t="s">
        <v>587</v>
      </c>
      <c r="AT232" s="135" t="s">
        <v>246</v>
      </c>
      <c r="AU232" s="130" t="s">
        <v>4581</v>
      </c>
      <c r="AV232" s="135"/>
      <c r="AW232" s="135" t="s">
        <v>248</v>
      </c>
      <c r="AX232" s="135"/>
      <c r="AY232" s="163" t="s">
        <v>588</v>
      </c>
      <c r="AZ232" s="135">
        <v>2</v>
      </c>
      <c r="BA232" s="135"/>
      <c r="BB232" s="163"/>
      <c r="BC232" s="163"/>
      <c r="BD232" s="135"/>
      <c r="BE232" s="135"/>
      <c r="BF232" s="135">
        <v>101</v>
      </c>
      <c r="BG232" s="130" t="s">
        <v>5054</v>
      </c>
      <c r="BH232" s="185"/>
      <c r="BI232" s="135" t="s">
        <v>589</v>
      </c>
      <c r="BJ232" s="130" t="s">
        <v>336</v>
      </c>
      <c r="BK232" s="135" t="s">
        <v>253</v>
      </c>
      <c r="BL232" s="135"/>
      <c r="BM232" s="135"/>
      <c r="BN232" s="135"/>
      <c r="BO232" s="163">
        <v>100</v>
      </c>
      <c r="BP232" s="163">
        <v>200</v>
      </c>
      <c r="BQ232" s="135"/>
      <c r="BR232" s="135">
        <v>1</v>
      </c>
      <c r="BS232" s="135"/>
      <c r="BT232" s="163">
        <v>50</v>
      </c>
      <c r="BU232" s="163"/>
      <c r="BV232" s="135"/>
      <c r="BW232" s="135"/>
      <c r="BX232" s="135"/>
      <c r="BY232" s="135"/>
      <c r="BZ232" s="135">
        <v>6</v>
      </c>
      <c r="CA232" s="135">
        <v>10</v>
      </c>
      <c r="CB232" s="135">
        <v>7</v>
      </c>
      <c r="CC232" s="135">
        <v>12</v>
      </c>
      <c r="CD232" s="135">
        <v>9</v>
      </c>
      <c r="CE232" s="135">
        <v>15</v>
      </c>
      <c r="CF232" s="135">
        <v>9</v>
      </c>
      <c r="CG232" s="135">
        <v>15</v>
      </c>
      <c r="CH232" s="163"/>
      <c r="CI232" s="130"/>
      <c r="CJ232" s="135"/>
      <c r="CK232" s="135"/>
      <c r="CL232" s="130"/>
      <c r="CM232" s="193"/>
      <c r="CN232" s="193"/>
      <c r="CO232" s="193"/>
      <c r="CP232" s="193"/>
      <c r="CQ232" s="193"/>
      <c r="CR232" s="193"/>
    </row>
    <row r="233" spans="1:96" ht="15.75" customHeight="1" x14ac:dyDescent="0.35">
      <c r="A233" s="199"/>
      <c r="B233" s="202" t="s">
        <v>590</v>
      </c>
      <c r="C233" s="201" t="s">
        <v>290</v>
      </c>
      <c r="D233" s="138">
        <v>20001</v>
      </c>
      <c r="E233" s="135">
        <v>510001</v>
      </c>
      <c r="F233" s="135">
        <v>8039</v>
      </c>
      <c r="G233" s="135"/>
      <c r="H233" s="135">
        <v>0</v>
      </c>
      <c r="I233" s="135"/>
      <c r="J233" s="135">
        <v>1</v>
      </c>
      <c r="K233" s="135">
        <v>10</v>
      </c>
      <c r="L233" s="135"/>
      <c r="M233" s="135"/>
      <c r="N233" s="135">
        <v>1</v>
      </c>
      <c r="O233" s="154">
        <v>4</v>
      </c>
      <c r="P233" s="135">
        <v>1</v>
      </c>
      <c r="Q233" s="135">
        <v>1</v>
      </c>
      <c r="R233" s="135"/>
      <c r="S233" s="163">
        <v>1</v>
      </c>
      <c r="T233" s="163">
        <v>1</v>
      </c>
      <c r="U233" s="163">
        <v>1</v>
      </c>
      <c r="V233" s="135"/>
      <c r="W233" s="135"/>
      <c r="X233" s="163"/>
      <c r="Y233" s="135">
        <v>4068</v>
      </c>
      <c r="Z233" s="135">
        <v>1000</v>
      </c>
      <c r="AA233" s="135">
        <v>0</v>
      </c>
      <c r="AB233" s="135"/>
      <c r="AC233" s="135"/>
      <c r="AD233" s="135"/>
      <c r="AE233" s="135"/>
      <c r="AF233" s="163">
        <v>1</v>
      </c>
      <c r="AG233" s="163">
        <v>100</v>
      </c>
      <c r="AH233" s="135">
        <v>670</v>
      </c>
      <c r="AI233" s="135"/>
      <c r="AJ233" s="135"/>
      <c r="AK233" s="135">
        <v>1</v>
      </c>
      <c r="AL233" s="135">
        <v>98</v>
      </c>
      <c r="AM233" s="135">
        <v>5000</v>
      </c>
      <c r="AN233" s="135"/>
      <c r="AO233" s="130" t="s">
        <v>591</v>
      </c>
      <c r="AP233" s="135">
        <v>1</v>
      </c>
      <c r="AQ233" s="130" t="s">
        <v>591</v>
      </c>
      <c r="AR233" s="135">
        <v>1</v>
      </c>
      <c r="AS233" s="130" t="s">
        <v>591</v>
      </c>
      <c r="AT233" s="135">
        <v>1</v>
      </c>
      <c r="AU233" s="130"/>
      <c r="AV233" s="135"/>
      <c r="AW233" s="135" t="s">
        <v>248</v>
      </c>
      <c r="AX233" s="135" t="s">
        <v>249</v>
      </c>
      <c r="AY233" s="135"/>
      <c r="AZ233" s="135"/>
      <c r="BA233" s="135"/>
      <c r="BB233" s="163"/>
      <c r="BC233" s="163"/>
      <c r="BD233" s="135"/>
      <c r="BE233" s="135"/>
      <c r="BF233" s="135">
        <v>101</v>
      </c>
      <c r="BG233" s="130" t="s">
        <v>5055</v>
      </c>
      <c r="BH233" s="185"/>
      <c r="BI233" s="135" t="s">
        <v>592</v>
      </c>
      <c r="BJ233" s="130" t="s">
        <v>275</v>
      </c>
      <c r="BK233" s="135" t="s">
        <v>253</v>
      </c>
      <c r="BL233" s="135"/>
      <c r="BM233" s="135"/>
      <c r="BN233" s="135"/>
      <c r="BO233" s="163">
        <v>50</v>
      </c>
      <c r="BP233" s="163">
        <v>200</v>
      </c>
      <c r="BQ233" s="135"/>
      <c r="BR233" s="135">
        <v>1</v>
      </c>
      <c r="BS233" s="135"/>
      <c r="BT233" s="163">
        <v>50</v>
      </c>
      <c r="BU233" s="163">
        <v>50</v>
      </c>
      <c r="BV233" s="135"/>
      <c r="BW233" s="135"/>
      <c r="BX233" s="135"/>
      <c r="BY233" s="135"/>
      <c r="BZ233" s="135">
        <v>3</v>
      </c>
      <c r="CA233" s="135">
        <v>4</v>
      </c>
      <c r="CB233" s="135">
        <v>3</v>
      </c>
      <c r="CC233" s="135">
        <v>4</v>
      </c>
      <c r="CD233" s="135">
        <v>3</v>
      </c>
      <c r="CE233" s="135">
        <v>4</v>
      </c>
      <c r="CF233" s="135">
        <v>3</v>
      </c>
      <c r="CG233" s="135">
        <v>4</v>
      </c>
      <c r="CH233" s="163"/>
      <c r="CI233" s="130"/>
      <c r="CJ233" s="135"/>
      <c r="CK233" s="135"/>
      <c r="CL233" s="130"/>
      <c r="CM233" s="193"/>
      <c r="CN233" s="193"/>
      <c r="CO233" s="193"/>
      <c r="CP233" s="193"/>
      <c r="CQ233" s="193"/>
      <c r="CR233" s="193"/>
    </row>
    <row r="234" spans="1:96" ht="15.75" customHeight="1" x14ac:dyDescent="0.35">
      <c r="A234" s="199"/>
      <c r="B234" s="202" t="s">
        <v>590</v>
      </c>
      <c r="C234" s="92" t="s">
        <v>593</v>
      </c>
      <c r="D234" s="138">
        <v>20004</v>
      </c>
      <c r="E234" s="135">
        <v>510002</v>
      </c>
      <c r="F234" s="135">
        <v>8042</v>
      </c>
      <c r="G234" s="135"/>
      <c r="H234" s="135">
        <v>0</v>
      </c>
      <c r="I234" s="135"/>
      <c r="J234" s="135">
        <v>1</v>
      </c>
      <c r="K234" s="135">
        <v>10</v>
      </c>
      <c r="L234" s="135"/>
      <c r="M234" s="135"/>
      <c r="N234" s="135">
        <v>1</v>
      </c>
      <c r="O234" s="135">
        <v>4</v>
      </c>
      <c r="P234" s="135">
        <v>1</v>
      </c>
      <c r="Q234" s="135">
        <v>1</v>
      </c>
      <c r="R234" s="135">
        <v>1</v>
      </c>
      <c r="S234" s="163">
        <v>1</v>
      </c>
      <c r="T234" s="163">
        <v>1</v>
      </c>
      <c r="U234" s="163">
        <v>1</v>
      </c>
      <c r="V234" s="135"/>
      <c r="W234" s="135"/>
      <c r="X234" s="163"/>
      <c r="Y234" s="135">
        <v>4072</v>
      </c>
      <c r="Z234" s="135">
        <v>1000</v>
      </c>
      <c r="AA234" s="135">
        <v>0</v>
      </c>
      <c r="AB234" s="135"/>
      <c r="AC234" s="135"/>
      <c r="AD234" s="135"/>
      <c r="AE234" s="135"/>
      <c r="AF234" s="163">
        <v>1</v>
      </c>
      <c r="AG234" s="163">
        <v>100</v>
      </c>
      <c r="AH234" s="135">
        <v>670</v>
      </c>
      <c r="AI234" s="135"/>
      <c r="AJ234" s="135"/>
      <c r="AK234" s="135">
        <v>1</v>
      </c>
      <c r="AL234" s="135">
        <v>98</v>
      </c>
      <c r="AM234" s="135">
        <v>5000</v>
      </c>
      <c r="AN234" s="135"/>
      <c r="AO234" s="130" t="s">
        <v>594</v>
      </c>
      <c r="AP234" s="135">
        <v>1</v>
      </c>
      <c r="AQ234" s="130" t="s">
        <v>594</v>
      </c>
      <c r="AR234" s="135">
        <v>1</v>
      </c>
      <c r="AS234" s="130" t="s">
        <v>594</v>
      </c>
      <c r="AT234" s="135">
        <v>1</v>
      </c>
      <c r="AU234" s="130"/>
      <c r="AV234" s="135"/>
      <c r="AW234" s="135" t="s">
        <v>248</v>
      </c>
      <c r="AX234" s="135" t="s">
        <v>249</v>
      </c>
      <c r="AY234" s="135"/>
      <c r="AZ234" s="135"/>
      <c r="BA234" s="135"/>
      <c r="BB234" s="163"/>
      <c r="BC234" s="163"/>
      <c r="BD234" s="135"/>
      <c r="BE234" s="135"/>
      <c r="BF234" s="135">
        <v>101</v>
      </c>
      <c r="BG234" s="130" t="s">
        <v>5056</v>
      </c>
      <c r="BH234" s="185"/>
      <c r="BI234" s="135" t="s">
        <v>592</v>
      </c>
      <c r="BJ234" s="130" t="s">
        <v>275</v>
      </c>
      <c r="BK234" s="135" t="s">
        <v>253</v>
      </c>
      <c r="BL234" s="135"/>
      <c r="BM234" s="135"/>
      <c r="BN234" s="135"/>
      <c r="BO234" s="163">
        <v>100</v>
      </c>
      <c r="BP234" s="163">
        <v>200</v>
      </c>
      <c r="BQ234" s="135"/>
      <c r="BR234" s="135">
        <v>1</v>
      </c>
      <c r="BS234" s="135"/>
      <c r="BT234" s="163">
        <v>50</v>
      </c>
      <c r="BU234" s="163">
        <v>50</v>
      </c>
      <c r="BV234" s="135"/>
      <c r="BW234" s="135"/>
      <c r="BX234" s="135"/>
      <c r="BY234" s="135"/>
      <c r="BZ234" s="135">
        <v>2</v>
      </c>
      <c r="CA234" s="135">
        <v>3</v>
      </c>
      <c r="CB234" s="135">
        <v>2</v>
      </c>
      <c r="CC234" s="135">
        <v>3</v>
      </c>
      <c r="CD234" s="135">
        <v>2</v>
      </c>
      <c r="CE234" s="135">
        <v>3</v>
      </c>
      <c r="CF234" s="135">
        <v>2</v>
      </c>
      <c r="CG234" s="135">
        <v>3</v>
      </c>
      <c r="CH234" s="163"/>
      <c r="CI234" s="130"/>
      <c r="CJ234" s="135"/>
      <c r="CK234" s="135"/>
      <c r="CL234" s="130"/>
      <c r="CM234" s="193"/>
      <c r="CN234" s="193"/>
      <c r="CO234" s="193"/>
      <c r="CP234" s="193"/>
      <c r="CQ234" s="193"/>
      <c r="CR234" s="193"/>
    </row>
    <row r="235" spans="1:96" ht="15.75" customHeight="1" x14ac:dyDescent="0.35">
      <c r="A235" s="199"/>
      <c r="B235" s="202" t="s">
        <v>590</v>
      </c>
      <c r="C235" s="92" t="s">
        <v>595</v>
      </c>
      <c r="D235" s="138">
        <v>20006</v>
      </c>
      <c r="E235" s="135">
        <v>510003</v>
      </c>
      <c r="F235" s="135">
        <v>8047</v>
      </c>
      <c r="G235" s="135"/>
      <c r="H235" s="135">
        <v>0</v>
      </c>
      <c r="I235" s="135"/>
      <c r="J235" s="135">
        <v>1</v>
      </c>
      <c r="K235" s="135">
        <v>10</v>
      </c>
      <c r="L235" s="135"/>
      <c r="M235" s="135"/>
      <c r="N235" s="135">
        <v>1</v>
      </c>
      <c r="O235" s="135">
        <v>4</v>
      </c>
      <c r="P235" s="135">
        <v>1</v>
      </c>
      <c r="Q235" s="135">
        <v>1</v>
      </c>
      <c r="R235" s="135"/>
      <c r="S235" s="163">
        <v>1</v>
      </c>
      <c r="T235" s="163">
        <v>1</v>
      </c>
      <c r="U235" s="163">
        <v>1</v>
      </c>
      <c r="V235" s="135"/>
      <c r="W235" s="135"/>
      <c r="X235" s="163"/>
      <c r="Y235" s="135">
        <v>4069</v>
      </c>
      <c r="Z235" s="135">
        <v>1000</v>
      </c>
      <c r="AA235" s="135">
        <v>0</v>
      </c>
      <c r="AB235" s="135"/>
      <c r="AC235" s="135"/>
      <c r="AD235" s="135"/>
      <c r="AE235" s="135"/>
      <c r="AF235" s="163">
        <v>1</v>
      </c>
      <c r="AG235" s="163">
        <v>100</v>
      </c>
      <c r="AH235" s="135">
        <v>670</v>
      </c>
      <c r="AI235" s="135"/>
      <c r="AJ235" s="135"/>
      <c r="AK235" s="135">
        <v>1</v>
      </c>
      <c r="AL235" s="135">
        <v>98</v>
      </c>
      <c r="AM235" s="135">
        <v>5000</v>
      </c>
      <c r="AN235" s="135"/>
      <c r="AO235" s="130" t="s">
        <v>596</v>
      </c>
      <c r="AP235" s="135">
        <v>1</v>
      </c>
      <c r="AQ235" s="130" t="s">
        <v>596</v>
      </c>
      <c r="AR235" s="135">
        <v>1</v>
      </c>
      <c r="AS235" s="130" t="s">
        <v>596</v>
      </c>
      <c r="AT235" s="135">
        <v>1</v>
      </c>
      <c r="AU235" s="130"/>
      <c r="AV235" s="135"/>
      <c r="AW235" s="135" t="s">
        <v>248</v>
      </c>
      <c r="AX235" s="135" t="s">
        <v>249</v>
      </c>
      <c r="AY235" s="135"/>
      <c r="AZ235" s="135"/>
      <c r="BA235" s="135"/>
      <c r="BB235" s="163"/>
      <c r="BC235" s="163"/>
      <c r="BD235" s="135"/>
      <c r="BE235" s="135"/>
      <c r="BF235" s="135">
        <v>101</v>
      </c>
      <c r="BG235" s="130" t="s">
        <v>5057</v>
      </c>
      <c r="BH235" s="185"/>
      <c r="BI235" s="135" t="s">
        <v>592</v>
      </c>
      <c r="BJ235" s="130" t="s">
        <v>597</v>
      </c>
      <c r="BK235" s="135" t="s">
        <v>253</v>
      </c>
      <c r="BL235" s="135"/>
      <c r="BM235" s="135"/>
      <c r="BN235" s="135"/>
      <c r="BO235" s="163">
        <v>100</v>
      </c>
      <c r="BP235" s="163">
        <v>200</v>
      </c>
      <c r="BQ235" s="135"/>
      <c r="BR235" s="135">
        <v>1</v>
      </c>
      <c r="BS235" s="135"/>
      <c r="BT235" s="163">
        <v>50</v>
      </c>
      <c r="BU235" s="163">
        <v>30</v>
      </c>
      <c r="BV235" s="135"/>
      <c r="BW235" s="135"/>
      <c r="BX235" s="135"/>
      <c r="BY235" s="135"/>
      <c r="BZ235" s="135">
        <v>2</v>
      </c>
      <c r="CA235" s="135">
        <v>2</v>
      </c>
      <c r="CB235" s="135">
        <v>2</v>
      </c>
      <c r="CC235" s="135">
        <v>3</v>
      </c>
      <c r="CD235" s="135">
        <v>3</v>
      </c>
      <c r="CE235" s="135">
        <v>3</v>
      </c>
      <c r="CF235" s="135">
        <v>2</v>
      </c>
      <c r="CG235" s="135">
        <v>3</v>
      </c>
      <c r="CH235" s="163"/>
      <c r="CI235" s="130"/>
      <c r="CJ235" s="135"/>
      <c r="CK235" s="135"/>
      <c r="CL235" s="130"/>
      <c r="CM235" s="193"/>
      <c r="CN235" s="193"/>
      <c r="CO235" s="193"/>
      <c r="CP235" s="193"/>
      <c r="CQ235" s="193"/>
      <c r="CR235" s="193"/>
    </row>
    <row r="236" spans="1:96" ht="15.75" customHeight="1" x14ac:dyDescent="0.35">
      <c r="A236" s="199"/>
      <c r="B236" s="202" t="s">
        <v>590</v>
      </c>
      <c r="C236" s="201" t="s">
        <v>598</v>
      </c>
      <c r="D236" s="138">
        <v>20007</v>
      </c>
      <c r="E236" s="135">
        <v>510004</v>
      </c>
      <c r="F236" s="135">
        <v>8049</v>
      </c>
      <c r="G236" s="135"/>
      <c r="H236" s="135">
        <v>0</v>
      </c>
      <c r="I236" s="135"/>
      <c r="J236" s="135">
        <v>1</v>
      </c>
      <c r="K236" s="135">
        <v>10</v>
      </c>
      <c r="L236" s="135"/>
      <c r="M236" s="135"/>
      <c r="N236" s="135">
        <v>1</v>
      </c>
      <c r="O236" s="154"/>
      <c r="P236" s="135">
        <v>1</v>
      </c>
      <c r="Q236" s="135">
        <v>1</v>
      </c>
      <c r="R236" s="135">
        <v>1</v>
      </c>
      <c r="S236" s="163">
        <v>1</v>
      </c>
      <c r="T236" s="163">
        <v>1</v>
      </c>
      <c r="U236" s="163">
        <v>1</v>
      </c>
      <c r="V236" s="135"/>
      <c r="W236" s="135"/>
      <c r="X236" s="163"/>
      <c r="Y236" s="135">
        <v>1605</v>
      </c>
      <c r="Z236" s="135">
        <v>1500</v>
      </c>
      <c r="AA236" s="135">
        <v>0</v>
      </c>
      <c r="AB236" s="135"/>
      <c r="AC236" s="135"/>
      <c r="AD236" s="135"/>
      <c r="AE236" s="135"/>
      <c r="AF236" s="163">
        <v>1</v>
      </c>
      <c r="AG236" s="163">
        <v>100</v>
      </c>
      <c r="AH236" s="135"/>
      <c r="AI236" s="135"/>
      <c r="AJ236" s="135" t="s">
        <v>599</v>
      </c>
      <c r="AK236" s="135">
        <v>1</v>
      </c>
      <c r="AL236" s="135">
        <v>98</v>
      </c>
      <c r="AM236" s="135">
        <v>5000</v>
      </c>
      <c r="AN236" s="135"/>
      <c r="AO236" s="130" t="s">
        <v>600</v>
      </c>
      <c r="AP236" s="135" t="s">
        <v>272</v>
      </c>
      <c r="AQ236" s="130" t="s">
        <v>600</v>
      </c>
      <c r="AR236" s="135" t="s">
        <v>272</v>
      </c>
      <c r="AS236" s="130" t="s">
        <v>600</v>
      </c>
      <c r="AT236" s="135" t="s">
        <v>272</v>
      </c>
      <c r="AU236" s="130" t="s">
        <v>601</v>
      </c>
      <c r="AV236" s="135"/>
      <c r="AW236" s="135" t="s">
        <v>248</v>
      </c>
      <c r="AX236" s="135" t="s">
        <v>249</v>
      </c>
      <c r="AY236" s="135"/>
      <c r="AZ236" s="135"/>
      <c r="BA236" s="135"/>
      <c r="BB236" s="163"/>
      <c r="BC236" s="163"/>
      <c r="BD236" s="135"/>
      <c r="BE236" s="135"/>
      <c r="BF236" s="135">
        <v>101</v>
      </c>
      <c r="BG236" s="130" t="s">
        <v>5058</v>
      </c>
      <c r="BH236" s="185"/>
      <c r="BI236" s="135" t="s">
        <v>602</v>
      </c>
      <c r="BJ236" s="130" t="s">
        <v>252</v>
      </c>
      <c r="BK236" s="135" t="s">
        <v>253</v>
      </c>
      <c r="BL236" s="135"/>
      <c r="BM236" s="135"/>
      <c r="BN236" s="135"/>
      <c r="BO236" s="163">
        <v>100</v>
      </c>
      <c r="BP236" s="163">
        <v>200</v>
      </c>
      <c r="BQ236" s="135"/>
      <c r="BR236" s="135">
        <v>1</v>
      </c>
      <c r="BS236" s="135"/>
      <c r="BT236" s="163">
        <v>50</v>
      </c>
      <c r="BU236" s="163">
        <v>50</v>
      </c>
      <c r="BV236" s="135"/>
      <c r="BW236" s="135"/>
      <c r="BX236" s="135"/>
      <c r="BY236" s="135"/>
      <c r="BZ236" s="135">
        <v>2</v>
      </c>
      <c r="CA236" s="135">
        <v>3</v>
      </c>
      <c r="CB236" s="135">
        <v>2</v>
      </c>
      <c r="CC236" s="135">
        <v>3</v>
      </c>
      <c r="CD236" s="135">
        <v>2</v>
      </c>
      <c r="CE236" s="135">
        <v>3</v>
      </c>
      <c r="CF236" s="135">
        <v>2</v>
      </c>
      <c r="CG236" s="135">
        <v>3</v>
      </c>
      <c r="CH236" s="163"/>
      <c r="CI236" s="130"/>
      <c r="CJ236" s="135"/>
      <c r="CK236" s="135"/>
      <c r="CL236" s="130"/>
      <c r="CM236" s="193"/>
      <c r="CN236" s="193"/>
      <c r="CO236" s="193"/>
      <c r="CP236" s="193"/>
      <c r="CQ236" s="193"/>
      <c r="CR236" s="193"/>
    </row>
    <row r="237" spans="1:96" ht="15.75" customHeight="1" x14ac:dyDescent="0.35">
      <c r="A237" s="199"/>
      <c r="B237" s="202" t="s">
        <v>590</v>
      </c>
      <c r="C237" s="201" t="s">
        <v>603</v>
      </c>
      <c r="D237" s="138">
        <v>20008</v>
      </c>
      <c r="E237" s="135">
        <v>510005</v>
      </c>
      <c r="F237" s="135">
        <v>8052</v>
      </c>
      <c r="G237" s="135"/>
      <c r="H237" s="135">
        <v>0</v>
      </c>
      <c r="I237" s="135"/>
      <c r="J237" s="135">
        <v>1</v>
      </c>
      <c r="K237" s="135">
        <v>10</v>
      </c>
      <c r="L237" s="135"/>
      <c r="M237" s="135"/>
      <c r="N237" s="135">
        <v>1</v>
      </c>
      <c r="O237" s="154"/>
      <c r="P237" s="135">
        <v>1</v>
      </c>
      <c r="Q237" s="135">
        <v>1</v>
      </c>
      <c r="R237" s="135">
        <v>1</v>
      </c>
      <c r="S237" s="163">
        <v>1</v>
      </c>
      <c r="T237" s="163">
        <v>1</v>
      </c>
      <c r="U237" s="163">
        <v>1</v>
      </c>
      <c r="V237" s="135"/>
      <c r="W237" s="135"/>
      <c r="X237" s="163"/>
      <c r="Y237" s="135">
        <v>1601</v>
      </c>
      <c r="Z237" s="135">
        <v>1500</v>
      </c>
      <c r="AA237" s="135">
        <v>0</v>
      </c>
      <c r="AB237" s="135"/>
      <c r="AC237" s="135"/>
      <c r="AD237" s="135"/>
      <c r="AE237" s="135"/>
      <c r="AF237" s="163">
        <v>1</v>
      </c>
      <c r="AG237" s="163">
        <v>100</v>
      </c>
      <c r="AH237" s="135"/>
      <c r="AI237" s="135"/>
      <c r="AJ237" s="135" t="s">
        <v>599</v>
      </c>
      <c r="AK237" s="135">
        <v>1</v>
      </c>
      <c r="AL237" s="135">
        <v>98</v>
      </c>
      <c r="AM237" s="135">
        <v>5000</v>
      </c>
      <c r="AN237" s="135"/>
      <c r="AO237" s="130" t="s">
        <v>604</v>
      </c>
      <c r="AP237" s="135" t="s">
        <v>272</v>
      </c>
      <c r="AQ237" s="130" t="s">
        <v>604</v>
      </c>
      <c r="AR237" s="135" t="s">
        <v>272</v>
      </c>
      <c r="AS237" s="130" t="s">
        <v>604</v>
      </c>
      <c r="AT237" s="135" t="s">
        <v>272</v>
      </c>
      <c r="AU237" s="130" t="s">
        <v>605</v>
      </c>
      <c r="AV237" s="135"/>
      <c r="AW237" s="135" t="s">
        <v>248</v>
      </c>
      <c r="AX237" s="135" t="s">
        <v>249</v>
      </c>
      <c r="AY237" s="135"/>
      <c r="AZ237" s="135"/>
      <c r="BA237" s="135"/>
      <c r="BB237" s="163"/>
      <c r="BC237" s="163"/>
      <c r="BD237" s="135"/>
      <c r="BE237" s="135"/>
      <c r="BF237" s="135">
        <v>101</v>
      </c>
      <c r="BG237" s="130" t="s">
        <v>5059</v>
      </c>
      <c r="BH237" s="185"/>
      <c r="BI237" s="135" t="s">
        <v>602</v>
      </c>
      <c r="BJ237" s="130" t="s">
        <v>252</v>
      </c>
      <c r="BK237" s="135" t="s">
        <v>253</v>
      </c>
      <c r="BL237" s="135"/>
      <c r="BM237" s="135"/>
      <c r="BN237" s="135"/>
      <c r="BO237" s="163">
        <v>100</v>
      </c>
      <c r="BP237" s="163">
        <v>200</v>
      </c>
      <c r="BQ237" s="135"/>
      <c r="BR237" s="135">
        <v>1</v>
      </c>
      <c r="BS237" s="135"/>
      <c r="BT237" s="163">
        <v>50</v>
      </c>
      <c r="BU237" s="163">
        <v>50</v>
      </c>
      <c r="BV237" s="135"/>
      <c r="BW237" s="135"/>
      <c r="BX237" s="135"/>
      <c r="BY237" s="135"/>
      <c r="BZ237" s="135">
        <v>2</v>
      </c>
      <c r="CA237" s="135">
        <v>3</v>
      </c>
      <c r="CB237" s="135">
        <v>2</v>
      </c>
      <c r="CC237" s="135">
        <v>3</v>
      </c>
      <c r="CD237" s="135">
        <v>2</v>
      </c>
      <c r="CE237" s="135">
        <v>3</v>
      </c>
      <c r="CF237" s="135">
        <v>2</v>
      </c>
      <c r="CG237" s="135">
        <v>3</v>
      </c>
      <c r="CH237" s="163"/>
      <c r="CI237" s="130"/>
      <c r="CJ237" s="135"/>
      <c r="CK237" s="135"/>
      <c r="CL237" s="130"/>
      <c r="CM237" s="193"/>
      <c r="CN237" s="193"/>
      <c r="CO237" s="193"/>
      <c r="CP237" s="193"/>
      <c r="CQ237" s="193"/>
      <c r="CR237" s="193"/>
    </row>
    <row r="238" spans="1:96" ht="15.75" customHeight="1" x14ac:dyDescent="0.35">
      <c r="A238" s="199"/>
      <c r="B238" s="202" t="s">
        <v>590</v>
      </c>
      <c r="C238" s="201" t="s">
        <v>606</v>
      </c>
      <c r="D238" s="138">
        <v>20009</v>
      </c>
      <c r="E238" s="135">
        <v>510006</v>
      </c>
      <c r="F238" s="135">
        <v>8055</v>
      </c>
      <c r="G238" s="135"/>
      <c r="H238" s="135">
        <v>0</v>
      </c>
      <c r="I238" s="135"/>
      <c r="J238" s="135">
        <v>1</v>
      </c>
      <c r="K238" s="135">
        <v>10</v>
      </c>
      <c r="L238" s="135"/>
      <c r="M238" s="135"/>
      <c r="N238" s="135">
        <v>1</v>
      </c>
      <c r="O238" s="154"/>
      <c r="P238" s="135">
        <v>1</v>
      </c>
      <c r="Q238" s="135">
        <v>1</v>
      </c>
      <c r="R238" s="135">
        <v>1</v>
      </c>
      <c r="S238" s="163">
        <v>1</v>
      </c>
      <c r="T238" s="163">
        <v>1</v>
      </c>
      <c r="U238" s="163">
        <v>1</v>
      </c>
      <c r="V238" s="135"/>
      <c r="W238" s="135"/>
      <c r="X238" s="163"/>
      <c r="Y238" s="135">
        <v>1603</v>
      </c>
      <c r="Z238" s="135">
        <v>1500</v>
      </c>
      <c r="AA238" s="135">
        <v>0</v>
      </c>
      <c r="AB238" s="135"/>
      <c r="AC238" s="135"/>
      <c r="AD238" s="135"/>
      <c r="AE238" s="135"/>
      <c r="AF238" s="163">
        <v>1</v>
      </c>
      <c r="AG238" s="163">
        <v>100</v>
      </c>
      <c r="AH238" s="135"/>
      <c r="AI238" s="135"/>
      <c r="AJ238" s="135" t="s">
        <v>599</v>
      </c>
      <c r="AK238" s="135">
        <v>1</v>
      </c>
      <c r="AL238" s="135">
        <v>98</v>
      </c>
      <c r="AM238" s="135">
        <v>5000</v>
      </c>
      <c r="AN238" s="135"/>
      <c r="AO238" s="130" t="s">
        <v>607</v>
      </c>
      <c r="AP238" s="135" t="s">
        <v>272</v>
      </c>
      <c r="AQ238" s="130" t="s">
        <v>607</v>
      </c>
      <c r="AR238" s="135" t="s">
        <v>272</v>
      </c>
      <c r="AS238" s="130" t="s">
        <v>607</v>
      </c>
      <c r="AT238" s="135" t="s">
        <v>272</v>
      </c>
      <c r="AU238" s="130" t="s">
        <v>608</v>
      </c>
      <c r="AV238" s="135"/>
      <c r="AW238" s="135" t="s">
        <v>248</v>
      </c>
      <c r="AX238" s="135" t="s">
        <v>249</v>
      </c>
      <c r="AY238" s="135"/>
      <c r="AZ238" s="135"/>
      <c r="BA238" s="135"/>
      <c r="BB238" s="163"/>
      <c r="BC238" s="163"/>
      <c r="BD238" s="135"/>
      <c r="BE238" s="135"/>
      <c r="BF238" s="135">
        <v>101</v>
      </c>
      <c r="BG238" s="130" t="s">
        <v>5060</v>
      </c>
      <c r="BH238" s="185"/>
      <c r="BI238" s="135" t="s">
        <v>602</v>
      </c>
      <c r="BJ238" s="130" t="s">
        <v>252</v>
      </c>
      <c r="BK238" s="135" t="s">
        <v>253</v>
      </c>
      <c r="BL238" s="135"/>
      <c r="BM238" s="135"/>
      <c r="BN238" s="135"/>
      <c r="BO238" s="163">
        <v>100</v>
      </c>
      <c r="BP238" s="163">
        <v>200</v>
      </c>
      <c r="BQ238" s="135"/>
      <c r="BR238" s="135">
        <v>1</v>
      </c>
      <c r="BS238" s="135"/>
      <c r="BT238" s="163">
        <v>50</v>
      </c>
      <c r="BU238" s="163">
        <v>50</v>
      </c>
      <c r="BV238" s="135"/>
      <c r="BW238" s="135"/>
      <c r="BX238" s="135"/>
      <c r="BY238" s="135"/>
      <c r="BZ238" s="135">
        <v>2</v>
      </c>
      <c r="CA238" s="135">
        <v>3</v>
      </c>
      <c r="CB238" s="135">
        <v>2</v>
      </c>
      <c r="CC238" s="135">
        <v>3</v>
      </c>
      <c r="CD238" s="135">
        <v>2</v>
      </c>
      <c r="CE238" s="135">
        <v>3</v>
      </c>
      <c r="CF238" s="135">
        <v>2</v>
      </c>
      <c r="CG238" s="135">
        <v>3</v>
      </c>
      <c r="CH238" s="163"/>
      <c r="CI238" s="130"/>
      <c r="CJ238" s="135"/>
      <c r="CK238" s="135"/>
      <c r="CL238" s="130"/>
      <c r="CM238" s="193"/>
      <c r="CN238" s="193"/>
      <c r="CO238" s="193"/>
      <c r="CP238" s="193"/>
      <c r="CQ238" s="193"/>
      <c r="CR238" s="193"/>
    </row>
    <row r="239" spans="1:96" ht="15.75" customHeight="1" x14ac:dyDescent="0.35">
      <c r="A239" s="199"/>
      <c r="B239" s="202" t="s">
        <v>590</v>
      </c>
      <c r="C239" s="201" t="s">
        <v>609</v>
      </c>
      <c r="D239" s="138">
        <v>20010</v>
      </c>
      <c r="E239" s="135">
        <v>510007</v>
      </c>
      <c r="F239" s="135">
        <v>8058</v>
      </c>
      <c r="G239" s="135"/>
      <c r="H239" s="135">
        <v>0</v>
      </c>
      <c r="I239" s="135"/>
      <c r="J239" s="135">
        <v>1</v>
      </c>
      <c r="K239" s="135">
        <v>10</v>
      </c>
      <c r="L239" s="135"/>
      <c r="M239" s="135"/>
      <c r="N239" s="135">
        <v>1</v>
      </c>
      <c r="O239" s="154"/>
      <c r="P239" s="135">
        <v>1</v>
      </c>
      <c r="Q239" s="135">
        <v>1</v>
      </c>
      <c r="R239" s="135">
        <v>1</v>
      </c>
      <c r="S239" s="163">
        <v>1</v>
      </c>
      <c r="T239" s="163">
        <v>1</v>
      </c>
      <c r="U239" s="163">
        <v>1</v>
      </c>
      <c r="V239" s="135"/>
      <c r="W239" s="135"/>
      <c r="X239" s="163"/>
      <c r="Y239" s="135">
        <v>1604</v>
      </c>
      <c r="Z239" s="135">
        <v>1500</v>
      </c>
      <c r="AA239" s="135">
        <v>0</v>
      </c>
      <c r="AB239" s="135"/>
      <c r="AC239" s="135"/>
      <c r="AD239" s="135"/>
      <c r="AE239" s="135"/>
      <c r="AF239" s="163">
        <v>1</v>
      </c>
      <c r="AG239" s="163">
        <v>100</v>
      </c>
      <c r="AH239" s="135"/>
      <c r="AI239" s="135"/>
      <c r="AJ239" s="135" t="s">
        <v>599</v>
      </c>
      <c r="AK239" s="135">
        <v>1</v>
      </c>
      <c r="AL239" s="135">
        <v>98</v>
      </c>
      <c r="AM239" s="135">
        <v>5000</v>
      </c>
      <c r="AN239" s="135"/>
      <c r="AO239" s="130" t="s">
        <v>610</v>
      </c>
      <c r="AP239" s="135" t="s">
        <v>272</v>
      </c>
      <c r="AQ239" s="130" t="s">
        <v>610</v>
      </c>
      <c r="AR239" s="135" t="s">
        <v>272</v>
      </c>
      <c r="AS239" s="130" t="s">
        <v>610</v>
      </c>
      <c r="AT239" s="135" t="s">
        <v>272</v>
      </c>
      <c r="AU239" s="130" t="s">
        <v>611</v>
      </c>
      <c r="AV239" s="135"/>
      <c r="AW239" s="135" t="s">
        <v>248</v>
      </c>
      <c r="AX239" s="135" t="s">
        <v>249</v>
      </c>
      <c r="AY239" s="135"/>
      <c r="AZ239" s="135"/>
      <c r="BA239" s="135"/>
      <c r="BB239" s="163"/>
      <c r="BC239" s="163"/>
      <c r="BD239" s="135"/>
      <c r="BE239" s="135"/>
      <c r="BF239" s="135">
        <v>101</v>
      </c>
      <c r="BG239" s="130" t="s">
        <v>5061</v>
      </c>
      <c r="BH239" s="185"/>
      <c r="BI239" s="135" t="s">
        <v>602</v>
      </c>
      <c r="BJ239" s="130" t="s">
        <v>252</v>
      </c>
      <c r="BK239" s="135" t="s">
        <v>253</v>
      </c>
      <c r="BL239" s="135"/>
      <c r="BM239" s="135"/>
      <c r="BN239" s="135"/>
      <c r="BO239" s="163">
        <v>100</v>
      </c>
      <c r="BP239" s="163">
        <v>200</v>
      </c>
      <c r="BQ239" s="135"/>
      <c r="BR239" s="135">
        <v>1</v>
      </c>
      <c r="BS239" s="135"/>
      <c r="BT239" s="163">
        <v>50</v>
      </c>
      <c r="BU239" s="163">
        <v>50</v>
      </c>
      <c r="BV239" s="135"/>
      <c r="BW239" s="135"/>
      <c r="BX239" s="135"/>
      <c r="BY239" s="135"/>
      <c r="BZ239" s="135">
        <v>2</v>
      </c>
      <c r="CA239" s="135">
        <v>3</v>
      </c>
      <c r="CB239" s="135">
        <v>2</v>
      </c>
      <c r="CC239" s="135">
        <v>3</v>
      </c>
      <c r="CD239" s="135">
        <v>2</v>
      </c>
      <c r="CE239" s="135">
        <v>3</v>
      </c>
      <c r="CF239" s="135">
        <v>2</v>
      </c>
      <c r="CG239" s="135">
        <v>3</v>
      </c>
      <c r="CH239" s="163"/>
      <c r="CI239" s="130"/>
      <c r="CJ239" s="135"/>
      <c r="CK239" s="135"/>
      <c r="CL239" s="130"/>
      <c r="CM239" s="193"/>
      <c r="CN239" s="193"/>
      <c r="CO239" s="193"/>
      <c r="CP239" s="193"/>
      <c r="CQ239" s="193"/>
      <c r="CR239" s="193"/>
    </row>
    <row r="240" spans="1:96" ht="15.75" customHeight="1" x14ac:dyDescent="0.35">
      <c r="A240" s="199"/>
      <c r="B240" s="202" t="s">
        <v>590</v>
      </c>
      <c r="C240" s="201" t="s">
        <v>612</v>
      </c>
      <c r="D240" s="138">
        <v>20011</v>
      </c>
      <c r="E240" s="135">
        <v>510008</v>
      </c>
      <c r="F240" s="135">
        <v>8061</v>
      </c>
      <c r="G240" s="135"/>
      <c r="H240" s="135">
        <v>0</v>
      </c>
      <c r="I240" s="135"/>
      <c r="J240" s="135">
        <v>1</v>
      </c>
      <c r="K240" s="135">
        <v>10</v>
      </c>
      <c r="L240" s="135"/>
      <c r="M240" s="135"/>
      <c r="N240" s="135">
        <v>1</v>
      </c>
      <c r="O240" s="154"/>
      <c r="P240" s="135">
        <v>1</v>
      </c>
      <c r="Q240" s="135">
        <v>1</v>
      </c>
      <c r="R240" s="135">
        <v>1</v>
      </c>
      <c r="S240" s="163">
        <v>1</v>
      </c>
      <c r="T240" s="163">
        <v>1</v>
      </c>
      <c r="U240" s="163">
        <v>1</v>
      </c>
      <c r="V240" s="135"/>
      <c r="W240" s="135"/>
      <c r="X240" s="163"/>
      <c r="Y240" s="135">
        <v>1602</v>
      </c>
      <c r="Z240" s="135">
        <v>1500</v>
      </c>
      <c r="AA240" s="135">
        <v>0</v>
      </c>
      <c r="AB240" s="135"/>
      <c r="AC240" s="135"/>
      <c r="AD240" s="135"/>
      <c r="AE240" s="135"/>
      <c r="AF240" s="163">
        <v>1</v>
      </c>
      <c r="AG240" s="163">
        <v>100</v>
      </c>
      <c r="AH240" s="135"/>
      <c r="AI240" s="135"/>
      <c r="AJ240" s="135" t="s">
        <v>599</v>
      </c>
      <c r="AK240" s="135">
        <v>1</v>
      </c>
      <c r="AL240" s="135">
        <v>98</v>
      </c>
      <c r="AM240" s="135">
        <v>5000</v>
      </c>
      <c r="AN240" s="135"/>
      <c r="AO240" s="130" t="s">
        <v>613</v>
      </c>
      <c r="AP240" s="135" t="s">
        <v>272</v>
      </c>
      <c r="AQ240" s="130" t="s">
        <v>613</v>
      </c>
      <c r="AR240" s="135" t="s">
        <v>272</v>
      </c>
      <c r="AS240" s="130" t="s">
        <v>613</v>
      </c>
      <c r="AT240" s="135" t="s">
        <v>272</v>
      </c>
      <c r="AU240" s="130" t="s">
        <v>614</v>
      </c>
      <c r="AV240" s="135"/>
      <c r="AW240" s="135" t="s">
        <v>248</v>
      </c>
      <c r="AX240" s="135" t="s">
        <v>249</v>
      </c>
      <c r="AY240" s="135"/>
      <c r="AZ240" s="135"/>
      <c r="BA240" s="135"/>
      <c r="BB240" s="163"/>
      <c r="BC240" s="163"/>
      <c r="BD240" s="135"/>
      <c r="BE240" s="135"/>
      <c r="BF240" s="135">
        <v>101</v>
      </c>
      <c r="BG240" s="130" t="s">
        <v>5062</v>
      </c>
      <c r="BH240" s="185"/>
      <c r="BI240" s="135" t="s">
        <v>602</v>
      </c>
      <c r="BJ240" s="130" t="s">
        <v>252</v>
      </c>
      <c r="BK240" s="135" t="s">
        <v>253</v>
      </c>
      <c r="BL240" s="135"/>
      <c r="BM240" s="135"/>
      <c r="BN240" s="135"/>
      <c r="BO240" s="163">
        <v>100</v>
      </c>
      <c r="BP240" s="163">
        <v>200</v>
      </c>
      <c r="BQ240" s="135"/>
      <c r="BR240" s="135">
        <v>1</v>
      </c>
      <c r="BS240" s="135"/>
      <c r="BT240" s="163">
        <v>50</v>
      </c>
      <c r="BU240" s="163">
        <v>50</v>
      </c>
      <c r="BV240" s="135"/>
      <c r="BW240" s="135"/>
      <c r="BX240" s="135"/>
      <c r="BY240" s="135"/>
      <c r="BZ240" s="135">
        <v>2</v>
      </c>
      <c r="CA240" s="135">
        <v>3</v>
      </c>
      <c r="CB240" s="135">
        <v>2</v>
      </c>
      <c r="CC240" s="135">
        <v>3</v>
      </c>
      <c r="CD240" s="135">
        <v>2</v>
      </c>
      <c r="CE240" s="135">
        <v>3</v>
      </c>
      <c r="CF240" s="135">
        <v>2</v>
      </c>
      <c r="CG240" s="135">
        <v>3</v>
      </c>
      <c r="CH240" s="163"/>
      <c r="CI240" s="130"/>
      <c r="CJ240" s="135"/>
      <c r="CK240" s="135"/>
      <c r="CL240" s="130"/>
      <c r="CM240" s="193"/>
      <c r="CN240" s="193"/>
      <c r="CO240" s="193"/>
      <c r="CP240" s="193"/>
      <c r="CQ240" s="193"/>
      <c r="CR240" s="193"/>
    </row>
    <row r="241" spans="1:96" ht="15.75" customHeight="1" x14ac:dyDescent="0.35">
      <c r="A241" s="199"/>
      <c r="B241" s="202" t="s">
        <v>590</v>
      </c>
      <c r="C241" s="201" t="s">
        <v>616</v>
      </c>
      <c r="D241" s="138">
        <v>20013</v>
      </c>
      <c r="E241" s="135"/>
      <c r="F241" s="135"/>
      <c r="G241" s="135"/>
      <c r="H241" s="135">
        <v>0</v>
      </c>
      <c r="I241" s="135"/>
      <c r="J241" s="135"/>
      <c r="K241" s="135">
        <v>10</v>
      </c>
      <c r="L241" s="135"/>
      <c r="M241" s="135"/>
      <c r="N241" s="135"/>
      <c r="O241" s="135"/>
      <c r="P241" s="135">
        <v>1</v>
      </c>
      <c r="Q241" s="135">
        <v>3</v>
      </c>
      <c r="R241" s="135"/>
      <c r="S241" s="163">
        <v>1</v>
      </c>
      <c r="T241" s="163">
        <v>1</v>
      </c>
      <c r="U241" s="163">
        <v>1</v>
      </c>
      <c r="V241" s="135"/>
      <c r="W241" s="135"/>
      <c r="X241" s="163"/>
      <c r="Y241" s="135">
        <v>2511</v>
      </c>
      <c r="Z241" s="135">
        <v>1000</v>
      </c>
      <c r="AA241" s="135">
        <v>30</v>
      </c>
      <c r="AB241" s="135"/>
      <c r="AC241" s="135"/>
      <c r="AD241" s="135"/>
      <c r="AE241" s="135"/>
      <c r="AF241" s="163">
        <v>1</v>
      </c>
      <c r="AG241" s="163">
        <v>100</v>
      </c>
      <c r="AH241" s="135"/>
      <c r="AI241" s="135"/>
      <c r="AJ241" s="135"/>
      <c r="AK241" s="135">
        <v>1</v>
      </c>
      <c r="AL241" s="135">
        <v>21001</v>
      </c>
      <c r="AM241" s="135">
        <v>5000</v>
      </c>
      <c r="AN241" s="135"/>
      <c r="AO241" s="130">
        <v>20068</v>
      </c>
      <c r="AP241" s="135">
        <v>1</v>
      </c>
      <c r="AQ241" s="135">
        <v>20069</v>
      </c>
      <c r="AR241" s="135">
        <v>1</v>
      </c>
      <c r="AS241" s="135">
        <v>20069</v>
      </c>
      <c r="AT241" s="135">
        <v>1</v>
      </c>
      <c r="AU241" s="130" t="s">
        <v>4592</v>
      </c>
      <c r="AV241" s="135"/>
      <c r="AW241" s="135" t="s">
        <v>248</v>
      </c>
      <c r="AX241" s="135"/>
      <c r="AY241" s="135"/>
      <c r="AZ241" s="135"/>
      <c r="BA241" s="135"/>
      <c r="BB241" s="163"/>
      <c r="BC241" s="163"/>
      <c r="BD241" s="135"/>
      <c r="BE241" s="135"/>
      <c r="BF241" s="135">
        <v>101</v>
      </c>
      <c r="BG241" s="203" t="s">
        <v>5054</v>
      </c>
      <c r="BH241" s="185"/>
      <c r="BI241" s="135" t="s">
        <v>231</v>
      </c>
      <c r="BJ241" s="130" t="s">
        <v>615</v>
      </c>
      <c r="BK241" s="135" t="s">
        <v>253</v>
      </c>
      <c r="BL241" s="135"/>
      <c r="BM241" s="135"/>
      <c r="BN241" s="135"/>
      <c r="BO241" s="163">
        <v>100</v>
      </c>
      <c r="BP241" s="163">
        <v>200</v>
      </c>
      <c r="BQ241" s="135"/>
      <c r="BR241" s="135">
        <v>1</v>
      </c>
      <c r="BS241" s="135"/>
      <c r="BT241" s="163">
        <v>50</v>
      </c>
      <c r="BU241" s="163"/>
      <c r="BV241" s="135"/>
      <c r="BW241" s="135"/>
      <c r="BX241" s="135"/>
      <c r="BY241" s="135"/>
      <c r="BZ241" s="135">
        <v>6</v>
      </c>
      <c r="CA241" s="135">
        <v>10</v>
      </c>
      <c r="CB241" s="135">
        <v>7</v>
      </c>
      <c r="CC241" s="135">
        <v>12</v>
      </c>
      <c r="CD241" s="135">
        <v>9</v>
      </c>
      <c r="CE241" s="135">
        <v>15</v>
      </c>
      <c r="CF241" s="135">
        <v>9</v>
      </c>
      <c r="CG241" s="135">
        <v>15</v>
      </c>
      <c r="CH241" s="163"/>
      <c r="CI241" s="130"/>
      <c r="CJ241" s="135"/>
      <c r="CK241" s="135"/>
      <c r="CL241" s="130"/>
      <c r="CM241" s="193"/>
      <c r="CN241" s="193"/>
      <c r="CO241" s="193"/>
      <c r="CP241" s="193"/>
      <c r="CQ241" s="193"/>
      <c r="CR241" s="193"/>
    </row>
    <row r="242" spans="1:96" ht="15.75" customHeight="1" x14ac:dyDescent="0.35">
      <c r="A242" s="199"/>
      <c r="B242" s="202" t="s">
        <v>590</v>
      </c>
      <c r="C242" s="201" t="s">
        <v>617</v>
      </c>
      <c r="D242" s="138">
        <v>20014</v>
      </c>
      <c r="E242" s="135"/>
      <c r="F242" s="135"/>
      <c r="G242" s="135"/>
      <c r="H242" s="135">
        <v>0</v>
      </c>
      <c r="I242" s="135"/>
      <c r="J242" s="135"/>
      <c r="K242" s="135">
        <v>10</v>
      </c>
      <c r="L242" s="135"/>
      <c r="M242" s="135"/>
      <c r="N242" s="135"/>
      <c r="O242" s="135"/>
      <c r="P242" s="135">
        <v>1</v>
      </c>
      <c r="Q242" s="135">
        <v>3</v>
      </c>
      <c r="R242" s="135"/>
      <c r="S242" s="163">
        <v>1</v>
      </c>
      <c r="T242" s="163">
        <v>1</v>
      </c>
      <c r="U242" s="163">
        <v>1</v>
      </c>
      <c r="V242" s="135"/>
      <c r="W242" s="135"/>
      <c r="X242" s="163"/>
      <c r="Y242" s="135">
        <v>2511</v>
      </c>
      <c r="Z242" s="135">
        <v>1000</v>
      </c>
      <c r="AA242" s="135">
        <v>30</v>
      </c>
      <c r="AB242" s="135"/>
      <c r="AC242" s="135"/>
      <c r="AD242" s="135"/>
      <c r="AE242" s="135"/>
      <c r="AF242" s="163">
        <v>1</v>
      </c>
      <c r="AG242" s="163">
        <v>100</v>
      </c>
      <c r="AH242" s="135"/>
      <c r="AI242" s="135"/>
      <c r="AJ242" s="135"/>
      <c r="AK242" s="135">
        <v>1</v>
      </c>
      <c r="AL242" s="135">
        <v>21001</v>
      </c>
      <c r="AM242" s="135">
        <v>5000</v>
      </c>
      <c r="AN242" s="135"/>
      <c r="AO242" s="130">
        <v>20070</v>
      </c>
      <c r="AP242" s="135">
        <v>1</v>
      </c>
      <c r="AQ242" s="135">
        <v>20071</v>
      </c>
      <c r="AR242" s="135">
        <v>1</v>
      </c>
      <c r="AS242" s="135">
        <v>20071</v>
      </c>
      <c r="AT242" s="135">
        <v>1</v>
      </c>
      <c r="AU242" s="130" t="s">
        <v>4592</v>
      </c>
      <c r="AV242" s="135"/>
      <c r="AW242" s="135" t="s">
        <v>248</v>
      </c>
      <c r="AX242" s="135"/>
      <c r="AY242" s="135"/>
      <c r="AZ242" s="135"/>
      <c r="BA242" s="135"/>
      <c r="BB242" s="163"/>
      <c r="BC242" s="163"/>
      <c r="BD242" s="135"/>
      <c r="BE242" s="135"/>
      <c r="BF242" s="135">
        <v>101</v>
      </c>
      <c r="BG242" s="203" t="s">
        <v>5054</v>
      </c>
      <c r="BH242" s="185"/>
      <c r="BI242" s="135" t="s">
        <v>231</v>
      </c>
      <c r="BJ242" s="130" t="s">
        <v>615</v>
      </c>
      <c r="BK242" s="135" t="s">
        <v>253</v>
      </c>
      <c r="BL242" s="135"/>
      <c r="BM242" s="135"/>
      <c r="BN242" s="135"/>
      <c r="BO242" s="163">
        <v>100</v>
      </c>
      <c r="BP242" s="163">
        <v>200</v>
      </c>
      <c r="BQ242" s="135"/>
      <c r="BR242" s="135">
        <v>1</v>
      </c>
      <c r="BS242" s="135"/>
      <c r="BT242" s="163">
        <v>50</v>
      </c>
      <c r="BU242" s="163"/>
      <c r="BV242" s="135"/>
      <c r="BW242" s="135"/>
      <c r="BX242" s="135"/>
      <c r="BY242" s="135"/>
      <c r="BZ242" s="135">
        <v>6</v>
      </c>
      <c r="CA242" s="135">
        <v>10</v>
      </c>
      <c r="CB242" s="135">
        <v>7</v>
      </c>
      <c r="CC242" s="135">
        <v>12</v>
      </c>
      <c r="CD242" s="135">
        <v>9</v>
      </c>
      <c r="CE242" s="135">
        <v>15</v>
      </c>
      <c r="CF242" s="135">
        <v>9</v>
      </c>
      <c r="CG242" s="135">
        <v>15</v>
      </c>
      <c r="CH242" s="163"/>
      <c r="CI242" s="130"/>
      <c r="CJ242" s="135"/>
      <c r="CK242" s="135"/>
      <c r="CL242" s="130"/>
      <c r="CM242" s="193"/>
      <c r="CN242" s="193"/>
      <c r="CO242" s="193"/>
      <c r="CP242" s="193"/>
      <c r="CQ242" s="193"/>
      <c r="CR242" s="193"/>
    </row>
    <row r="243" spans="1:96" ht="15.75" customHeight="1" x14ac:dyDescent="0.35">
      <c r="A243" s="199"/>
      <c r="B243" s="202" t="s">
        <v>590</v>
      </c>
      <c r="C243" s="201" t="s">
        <v>618</v>
      </c>
      <c r="D243" s="138">
        <v>20015</v>
      </c>
      <c r="E243" s="135">
        <v>510009</v>
      </c>
      <c r="F243" s="135">
        <v>8071</v>
      </c>
      <c r="G243" s="135"/>
      <c r="H243" s="135">
        <v>0</v>
      </c>
      <c r="I243" s="135"/>
      <c r="J243" s="135"/>
      <c r="K243" s="135">
        <v>10</v>
      </c>
      <c r="L243" s="135"/>
      <c r="M243" s="135"/>
      <c r="N243" s="135"/>
      <c r="O243" s="135"/>
      <c r="P243" s="135">
        <v>1</v>
      </c>
      <c r="Q243" s="135">
        <v>3</v>
      </c>
      <c r="R243" s="135"/>
      <c r="S243" s="163">
        <v>1</v>
      </c>
      <c r="T243" s="163">
        <v>1</v>
      </c>
      <c r="U243" s="163">
        <v>1</v>
      </c>
      <c r="V243" s="135"/>
      <c r="W243" s="135"/>
      <c r="X243" s="163"/>
      <c r="Y243" s="135">
        <v>2512</v>
      </c>
      <c r="Z243" s="135">
        <v>1250</v>
      </c>
      <c r="AA243" s="135">
        <v>0</v>
      </c>
      <c r="AB243" s="135"/>
      <c r="AC243" s="135"/>
      <c r="AD243" s="135"/>
      <c r="AE243" s="135"/>
      <c r="AF243" s="163">
        <v>1</v>
      </c>
      <c r="AG243" s="163">
        <v>100</v>
      </c>
      <c r="AH243" s="135"/>
      <c r="AI243" s="135"/>
      <c r="AJ243" s="135"/>
      <c r="AK243" s="135">
        <v>1</v>
      </c>
      <c r="AL243" s="135">
        <v>99997</v>
      </c>
      <c r="AM243" s="135">
        <v>5000</v>
      </c>
      <c r="AN243" s="135"/>
      <c r="AO243" s="130">
        <v>20072</v>
      </c>
      <c r="AP243" s="135">
        <v>1</v>
      </c>
      <c r="AQ243" s="135">
        <v>20073</v>
      </c>
      <c r="AR243" s="135">
        <v>1</v>
      </c>
      <c r="AS243" s="135">
        <v>20073</v>
      </c>
      <c r="AT243" s="135">
        <v>1</v>
      </c>
      <c r="AU243" s="130" t="s">
        <v>4592</v>
      </c>
      <c r="AV243" s="135"/>
      <c r="AW243" s="135" t="s">
        <v>248</v>
      </c>
      <c r="AX243" s="135"/>
      <c r="AY243" s="135"/>
      <c r="AZ243" s="135"/>
      <c r="BA243" s="135"/>
      <c r="BB243" s="163"/>
      <c r="BC243" s="163"/>
      <c r="BD243" s="135"/>
      <c r="BE243" s="135"/>
      <c r="BF243" s="135">
        <v>101</v>
      </c>
      <c r="BG243" s="130" t="s">
        <v>5107</v>
      </c>
      <c r="BH243" s="185"/>
      <c r="BI243" s="135" t="s">
        <v>231</v>
      </c>
      <c r="BJ243" s="130" t="s">
        <v>615</v>
      </c>
      <c r="BK243" s="135" t="s">
        <v>253</v>
      </c>
      <c r="BL243" s="135"/>
      <c r="BM243" s="135"/>
      <c r="BN243" s="135"/>
      <c r="BO243" s="163">
        <v>100</v>
      </c>
      <c r="BP243" s="163">
        <v>200</v>
      </c>
      <c r="BQ243" s="135"/>
      <c r="BR243" s="135">
        <v>1</v>
      </c>
      <c r="BS243" s="135"/>
      <c r="BT243" s="163">
        <v>50</v>
      </c>
      <c r="BU243" s="163"/>
      <c r="BV243" s="135"/>
      <c r="BW243" s="135"/>
      <c r="BX243" s="135"/>
      <c r="BY243" s="135"/>
      <c r="BZ243" s="135">
        <v>6</v>
      </c>
      <c r="CA243" s="135">
        <v>10</v>
      </c>
      <c r="CB243" s="135">
        <v>7</v>
      </c>
      <c r="CC243" s="135">
        <v>12</v>
      </c>
      <c r="CD243" s="135">
        <v>9</v>
      </c>
      <c r="CE243" s="135">
        <v>15</v>
      </c>
      <c r="CF243" s="135">
        <v>9</v>
      </c>
      <c r="CG243" s="135">
        <v>15</v>
      </c>
      <c r="CH243" s="163"/>
      <c r="CI243" s="130"/>
      <c r="CJ243" s="135"/>
      <c r="CK243" s="135"/>
      <c r="CL243" s="130"/>
      <c r="CM243" s="193"/>
      <c r="CN243" s="193"/>
      <c r="CO243" s="193"/>
      <c r="CP243" s="193"/>
      <c r="CQ243" s="193"/>
      <c r="CR243" s="193"/>
    </row>
    <row r="244" spans="1:96" ht="15.75" customHeight="1" x14ac:dyDescent="0.35">
      <c r="A244" s="199"/>
      <c r="B244" s="202" t="s">
        <v>590</v>
      </c>
      <c r="C244" s="201" t="s">
        <v>5063</v>
      </c>
      <c r="D244" s="138">
        <v>20016</v>
      </c>
      <c r="E244" s="135"/>
      <c r="F244" s="135"/>
      <c r="G244" s="135"/>
      <c r="H244" s="135">
        <v>0</v>
      </c>
      <c r="I244" s="135"/>
      <c r="J244" s="135"/>
      <c r="K244" s="135">
        <v>10</v>
      </c>
      <c r="L244" s="135"/>
      <c r="M244" s="135"/>
      <c r="N244" s="135"/>
      <c r="O244" s="154"/>
      <c r="P244" s="135">
        <v>1</v>
      </c>
      <c r="Q244" s="135">
        <v>3</v>
      </c>
      <c r="R244" s="135"/>
      <c r="S244" s="163">
        <v>1</v>
      </c>
      <c r="T244" s="163">
        <v>1</v>
      </c>
      <c r="U244" s="163">
        <v>1</v>
      </c>
      <c r="V244" s="135"/>
      <c r="W244" s="135"/>
      <c r="X244" s="163"/>
      <c r="Y244" s="135">
        <v>25132</v>
      </c>
      <c r="Z244" s="135">
        <v>1000</v>
      </c>
      <c r="AA244" s="135">
        <v>0</v>
      </c>
      <c r="AB244" s="135"/>
      <c r="AC244" s="135"/>
      <c r="AD244" s="135"/>
      <c r="AE244" s="135"/>
      <c r="AF244" s="163">
        <v>1</v>
      </c>
      <c r="AG244" s="163">
        <v>100</v>
      </c>
      <c r="AH244" s="135"/>
      <c r="AI244" s="135"/>
      <c r="AJ244" s="135"/>
      <c r="AK244" s="135">
        <v>1</v>
      </c>
      <c r="AL244" s="135">
        <v>99998</v>
      </c>
      <c r="AM244" s="135">
        <v>5000</v>
      </c>
      <c r="AN244" s="135"/>
      <c r="AO244" s="130" t="s">
        <v>620</v>
      </c>
      <c r="AP244" s="130">
        <v>1</v>
      </c>
      <c r="AQ244" s="130" t="s">
        <v>621</v>
      </c>
      <c r="AR244" s="130">
        <v>1</v>
      </c>
      <c r="AS244" s="130" t="s">
        <v>621</v>
      </c>
      <c r="AT244" s="130">
        <v>1</v>
      </c>
      <c r="AU244" s="130" t="s">
        <v>4593</v>
      </c>
      <c r="AV244" s="130"/>
      <c r="AW244" s="130" t="s">
        <v>248</v>
      </c>
      <c r="AX244" s="130"/>
      <c r="AY244" s="130" t="s">
        <v>622</v>
      </c>
      <c r="AZ244" s="130" t="s">
        <v>623</v>
      </c>
      <c r="BA244" s="130"/>
      <c r="BB244" s="179"/>
      <c r="BC244" s="179"/>
      <c r="BD244" s="130"/>
      <c r="BE244" s="130"/>
      <c r="BF244" s="135">
        <v>101</v>
      </c>
      <c r="BG244" s="130" t="s">
        <v>5108</v>
      </c>
      <c r="BH244" s="185"/>
      <c r="BI244" s="130" t="s">
        <v>231</v>
      </c>
      <c r="BJ244" s="130" t="s">
        <v>615</v>
      </c>
      <c r="BK244" s="130" t="s">
        <v>253</v>
      </c>
      <c r="BL244" s="135"/>
      <c r="BM244" s="135"/>
      <c r="BN244" s="135"/>
      <c r="BO244" s="163">
        <v>100</v>
      </c>
      <c r="BP244" s="163">
        <v>200</v>
      </c>
      <c r="BQ244" s="130"/>
      <c r="BR244" s="135">
        <v>1</v>
      </c>
      <c r="BS244" s="135"/>
      <c r="BT244" s="163">
        <v>50</v>
      </c>
      <c r="BU244" s="163"/>
      <c r="BV244" s="130"/>
      <c r="BW244" s="130"/>
      <c r="BX244" s="135"/>
      <c r="BY244" s="135"/>
      <c r="BZ244" s="135">
        <v>6</v>
      </c>
      <c r="CA244" s="135">
        <v>10</v>
      </c>
      <c r="CB244" s="135">
        <v>7</v>
      </c>
      <c r="CC244" s="135">
        <v>12</v>
      </c>
      <c r="CD244" s="135">
        <v>9</v>
      </c>
      <c r="CE244" s="135">
        <v>15</v>
      </c>
      <c r="CF244" s="135">
        <v>9</v>
      </c>
      <c r="CG244" s="135">
        <v>15</v>
      </c>
      <c r="CH244" s="163"/>
      <c r="CI244" s="130"/>
      <c r="CJ244" s="135"/>
      <c r="CK244" s="135"/>
      <c r="CL244" s="130"/>
      <c r="CM244" s="193"/>
      <c r="CN244" s="193"/>
      <c r="CO244" s="193"/>
      <c r="CP244" s="193"/>
      <c r="CQ244" s="193"/>
      <c r="CR244" s="193"/>
    </row>
    <row r="245" spans="1:96" ht="15.75" customHeight="1" x14ac:dyDescent="0.35">
      <c r="A245" s="199"/>
      <c r="B245" s="202" t="s">
        <v>590</v>
      </c>
      <c r="C245" s="201" t="s">
        <v>5074</v>
      </c>
      <c r="D245" s="138">
        <v>20017</v>
      </c>
      <c r="E245" s="135"/>
      <c r="F245" s="135"/>
      <c r="G245" s="135"/>
      <c r="H245" s="135">
        <v>0</v>
      </c>
      <c r="I245" s="135"/>
      <c r="J245" s="135"/>
      <c r="K245" s="135">
        <v>10</v>
      </c>
      <c r="L245" s="135"/>
      <c r="M245" s="135"/>
      <c r="N245" s="135"/>
      <c r="O245" s="154"/>
      <c r="P245" s="135">
        <v>1</v>
      </c>
      <c r="Q245" s="135">
        <v>3</v>
      </c>
      <c r="R245" s="135"/>
      <c r="S245" s="163">
        <v>1</v>
      </c>
      <c r="T245" s="163">
        <v>1</v>
      </c>
      <c r="U245" s="163">
        <v>1</v>
      </c>
      <c r="V245" s="135"/>
      <c r="W245" s="135"/>
      <c r="X245" s="163"/>
      <c r="Y245" s="135">
        <v>25133</v>
      </c>
      <c r="Z245" s="135">
        <v>1000</v>
      </c>
      <c r="AA245" s="135">
        <v>0</v>
      </c>
      <c r="AB245" s="135"/>
      <c r="AC245" s="135"/>
      <c r="AD245" s="135"/>
      <c r="AE245" s="135"/>
      <c r="AF245" s="163">
        <v>1</v>
      </c>
      <c r="AG245" s="163">
        <v>100</v>
      </c>
      <c r="AH245" s="135"/>
      <c r="AI245" s="135"/>
      <c r="AJ245" s="135"/>
      <c r="AK245" s="135">
        <v>1</v>
      </c>
      <c r="AL245" s="135">
        <v>99998</v>
      </c>
      <c r="AM245" s="135">
        <v>5000</v>
      </c>
      <c r="AN245" s="135"/>
      <c r="AO245" s="130" t="s">
        <v>625</v>
      </c>
      <c r="AP245" s="130">
        <v>1</v>
      </c>
      <c r="AQ245" s="130" t="s">
        <v>626</v>
      </c>
      <c r="AR245" s="130">
        <v>1</v>
      </c>
      <c r="AS245" s="130" t="s">
        <v>626</v>
      </c>
      <c r="AT245" s="130">
        <v>1</v>
      </c>
      <c r="AU245" s="130" t="s">
        <v>4593</v>
      </c>
      <c r="AV245" s="130"/>
      <c r="AW245" s="130" t="s">
        <v>248</v>
      </c>
      <c r="AX245" s="130"/>
      <c r="AY245" s="130" t="s">
        <v>622</v>
      </c>
      <c r="AZ245" s="130" t="s">
        <v>623</v>
      </c>
      <c r="BA245" s="130"/>
      <c r="BB245" s="179"/>
      <c r="BC245" s="179"/>
      <c r="BD245" s="130"/>
      <c r="BE245" s="130"/>
      <c r="BF245" s="135">
        <v>101</v>
      </c>
      <c r="BG245" s="130" t="s">
        <v>5109</v>
      </c>
      <c r="BH245" s="185"/>
      <c r="BI245" s="130" t="s">
        <v>231</v>
      </c>
      <c r="BJ245" s="130" t="s">
        <v>615</v>
      </c>
      <c r="BK245" s="130" t="s">
        <v>253</v>
      </c>
      <c r="BL245" s="135"/>
      <c r="BM245" s="135"/>
      <c r="BN245" s="135"/>
      <c r="BO245" s="163">
        <v>100</v>
      </c>
      <c r="BP245" s="163">
        <v>200</v>
      </c>
      <c r="BQ245" s="130"/>
      <c r="BR245" s="135">
        <v>1</v>
      </c>
      <c r="BS245" s="135"/>
      <c r="BT245" s="163">
        <v>50</v>
      </c>
      <c r="BU245" s="163"/>
      <c r="BV245" s="130"/>
      <c r="BW245" s="130"/>
      <c r="BX245" s="135"/>
      <c r="BY245" s="135"/>
      <c r="BZ245" s="135">
        <v>6</v>
      </c>
      <c r="CA245" s="135">
        <v>10</v>
      </c>
      <c r="CB245" s="135">
        <v>7</v>
      </c>
      <c r="CC245" s="135">
        <v>12</v>
      </c>
      <c r="CD245" s="135">
        <v>9</v>
      </c>
      <c r="CE245" s="135">
        <v>15</v>
      </c>
      <c r="CF245" s="135">
        <v>9</v>
      </c>
      <c r="CG245" s="135">
        <v>15</v>
      </c>
      <c r="CH245" s="163"/>
      <c r="CI245" s="130"/>
      <c r="CJ245" s="135"/>
      <c r="CK245" s="135"/>
      <c r="CL245" s="130"/>
      <c r="CM245" s="193"/>
      <c r="CN245" s="193"/>
      <c r="CO245" s="193"/>
      <c r="CP245" s="193"/>
      <c r="CQ245" s="193"/>
      <c r="CR245" s="193"/>
    </row>
    <row r="246" spans="1:96" ht="15.75" customHeight="1" x14ac:dyDescent="0.35">
      <c r="A246" s="199"/>
      <c r="B246" s="202" t="s">
        <v>590</v>
      </c>
      <c r="C246" s="201" t="s">
        <v>5085</v>
      </c>
      <c r="D246" s="138">
        <v>20018</v>
      </c>
      <c r="E246" s="135"/>
      <c r="F246" s="135"/>
      <c r="G246" s="135"/>
      <c r="H246" s="135">
        <v>0</v>
      </c>
      <c r="I246" s="135"/>
      <c r="J246" s="135"/>
      <c r="K246" s="135">
        <v>10</v>
      </c>
      <c r="L246" s="135"/>
      <c r="M246" s="135"/>
      <c r="N246" s="135"/>
      <c r="O246" s="154"/>
      <c r="P246" s="135">
        <v>1</v>
      </c>
      <c r="Q246" s="135">
        <v>3</v>
      </c>
      <c r="R246" s="135"/>
      <c r="S246" s="163">
        <v>1</v>
      </c>
      <c r="T246" s="163">
        <v>1</v>
      </c>
      <c r="U246" s="163">
        <v>1</v>
      </c>
      <c r="V246" s="135"/>
      <c r="W246" s="135"/>
      <c r="X246" s="163"/>
      <c r="Y246" s="135">
        <v>25131</v>
      </c>
      <c r="Z246" s="135">
        <v>1000</v>
      </c>
      <c r="AA246" s="135">
        <v>0</v>
      </c>
      <c r="AB246" s="135"/>
      <c r="AC246" s="135"/>
      <c r="AD246" s="135"/>
      <c r="AE246" s="135"/>
      <c r="AF246" s="163">
        <v>1</v>
      </c>
      <c r="AG246" s="163">
        <v>100</v>
      </c>
      <c r="AH246" s="135"/>
      <c r="AI246" s="135"/>
      <c r="AJ246" s="135"/>
      <c r="AK246" s="135">
        <v>1</v>
      </c>
      <c r="AL246" s="135">
        <v>99998</v>
      </c>
      <c r="AM246" s="135">
        <v>5000</v>
      </c>
      <c r="AN246" s="135"/>
      <c r="AO246" s="130" t="s">
        <v>628</v>
      </c>
      <c r="AP246" s="130">
        <v>1</v>
      </c>
      <c r="AQ246" s="130" t="s">
        <v>629</v>
      </c>
      <c r="AR246" s="130">
        <v>1</v>
      </c>
      <c r="AS246" s="130" t="s">
        <v>629</v>
      </c>
      <c r="AT246" s="130">
        <v>1</v>
      </c>
      <c r="AU246" s="130" t="s">
        <v>4593</v>
      </c>
      <c r="AV246" s="130"/>
      <c r="AW246" s="130" t="s">
        <v>248</v>
      </c>
      <c r="AX246" s="130"/>
      <c r="AY246" s="130" t="s">
        <v>622</v>
      </c>
      <c r="AZ246" s="130" t="s">
        <v>623</v>
      </c>
      <c r="BA246" s="130"/>
      <c r="BB246" s="179"/>
      <c r="BC246" s="179"/>
      <c r="BD246" s="130"/>
      <c r="BE246" s="130"/>
      <c r="BF246" s="135">
        <v>101</v>
      </c>
      <c r="BG246" s="130" t="s">
        <v>5110</v>
      </c>
      <c r="BH246" s="185"/>
      <c r="BI246" s="130" t="s">
        <v>231</v>
      </c>
      <c r="BJ246" s="130" t="s">
        <v>615</v>
      </c>
      <c r="BK246" s="130" t="s">
        <v>253</v>
      </c>
      <c r="BL246" s="135"/>
      <c r="BM246" s="135"/>
      <c r="BN246" s="135"/>
      <c r="BO246" s="163">
        <v>100</v>
      </c>
      <c r="BP246" s="163">
        <v>200</v>
      </c>
      <c r="BQ246" s="130"/>
      <c r="BR246" s="135">
        <v>1</v>
      </c>
      <c r="BS246" s="135"/>
      <c r="BT246" s="163">
        <v>50</v>
      </c>
      <c r="BU246" s="163"/>
      <c r="BV246" s="130"/>
      <c r="BW246" s="130"/>
      <c r="BX246" s="135"/>
      <c r="BY246" s="135"/>
      <c r="BZ246" s="135">
        <v>6</v>
      </c>
      <c r="CA246" s="135">
        <v>10</v>
      </c>
      <c r="CB246" s="135">
        <v>7</v>
      </c>
      <c r="CC246" s="135">
        <v>12</v>
      </c>
      <c r="CD246" s="135">
        <v>9</v>
      </c>
      <c r="CE246" s="135">
        <v>15</v>
      </c>
      <c r="CF246" s="135">
        <v>9</v>
      </c>
      <c r="CG246" s="135">
        <v>15</v>
      </c>
      <c r="CH246" s="163"/>
      <c r="CI246" s="130"/>
      <c r="CJ246" s="135"/>
      <c r="CK246" s="135"/>
      <c r="CL246" s="130"/>
      <c r="CM246" s="193"/>
      <c r="CN246" s="193"/>
      <c r="CO246" s="193"/>
      <c r="CP246" s="193"/>
      <c r="CQ246" s="193"/>
      <c r="CR246" s="193"/>
    </row>
    <row r="247" spans="1:96" ht="15.75" customHeight="1" x14ac:dyDescent="0.35">
      <c r="A247" s="199"/>
      <c r="B247" s="202" t="s">
        <v>590</v>
      </c>
      <c r="C247" s="201" t="s">
        <v>5096</v>
      </c>
      <c r="D247" s="138">
        <v>20019</v>
      </c>
      <c r="E247" s="135"/>
      <c r="F247" s="135"/>
      <c r="G247" s="139"/>
      <c r="H247" s="135">
        <v>0</v>
      </c>
      <c r="I247" s="135"/>
      <c r="J247" s="135"/>
      <c r="K247" s="135">
        <v>10</v>
      </c>
      <c r="L247" s="139"/>
      <c r="M247" s="139"/>
      <c r="N247" s="139"/>
      <c r="O247" s="154"/>
      <c r="P247" s="135">
        <v>1</v>
      </c>
      <c r="Q247" s="135">
        <v>3</v>
      </c>
      <c r="R247" s="135"/>
      <c r="S247" s="163">
        <v>1</v>
      </c>
      <c r="T247" s="163">
        <v>1</v>
      </c>
      <c r="U247" s="163">
        <v>1</v>
      </c>
      <c r="V247" s="135"/>
      <c r="W247" s="135"/>
      <c r="X247" s="163"/>
      <c r="Y247" s="135">
        <v>25134</v>
      </c>
      <c r="Z247" s="135">
        <v>1000</v>
      </c>
      <c r="AA247" s="135">
        <v>0</v>
      </c>
      <c r="AB247" s="135"/>
      <c r="AC247" s="135"/>
      <c r="AD247" s="135"/>
      <c r="AE247" s="135"/>
      <c r="AF247" s="163">
        <v>1</v>
      </c>
      <c r="AG247" s="169">
        <v>100</v>
      </c>
      <c r="AH247" s="135"/>
      <c r="AI247" s="135"/>
      <c r="AJ247" s="135"/>
      <c r="AK247" s="135">
        <v>1</v>
      </c>
      <c r="AL247" s="135">
        <v>99998</v>
      </c>
      <c r="AM247" s="135">
        <v>5000</v>
      </c>
      <c r="AN247" s="135"/>
      <c r="AO247" s="130" t="s">
        <v>630</v>
      </c>
      <c r="AP247" s="130">
        <v>1</v>
      </c>
      <c r="AQ247" s="130" t="s">
        <v>631</v>
      </c>
      <c r="AR247" s="130">
        <v>1</v>
      </c>
      <c r="AS247" s="130" t="s">
        <v>631</v>
      </c>
      <c r="AT247" s="130">
        <v>1</v>
      </c>
      <c r="AU247" s="130" t="s">
        <v>4593</v>
      </c>
      <c r="AV247" s="130"/>
      <c r="AW247" s="104" t="s">
        <v>248</v>
      </c>
      <c r="AX247" s="130"/>
      <c r="AY247" s="130" t="s">
        <v>622</v>
      </c>
      <c r="AZ247" s="130" t="s">
        <v>623</v>
      </c>
      <c r="BA247" s="130"/>
      <c r="BB247" s="179"/>
      <c r="BC247" s="179"/>
      <c r="BD247" s="104"/>
      <c r="BE247" s="130"/>
      <c r="BF247" s="135">
        <v>101</v>
      </c>
      <c r="BG247" s="130" t="s">
        <v>5111</v>
      </c>
      <c r="BH247" s="185"/>
      <c r="BI247" s="130" t="s">
        <v>231</v>
      </c>
      <c r="BJ247" s="130" t="s">
        <v>615</v>
      </c>
      <c r="BK247" s="130" t="s">
        <v>253</v>
      </c>
      <c r="BL247" s="135"/>
      <c r="BM247" s="135"/>
      <c r="BN247" s="135"/>
      <c r="BO247" s="163">
        <v>100</v>
      </c>
      <c r="BP247" s="163">
        <v>200</v>
      </c>
      <c r="BQ247" s="130"/>
      <c r="BR247" s="135">
        <v>1</v>
      </c>
      <c r="BS247" s="135"/>
      <c r="BT247" s="163">
        <v>50</v>
      </c>
      <c r="BU247" s="163"/>
      <c r="BV247" s="130"/>
      <c r="BW247" s="104"/>
      <c r="BX247" s="135"/>
      <c r="BY247" s="135"/>
      <c r="BZ247" s="135">
        <v>6</v>
      </c>
      <c r="CA247" s="135">
        <v>10</v>
      </c>
      <c r="CB247" s="135">
        <v>7</v>
      </c>
      <c r="CC247" s="135">
        <v>12</v>
      </c>
      <c r="CD247" s="135">
        <v>9</v>
      </c>
      <c r="CE247" s="135">
        <v>15</v>
      </c>
      <c r="CF247" s="135">
        <v>9</v>
      </c>
      <c r="CG247" s="135">
        <v>15</v>
      </c>
      <c r="CH247" s="163"/>
      <c r="CI247" s="130"/>
      <c r="CJ247" s="135"/>
      <c r="CK247" s="135"/>
      <c r="CL247" s="130"/>
      <c r="CM247" s="193"/>
      <c r="CN247" s="193"/>
      <c r="CO247" s="193"/>
      <c r="CP247" s="193"/>
      <c r="CQ247" s="193"/>
      <c r="CR247" s="193"/>
    </row>
    <row r="248" spans="1:96" ht="15.75" customHeight="1" x14ac:dyDescent="0.35">
      <c r="A248" s="199"/>
      <c r="B248" s="202" t="s">
        <v>590</v>
      </c>
      <c r="C248" s="201" t="s">
        <v>632</v>
      </c>
      <c r="D248" s="138">
        <v>20020</v>
      </c>
      <c r="E248" s="135">
        <v>510001</v>
      </c>
      <c r="F248" s="135">
        <v>8039</v>
      </c>
      <c r="G248" s="135"/>
      <c r="H248" s="135">
        <v>0</v>
      </c>
      <c r="I248" s="135"/>
      <c r="J248" s="135"/>
      <c r="K248" s="135">
        <v>6</v>
      </c>
      <c r="L248" s="135"/>
      <c r="M248" s="135"/>
      <c r="N248" s="135"/>
      <c r="O248" s="154"/>
      <c r="P248" s="135">
        <v>1</v>
      </c>
      <c r="Q248" s="135">
        <v>3</v>
      </c>
      <c r="R248" s="135"/>
      <c r="S248" s="163">
        <v>1</v>
      </c>
      <c r="T248" s="163">
        <v>1</v>
      </c>
      <c r="U248" s="163">
        <v>1</v>
      </c>
      <c r="V248" s="135"/>
      <c r="W248" s="135"/>
      <c r="X248" s="163"/>
      <c r="Y248" s="135">
        <v>4080</v>
      </c>
      <c r="Z248" s="135">
        <v>1000</v>
      </c>
      <c r="AA248" s="135">
        <v>0</v>
      </c>
      <c r="AB248" s="135"/>
      <c r="AC248" s="135"/>
      <c r="AD248" s="135"/>
      <c r="AE248" s="135"/>
      <c r="AF248" s="163">
        <v>1</v>
      </c>
      <c r="AG248" s="163">
        <v>100</v>
      </c>
      <c r="AH248" s="135"/>
      <c r="AI248" s="135"/>
      <c r="AJ248" s="135"/>
      <c r="AK248" s="135">
        <v>1</v>
      </c>
      <c r="AL248" s="135">
        <v>21001</v>
      </c>
      <c r="AM248" s="135">
        <v>4000</v>
      </c>
      <c r="AN248" s="135"/>
      <c r="AO248" s="130" t="s">
        <v>587</v>
      </c>
      <c r="AP248" s="135">
        <v>1</v>
      </c>
      <c r="AQ248" s="130" t="s">
        <v>587</v>
      </c>
      <c r="AR248" s="135" t="s">
        <v>246</v>
      </c>
      <c r="AS248" s="130" t="s">
        <v>587</v>
      </c>
      <c r="AT248" s="135" t="s">
        <v>246</v>
      </c>
      <c r="AU248" s="130" t="s">
        <v>4581</v>
      </c>
      <c r="AV248" s="135"/>
      <c r="AW248" s="135" t="s">
        <v>248</v>
      </c>
      <c r="AX248" s="135"/>
      <c r="AY248" s="163" t="s">
        <v>588</v>
      </c>
      <c r="AZ248" s="135">
        <v>2</v>
      </c>
      <c r="BA248" s="135"/>
      <c r="BB248" s="163"/>
      <c r="BC248" s="163"/>
      <c r="BD248" s="135"/>
      <c r="BE248" s="135"/>
      <c r="BF248" s="135">
        <v>101</v>
      </c>
      <c r="BG248" s="130" t="s">
        <v>5054</v>
      </c>
      <c r="BH248" s="185"/>
      <c r="BI248" s="135" t="s">
        <v>589</v>
      </c>
      <c r="BJ248" s="130" t="s">
        <v>297</v>
      </c>
      <c r="BK248" s="135" t="s">
        <v>253</v>
      </c>
      <c r="BL248" s="135"/>
      <c r="BM248" s="135"/>
      <c r="BN248" s="135"/>
      <c r="BO248" s="163">
        <v>100</v>
      </c>
      <c r="BP248" s="163">
        <v>200</v>
      </c>
      <c r="BQ248" s="135"/>
      <c r="BR248" s="135">
        <v>1</v>
      </c>
      <c r="BS248" s="135"/>
      <c r="BT248" s="163">
        <v>50</v>
      </c>
      <c r="BU248" s="163"/>
      <c r="BV248" s="135"/>
      <c r="BW248" s="135"/>
      <c r="BX248" s="135"/>
      <c r="BY248" s="135"/>
      <c r="BZ248" s="135">
        <v>6</v>
      </c>
      <c r="CA248" s="135">
        <v>10</v>
      </c>
      <c r="CB248" s="135">
        <v>7</v>
      </c>
      <c r="CC248" s="135">
        <v>12</v>
      </c>
      <c r="CD248" s="135">
        <v>9</v>
      </c>
      <c r="CE248" s="135">
        <v>15</v>
      </c>
      <c r="CF248" s="135">
        <v>9</v>
      </c>
      <c r="CG248" s="135">
        <v>15</v>
      </c>
      <c r="CH248" s="163"/>
      <c r="CI248" s="130"/>
      <c r="CJ248" s="135"/>
      <c r="CK248" s="135"/>
      <c r="CL248" s="130"/>
      <c r="CM248" s="193"/>
      <c r="CN248" s="193"/>
      <c r="CO248" s="193"/>
      <c r="CP248" s="193"/>
      <c r="CQ248" s="193"/>
      <c r="CR248" s="193"/>
    </row>
    <row r="249" spans="1:96" ht="15.75" customHeight="1" x14ac:dyDescent="0.35">
      <c r="A249" s="199"/>
      <c r="B249" s="202" t="s">
        <v>590</v>
      </c>
      <c r="C249" s="201" t="s">
        <v>633</v>
      </c>
      <c r="D249" s="138">
        <v>20021</v>
      </c>
      <c r="E249" s="135">
        <v>510001</v>
      </c>
      <c r="F249" s="135">
        <v>8039</v>
      </c>
      <c r="G249" s="135"/>
      <c r="H249" s="135">
        <v>0</v>
      </c>
      <c r="I249" s="135"/>
      <c r="J249" s="135"/>
      <c r="K249" s="135">
        <v>6</v>
      </c>
      <c r="L249" s="135"/>
      <c r="M249" s="135"/>
      <c r="N249" s="135"/>
      <c r="O249" s="154"/>
      <c r="P249" s="135">
        <v>1</v>
      </c>
      <c r="Q249" s="135">
        <v>3</v>
      </c>
      <c r="R249" s="135"/>
      <c r="S249" s="163">
        <v>1</v>
      </c>
      <c r="T249" s="163">
        <v>1</v>
      </c>
      <c r="U249" s="163">
        <v>1</v>
      </c>
      <c r="V249" s="135"/>
      <c r="W249" s="135"/>
      <c r="X249" s="163"/>
      <c r="Y249" s="135">
        <v>4080</v>
      </c>
      <c r="Z249" s="135">
        <v>1000</v>
      </c>
      <c r="AA249" s="135">
        <v>0</v>
      </c>
      <c r="AB249" s="135"/>
      <c r="AC249" s="135"/>
      <c r="AD249" s="135"/>
      <c r="AE249" s="135"/>
      <c r="AF249" s="163">
        <v>1</v>
      </c>
      <c r="AG249" s="163">
        <v>100</v>
      </c>
      <c r="AH249" s="135"/>
      <c r="AI249" s="135"/>
      <c r="AJ249" s="135"/>
      <c r="AK249" s="135">
        <v>1</v>
      </c>
      <c r="AL249" s="135">
        <v>21001</v>
      </c>
      <c r="AM249" s="135">
        <v>4000</v>
      </c>
      <c r="AN249" s="135"/>
      <c r="AO249" s="130" t="s">
        <v>587</v>
      </c>
      <c r="AP249" s="135">
        <v>1</v>
      </c>
      <c r="AQ249" s="130" t="s">
        <v>587</v>
      </c>
      <c r="AR249" s="135" t="s">
        <v>246</v>
      </c>
      <c r="AS249" s="130" t="s">
        <v>587</v>
      </c>
      <c r="AT249" s="135" t="s">
        <v>246</v>
      </c>
      <c r="AU249" s="130" t="s">
        <v>4581</v>
      </c>
      <c r="AV249" s="135"/>
      <c r="AW249" s="135" t="s">
        <v>248</v>
      </c>
      <c r="AX249" s="135"/>
      <c r="AY249" s="163" t="s">
        <v>588</v>
      </c>
      <c r="AZ249" s="135">
        <v>2</v>
      </c>
      <c r="BA249" s="135"/>
      <c r="BB249" s="163"/>
      <c r="BC249" s="163"/>
      <c r="BD249" s="135"/>
      <c r="BE249" s="135"/>
      <c r="BF249" s="135">
        <v>101</v>
      </c>
      <c r="BG249" s="130" t="s">
        <v>5054</v>
      </c>
      <c r="BH249" s="185"/>
      <c r="BI249" s="135" t="s">
        <v>589</v>
      </c>
      <c r="BJ249" s="130" t="s">
        <v>297</v>
      </c>
      <c r="BK249" s="135" t="s">
        <v>253</v>
      </c>
      <c r="BL249" s="135"/>
      <c r="BM249" s="135"/>
      <c r="BN249" s="135"/>
      <c r="BO249" s="163">
        <v>100</v>
      </c>
      <c r="BP249" s="163">
        <v>200</v>
      </c>
      <c r="BQ249" s="135"/>
      <c r="BR249" s="135">
        <v>1</v>
      </c>
      <c r="BS249" s="135"/>
      <c r="BT249" s="163">
        <v>50</v>
      </c>
      <c r="BU249" s="163"/>
      <c r="BV249" s="135"/>
      <c r="BW249" s="135"/>
      <c r="BX249" s="135"/>
      <c r="BY249" s="135"/>
      <c r="BZ249" s="135">
        <v>6</v>
      </c>
      <c r="CA249" s="135">
        <v>10</v>
      </c>
      <c r="CB249" s="135">
        <v>7</v>
      </c>
      <c r="CC249" s="135">
        <v>12</v>
      </c>
      <c r="CD249" s="135">
        <v>9</v>
      </c>
      <c r="CE249" s="135">
        <v>15</v>
      </c>
      <c r="CF249" s="135">
        <v>9</v>
      </c>
      <c r="CG249" s="135">
        <v>15</v>
      </c>
      <c r="CH249" s="163"/>
      <c r="CI249" s="130"/>
      <c r="CJ249" s="135"/>
      <c r="CK249" s="135"/>
      <c r="CL249" s="130"/>
      <c r="CM249" s="193"/>
      <c r="CN249" s="193"/>
      <c r="CO249" s="193"/>
      <c r="CP249" s="193"/>
      <c r="CQ249" s="193"/>
      <c r="CR249" s="193"/>
    </row>
    <row r="250" spans="1:96" ht="15.75" customHeight="1" x14ac:dyDescent="0.35">
      <c r="A250" s="199"/>
      <c r="B250" s="202" t="s">
        <v>590</v>
      </c>
      <c r="C250" s="205" t="s">
        <v>634</v>
      </c>
      <c r="D250" s="138">
        <v>20022</v>
      </c>
      <c r="E250" s="135">
        <v>510001</v>
      </c>
      <c r="F250" s="135">
        <v>8039</v>
      </c>
      <c r="G250" s="135"/>
      <c r="H250" s="135">
        <v>0</v>
      </c>
      <c r="I250" s="135"/>
      <c r="J250" s="135">
        <v>1</v>
      </c>
      <c r="K250" s="135">
        <v>10</v>
      </c>
      <c r="L250" s="135"/>
      <c r="M250" s="135"/>
      <c r="N250" s="135">
        <v>1</v>
      </c>
      <c r="O250" s="154">
        <v>4</v>
      </c>
      <c r="P250" s="135">
        <v>1</v>
      </c>
      <c r="Q250" s="135">
        <v>1</v>
      </c>
      <c r="R250" s="135"/>
      <c r="S250" s="163">
        <v>1</v>
      </c>
      <c r="T250" s="163">
        <v>1</v>
      </c>
      <c r="U250" s="163">
        <v>1</v>
      </c>
      <c r="V250" s="135"/>
      <c r="W250" s="135"/>
      <c r="X250" s="163"/>
      <c r="Y250" s="135">
        <v>4068</v>
      </c>
      <c r="Z250" s="135">
        <v>1000</v>
      </c>
      <c r="AA250" s="135">
        <v>0</v>
      </c>
      <c r="AB250" s="135"/>
      <c r="AC250" s="135"/>
      <c r="AD250" s="135"/>
      <c r="AE250" s="135"/>
      <c r="AF250" s="163">
        <v>1</v>
      </c>
      <c r="AG250" s="163">
        <v>100</v>
      </c>
      <c r="AH250" s="135">
        <v>670</v>
      </c>
      <c r="AI250" s="135"/>
      <c r="AJ250" s="135"/>
      <c r="AK250" s="135">
        <v>1</v>
      </c>
      <c r="AL250" s="135">
        <v>98</v>
      </c>
      <c r="AM250" s="135">
        <v>5000</v>
      </c>
      <c r="AN250" s="135"/>
      <c r="AO250" s="130" t="s">
        <v>591</v>
      </c>
      <c r="AP250" s="135">
        <v>1</v>
      </c>
      <c r="AQ250" s="130" t="s">
        <v>591</v>
      </c>
      <c r="AR250" s="135">
        <v>1</v>
      </c>
      <c r="AS250" s="130" t="s">
        <v>591</v>
      </c>
      <c r="AT250" s="135">
        <v>1</v>
      </c>
      <c r="AU250" s="130"/>
      <c r="AV250" s="135"/>
      <c r="AW250" s="135" t="s">
        <v>248</v>
      </c>
      <c r="AX250" s="135" t="s">
        <v>249</v>
      </c>
      <c r="AY250" s="135"/>
      <c r="AZ250" s="135"/>
      <c r="BA250" s="135"/>
      <c r="BB250" s="163"/>
      <c r="BC250" s="163"/>
      <c r="BD250" s="135"/>
      <c r="BE250" s="135"/>
      <c r="BF250" s="135">
        <v>101</v>
      </c>
      <c r="BG250" s="130" t="s">
        <v>5055</v>
      </c>
      <c r="BH250" s="185"/>
      <c r="BI250" s="135" t="s">
        <v>592</v>
      </c>
      <c r="BJ250" s="130" t="s">
        <v>275</v>
      </c>
      <c r="BK250" s="135" t="s">
        <v>253</v>
      </c>
      <c r="BL250" s="135"/>
      <c r="BM250" s="135"/>
      <c r="BN250" s="135"/>
      <c r="BO250" s="163">
        <v>50</v>
      </c>
      <c r="BP250" s="163">
        <v>200</v>
      </c>
      <c r="BQ250" s="135"/>
      <c r="BR250" s="135">
        <v>1</v>
      </c>
      <c r="BS250" s="135"/>
      <c r="BT250" s="163">
        <v>50</v>
      </c>
      <c r="BU250" s="163">
        <v>50</v>
      </c>
      <c r="BV250" s="135"/>
      <c r="BW250" s="135"/>
      <c r="BX250" s="135"/>
      <c r="BY250" s="135"/>
      <c r="BZ250" s="135">
        <v>3</v>
      </c>
      <c r="CA250" s="135">
        <v>4</v>
      </c>
      <c r="CB250" s="135">
        <v>3</v>
      </c>
      <c r="CC250" s="135">
        <v>4</v>
      </c>
      <c r="CD250" s="135">
        <v>3</v>
      </c>
      <c r="CE250" s="135">
        <v>4</v>
      </c>
      <c r="CF250" s="135">
        <v>3</v>
      </c>
      <c r="CG250" s="135">
        <v>4</v>
      </c>
      <c r="CH250" s="163"/>
      <c r="CI250" s="130"/>
      <c r="CJ250" s="135"/>
      <c r="CK250" s="135"/>
      <c r="CL250" s="130"/>
      <c r="CM250" s="193"/>
      <c r="CN250" s="193"/>
      <c r="CO250" s="193"/>
      <c r="CP250" s="193"/>
      <c r="CQ250" s="193"/>
      <c r="CR250" s="193"/>
    </row>
    <row r="251" spans="1:96" ht="15.75" customHeight="1" x14ac:dyDescent="0.35">
      <c r="A251" s="199"/>
      <c r="B251" s="202" t="s">
        <v>590</v>
      </c>
      <c r="C251" s="205" t="s">
        <v>635</v>
      </c>
      <c r="D251" s="138">
        <v>20023</v>
      </c>
      <c r="E251" s="135">
        <v>510010</v>
      </c>
      <c r="F251" s="135">
        <v>8039</v>
      </c>
      <c r="G251" s="135"/>
      <c r="H251" s="135">
        <v>0</v>
      </c>
      <c r="I251" s="135"/>
      <c r="J251" s="135">
        <v>1</v>
      </c>
      <c r="K251" s="135">
        <v>10</v>
      </c>
      <c r="L251" s="135"/>
      <c r="M251" s="135"/>
      <c r="N251" s="135">
        <v>1</v>
      </c>
      <c r="O251" s="154">
        <v>4</v>
      </c>
      <c r="P251" s="135">
        <v>1</v>
      </c>
      <c r="Q251" s="135">
        <v>1</v>
      </c>
      <c r="R251" s="135"/>
      <c r="S251" s="163">
        <v>1</v>
      </c>
      <c r="T251" s="163">
        <v>1</v>
      </c>
      <c r="U251" s="163">
        <v>1</v>
      </c>
      <c r="V251" s="135"/>
      <c r="W251" s="135"/>
      <c r="X251" s="163"/>
      <c r="Y251" s="135">
        <v>4067</v>
      </c>
      <c r="Z251" s="135">
        <v>1100</v>
      </c>
      <c r="AA251" s="135">
        <v>0</v>
      </c>
      <c r="AB251" s="135"/>
      <c r="AC251" s="135"/>
      <c r="AD251" s="135"/>
      <c r="AE251" s="135"/>
      <c r="AF251" s="163">
        <v>1</v>
      </c>
      <c r="AG251" s="163">
        <v>100</v>
      </c>
      <c r="AH251" s="135">
        <v>670</v>
      </c>
      <c r="AI251" s="135"/>
      <c r="AJ251" s="135"/>
      <c r="AK251" s="135">
        <v>1</v>
      </c>
      <c r="AL251" s="135">
        <v>98</v>
      </c>
      <c r="AM251" s="135">
        <v>5000</v>
      </c>
      <c r="AN251" s="135"/>
      <c r="AO251" s="130" t="s">
        <v>591</v>
      </c>
      <c r="AP251" s="135">
        <v>1</v>
      </c>
      <c r="AQ251" s="130" t="s">
        <v>591</v>
      </c>
      <c r="AR251" s="135">
        <v>1</v>
      </c>
      <c r="AS251" s="130" t="s">
        <v>591</v>
      </c>
      <c r="AT251" s="135">
        <v>1</v>
      </c>
      <c r="AU251" s="130"/>
      <c r="AV251" s="135"/>
      <c r="AW251" s="135" t="s">
        <v>248</v>
      </c>
      <c r="AX251" s="135" t="s">
        <v>249</v>
      </c>
      <c r="AY251" s="135"/>
      <c r="AZ251" s="135"/>
      <c r="BA251" s="135"/>
      <c r="BB251" s="163"/>
      <c r="BC251" s="163"/>
      <c r="BD251" s="135"/>
      <c r="BE251" s="135"/>
      <c r="BF251" s="135">
        <v>101</v>
      </c>
      <c r="BG251" s="130" t="s">
        <v>5131</v>
      </c>
      <c r="BH251" s="185"/>
      <c r="BI251" s="135" t="s">
        <v>592</v>
      </c>
      <c r="BJ251" s="130" t="s">
        <v>275</v>
      </c>
      <c r="BK251" s="135" t="s">
        <v>253</v>
      </c>
      <c r="BL251" s="135"/>
      <c r="BM251" s="135"/>
      <c r="BN251" s="135"/>
      <c r="BO251" s="163">
        <v>50</v>
      </c>
      <c r="BP251" s="163">
        <v>200</v>
      </c>
      <c r="BQ251" s="135"/>
      <c r="BR251" s="135">
        <v>1</v>
      </c>
      <c r="BS251" s="135"/>
      <c r="BT251" s="163">
        <v>50</v>
      </c>
      <c r="BU251" s="163">
        <v>50</v>
      </c>
      <c r="BV251" s="135"/>
      <c r="BW251" s="135"/>
      <c r="BX251" s="135"/>
      <c r="BY251" s="135"/>
      <c r="BZ251" s="135">
        <v>3</v>
      </c>
      <c r="CA251" s="135">
        <v>4</v>
      </c>
      <c r="CB251" s="135">
        <v>3</v>
      </c>
      <c r="CC251" s="135">
        <v>4</v>
      </c>
      <c r="CD251" s="135">
        <v>3</v>
      </c>
      <c r="CE251" s="135">
        <v>4</v>
      </c>
      <c r="CF251" s="135">
        <v>3</v>
      </c>
      <c r="CG251" s="135">
        <v>4</v>
      </c>
      <c r="CH251" s="163"/>
      <c r="CI251" s="130"/>
      <c r="CJ251" s="135"/>
      <c r="CK251" s="135"/>
      <c r="CL251" s="130"/>
      <c r="CM251" s="193"/>
      <c r="CN251" s="193"/>
      <c r="CO251" s="193"/>
      <c r="CP251" s="193"/>
      <c r="CQ251" s="193"/>
      <c r="CR251" s="193"/>
    </row>
    <row r="252" spans="1:96" ht="15.75" customHeight="1" x14ac:dyDescent="0.35">
      <c r="A252" s="199"/>
      <c r="B252" s="202" t="s">
        <v>590</v>
      </c>
      <c r="C252" s="205" t="s">
        <v>636</v>
      </c>
      <c r="D252" s="138">
        <v>20024</v>
      </c>
      <c r="E252" s="135">
        <v>510011</v>
      </c>
      <c r="F252" s="135">
        <v>8091</v>
      </c>
      <c r="G252" s="135"/>
      <c r="H252" s="135">
        <v>0</v>
      </c>
      <c r="I252" s="135"/>
      <c r="J252" s="135">
        <v>1</v>
      </c>
      <c r="K252" s="135">
        <v>10</v>
      </c>
      <c r="L252" s="135"/>
      <c r="M252" s="135"/>
      <c r="N252" s="135">
        <v>1</v>
      </c>
      <c r="O252" s="154"/>
      <c r="P252" s="135">
        <v>3</v>
      </c>
      <c r="Q252" s="135">
        <v>3</v>
      </c>
      <c r="R252" s="135"/>
      <c r="S252" s="163">
        <v>1</v>
      </c>
      <c r="T252" s="163">
        <v>1</v>
      </c>
      <c r="U252" s="163">
        <v>1</v>
      </c>
      <c r="V252" s="135"/>
      <c r="W252" s="135"/>
      <c r="X252" s="163"/>
      <c r="Y252" s="135">
        <v>1219</v>
      </c>
      <c r="Z252" s="135">
        <v>1000</v>
      </c>
      <c r="AA252" s="135">
        <v>0</v>
      </c>
      <c r="AB252" s="135"/>
      <c r="AC252" s="135"/>
      <c r="AD252" s="135"/>
      <c r="AE252" s="135"/>
      <c r="AF252" s="163">
        <v>1</v>
      </c>
      <c r="AG252" s="163">
        <v>100</v>
      </c>
      <c r="AH252" s="135">
        <v>670</v>
      </c>
      <c r="AI252" s="135"/>
      <c r="AJ252" s="135"/>
      <c r="AK252" s="135">
        <v>1</v>
      </c>
      <c r="AL252" s="135">
        <v>98</v>
      </c>
      <c r="AM252" s="135">
        <v>5000</v>
      </c>
      <c r="AN252" s="135"/>
      <c r="AO252" s="130" t="s">
        <v>637</v>
      </c>
      <c r="AP252" s="135">
        <v>1</v>
      </c>
      <c r="AQ252" s="135">
        <v>20092</v>
      </c>
      <c r="AR252" s="135">
        <v>1</v>
      </c>
      <c r="AS252" s="135">
        <v>20092</v>
      </c>
      <c r="AT252" s="135">
        <v>1</v>
      </c>
      <c r="AU252" s="130"/>
      <c r="AV252" s="135"/>
      <c r="AW252" s="135" t="s">
        <v>248</v>
      </c>
      <c r="AX252" s="135" t="s">
        <v>249</v>
      </c>
      <c r="AY252" s="135"/>
      <c r="AZ252" s="135"/>
      <c r="BA252" s="135"/>
      <c r="BB252" s="163"/>
      <c r="BC252" s="163"/>
      <c r="BD252" s="135"/>
      <c r="BE252" s="135"/>
      <c r="BF252" s="135">
        <v>101</v>
      </c>
      <c r="BG252" s="130" t="s">
        <v>5132</v>
      </c>
      <c r="BH252" s="185"/>
      <c r="BI252" s="135" t="s">
        <v>592</v>
      </c>
      <c r="BJ252" s="130" t="s">
        <v>275</v>
      </c>
      <c r="BK252" s="135" t="s">
        <v>253</v>
      </c>
      <c r="BL252" s="135"/>
      <c r="BM252" s="135"/>
      <c r="BN252" s="135"/>
      <c r="BO252" s="163">
        <v>50</v>
      </c>
      <c r="BP252" s="163">
        <v>200</v>
      </c>
      <c r="BQ252" s="135"/>
      <c r="BR252" s="135">
        <v>1</v>
      </c>
      <c r="BS252" s="135"/>
      <c r="BT252" s="163">
        <v>50</v>
      </c>
      <c r="BU252" s="163">
        <v>50</v>
      </c>
      <c r="BV252" s="135"/>
      <c r="BW252" s="135"/>
      <c r="BX252" s="135"/>
      <c r="BY252" s="135"/>
      <c r="BZ252" s="135">
        <v>3</v>
      </c>
      <c r="CA252" s="135">
        <v>4</v>
      </c>
      <c r="CB252" s="135">
        <v>3</v>
      </c>
      <c r="CC252" s="135">
        <v>4</v>
      </c>
      <c r="CD252" s="135">
        <v>3</v>
      </c>
      <c r="CE252" s="135">
        <v>4</v>
      </c>
      <c r="CF252" s="135">
        <v>3</v>
      </c>
      <c r="CG252" s="135">
        <v>4</v>
      </c>
      <c r="CH252" s="163"/>
      <c r="CI252" s="130"/>
      <c r="CJ252" s="135"/>
      <c r="CK252" s="135"/>
      <c r="CL252" s="130"/>
      <c r="CM252" s="193"/>
      <c r="CN252" s="193"/>
      <c r="CO252" s="193"/>
      <c r="CP252" s="193"/>
      <c r="CQ252" s="193"/>
      <c r="CR252" s="193"/>
    </row>
    <row r="253" spans="1:96" ht="15.75" customHeight="1" x14ac:dyDescent="0.35">
      <c r="A253" s="199"/>
      <c r="B253" s="202" t="s">
        <v>590</v>
      </c>
      <c r="C253" s="205" t="s">
        <v>638</v>
      </c>
      <c r="D253" s="138">
        <v>20025</v>
      </c>
      <c r="E253" s="135"/>
      <c r="F253" s="135"/>
      <c r="G253" s="135"/>
      <c r="H253" s="135">
        <v>0</v>
      </c>
      <c r="I253" s="135"/>
      <c r="J253" s="135">
        <v>1</v>
      </c>
      <c r="K253" s="135">
        <v>10</v>
      </c>
      <c r="L253" s="135"/>
      <c r="M253" s="135"/>
      <c r="N253" s="135">
        <v>1</v>
      </c>
      <c r="O253" s="154">
        <v>4</v>
      </c>
      <c r="P253" s="135">
        <v>1</v>
      </c>
      <c r="Q253" s="135">
        <v>1</v>
      </c>
      <c r="R253" s="135"/>
      <c r="S253" s="163">
        <v>1</v>
      </c>
      <c r="T253" s="163">
        <v>1</v>
      </c>
      <c r="U253" s="163">
        <v>1</v>
      </c>
      <c r="V253" s="135"/>
      <c r="W253" s="135"/>
      <c r="X253" s="163"/>
      <c r="Y253" s="135">
        <v>20011</v>
      </c>
      <c r="Z253" s="135">
        <v>1000</v>
      </c>
      <c r="AA253" s="135">
        <v>30</v>
      </c>
      <c r="AB253" s="135"/>
      <c r="AC253" s="135"/>
      <c r="AD253" s="135"/>
      <c r="AE253" s="135"/>
      <c r="AF253" s="163">
        <v>1</v>
      </c>
      <c r="AG253" s="163">
        <v>100</v>
      </c>
      <c r="AH253" s="135">
        <v>670</v>
      </c>
      <c r="AI253" s="135"/>
      <c r="AJ253" s="135"/>
      <c r="AK253" s="135">
        <v>1</v>
      </c>
      <c r="AL253" s="135">
        <v>21001</v>
      </c>
      <c r="AM253" s="135">
        <v>5000</v>
      </c>
      <c r="AN253" s="135"/>
      <c r="AO253" s="130" t="s">
        <v>639</v>
      </c>
      <c r="AP253" s="135">
        <v>1</v>
      </c>
      <c r="AQ253" s="135">
        <v>20089</v>
      </c>
      <c r="AR253" s="135">
        <v>1</v>
      </c>
      <c r="AS253" s="135">
        <v>20089</v>
      </c>
      <c r="AT253" s="135">
        <v>1</v>
      </c>
      <c r="AU253" s="130" t="s">
        <v>640</v>
      </c>
      <c r="AV253" s="135"/>
      <c r="AW253" s="135" t="s">
        <v>248</v>
      </c>
      <c r="AX253" s="135" t="s">
        <v>249</v>
      </c>
      <c r="AY253" s="135"/>
      <c r="AZ253" s="135"/>
      <c r="BA253" s="135"/>
      <c r="BB253" s="163"/>
      <c r="BC253" s="163"/>
      <c r="BD253" s="135"/>
      <c r="BE253" s="135"/>
      <c r="BF253" s="135">
        <v>101</v>
      </c>
      <c r="BG253" s="203" t="s">
        <v>5054</v>
      </c>
      <c r="BH253" s="185"/>
      <c r="BI253" s="130" t="s">
        <v>231</v>
      </c>
      <c r="BJ253" s="130" t="s">
        <v>615</v>
      </c>
      <c r="BK253" s="130" t="s">
        <v>253</v>
      </c>
      <c r="BL253" s="135"/>
      <c r="BM253" s="135"/>
      <c r="BN253" s="135"/>
      <c r="BO253" s="163">
        <v>50</v>
      </c>
      <c r="BP253" s="163">
        <v>200</v>
      </c>
      <c r="BQ253" s="135"/>
      <c r="BR253" s="135">
        <v>1</v>
      </c>
      <c r="BS253" s="135"/>
      <c r="BT253" s="163">
        <v>50</v>
      </c>
      <c r="BU253" s="163">
        <v>50</v>
      </c>
      <c r="BV253" s="135"/>
      <c r="BW253" s="135"/>
      <c r="BX253" s="135"/>
      <c r="BY253" s="135"/>
      <c r="BZ253" s="135">
        <v>3</v>
      </c>
      <c r="CA253" s="135">
        <v>4</v>
      </c>
      <c r="CB253" s="135">
        <v>3</v>
      </c>
      <c r="CC253" s="135">
        <v>4</v>
      </c>
      <c r="CD253" s="135">
        <v>3</v>
      </c>
      <c r="CE253" s="135">
        <v>4</v>
      </c>
      <c r="CF253" s="135">
        <v>3</v>
      </c>
      <c r="CG253" s="135">
        <v>4</v>
      </c>
      <c r="CH253" s="163"/>
      <c r="CI253" s="130"/>
      <c r="CJ253" s="135"/>
      <c r="CK253" s="135"/>
      <c r="CL253" s="130"/>
      <c r="CM253" s="193"/>
      <c r="CN253" s="193"/>
      <c r="CO253" s="193"/>
      <c r="CP253" s="193"/>
      <c r="CQ253" s="193"/>
      <c r="CR253" s="193"/>
    </row>
    <row r="254" spans="1:96" ht="15.75" customHeight="1" x14ac:dyDescent="0.35">
      <c r="A254" s="199"/>
      <c r="B254" s="202" t="s">
        <v>590</v>
      </c>
      <c r="C254" s="205" t="s">
        <v>641</v>
      </c>
      <c r="D254" s="138">
        <v>20026</v>
      </c>
      <c r="E254" s="135"/>
      <c r="F254" s="135"/>
      <c r="G254" s="135"/>
      <c r="H254" s="135">
        <v>0</v>
      </c>
      <c r="I254" s="135"/>
      <c r="J254" s="135">
        <v>1</v>
      </c>
      <c r="K254" s="135">
        <v>4</v>
      </c>
      <c r="L254" s="135"/>
      <c r="M254" s="135"/>
      <c r="N254" s="135">
        <v>1</v>
      </c>
      <c r="O254" s="154"/>
      <c r="P254" s="135">
        <v>0</v>
      </c>
      <c r="Q254" s="135">
        <v>3</v>
      </c>
      <c r="R254" s="135"/>
      <c r="S254" s="163">
        <v>1</v>
      </c>
      <c r="T254" s="163">
        <v>1</v>
      </c>
      <c r="U254" s="163">
        <v>1</v>
      </c>
      <c r="V254" s="135"/>
      <c r="W254" s="135"/>
      <c r="X254" s="163"/>
      <c r="Y254" s="135">
        <v>20011</v>
      </c>
      <c r="Z254" s="135">
        <v>1000</v>
      </c>
      <c r="AA254" s="135">
        <v>0</v>
      </c>
      <c r="AB254" s="135"/>
      <c r="AC254" s="135"/>
      <c r="AD254" s="135"/>
      <c r="AE254" s="135"/>
      <c r="AF254" s="163">
        <v>1</v>
      </c>
      <c r="AG254" s="163">
        <v>100</v>
      </c>
      <c r="AH254" s="135"/>
      <c r="AI254" s="135"/>
      <c r="AJ254" s="135" t="s">
        <v>642</v>
      </c>
      <c r="AK254" s="135">
        <v>1</v>
      </c>
      <c r="AL254" s="135">
        <v>21001</v>
      </c>
      <c r="AM254" s="135">
        <v>5000</v>
      </c>
      <c r="AN254" s="135"/>
      <c r="AO254" s="130" t="s">
        <v>639</v>
      </c>
      <c r="AP254" s="135">
        <v>1</v>
      </c>
      <c r="AQ254" s="135">
        <v>20089</v>
      </c>
      <c r="AR254" s="135">
        <v>1</v>
      </c>
      <c r="AS254" s="135">
        <v>20089</v>
      </c>
      <c r="AT254" s="135">
        <v>1</v>
      </c>
      <c r="AU254" s="130" t="s">
        <v>643</v>
      </c>
      <c r="AV254" s="135"/>
      <c r="AW254" s="135" t="s">
        <v>248</v>
      </c>
      <c r="AX254" s="135" t="s">
        <v>249</v>
      </c>
      <c r="AY254" s="135"/>
      <c r="AZ254" s="135"/>
      <c r="BA254" s="135"/>
      <c r="BB254" s="163"/>
      <c r="BC254" s="163"/>
      <c r="BD254" s="135"/>
      <c r="BE254" s="135"/>
      <c r="BF254" s="135">
        <v>101</v>
      </c>
      <c r="BG254" s="203" t="s">
        <v>5054</v>
      </c>
      <c r="BH254" s="185"/>
      <c r="BI254" s="135" t="s">
        <v>592</v>
      </c>
      <c r="BJ254" s="130" t="s">
        <v>615</v>
      </c>
      <c r="BK254" s="130" t="s">
        <v>253</v>
      </c>
      <c r="BL254" s="135"/>
      <c r="BM254" s="135"/>
      <c r="BN254" s="135"/>
      <c r="BO254" s="163">
        <v>50</v>
      </c>
      <c r="BP254" s="163">
        <v>200</v>
      </c>
      <c r="BQ254" s="135"/>
      <c r="BR254" s="135">
        <v>1</v>
      </c>
      <c r="BS254" s="135"/>
      <c r="BT254" s="163">
        <v>50</v>
      </c>
      <c r="BU254" s="163">
        <v>50</v>
      </c>
      <c r="BV254" s="135"/>
      <c r="BW254" s="135"/>
      <c r="BX254" s="135"/>
      <c r="BY254" s="135"/>
      <c r="BZ254" s="135">
        <v>3</v>
      </c>
      <c r="CA254" s="135">
        <v>4</v>
      </c>
      <c r="CB254" s="135">
        <v>3</v>
      </c>
      <c r="CC254" s="135">
        <v>4</v>
      </c>
      <c r="CD254" s="135">
        <v>3</v>
      </c>
      <c r="CE254" s="135">
        <v>4</v>
      </c>
      <c r="CF254" s="135">
        <v>3</v>
      </c>
      <c r="CG254" s="135">
        <v>4</v>
      </c>
      <c r="CH254" s="163"/>
      <c r="CI254" s="130"/>
      <c r="CJ254" s="135"/>
      <c r="CK254" s="135"/>
      <c r="CL254" s="130"/>
      <c r="CM254" s="193"/>
      <c r="CN254" s="193"/>
      <c r="CO254" s="193"/>
      <c r="CP254" s="193"/>
      <c r="CQ254" s="193"/>
      <c r="CR254" s="193"/>
    </row>
    <row r="255" spans="1:96" ht="15.75" customHeight="1" x14ac:dyDescent="0.35">
      <c r="A255" s="199"/>
      <c r="B255" s="202" t="s">
        <v>590</v>
      </c>
      <c r="C255" s="205" t="s">
        <v>644</v>
      </c>
      <c r="D255" s="138">
        <v>20027</v>
      </c>
      <c r="E255" s="135">
        <v>510012</v>
      </c>
      <c r="F255" s="135">
        <v>8029</v>
      </c>
      <c r="G255" s="135"/>
      <c r="H255" s="135">
        <v>0</v>
      </c>
      <c r="I255" s="135"/>
      <c r="J255" s="135">
        <v>1</v>
      </c>
      <c r="K255" s="135">
        <v>10</v>
      </c>
      <c r="L255" s="135"/>
      <c r="M255" s="135"/>
      <c r="N255" s="135">
        <v>1</v>
      </c>
      <c r="O255" s="154">
        <v>4</v>
      </c>
      <c r="P255" s="135">
        <v>3</v>
      </c>
      <c r="Q255" s="135">
        <v>3</v>
      </c>
      <c r="R255" s="135"/>
      <c r="S255" s="163">
        <v>1</v>
      </c>
      <c r="T255" s="163">
        <v>1</v>
      </c>
      <c r="U255" s="163">
        <v>1</v>
      </c>
      <c r="V255" s="135"/>
      <c r="W255" s="135"/>
      <c r="X255" s="163"/>
      <c r="Y255" s="135">
        <v>1216</v>
      </c>
      <c r="Z255" s="135">
        <v>1000</v>
      </c>
      <c r="AA255" s="135">
        <v>0</v>
      </c>
      <c r="AB255" s="135"/>
      <c r="AC255" s="135"/>
      <c r="AD255" s="135"/>
      <c r="AE255" s="135"/>
      <c r="AF255" s="163">
        <v>1</v>
      </c>
      <c r="AG255" s="163">
        <v>100</v>
      </c>
      <c r="AH255" s="135">
        <v>670</v>
      </c>
      <c r="AI255" s="135"/>
      <c r="AJ255" s="135"/>
      <c r="AK255" s="135">
        <v>1</v>
      </c>
      <c r="AL255" s="135">
        <v>98</v>
      </c>
      <c r="AM255" s="135">
        <v>5000</v>
      </c>
      <c r="AN255" s="135"/>
      <c r="AO255" s="130" t="s">
        <v>645</v>
      </c>
      <c r="AP255" s="135" t="s">
        <v>272</v>
      </c>
      <c r="AQ255" s="130" t="s">
        <v>645</v>
      </c>
      <c r="AR255" s="135" t="s">
        <v>272</v>
      </c>
      <c r="AS255" s="130" t="s">
        <v>645</v>
      </c>
      <c r="AT255" s="135" t="s">
        <v>272</v>
      </c>
      <c r="AU255" s="130"/>
      <c r="AV255" s="135"/>
      <c r="AW255" s="135" t="s">
        <v>248</v>
      </c>
      <c r="AX255" s="135" t="s">
        <v>249</v>
      </c>
      <c r="AY255" s="135"/>
      <c r="AZ255" s="135"/>
      <c r="BA255" s="135"/>
      <c r="BB255" s="163"/>
      <c r="BC255" s="163"/>
      <c r="BD255" s="135"/>
      <c r="BE255" s="135"/>
      <c r="BF255" s="135">
        <v>101</v>
      </c>
      <c r="BG255" s="130" t="s">
        <v>5133</v>
      </c>
      <c r="BH255" s="185"/>
      <c r="BI255" s="135" t="s">
        <v>592</v>
      </c>
      <c r="BJ255" s="130" t="s">
        <v>275</v>
      </c>
      <c r="BK255" s="135" t="s">
        <v>253</v>
      </c>
      <c r="BL255" s="135"/>
      <c r="BM255" s="135"/>
      <c r="BN255" s="135"/>
      <c r="BO255" s="163">
        <v>50</v>
      </c>
      <c r="BP255" s="163">
        <v>200</v>
      </c>
      <c r="BQ255" s="135"/>
      <c r="BR255" s="135">
        <v>1</v>
      </c>
      <c r="BS255" s="135"/>
      <c r="BT255" s="163">
        <v>50</v>
      </c>
      <c r="BU255" s="163">
        <v>50</v>
      </c>
      <c r="BV255" s="135"/>
      <c r="BW255" s="135"/>
      <c r="BX255" s="135"/>
      <c r="BY255" s="135"/>
      <c r="BZ255" s="135">
        <v>3</v>
      </c>
      <c r="CA255" s="135">
        <v>4</v>
      </c>
      <c r="CB255" s="135">
        <v>3</v>
      </c>
      <c r="CC255" s="135">
        <v>4</v>
      </c>
      <c r="CD255" s="135">
        <v>3</v>
      </c>
      <c r="CE255" s="135">
        <v>4</v>
      </c>
      <c r="CF255" s="135">
        <v>3</v>
      </c>
      <c r="CG255" s="135">
        <v>4</v>
      </c>
      <c r="CH255" s="163"/>
      <c r="CI255" s="130"/>
      <c r="CJ255" s="135"/>
      <c r="CK255" s="135"/>
      <c r="CL255" s="130"/>
      <c r="CM255" s="193"/>
      <c r="CN255" s="193"/>
      <c r="CO255" s="193"/>
      <c r="CP255" s="193"/>
      <c r="CQ255" s="193"/>
      <c r="CR255" s="193"/>
    </row>
    <row r="256" spans="1:96" ht="15.75" customHeight="1" x14ac:dyDescent="0.35">
      <c r="A256" s="199"/>
      <c r="B256" s="202" t="s">
        <v>590</v>
      </c>
      <c r="C256" s="201" t="s">
        <v>646</v>
      </c>
      <c r="D256" s="138">
        <v>20028</v>
      </c>
      <c r="E256" s="135"/>
      <c r="F256" s="135"/>
      <c r="G256" s="135"/>
      <c r="H256" s="135">
        <v>0</v>
      </c>
      <c r="I256" s="135"/>
      <c r="J256" s="135"/>
      <c r="K256" s="135">
        <v>10</v>
      </c>
      <c r="L256" s="135"/>
      <c r="M256" s="135"/>
      <c r="N256" s="135"/>
      <c r="O256" s="154"/>
      <c r="P256" s="135">
        <v>1</v>
      </c>
      <c r="Q256" s="135">
        <v>3</v>
      </c>
      <c r="R256" s="135"/>
      <c r="S256" s="163">
        <v>1</v>
      </c>
      <c r="T256" s="163">
        <v>1</v>
      </c>
      <c r="U256" s="163">
        <v>1</v>
      </c>
      <c r="V256" s="135"/>
      <c r="W256" s="135"/>
      <c r="X256" s="163"/>
      <c r="Y256" s="135">
        <v>2520</v>
      </c>
      <c r="Z256" s="135">
        <v>1500</v>
      </c>
      <c r="AA256" s="135">
        <v>0</v>
      </c>
      <c r="AB256" s="135"/>
      <c r="AC256" s="135"/>
      <c r="AD256" s="135"/>
      <c r="AE256" s="135"/>
      <c r="AF256" s="163">
        <v>1</v>
      </c>
      <c r="AG256" s="163">
        <v>100</v>
      </c>
      <c r="AH256" s="135"/>
      <c r="AI256" s="135"/>
      <c r="AJ256" s="135"/>
      <c r="AK256" s="135">
        <v>1</v>
      </c>
      <c r="AL256" s="135">
        <v>99997</v>
      </c>
      <c r="AM256" s="135">
        <v>5000</v>
      </c>
      <c r="AN256" s="135"/>
      <c r="AO256" s="130" t="s">
        <v>647</v>
      </c>
      <c r="AP256" s="130">
        <v>1</v>
      </c>
      <c r="AQ256" s="130" t="s">
        <v>647</v>
      </c>
      <c r="AR256" s="130">
        <v>1</v>
      </c>
      <c r="AS256" s="130" t="s">
        <v>647</v>
      </c>
      <c r="AT256" s="130">
        <v>1</v>
      </c>
      <c r="AU256" s="130" t="s">
        <v>4593</v>
      </c>
      <c r="AV256" s="130"/>
      <c r="AW256" s="130" t="s">
        <v>248</v>
      </c>
      <c r="AX256" s="130"/>
      <c r="AY256" s="130" t="s">
        <v>622</v>
      </c>
      <c r="AZ256" s="130" t="s">
        <v>623</v>
      </c>
      <c r="BA256" s="130"/>
      <c r="BB256" s="179"/>
      <c r="BC256" s="179"/>
      <c r="BD256" s="130"/>
      <c r="BE256" s="130"/>
      <c r="BF256" s="135">
        <v>101</v>
      </c>
      <c r="BG256" s="130" t="s">
        <v>5054</v>
      </c>
      <c r="BH256" s="185"/>
      <c r="BI256" s="130" t="s">
        <v>231</v>
      </c>
      <c r="BJ256" s="130" t="s">
        <v>615</v>
      </c>
      <c r="BK256" s="130" t="s">
        <v>253</v>
      </c>
      <c r="BL256" s="135"/>
      <c r="BM256" s="135"/>
      <c r="BN256" s="135"/>
      <c r="BO256" s="163">
        <v>100</v>
      </c>
      <c r="BP256" s="163">
        <v>200</v>
      </c>
      <c r="BQ256" s="130"/>
      <c r="BR256" s="135">
        <v>1</v>
      </c>
      <c r="BS256" s="135"/>
      <c r="BT256" s="163">
        <v>50</v>
      </c>
      <c r="BU256" s="163"/>
      <c r="BV256" s="130"/>
      <c r="BW256" s="130"/>
      <c r="BX256" s="135"/>
      <c r="BY256" s="135"/>
      <c r="BZ256" s="135">
        <v>6</v>
      </c>
      <c r="CA256" s="135">
        <v>10</v>
      </c>
      <c r="CB256" s="135">
        <v>7</v>
      </c>
      <c r="CC256" s="135">
        <v>12</v>
      </c>
      <c r="CD256" s="135">
        <v>9</v>
      </c>
      <c r="CE256" s="135">
        <v>15</v>
      </c>
      <c r="CF256" s="135">
        <v>9</v>
      </c>
      <c r="CG256" s="135">
        <v>15</v>
      </c>
      <c r="CH256" s="163"/>
      <c r="CI256" s="130"/>
      <c r="CJ256" s="135"/>
      <c r="CK256" s="135"/>
      <c r="CL256" s="130"/>
      <c r="CM256" s="193"/>
      <c r="CN256" s="193"/>
      <c r="CO256" s="193"/>
      <c r="CP256" s="193"/>
      <c r="CQ256" s="193"/>
      <c r="CR256" s="193"/>
    </row>
    <row r="257" spans="1:96" ht="15.75" customHeight="1" x14ac:dyDescent="0.35">
      <c r="A257" s="199"/>
      <c r="B257" s="202" t="s">
        <v>590</v>
      </c>
      <c r="C257" s="201" t="s">
        <v>648</v>
      </c>
      <c r="D257" s="138">
        <v>20029</v>
      </c>
      <c r="E257" s="135"/>
      <c r="F257" s="135"/>
      <c r="G257" s="135"/>
      <c r="H257" s="135">
        <v>0</v>
      </c>
      <c r="I257" s="135"/>
      <c r="J257" s="135">
        <v>1</v>
      </c>
      <c r="K257" s="135">
        <v>10</v>
      </c>
      <c r="L257" s="135"/>
      <c r="M257" s="135"/>
      <c r="N257" s="135">
        <v>1</v>
      </c>
      <c r="O257" s="154"/>
      <c r="P257" s="135">
        <v>1</v>
      </c>
      <c r="Q257" s="135">
        <v>1</v>
      </c>
      <c r="R257" s="135"/>
      <c r="S257" s="163">
        <v>1</v>
      </c>
      <c r="T257" s="163">
        <v>1</v>
      </c>
      <c r="U257" s="163">
        <v>1</v>
      </c>
      <c r="V257" s="135"/>
      <c r="W257" s="135"/>
      <c r="X257" s="163"/>
      <c r="Y257" s="135">
        <v>1043</v>
      </c>
      <c r="Z257" s="135">
        <v>1000</v>
      </c>
      <c r="AA257" s="135">
        <v>0</v>
      </c>
      <c r="AB257" s="135"/>
      <c r="AC257" s="135"/>
      <c r="AD257" s="135"/>
      <c r="AE257" s="135"/>
      <c r="AF257" s="163">
        <v>1</v>
      </c>
      <c r="AG257" s="163">
        <v>100</v>
      </c>
      <c r="AH257" s="135">
        <v>670</v>
      </c>
      <c r="AI257" s="135"/>
      <c r="AJ257" s="135"/>
      <c r="AK257" s="135">
        <v>1</v>
      </c>
      <c r="AL257" s="135">
        <v>98</v>
      </c>
      <c r="AM257" s="135">
        <v>5000</v>
      </c>
      <c r="AN257" s="135"/>
      <c r="AO257" s="130">
        <v>200641</v>
      </c>
      <c r="AP257" s="135">
        <v>1</v>
      </c>
      <c r="AQ257" s="130">
        <v>200641</v>
      </c>
      <c r="AR257" s="135">
        <v>1</v>
      </c>
      <c r="AS257" s="130">
        <v>200641</v>
      </c>
      <c r="AT257" s="135">
        <v>1</v>
      </c>
      <c r="AU257" s="130"/>
      <c r="AV257" s="135"/>
      <c r="AW257" s="135" t="s">
        <v>248</v>
      </c>
      <c r="AX257" s="135" t="s">
        <v>249</v>
      </c>
      <c r="AY257" s="135"/>
      <c r="AZ257" s="135"/>
      <c r="BA257" s="135"/>
      <c r="BB257" s="163"/>
      <c r="BC257" s="163"/>
      <c r="BD257" s="135"/>
      <c r="BE257" s="135"/>
      <c r="BF257" s="135">
        <v>101</v>
      </c>
      <c r="BG257" s="130" t="s">
        <v>5134</v>
      </c>
      <c r="BH257" s="185"/>
      <c r="BI257" s="135" t="s">
        <v>592</v>
      </c>
      <c r="BJ257" s="130" t="s">
        <v>275</v>
      </c>
      <c r="BK257" s="135" t="s">
        <v>253</v>
      </c>
      <c r="BL257" s="135"/>
      <c r="BM257" s="135"/>
      <c r="BN257" s="135"/>
      <c r="BO257" s="163">
        <v>50</v>
      </c>
      <c r="BP257" s="163">
        <v>200</v>
      </c>
      <c r="BQ257" s="135"/>
      <c r="BR257" s="135">
        <v>1</v>
      </c>
      <c r="BS257" s="135"/>
      <c r="BT257" s="163">
        <v>50</v>
      </c>
      <c r="BU257" s="163">
        <v>50</v>
      </c>
      <c r="BV257" s="135"/>
      <c r="BW257" s="135"/>
      <c r="BX257" s="135"/>
      <c r="BY257" s="135"/>
      <c r="BZ257" s="135">
        <v>3</v>
      </c>
      <c r="CA257" s="135">
        <v>4</v>
      </c>
      <c r="CB257" s="135">
        <v>3</v>
      </c>
      <c r="CC257" s="135">
        <v>4</v>
      </c>
      <c r="CD257" s="135">
        <v>3</v>
      </c>
      <c r="CE257" s="135">
        <v>4</v>
      </c>
      <c r="CF257" s="135">
        <v>3</v>
      </c>
      <c r="CG257" s="135">
        <v>4</v>
      </c>
      <c r="CH257" s="163"/>
      <c r="CI257" s="130"/>
      <c r="CJ257" s="135"/>
      <c r="CK257" s="135"/>
      <c r="CL257" s="130"/>
      <c r="CM257" s="193"/>
      <c r="CN257" s="193"/>
      <c r="CO257" s="193"/>
      <c r="CP257" s="193"/>
      <c r="CQ257" s="193"/>
      <c r="CR257" s="193"/>
    </row>
    <row r="258" spans="1:96" ht="15.75" customHeight="1" x14ac:dyDescent="0.35">
      <c r="A258" s="199"/>
      <c r="B258" s="202" t="s">
        <v>590</v>
      </c>
      <c r="C258" s="92" t="s">
        <v>649</v>
      </c>
      <c r="D258" s="138">
        <v>20030</v>
      </c>
      <c r="E258" s="135"/>
      <c r="F258" s="135"/>
      <c r="G258" s="135"/>
      <c r="H258" s="135">
        <v>0</v>
      </c>
      <c r="I258" s="135"/>
      <c r="J258" s="135">
        <v>1</v>
      </c>
      <c r="K258" s="135">
        <v>10</v>
      </c>
      <c r="L258" s="135"/>
      <c r="M258" s="135"/>
      <c r="N258" s="135">
        <v>1</v>
      </c>
      <c r="O258" s="135"/>
      <c r="P258" s="135">
        <v>1</v>
      </c>
      <c r="Q258" s="135">
        <v>1</v>
      </c>
      <c r="R258" s="135">
        <v>1</v>
      </c>
      <c r="S258" s="163">
        <v>1</v>
      </c>
      <c r="T258" s="163">
        <v>1</v>
      </c>
      <c r="U258" s="163">
        <v>1</v>
      </c>
      <c r="V258" s="135"/>
      <c r="W258" s="135"/>
      <c r="X258" s="163"/>
      <c r="Y258" s="135">
        <v>1043</v>
      </c>
      <c r="Z258" s="135">
        <v>1000</v>
      </c>
      <c r="AA258" s="135">
        <v>0</v>
      </c>
      <c r="AB258" s="135"/>
      <c r="AC258" s="135"/>
      <c r="AD258" s="135"/>
      <c r="AE258" s="135"/>
      <c r="AF258" s="163">
        <v>1</v>
      </c>
      <c r="AG258" s="163">
        <v>100</v>
      </c>
      <c r="AH258" s="135">
        <v>670</v>
      </c>
      <c r="AI258" s="135"/>
      <c r="AJ258" s="135"/>
      <c r="AK258" s="135">
        <v>1</v>
      </c>
      <c r="AL258" s="135">
        <v>98</v>
      </c>
      <c r="AM258" s="135">
        <v>5000</v>
      </c>
      <c r="AN258" s="135"/>
      <c r="AO258" s="130">
        <v>200642</v>
      </c>
      <c r="AP258" s="135">
        <v>1</v>
      </c>
      <c r="AQ258" s="130">
        <v>200642</v>
      </c>
      <c r="AR258" s="135">
        <v>1</v>
      </c>
      <c r="AS258" s="130">
        <v>200642</v>
      </c>
      <c r="AT258" s="135">
        <v>1</v>
      </c>
      <c r="AU258" s="130"/>
      <c r="AV258" s="135"/>
      <c r="AW258" s="135" t="s">
        <v>248</v>
      </c>
      <c r="AX258" s="135" t="s">
        <v>249</v>
      </c>
      <c r="AY258" s="135"/>
      <c r="AZ258" s="135"/>
      <c r="BA258" s="135"/>
      <c r="BB258" s="163"/>
      <c r="BC258" s="163"/>
      <c r="BD258" s="135"/>
      <c r="BE258" s="135"/>
      <c r="BF258" s="135">
        <v>101</v>
      </c>
      <c r="BG258" s="130" t="s">
        <v>5135</v>
      </c>
      <c r="BH258" s="185"/>
      <c r="BI258" s="135" t="s">
        <v>592</v>
      </c>
      <c r="BJ258" s="130" t="s">
        <v>275</v>
      </c>
      <c r="BK258" s="135" t="s">
        <v>253</v>
      </c>
      <c r="BL258" s="135"/>
      <c r="BM258" s="135"/>
      <c r="BN258" s="135"/>
      <c r="BO258" s="163">
        <v>100</v>
      </c>
      <c r="BP258" s="163">
        <v>200</v>
      </c>
      <c r="BQ258" s="135"/>
      <c r="BR258" s="135">
        <v>1</v>
      </c>
      <c r="BS258" s="135"/>
      <c r="BT258" s="163">
        <v>50</v>
      </c>
      <c r="BU258" s="163">
        <v>50</v>
      </c>
      <c r="BV258" s="135"/>
      <c r="BW258" s="135"/>
      <c r="BX258" s="135"/>
      <c r="BY258" s="135"/>
      <c r="BZ258" s="135">
        <v>2</v>
      </c>
      <c r="CA258" s="135">
        <v>3</v>
      </c>
      <c r="CB258" s="135">
        <v>2</v>
      </c>
      <c r="CC258" s="135">
        <v>3</v>
      </c>
      <c r="CD258" s="135">
        <v>2</v>
      </c>
      <c r="CE258" s="135">
        <v>3</v>
      </c>
      <c r="CF258" s="135">
        <v>2</v>
      </c>
      <c r="CG258" s="135">
        <v>3</v>
      </c>
      <c r="CH258" s="163"/>
      <c r="CI258" s="130"/>
      <c r="CJ258" s="135"/>
      <c r="CK258" s="135"/>
      <c r="CL258" s="130"/>
      <c r="CM258" s="193"/>
      <c r="CN258" s="193"/>
      <c r="CO258" s="193"/>
      <c r="CP258" s="193"/>
      <c r="CQ258" s="193"/>
      <c r="CR258" s="193"/>
    </row>
    <row r="259" spans="1:96" ht="15.75" customHeight="1" x14ac:dyDescent="0.35">
      <c r="A259" s="199"/>
      <c r="B259" s="202" t="s">
        <v>650</v>
      </c>
      <c r="C259" s="201" t="s">
        <v>586</v>
      </c>
      <c r="D259" s="138">
        <v>20031</v>
      </c>
      <c r="E259" s="135"/>
      <c r="F259" s="135"/>
      <c r="G259" s="135"/>
      <c r="H259" s="135">
        <v>0</v>
      </c>
      <c r="I259" s="135"/>
      <c r="J259" s="135"/>
      <c r="K259" s="135">
        <v>6</v>
      </c>
      <c r="L259" s="135"/>
      <c r="M259" s="135"/>
      <c r="N259" s="135"/>
      <c r="O259" s="154"/>
      <c r="P259" s="135">
        <v>1</v>
      </c>
      <c r="Q259" s="135">
        <v>3</v>
      </c>
      <c r="R259" s="135"/>
      <c r="S259" s="163">
        <v>1</v>
      </c>
      <c r="T259" s="163">
        <v>1</v>
      </c>
      <c r="U259" s="163">
        <v>1</v>
      </c>
      <c r="V259" s="135"/>
      <c r="W259" s="135"/>
      <c r="X259" s="163"/>
      <c r="Y259" s="135">
        <v>4080</v>
      </c>
      <c r="Z259" s="135">
        <v>1000</v>
      </c>
      <c r="AA259" s="135">
        <v>0</v>
      </c>
      <c r="AB259" s="135"/>
      <c r="AC259" s="135"/>
      <c r="AD259" s="135"/>
      <c r="AE259" s="135"/>
      <c r="AF259" s="163">
        <v>1</v>
      </c>
      <c r="AG259" s="163">
        <v>100</v>
      </c>
      <c r="AH259" s="135"/>
      <c r="AI259" s="135"/>
      <c r="AJ259" s="135"/>
      <c r="AK259" s="135">
        <v>0</v>
      </c>
      <c r="AL259" s="135">
        <v>21001</v>
      </c>
      <c r="AM259" s="135">
        <v>4000</v>
      </c>
      <c r="AN259" s="135"/>
      <c r="AO259" s="130" t="s">
        <v>587</v>
      </c>
      <c r="AP259" s="135">
        <v>1</v>
      </c>
      <c r="AQ259" s="130" t="s">
        <v>587</v>
      </c>
      <c r="AR259" s="135" t="s">
        <v>246</v>
      </c>
      <c r="AS259" s="130" t="s">
        <v>587</v>
      </c>
      <c r="AT259" s="135" t="s">
        <v>246</v>
      </c>
      <c r="AU259" s="130" t="s">
        <v>4581</v>
      </c>
      <c r="AV259" s="135"/>
      <c r="AW259" s="135" t="s">
        <v>248</v>
      </c>
      <c r="AX259" s="135"/>
      <c r="AY259" s="163" t="s">
        <v>588</v>
      </c>
      <c r="AZ259" s="135">
        <v>2</v>
      </c>
      <c r="BA259" s="135"/>
      <c r="BB259" s="163"/>
      <c r="BC259" s="163"/>
      <c r="BD259" s="135"/>
      <c r="BE259" s="135"/>
      <c r="BF259" s="135">
        <v>101</v>
      </c>
      <c r="BG259" s="130" t="s">
        <v>5054</v>
      </c>
      <c r="BH259" s="185"/>
      <c r="BI259" s="135" t="s">
        <v>589</v>
      </c>
      <c r="BJ259" s="130" t="s">
        <v>336</v>
      </c>
      <c r="BK259" s="135" t="s">
        <v>253</v>
      </c>
      <c r="BL259" s="135"/>
      <c r="BM259" s="135"/>
      <c r="BN259" s="135"/>
      <c r="BO259" s="163">
        <v>100</v>
      </c>
      <c r="BP259" s="163">
        <v>200</v>
      </c>
      <c r="BQ259" s="135"/>
      <c r="BR259" s="135">
        <v>1</v>
      </c>
      <c r="BS259" s="135"/>
      <c r="BT259" s="163">
        <v>50</v>
      </c>
      <c r="BU259" s="163"/>
      <c r="BV259" s="135"/>
      <c r="BW259" s="135"/>
      <c r="BX259" s="135"/>
      <c r="BY259" s="135"/>
      <c r="BZ259" s="135">
        <v>6</v>
      </c>
      <c r="CA259" s="135">
        <v>10</v>
      </c>
      <c r="CB259" s="135">
        <v>7</v>
      </c>
      <c r="CC259" s="135">
        <v>12</v>
      </c>
      <c r="CD259" s="135">
        <v>9</v>
      </c>
      <c r="CE259" s="135">
        <v>15</v>
      </c>
      <c r="CF259" s="135">
        <v>9</v>
      </c>
      <c r="CG259" s="135">
        <v>15</v>
      </c>
      <c r="CH259" s="163"/>
      <c r="CI259" s="130"/>
      <c r="CJ259" s="135"/>
      <c r="CK259" s="135"/>
      <c r="CL259" s="130"/>
      <c r="CM259" s="193"/>
      <c r="CN259" s="193"/>
      <c r="CO259" s="193"/>
      <c r="CP259" s="193"/>
      <c r="CQ259" s="193"/>
      <c r="CR259" s="193"/>
    </row>
    <row r="260" spans="1:96" ht="15.75" customHeight="1" x14ac:dyDescent="0.35">
      <c r="A260" s="199"/>
      <c r="B260" s="202" t="s">
        <v>650</v>
      </c>
      <c r="C260" s="201" t="s">
        <v>4479</v>
      </c>
      <c r="D260" s="138">
        <v>20032</v>
      </c>
      <c r="E260" s="135"/>
      <c r="F260" s="135"/>
      <c r="G260" s="135"/>
      <c r="H260" s="135">
        <v>0</v>
      </c>
      <c r="I260" s="135"/>
      <c r="J260" s="135">
        <v>1</v>
      </c>
      <c r="K260" s="135">
        <v>10</v>
      </c>
      <c r="L260" s="135"/>
      <c r="M260" s="135"/>
      <c r="N260" s="135">
        <v>1</v>
      </c>
      <c r="O260" s="135"/>
      <c r="P260" s="135">
        <v>1</v>
      </c>
      <c r="Q260" s="135">
        <v>1</v>
      </c>
      <c r="R260" s="135">
        <v>1</v>
      </c>
      <c r="S260" s="163">
        <v>1</v>
      </c>
      <c r="T260" s="163">
        <v>1</v>
      </c>
      <c r="U260" s="163">
        <v>1</v>
      </c>
      <c r="V260" s="135"/>
      <c r="W260" s="135"/>
      <c r="X260" s="163"/>
      <c r="Y260" s="135">
        <v>1717</v>
      </c>
      <c r="Z260" s="135">
        <v>700</v>
      </c>
      <c r="AA260" s="135">
        <v>0</v>
      </c>
      <c r="AB260" s="135"/>
      <c r="AC260" s="135"/>
      <c r="AD260" s="135"/>
      <c r="AE260" s="135"/>
      <c r="AF260" s="163">
        <v>1</v>
      </c>
      <c r="AG260" s="163">
        <v>100</v>
      </c>
      <c r="AH260" s="135">
        <v>670</v>
      </c>
      <c r="AI260" s="135"/>
      <c r="AJ260" s="135"/>
      <c r="AK260" s="135">
        <v>1</v>
      </c>
      <c r="AL260" s="135">
        <v>98</v>
      </c>
      <c r="AM260" s="135">
        <v>5000</v>
      </c>
      <c r="AN260" s="135"/>
      <c r="AO260" s="130" t="s">
        <v>4482</v>
      </c>
      <c r="AP260" s="135">
        <v>1</v>
      </c>
      <c r="AQ260" s="130" t="s">
        <v>4482</v>
      </c>
      <c r="AR260" s="135">
        <v>1</v>
      </c>
      <c r="AS260" s="130" t="s">
        <v>4482</v>
      </c>
      <c r="AT260" s="135">
        <v>1</v>
      </c>
      <c r="AU260" s="130" t="s">
        <v>4485</v>
      </c>
      <c r="AV260" s="135"/>
      <c r="AW260" s="135" t="s">
        <v>248</v>
      </c>
      <c r="AX260" s="135" t="s">
        <v>249</v>
      </c>
      <c r="AY260" s="135"/>
      <c r="AZ260" s="135"/>
      <c r="BA260" s="135"/>
      <c r="BB260" s="163"/>
      <c r="BC260" s="163"/>
      <c r="BD260" s="135"/>
      <c r="BE260" s="135"/>
      <c r="BF260" s="135">
        <v>101</v>
      </c>
      <c r="BG260" s="130" t="s">
        <v>5212</v>
      </c>
      <c r="BH260" s="185"/>
      <c r="BI260" s="135" t="s">
        <v>592</v>
      </c>
      <c r="BJ260" s="130" t="s">
        <v>275</v>
      </c>
      <c r="BK260" s="135" t="s">
        <v>253</v>
      </c>
      <c r="BL260" s="135"/>
      <c r="BM260" s="135"/>
      <c r="BN260" s="135"/>
      <c r="BO260" s="163">
        <v>100</v>
      </c>
      <c r="BP260" s="163">
        <v>200</v>
      </c>
      <c r="BQ260" s="135"/>
      <c r="BR260" s="135">
        <v>1</v>
      </c>
      <c r="BS260" s="135"/>
      <c r="BT260" s="163">
        <v>50</v>
      </c>
      <c r="BU260" s="163">
        <v>50</v>
      </c>
      <c r="BV260" s="135"/>
      <c r="BW260" s="135"/>
      <c r="BX260" s="135"/>
      <c r="BY260" s="135"/>
      <c r="BZ260" s="135">
        <v>2</v>
      </c>
      <c r="CA260" s="135">
        <v>3</v>
      </c>
      <c r="CB260" s="135">
        <v>2</v>
      </c>
      <c r="CC260" s="135">
        <v>3</v>
      </c>
      <c r="CD260" s="135">
        <v>2</v>
      </c>
      <c r="CE260" s="135">
        <v>3</v>
      </c>
      <c r="CF260" s="135">
        <v>2</v>
      </c>
      <c r="CG260" s="135">
        <v>3</v>
      </c>
      <c r="CH260" s="163"/>
      <c r="CI260" s="130"/>
      <c r="CJ260" s="135"/>
      <c r="CK260" s="135"/>
      <c r="CL260" s="130"/>
      <c r="CM260" s="193"/>
      <c r="CN260" s="193"/>
      <c r="CO260" s="193"/>
      <c r="CP260" s="193"/>
      <c r="CQ260" s="193"/>
      <c r="CR260" s="193"/>
    </row>
    <row r="261" spans="1:96" ht="15.75" customHeight="1" x14ac:dyDescent="0.35">
      <c r="A261" s="199"/>
      <c r="B261" s="202" t="s">
        <v>650</v>
      </c>
      <c r="C261" s="201" t="s">
        <v>4480</v>
      </c>
      <c r="D261" s="138">
        <v>20033</v>
      </c>
      <c r="E261" s="135"/>
      <c r="F261" s="135"/>
      <c r="G261" s="135"/>
      <c r="H261" s="135">
        <v>0</v>
      </c>
      <c r="I261" s="135"/>
      <c r="J261" s="135">
        <v>1</v>
      </c>
      <c r="K261" s="135">
        <v>10</v>
      </c>
      <c r="L261" s="135"/>
      <c r="M261" s="135"/>
      <c r="N261" s="135">
        <v>1</v>
      </c>
      <c r="O261" s="135"/>
      <c r="P261" s="135">
        <v>1</v>
      </c>
      <c r="Q261" s="135">
        <v>1</v>
      </c>
      <c r="R261" s="135">
        <v>1</v>
      </c>
      <c r="S261" s="163">
        <v>1</v>
      </c>
      <c r="T261" s="163">
        <v>1</v>
      </c>
      <c r="U261" s="163">
        <v>1</v>
      </c>
      <c r="V261" s="135"/>
      <c r="W261" s="135"/>
      <c r="X261" s="163"/>
      <c r="Y261" s="135">
        <v>1718</v>
      </c>
      <c r="Z261" s="135">
        <v>700</v>
      </c>
      <c r="AA261" s="135">
        <v>0</v>
      </c>
      <c r="AB261" s="135"/>
      <c r="AC261" s="135"/>
      <c r="AD261" s="135"/>
      <c r="AE261" s="135"/>
      <c r="AF261" s="163">
        <v>1</v>
      </c>
      <c r="AG261" s="163">
        <v>100</v>
      </c>
      <c r="AH261" s="135">
        <v>670</v>
      </c>
      <c r="AI261" s="135"/>
      <c r="AJ261" s="135"/>
      <c r="AK261" s="135">
        <v>1</v>
      </c>
      <c r="AL261" s="135">
        <v>98</v>
      </c>
      <c r="AM261" s="135">
        <v>5000</v>
      </c>
      <c r="AN261" s="135"/>
      <c r="AO261" s="130" t="s">
        <v>4483</v>
      </c>
      <c r="AP261" s="135">
        <v>1</v>
      </c>
      <c r="AQ261" s="130" t="s">
        <v>4483</v>
      </c>
      <c r="AR261" s="135">
        <v>1</v>
      </c>
      <c r="AS261" s="130" t="s">
        <v>4483</v>
      </c>
      <c r="AT261" s="135">
        <v>1</v>
      </c>
      <c r="AU261" s="130" t="s">
        <v>4486</v>
      </c>
      <c r="AV261" s="135"/>
      <c r="AW261" s="135" t="s">
        <v>248</v>
      </c>
      <c r="AX261" s="135" t="s">
        <v>249</v>
      </c>
      <c r="AY261" s="135"/>
      <c r="AZ261" s="135"/>
      <c r="BA261" s="135"/>
      <c r="BB261" s="163"/>
      <c r="BC261" s="163"/>
      <c r="BD261" s="135"/>
      <c r="BE261" s="135"/>
      <c r="BF261" s="135">
        <v>101</v>
      </c>
      <c r="BG261" s="130" t="s">
        <v>5213</v>
      </c>
      <c r="BH261" s="185"/>
      <c r="BI261" s="135" t="s">
        <v>592</v>
      </c>
      <c r="BJ261" s="130" t="s">
        <v>275</v>
      </c>
      <c r="BK261" s="135" t="s">
        <v>253</v>
      </c>
      <c r="BL261" s="135"/>
      <c r="BM261" s="135"/>
      <c r="BN261" s="135"/>
      <c r="BO261" s="163">
        <v>100</v>
      </c>
      <c r="BP261" s="163">
        <v>200</v>
      </c>
      <c r="BQ261" s="135"/>
      <c r="BR261" s="135">
        <v>1</v>
      </c>
      <c r="BS261" s="135"/>
      <c r="BT261" s="163">
        <v>50</v>
      </c>
      <c r="BU261" s="163">
        <v>50</v>
      </c>
      <c r="BV261" s="135"/>
      <c r="BW261" s="135"/>
      <c r="BX261" s="135"/>
      <c r="BY261" s="135"/>
      <c r="BZ261" s="135">
        <v>2</v>
      </c>
      <c r="CA261" s="135">
        <v>3</v>
      </c>
      <c r="CB261" s="135">
        <v>2</v>
      </c>
      <c r="CC261" s="135">
        <v>3</v>
      </c>
      <c r="CD261" s="135">
        <v>2</v>
      </c>
      <c r="CE261" s="135">
        <v>3</v>
      </c>
      <c r="CF261" s="135">
        <v>2</v>
      </c>
      <c r="CG261" s="135">
        <v>3</v>
      </c>
      <c r="CH261" s="163"/>
      <c r="CI261" s="130"/>
      <c r="CJ261" s="135"/>
      <c r="CK261" s="135"/>
      <c r="CL261" s="130"/>
      <c r="CM261" s="193"/>
      <c r="CN261" s="193"/>
      <c r="CO261" s="193"/>
      <c r="CP261" s="193"/>
      <c r="CQ261" s="193"/>
      <c r="CR261" s="193"/>
    </row>
    <row r="262" spans="1:96" ht="15.75" customHeight="1" x14ac:dyDescent="0.35">
      <c r="A262" s="199"/>
      <c r="B262" s="202" t="s">
        <v>650</v>
      </c>
      <c r="C262" s="201" t="s">
        <v>4481</v>
      </c>
      <c r="D262" s="138">
        <v>20034</v>
      </c>
      <c r="E262" s="135"/>
      <c r="F262" s="135"/>
      <c r="G262" s="135"/>
      <c r="H262" s="135">
        <v>0</v>
      </c>
      <c r="I262" s="135"/>
      <c r="J262" s="135">
        <v>1</v>
      </c>
      <c r="K262" s="135">
        <v>10</v>
      </c>
      <c r="L262" s="135"/>
      <c r="M262" s="135"/>
      <c r="N262" s="135">
        <v>1</v>
      </c>
      <c r="O262" s="135"/>
      <c r="P262" s="135">
        <v>1</v>
      </c>
      <c r="Q262" s="135">
        <v>1</v>
      </c>
      <c r="R262" s="135">
        <v>1</v>
      </c>
      <c r="S262" s="163">
        <v>1</v>
      </c>
      <c r="T262" s="163">
        <v>1</v>
      </c>
      <c r="U262" s="163">
        <v>1</v>
      </c>
      <c r="V262" s="135"/>
      <c r="W262" s="135"/>
      <c r="X262" s="163"/>
      <c r="Y262" s="135">
        <v>1719</v>
      </c>
      <c r="Z262" s="135">
        <v>700</v>
      </c>
      <c r="AA262" s="135">
        <v>0</v>
      </c>
      <c r="AB262" s="135"/>
      <c r="AC262" s="135"/>
      <c r="AD262" s="135"/>
      <c r="AE262" s="135"/>
      <c r="AF262" s="163">
        <v>1</v>
      </c>
      <c r="AG262" s="163">
        <v>100</v>
      </c>
      <c r="AH262" s="135">
        <v>670</v>
      </c>
      <c r="AI262" s="135"/>
      <c r="AJ262" s="135"/>
      <c r="AK262" s="135">
        <v>1</v>
      </c>
      <c r="AL262" s="135">
        <v>98</v>
      </c>
      <c r="AM262" s="135">
        <v>5000</v>
      </c>
      <c r="AN262" s="135"/>
      <c r="AO262" s="130" t="s">
        <v>4484</v>
      </c>
      <c r="AP262" s="135">
        <v>1</v>
      </c>
      <c r="AQ262" s="130" t="s">
        <v>4484</v>
      </c>
      <c r="AR262" s="135">
        <v>1</v>
      </c>
      <c r="AS262" s="130" t="s">
        <v>4484</v>
      </c>
      <c r="AT262" s="135">
        <v>1</v>
      </c>
      <c r="AU262" s="130" t="s">
        <v>4487</v>
      </c>
      <c r="AV262" s="135"/>
      <c r="AW262" s="135" t="s">
        <v>248</v>
      </c>
      <c r="AX262" s="135" t="s">
        <v>249</v>
      </c>
      <c r="AY262" s="135"/>
      <c r="AZ262" s="135"/>
      <c r="BA262" s="135"/>
      <c r="BB262" s="163"/>
      <c r="BC262" s="163"/>
      <c r="BD262" s="135"/>
      <c r="BE262" s="135"/>
      <c r="BF262" s="135">
        <v>101</v>
      </c>
      <c r="BG262" s="130" t="s">
        <v>5214</v>
      </c>
      <c r="BH262" s="185"/>
      <c r="BI262" s="135" t="s">
        <v>592</v>
      </c>
      <c r="BJ262" s="130" t="s">
        <v>275</v>
      </c>
      <c r="BK262" s="135" t="s">
        <v>253</v>
      </c>
      <c r="BL262" s="135"/>
      <c r="BM262" s="135"/>
      <c r="BN262" s="135"/>
      <c r="BO262" s="163">
        <v>100</v>
      </c>
      <c r="BP262" s="163">
        <v>200</v>
      </c>
      <c r="BQ262" s="135"/>
      <c r="BR262" s="135">
        <v>1</v>
      </c>
      <c r="BS262" s="135"/>
      <c r="BT262" s="163">
        <v>50</v>
      </c>
      <c r="BU262" s="163">
        <v>50</v>
      </c>
      <c r="BV262" s="135"/>
      <c r="BW262" s="135"/>
      <c r="BX262" s="135"/>
      <c r="BY262" s="135"/>
      <c r="BZ262" s="135">
        <v>2</v>
      </c>
      <c r="CA262" s="135">
        <v>3</v>
      </c>
      <c r="CB262" s="135">
        <v>2</v>
      </c>
      <c r="CC262" s="135">
        <v>3</v>
      </c>
      <c r="CD262" s="135">
        <v>2</v>
      </c>
      <c r="CE262" s="135">
        <v>3</v>
      </c>
      <c r="CF262" s="135">
        <v>2</v>
      </c>
      <c r="CG262" s="135">
        <v>3</v>
      </c>
      <c r="CH262" s="163"/>
      <c r="CI262" s="130"/>
      <c r="CJ262" s="135"/>
      <c r="CK262" s="135"/>
      <c r="CL262" s="130"/>
      <c r="CM262" s="193"/>
      <c r="CN262" s="193"/>
      <c r="CO262" s="193"/>
      <c r="CP262" s="193"/>
      <c r="CQ262" s="193"/>
      <c r="CR262" s="193"/>
    </row>
    <row r="263" spans="1:96" ht="15.75" customHeight="1" x14ac:dyDescent="0.35">
      <c r="A263" s="199"/>
      <c r="B263" s="202" t="s">
        <v>590</v>
      </c>
      <c r="C263" s="201" t="s">
        <v>4601</v>
      </c>
      <c r="D263" s="138">
        <v>20035</v>
      </c>
      <c r="E263" s="135"/>
      <c r="F263" s="135"/>
      <c r="G263" s="135"/>
      <c r="H263" s="135">
        <v>0</v>
      </c>
      <c r="I263" s="135"/>
      <c r="J263" s="135"/>
      <c r="K263" s="135">
        <v>10</v>
      </c>
      <c r="L263" s="135"/>
      <c r="M263" s="135"/>
      <c r="N263" s="135"/>
      <c r="O263" s="154"/>
      <c r="P263" s="135">
        <v>1</v>
      </c>
      <c r="Q263" s="135">
        <v>3</v>
      </c>
      <c r="R263" s="135"/>
      <c r="S263" s="163">
        <v>1</v>
      </c>
      <c r="T263" s="163">
        <v>1</v>
      </c>
      <c r="U263" s="163">
        <v>1</v>
      </c>
      <c r="V263" s="135"/>
      <c r="W263" s="135"/>
      <c r="X263" s="163"/>
      <c r="Y263" s="135">
        <v>25135</v>
      </c>
      <c r="Z263" s="135">
        <v>1000</v>
      </c>
      <c r="AA263" s="135">
        <v>0</v>
      </c>
      <c r="AB263" s="135"/>
      <c r="AC263" s="135"/>
      <c r="AD263" s="135"/>
      <c r="AE263" s="135"/>
      <c r="AF263" s="163">
        <v>1</v>
      </c>
      <c r="AG263" s="163">
        <v>100</v>
      </c>
      <c r="AH263" s="135"/>
      <c r="AI263" s="135"/>
      <c r="AJ263" s="135"/>
      <c r="AK263" s="135">
        <v>1</v>
      </c>
      <c r="AL263" s="135">
        <v>99998</v>
      </c>
      <c r="AM263" s="135">
        <v>5000</v>
      </c>
      <c r="AN263" s="135"/>
      <c r="AO263" s="130" t="s">
        <v>4603</v>
      </c>
      <c r="AP263" s="130">
        <v>1</v>
      </c>
      <c r="AQ263" s="130" t="s">
        <v>4603</v>
      </c>
      <c r="AR263" s="130">
        <v>1</v>
      </c>
      <c r="AS263" s="130" t="s">
        <v>4603</v>
      </c>
      <c r="AT263" s="130">
        <v>1</v>
      </c>
      <c r="AU263" s="130" t="s">
        <v>4593</v>
      </c>
      <c r="AV263" s="130"/>
      <c r="AW263" s="130" t="s">
        <v>248</v>
      </c>
      <c r="AX263" s="130"/>
      <c r="AY263" s="130" t="s">
        <v>622</v>
      </c>
      <c r="AZ263" s="130" t="s">
        <v>623</v>
      </c>
      <c r="BA263" s="130"/>
      <c r="BB263" s="179"/>
      <c r="BC263" s="179"/>
      <c r="BD263" s="130"/>
      <c r="BE263" s="130"/>
      <c r="BF263" s="135">
        <v>101</v>
      </c>
      <c r="BG263" s="130" t="s">
        <v>5215</v>
      </c>
      <c r="BH263" s="185"/>
      <c r="BI263" s="130" t="s">
        <v>231</v>
      </c>
      <c r="BJ263" s="130" t="s">
        <v>615</v>
      </c>
      <c r="BK263" s="130" t="s">
        <v>253</v>
      </c>
      <c r="BL263" s="135"/>
      <c r="BM263" s="135"/>
      <c r="BN263" s="135"/>
      <c r="BO263" s="163">
        <v>100</v>
      </c>
      <c r="BP263" s="163">
        <v>200</v>
      </c>
      <c r="BQ263" s="130"/>
      <c r="BR263" s="135">
        <v>1</v>
      </c>
      <c r="BS263" s="135"/>
      <c r="BT263" s="163">
        <v>50</v>
      </c>
      <c r="BU263" s="163"/>
      <c r="BV263" s="130"/>
      <c r="BW263" s="130"/>
      <c r="BX263" s="135"/>
      <c r="BY263" s="135"/>
      <c r="BZ263" s="135">
        <v>6</v>
      </c>
      <c r="CA263" s="135">
        <v>10</v>
      </c>
      <c r="CB263" s="135">
        <v>7</v>
      </c>
      <c r="CC263" s="135">
        <v>12</v>
      </c>
      <c r="CD263" s="135">
        <v>9</v>
      </c>
      <c r="CE263" s="135">
        <v>15</v>
      </c>
      <c r="CF263" s="135">
        <v>9</v>
      </c>
      <c r="CG263" s="135">
        <v>15</v>
      </c>
      <c r="CH263" s="163"/>
      <c r="CI263" s="130"/>
      <c r="CJ263" s="135"/>
      <c r="CK263" s="135"/>
      <c r="CL263" s="130"/>
      <c r="CM263" s="193"/>
      <c r="CN263" s="193"/>
      <c r="CO263" s="193"/>
      <c r="CP263" s="193"/>
      <c r="CQ263" s="193"/>
      <c r="CR263" s="193"/>
    </row>
    <row r="264" spans="1:96" ht="15.75" customHeight="1" x14ac:dyDescent="0.35">
      <c r="A264" s="199"/>
      <c r="B264" s="202" t="s">
        <v>590</v>
      </c>
      <c r="C264" s="201" t="s">
        <v>4602</v>
      </c>
      <c r="D264" s="138">
        <v>20036</v>
      </c>
      <c r="E264" s="135"/>
      <c r="F264" s="135"/>
      <c r="G264" s="135"/>
      <c r="H264" s="135">
        <v>0</v>
      </c>
      <c r="I264" s="135"/>
      <c r="J264" s="135"/>
      <c r="K264" s="135">
        <v>10</v>
      </c>
      <c r="L264" s="135"/>
      <c r="M264" s="135"/>
      <c r="N264" s="135"/>
      <c r="O264" s="154"/>
      <c r="P264" s="135">
        <v>1</v>
      </c>
      <c r="Q264" s="135">
        <v>3</v>
      </c>
      <c r="R264" s="135"/>
      <c r="S264" s="163">
        <v>1</v>
      </c>
      <c r="T264" s="163">
        <v>1</v>
      </c>
      <c r="U264" s="163">
        <v>1</v>
      </c>
      <c r="V264" s="135"/>
      <c r="W264" s="135"/>
      <c r="X264" s="163"/>
      <c r="Y264" s="135">
        <v>25136</v>
      </c>
      <c r="Z264" s="135">
        <v>1000</v>
      </c>
      <c r="AA264" s="135">
        <v>0</v>
      </c>
      <c r="AB264" s="135"/>
      <c r="AC264" s="135"/>
      <c r="AD264" s="135"/>
      <c r="AE264" s="135"/>
      <c r="AF264" s="163">
        <v>1</v>
      </c>
      <c r="AG264" s="163">
        <v>100</v>
      </c>
      <c r="AH264" s="135"/>
      <c r="AI264" s="135"/>
      <c r="AJ264" s="135"/>
      <c r="AK264" s="135">
        <v>1</v>
      </c>
      <c r="AL264" s="135">
        <v>99997</v>
      </c>
      <c r="AM264" s="135">
        <v>5000</v>
      </c>
      <c r="AN264" s="135"/>
      <c r="AO264" s="130" t="s">
        <v>4605</v>
      </c>
      <c r="AP264" s="130">
        <v>1</v>
      </c>
      <c r="AQ264" s="130" t="s">
        <v>4605</v>
      </c>
      <c r="AR264" s="130">
        <v>1</v>
      </c>
      <c r="AS264" s="130" t="s">
        <v>4605</v>
      </c>
      <c r="AT264" s="130">
        <v>1</v>
      </c>
      <c r="AU264" s="130" t="s">
        <v>4593</v>
      </c>
      <c r="AV264" s="130"/>
      <c r="AW264" s="130" t="s">
        <v>248</v>
      </c>
      <c r="AX264" s="130"/>
      <c r="AY264" s="130" t="s">
        <v>622</v>
      </c>
      <c r="AZ264" s="130" t="s">
        <v>4612</v>
      </c>
      <c r="BA264" s="130"/>
      <c r="BB264" s="179"/>
      <c r="BC264" s="179"/>
      <c r="BD264" s="130"/>
      <c r="BE264" s="130"/>
      <c r="BF264" s="135">
        <v>101</v>
      </c>
      <c r="BG264" s="130" t="s">
        <v>5216</v>
      </c>
      <c r="BH264" s="185"/>
      <c r="BI264" s="130" t="s">
        <v>231</v>
      </c>
      <c r="BJ264" s="130" t="s">
        <v>615</v>
      </c>
      <c r="BK264" s="130" t="s">
        <v>253</v>
      </c>
      <c r="BL264" s="135"/>
      <c r="BM264" s="135"/>
      <c r="BN264" s="135"/>
      <c r="BO264" s="163">
        <v>100</v>
      </c>
      <c r="BP264" s="163">
        <v>200</v>
      </c>
      <c r="BQ264" s="130"/>
      <c r="BR264" s="135">
        <v>1</v>
      </c>
      <c r="BS264" s="135"/>
      <c r="BT264" s="163">
        <v>50</v>
      </c>
      <c r="BU264" s="163"/>
      <c r="BV264" s="130"/>
      <c r="BW264" s="130"/>
      <c r="BX264" s="135"/>
      <c r="BY264" s="135"/>
      <c r="BZ264" s="135">
        <v>6</v>
      </c>
      <c r="CA264" s="135">
        <v>10</v>
      </c>
      <c r="CB264" s="135">
        <v>7</v>
      </c>
      <c r="CC264" s="135">
        <v>12</v>
      </c>
      <c r="CD264" s="135">
        <v>9</v>
      </c>
      <c r="CE264" s="135">
        <v>15</v>
      </c>
      <c r="CF264" s="135">
        <v>9</v>
      </c>
      <c r="CG264" s="135">
        <v>15</v>
      </c>
      <c r="CH264" s="163"/>
      <c r="CI264" s="130"/>
      <c r="CJ264" s="135"/>
      <c r="CK264" s="135"/>
      <c r="CL264" s="130"/>
      <c r="CM264" s="193"/>
      <c r="CN264" s="193"/>
      <c r="CO264" s="193"/>
      <c r="CP264" s="193"/>
      <c r="CQ264" s="193"/>
      <c r="CR264" s="193"/>
    </row>
    <row r="265" spans="1:96" ht="15.75" customHeight="1" x14ac:dyDescent="0.35">
      <c r="A265" s="199"/>
      <c r="B265" s="202" t="s">
        <v>590</v>
      </c>
      <c r="C265" s="201" t="s">
        <v>4608</v>
      </c>
      <c r="D265" s="138">
        <v>20037</v>
      </c>
      <c r="E265" s="135"/>
      <c r="F265" s="135"/>
      <c r="G265" s="135"/>
      <c r="H265" s="135">
        <v>0</v>
      </c>
      <c r="I265" s="135"/>
      <c r="J265" s="135"/>
      <c r="K265" s="135">
        <v>10</v>
      </c>
      <c r="L265" s="135"/>
      <c r="M265" s="135"/>
      <c r="N265" s="135"/>
      <c r="O265" s="154"/>
      <c r="P265" s="135">
        <v>1</v>
      </c>
      <c r="Q265" s="135">
        <v>3</v>
      </c>
      <c r="R265" s="135"/>
      <c r="S265" s="163">
        <v>1</v>
      </c>
      <c r="T265" s="163">
        <v>1</v>
      </c>
      <c r="U265" s="163">
        <v>1</v>
      </c>
      <c r="V265" s="135"/>
      <c r="W265" s="135"/>
      <c r="X265" s="163"/>
      <c r="Y265" s="135">
        <v>2520</v>
      </c>
      <c r="Z265" s="135">
        <v>1500</v>
      </c>
      <c r="AA265" s="135">
        <v>0</v>
      </c>
      <c r="AB265" s="135"/>
      <c r="AC265" s="135"/>
      <c r="AD265" s="135"/>
      <c r="AE265" s="135"/>
      <c r="AF265" s="163">
        <v>1</v>
      </c>
      <c r="AG265" s="163">
        <v>100</v>
      </c>
      <c r="AH265" s="135"/>
      <c r="AI265" s="135"/>
      <c r="AJ265" s="135"/>
      <c r="AK265" s="135">
        <v>1</v>
      </c>
      <c r="AL265" s="135">
        <v>99997</v>
      </c>
      <c r="AM265" s="135">
        <v>5000</v>
      </c>
      <c r="AN265" s="135"/>
      <c r="AO265" s="130" t="s">
        <v>647</v>
      </c>
      <c r="AP265" s="130">
        <v>1</v>
      </c>
      <c r="AQ265" s="130" t="s">
        <v>647</v>
      </c>
      <c r="AR265" s="130">
        <v>1</v>
      </c>
      <c r="AS265" s="130" t="s">
        <v>647</v>
      </c>
      <c r="AT265" s="130">
        <v>1</v>
      </c>
      <c r="AU265" s="130" t="s">
        <v>4609</v>
      </c>
      <c r="AV265" s="130"/>
      <c r="AW265" s="130" t="s">
        <v>248</v>
      </c>
      <c r="AX265" s="130"/>
      <c r="AY265" s="130" t="s">
        <v>622</v>
      </c>
      <c r="AZ265" s="130" t="s">
        <v>623</v>
      </c>
      <c r="BA265" s="130"/>
      <c r="BB265" s="179"/>
      <c r="BC265" s="179"/>
      <c r="BD265" s="130"/>
      <c r="BE265" s="130"/>
      <c r="BF265" s="135">
        <v>101</v>
      </c>
      <c r="BG265" s="130" t="s">
        <v>5054</v>
      </c>
      <c r="BH265" s="185"/>
      <c r="BI265" s="130" t="s">
        <v>231</v>
      </c>
      <c r="BJ265" s="130" t="s">
        <v>615</v>
      </c>
      <c r="BK265" s="130" t="s">
        <v>253</v>
      </c>
      <c r="BL265" s="135"/>
      <c r="BM265" s="135"/>
      <c r="BN265" s="135"/>
      <c r="BO265" s="163">
        <v>100</v>
      </c>
      <c r="BP265" s="163">
        <v>200</v>
      </c>
      <c r="BQ265" s="130"/>
      <c r="BR265" s="135">
        <v>1</v>
      </c>
      <c r="BS265" s="135"/>
      <c r="BT265" s="163">
        <v>50</v>
      </c>
      <c r="BU265" s="163"/>
      <c r="BV265" s="130"/>
      <c r="BW265" s="130"/>
      <c r="BX265" s="135"/>
      <c r="BY265" s="135"/>
      <c r="BZ265" s="135">
        <v>6</v>
      </c>
      <c r="CA265" s="135">
        <v>10</v>
      </c>
      <c r="CB265" s="135">
        <v>7</v>
      </c>
      <c r="CC265" s="135">
        <v>12</v>
      </c>
      <c r="CD265" s="135">
        <v>9</v>
      </c>
      <c r="CE265" s="135">
        <v>15</v>
      </c>
      <c r="CF265" s="135">
        <v>9</v>
      </c>
      <c r="CG265" s="135">
        <v>15</v>
      </c>
      <c r="CH265" s="163"/>
      <c r="CI265" s="130"/>
      <c r="CJ265" s="135"/>
      <c r="CK265" s="135"/>
      <c r="CL265" s="130"/>
      <c r="CM265" s="193"/>
      <c r="CN265" s="193"/>
      <c r="CO265" s="193"/>
      <c r="CP265" s="193"/>
      <c r="CQ265" s="193"/>
      <c r="CR265" s="193"/>
    </row>
    <row r="266" spans="1:96" ht="15.75" customHeight="1" x14ac:dyDescent="0.35">
      <c r="A266" s="199"/>
      <c r="B266" s="202" t="s">
        <v>590</v>
      </c>
      <c r="C266" s="201" t="s">
        <v>4610</v>
      </c>
      <c r="D266" s="138">
        <v>20038</v>
      </c>
      <c r="E266" s="135"/>
      <c r="F266" s="135"/>
      <c r="G266" s="135"/>
      <c r="H266" s="135">
        <v>0</v>
      </c>
      <c r="I266" s="135"/>
      <c r="J266" s="135">
        <v>1</v>
      </c>
      <c r="K266" s="135">
        <v>10</v>
      </c>
      <c r="L266" s="135"/>
      <c r="M266" s="135"/>
      <c r="N266" s="135">
        <v>1</v>
      </c>
      <c r="O266" s="154">
        <v>4</v>
      </c>
      <c r="P266" s="135">
        <v>1</v>
      </c>
      <c r="Q266" s="135">
        <v>1</v>
      </c>
      <c r="R266" s="135"/>
      <c r="S266" s="163">
        <v>1</v>
      </c>
      <c r="T266" s="163">
        <v>1</v>
      </c>
      <c r="U266" s="163">
        <v>1</v>
      </c>
      <c r="V266" s="135"/>
      <c r="W266" s="135"/>
      <c r="X266" s="163"/>
      <c r="Y266" s="135">
        <v>1430</v>
      </c>
      <c r="Z266" s="135">
        <v>1000</v>
      </c>
      <c r="AA266" s="135">
        <v>0</v>
      </c>
      <c r="AB266" s="135"/>
      <c r="AC266" s="135"/>
      <c r="AD266" s="135"/>
      <c r="AE266" s="135"/>
      <c r="AF266" s="163">
        <v>1</v>
      </c>
      <c r="AG266" s="163">
        <v>100</v>
      </c>
      <c r="AH266" s="135">
        <v>670</v>
      </c>
      <c r="AI266" s="135"/>
      <c r="AJ266" s="135"/>
      <c r="AK266" s="135">
        <v>1</v>
      </c>
      <c r="AL266" s="135">
        <v>98</v>
      </c>
      <c r="AM266" s="135">
        <v>5000</v>
      </c>
      <c r="AN266" s="135"/>
      <c r="AO266" s="130" t="s">
        <v>4611</v>
      </c>
      <c r="AP266" s="135">
        <v>1</v>
      </c>
      <c r="AQ266" s="130" t="s">
        <v>4611</v>
      </c>
      <c r="AR266" s="135">
        <v>1</v>
      </c>
      <c r="AS266" s="130" t="s">
        <v>4611</v>
      </c>
      <c r="AT266" s="135">
        <v>1</v>
      </c>
      <c r="AU266" s="130"/>
      <c r="AV266" s="135"/>
      <c r="AW266" s="135" t="s">
        <v>248</v>
      </c>
      <c r="AX266" s="135" t="s">
        <v>249</v>
      </c>
      <c r="AY266" s="135"/>
      <c r="AZ266" s="135"/>
      <c r="BA266" s="135"/>
      <c r="BB266" s="163"/>
      <c r="BC266" s="163"/>
      <c r="BD266" s="135"/>
      <c r="BE266" s="135"/>
      <c r="BF266" s="135">
        <v>101</v>
      </c>
      <c r="BG266" s="130" t="s">
        <v>5217</v>
      </c>
      <c r="BH266" s="185"/>
      <c r="BI266" s="135" t="s">
        <v>592</v>
      </c>
      <c r="BJ266" s="130" t="s">
        <v>275</v>
      </c>
      <c r="BK266" s="135" t="s">
        <v>253</v>
      </c>
      <c r="BL266" s="135"/>
      <c r="BM266" s="135"/>
      <c r="BN266" s="135"/>
      <c r="BO266" s="163">
        <v>50</v>
      </c>
      <c r="BP266" s="163">
        <v>200</v>
      </c>
      <c r="BQ266" s="135"/>
      <c r="BR266" s="135">
        <v>1</v>
      </c>
      <c r="BS266" s="135"/>
      <c r="BT266" s="163">
        <v>50</v>
      </c>
      <c r="BU266" s="163">
        <v>50</v>
      </c>
      <c r="BV266" s="135"/>
      <c r="BW266" s="135"/>
      <c r="BX266" s="135"/>
      <c r="BY266" s="135"/>
      <c r="BZ266" s="135">
        <v>3</v>
      </c>
      <c r="CA266" s="135">
        <v>4</v>
      </c>
      <c r="CB266" s="135">
        <v>3</v>
      </c>
      <c r="CC266" s="135">
        <v>4</v>
      </c>
      <c r="CD266" s="135">
        <v>3</v>
      </c>
      <c r="CE266" s="135">
        <v>4</v>
      </c>
      <c r="CF266" s="135">
        <v>3</v>
      </c>
      <c r="CG266" s="135">
        <v>4</v>
      </c>
      <c r="CH266" s="163"/>
      <c r="CI266" s="130"/>
      <c r="CJ266" s="135"/>
      <c r="CK266" s="135"/>
      <c r="CL266" s="130"/>
      <c r="CM266" s="193"/>
      <c r="CN266" s="193"/>
      <c r="CO266" s="193"/>
      <c r="CP266" s="193"/>
      <c r="CQ266" s="193"/>
      <c r="CR266" s="193"/>
    </row>
    <row r="267" spans="1:96" ht="15.75" customHeight="1" x14ac:dyDescent="0.35">
      <c r="A267" s="199"/>
      <c r="B267" s="202" t="s">
        <v>590</v>
      </c>
      <c r="C267" s="201" t="s">
        <v>4613</v>
      </c>
      <c r="D267" s="138">
        <v>20039</v>
      </c>
      <c r="E267" s="135"/>
      <c r="F267" s="135"/>
      <c r="G267" s="135"/>
      <c r="H267" s="135">
        <v>0</v>
      </c>
      <c r="I267" s="135"/>
      <c r="J267" s="135">
        <v>1</v>
      </c>
      <c r="K267" s="135">
        <v>10</v>
      </c>
      <c r="L267" s="135"/>
      <c r="M267" s="135"/>
      <c r="N267" s="135">
        <v>1</v>
      </c>
      <c r="O267" s="154">
        <v>4</v>
      </c>
      <c r="P267" s="135">
        <v>1</v>
      </c>
      <c r="Q267" s="135">
        <v>1</v>
      </c>
      <c r="R267" s="135"/>
      <c r="S267" s="163">
        <v>1</v>
      </c>
      <c r="T267" s="163">
        <v>1</v>
      </c>
      <c r="U267" s="163">
        <v>1</v>
      </c>
      <c r="V267" s="135"/>
      <c r="W267" s="135"/>
      <c r="X267" s="163"/>
      <c r="Y267" s="135">
        <v>1430</v>
      </c>
      <c r="Z267" s="135">
        <v>1000</v>
      </c>
      <c r="AA267" s="135">
        <v>0</v>
      </c>
      <c r="AB267" s="135"/>
      <c r="AC267" s="135"/>
      <c r="AD267" s="135"/>
      <c r="AE267" s="135"/>
      <c r="AF267" s="163">
        <v>1</v>
      </c>
      <c r="AG267" s="163">
        <v>100</v>
      </c>
      <c r="AH267" s="135">
        <v>670</v>
      </c>
      <c r="AI267" s="135"/>
      <c r="AJ267" s="135"/>
      <c r="AK267" s="135">
        <v>1</v>
      </c>
      <c r="AL267" s="135">
        <v>98</v>
      </c>
      <c r="AM267" s="135">
        <v>5000</v>
      </c>
      <c r="AN267" s="135"/>
      <c r="AO267" s="130" t="s">
        <v>4614</v>
      </c>
      <c r="AP267" s="135" t="s">
        <v>4460</v>
      </c>
      <c r="AQ267" s="130" t="s">
        <v>4614</v>
      </c>
      <c r="AR267" s="135" t="s">
        <v>4460</v>
      </c>
      <c r="AS267" s="130" t="s">
        <v>4614</v>
      </c>
      <c r="AT267" s="135" t="s">
        <v>4460</v>
      </c>
      <c r="AU267" s="130"/>
      <c r="AV267" s="135"/>
      <c r="AW267" s="135" t="s">
        <v>248</v>
      </c>
      <c r="AX267" s="135" t="s">
        <v>249</v>
      </c>
      <c r="AY267" s="135"/>
      <c r="AZ267" s="135"/>
      <c r="BA267" s="135"/>
      <c r="BB267" s="163"/>
      <c r="BC267" s="163"/>
      <c r="BD267" s="135"/>
      <c r="BE267" s="135"/>
      <c r="BF267" s="135">
        <v>101</v>
      </c>
      <c r="BG267" s="130" t="s">
        <v>5218</v>
      </c>
      <c r="BH267" s="185"/>
      <c r="BI267" s="135" t="s">
        <v>592</v>
      </c>
      <c r="BJ267" s="130" t="s">
        <v>275</v>
      </c>
      <c r="BK267" s="135" t="s">
        <v>253</v>
      </c>
      <c r="BL267" s="135"/>
      <c r="BM267" s="135"/>
      <c r="BN267" s="135"/>
      <c r="BO267" s="163">
        <v>50</v>
      </c>
      <c r="BP267" s="163">
        <v>200</v>
      </c>
      <c r="BQ267" s="135"/>
      <c r="BR267" s="135">
        <v>1</v>
      </c>
      <c r="BS267" s="135"/>
      <c r="BT267" s="163">
        <v>50</v>
      </c>
      <c r="BU267" s="163">
        <v>50</v>
      </c>
      <c r="BV267" s="135"/>
      <c r="BW267" s="135"/>
      <c r="BX267" s="135"/>
      <c r="BY267" s="135"/>
      <c r="BZ267" s="135">
        <v>3</v>
      </c>
      <c r="CA267" s="135">
        <v>4</v>
      </c>
      <c r="CB267" s="135">
        <v>3</v>
      </c>
      <c r="CC267" s="135">
        <v>4</v>
      </c>
      <c r="CD267" s="135">
        <v>3</v>
      </c>
      <c r="CE267" s="135">
        <v>4</v>
      </c>
      <c r="CF267" s="135">
        <v>3</v>
      </c>
      <c r="CG267" s="135">
        <v>4</v>
      </c>
      <c r="CH267" s="163"/>
      <c r="CI267" s="130"/>
      <c r="CJ267" s="135"/>
      <c r="CK267" s="135"/>
      <c r="CL267" s="130"/>
      <c r="CM267" s="193"/>
      <c r="CN267" s="193"/>
      <c r="CO267" s="193"/>
      <c r="CP267" s="193"/>
      <c r="CQ267" s="193"/>
      <c r="CR267" s="193"/>
    </row>
    <row r="268" spans="1:96" ht="15.75" customHeight="1" x14ac:dyDescent="0.35">
      <c r="A268" s="206" t="s">
        <v>463</v>
      </c>
      <c r="B268" s="207" t="s">
        <v>651</v>
      </c>
      <c r="C268" s="208"/>
      <c r="D268" s="138">
        <v>30001</v>
      </c>
      <c r="E268" s="135"/>
      <c r="F268" s="135"/>
      <c r="G268" s="135"/>
      <c r="H268" s="135">
        <v>0</v>
      </c>
      <c r="I268" s="135"/>
      <c r="J268" s="135"/>
      <c r="K268" s="135">
        <v>7</v>
      </c>
      <c r="L268" s="135"/>
      <c r="M268" s="135"/>
      <c r="N268" s="135"/>
      <c r="O268" s="135"/>
      <c r="P268" s="135">
        <v>2</v>
      </c>
      <c r="Q268" s="135">
        <v>3</v>
      </c>
      <c r="R268" s="135"/>
      <c r="S268" s="163">
        <v>5</v>
      </c>
      <c r="T268" s="163">
        <v>35</v>
      </c>
      <c r="U268" s="163">
        <v>72</v>
      </c>
      <c r="V268" s="135"/>
      <c r="W268" s="135"/>
      <c r="X268" s="163"/>
      <c r="Y268" s="135">
        <v>20012</v>
      </c>
      <c r="Z268" s="135">
        <v>1000</v>
      </c>
      <c r="AA268" s="135">
        <v>0</v>
      </c>
      <c r="AB268" s="135"/>
      <c r="AC268" s="135"/>
      <c r="AD268" s="135"/>
      <c r="AE268" s="135">
        <v>4</v>
      </c>
      <c r="AF268" s="163">
        <v>1</v>
      </c>
      <c r="AG268" s="163">
        <v>100</v>
      </c>
      <c r="AH268" s="135">
        <v>670</v>
      </c>
      <c r="AI268" s="135"/>
      <c r="AJ268" s="135" t="s">
        <v>652</v>
      </c>
      <c r="AK268" s="135">
        <v>0</v>
      </c>
      <c r="AL268" s="135">
        <v>21000</v>
      </c>
      <c r="AM268" s="135">
        <v>1000</v>
      </c>
      <c r="AN268" s="135"/>
      <c r="AO268" s="130" t="s">
        <v>653</v>
      </c>
      <c r="AP268" s="135" t="s">
        <v>654</v>
      </c>
      <c r="AQ268" s="135" t="s">
        <v>653</v>
      </c>
      <c r="AR268" s="135" t="s">
        <v>654</v>
      </c>
      <c r="AS268" s="135" t="s">
        <v>653</v>
      </c>
      <c r="AT268" s="135" t="s">
        <v>654</v>
      </c>
      <c r="AU268" s="130" t="s">
        <v>640</v>
      </c>
      <c r="AV268" s="135"/>
      <c r="AW268" s="135" t="s">
        <v>248</v>
      </c>
      <c r="AX268" s="135" t="s">
        <v>249</v>
      </c>
      <c r="AY268" s="135"/>
      <c r="AZ268" s="135"/>
      <c r="BA268" s="135"/>
      <c r="BB268" s="163" t="s">
        <v>655</v>
      </c>
      <c r="BC268" s="163"/>
      <c r="BD268" s="135"/>
      <c r="BE268" s="135"/>
      <c r="BF268" s="135">
        <v>101</v>
      </c>
      <c r="BG268" s="130" t="s">
        <v>5054</v>
      </c>
      <c r="BH268" s="185" t="s">
        <v>656</v>
      </c>
      <c r="BI268" s="135" t="s">
        <v>231</v>
      </c>
      <c r="BJ268" s="130" t="s">
        <v>615</v>
      </c>
      <c r="BK268" s="135" t="s">
        <v>253</v>
      </c>
      <c r="BL268" s="135"/>
      <c r="BM268" s="135"/>
      <c r="BN268" s="135"/>
      <c r="BO268" s="163">
        <v>100</v>
      </c>
      <c r="BP268" s="163">
        <v>200</v>
      </c>
      <c r="BQ268" s="135" t="s">
        <v>241</v>
      </c>
      <c r="BR268" s="135">
        <v>1</v>
      </c>
      <c r="BS268" s="135"/>
      <c r="BT268" s="163">
        <v>50</v>
      </c>
      <c r="BU268" s="163"/>
      <c r="BV268" s="135"/>
      <c r="BW268" s="135"/>
      <c r="BX268" s="135"/>
      <c r="BY268" s="135"/>
      <c r="BZ268" s="135">
        <v>1</v>
      </c>
      <c r="CA268" s="135">
        <v>1</v>
      </c>
      <c r="CB268" s="135">
        <v>1</v>
      </c>
      <c r="CC268" s="135">
        <v>1</v>
      </c>
      <c r="CD268" s="135">
        <v>1</v>
      </c>
      <c r="CE268" s="135">
        <v>1</v>
      </c>
      <c r="CF268" s="135">
        <v>1</v>
      </c>
      <c r="CG268" s="135">
        <v>1</v>
      </c>
      <c r="CH268" s="163"/>
      <c r="CI268" s="130"/>
      <c r="CJ268" s="135"/>
      <c r="CK268" s="135"/>
      <c r="CL268" s="130"/>
      <c r="CM268" s="193"/>
      <c r="CN268" s="193"/>
      <c r="CO268" s="193"/>
      <c r="CP268" s="193"/>
      <c r="CQ268" s="193"/>
      <c r="CR268" s="193"/>
    </row>
    <row r="269" spans="1:96" ht="15.75" customHeight="1" x14ac:dyDescent="0.35">
      <c r="A269" s="206" t="s">
        <v>463</v>
      </c>
      <c r="B269" s="207" t="s">
        <v>657</v>
      </c>
      <c r="C269" s="208"/>
      <c r="D269" s="138">
        <v>30002</v>
      </c>
      <c r="E269" s="135"/>
      <c r="F269" s="135"/>
      <c r="G269" s="135"/>
      <c r="H269" s="135">
        <v>0</v>
      </c>
      <c r="I269" s="135"/>
      <c r="J269" s="135"/>
      <c r="K269" s="135">
        <v>1</v>
      </c>
      <c r="L269" s="135"/>
      <c r="M269" s="135"/>
      <c r="N269" s="135"/>
      <c r="O269" s="135"/>
      <c r="P269" s="135">
        <v>2</v>
      </c>
      <c r="Q269" s="135">
        <v>3</v>
      </c>
      <c r="R269" s="135"/>
      <c r="S269" s="163">
        <v>5</v>
      </c>
      <c r="T269" s="163">
        <v>35</v>
      </c>
      <c r="U269" s="163">
        <v>72</v>
      </c>
      <c r="V269" s="135"/>
      <c r="W269" s="135"/>
      <c r="X269" s="163"/>
      <c r="Y269" s="135">
        <v>20011</v>
      </c>
      <c r="Z269" s="135">
        <v>1000</v>
      </c>
      <c r="AA269" s="135">
        <v>20</v>
      </c>
      <c r="AB269" s="135"/>
      <c r="AC269" s="135"/>
      <c r="AD269" s="135"/>
      <c r="AE269" s="135">
        <v>4</v>
      </c>
      <c r="AF269" s="163">
        <v>1</v>
      </c>
      <c r="AG269" s="163">
        <v>100</v>
      </c>
      <c r="AH269" s="135">
        <v>2000</v>
      </c>
      <c r="AI269" s="135"/>
      <c r="AJ269" s="135"/>
      <c r="AK269" s="135">
        <v>0</v>
      </c>
      <c r="AL269" s="135">
        <v>190</v>
      </c>
      <c r="AM269" s="135">
        <v>5000</v>
      </c>
      <c r="AN269" s="135"/>
      <c r="AO269" s="130" t="s">
        <v>653</v>
      </c>
      <c r="AP269" s="135" t="s">
        <v>654</v>
      </c>
      <c r="AQ269" s="135" t="s">
        <v>653</v>
      </c>
      <c r="AR269" s="135" t="s">
        <v>654</v>
      </c>
      <c r="AS269" s="135" t="s">
        <v>653</v>
      </c>
      <c r="AT269" s="135" t="s">
        <v>654</v>
      </c>
      <c r="AU269" s="130" t="s">
        <v>658</v>
      </c>
      <c r="AV269" s="135"/>
      <c r="AW269" s="135" t="s">
        <v>248</v>
      </c>
      <c r="AX269" s="135" t="s">
        <v>249</v>
      </c>
      <c r="AY269" s="135"/>
      <c r="AZ269" s="135"/>
      <c r="BA269" s="135"/>
      <c r="BB269" s="163" t="s">
        <v>659</v>
      </c>
      <c r="BC269" s="163"/>
      <c r="BD269" s="135"/>
      <c r="BE269" s="135"/>
      <c r="BF269" s="135">
        <v>101</v>
      </c>
      <c r="BG269" s="130" t="s">
        <v>5054</v>
      </c>
      <c r="BH269" s="185" t="s">
        <v>656</v>
      </c>
      <c r="BI269" s="135" t="s">
        <v>231</v>
      </c>
      <c r="BJ269" s="130" t="s">
        <v>660</v>
      </c>
      <c r="BK269" s="135" t="s">
        <v>253</v>
      </c>
      <c r="BL269" s="135"/>
      <c r="BM269" s="135"/>
      <c r="BN269" s="135"/>
      <c r="BO269" s="163">
        <v>100</v>
      </c>
      <c r="BP269" s="163">
        <v>200</v>
      </c>
      <c r="BQ269" s="135" t="s">
        <v>241</v>
      </c>
      <c r="BR269" s="135">
        <v>1</v>
      </c>
      <c r="BS269" s="135"/>
      <c r="BT269" s="163">
        <v>50</v>
      </c>
      <c r="BU269" s="163"/>
      <c r="BV269" s="135"/>
      <c r="BW269" s="135"/>
      <c r="BX269" s="135"/>
      <c r="BY269" s="135"/>
      <c r="BZ269" s="135">
        <v>1</v>
      </c>
      <c r="CA269" s="135">
        <v>1</v>
      </c>
      <c r="CB269" s="135">
        <v>1</v>
      </c>
      <c r="CC269" s="135">
        <v>1</v>
      </c>
      <c r="CD269" s="135">
        <v>1</v>
      </c>
      <c r="CE269" s="135">
        <v>1</v>
      </c>
      <c r="CF269" s="135">
        <v>1</v>
      </c>
      <c r="CG269" s="135">
        <v>1</v>
      </c>
      <c r="CH269" s="163"/>
      <c r="CI269" s="130"/>
      <c r="CJ269" s="135"/>
      <c r="CK269" s="135"/>
      <c r="CL269" s="130"/>
      <c r="CM269" s="193"/>
      <c r="CN269" s="193"/>
      <c r="CO269" s="193"/>
      <c r="CP269" s="193"/>
      <c r="CQ269" s="193"/>
      <c r="CR269" s="193"/>
    </row>
    <row r="270" spans="1:96" ht="15.75" customHeight="1" x14ac:dyDescent="0.35">
      <c r="A270" s="209" t="s">
        <v>661</v>
      </c>
      <c r="B270" s="210" t="s">
        <v>662</v>
      </c>
      <c r="C270" s="211"/>
      <c r="D270" s="138">
        <v>30003</v>
      </c>
      <c r="E270" s="135"/>
      <c r="F270" s="135"/>
      <c r="G270" s="139"/>
      <c r="H270" s="135">
        <v>0</v>
      </c>
      <c r="I270" s="135"/>
      <c r="J270" s="135"/>
      <c r="K270" s="135">
        <v>7</v>
      </c>
      <c r="L270" s="139"/>
      <c r="M270" s="139"/>
      <c r="N270" s="139"/>
      <c r="O270" s="154"/>
      <c r="P270" s="135">
        <v>1</v>
      </c>
      <c r="Q270" s="135">
        <v>1</v>
      </c>
      <c r="R270" s="135"/>
      <c r="S270" s="163">
        <v>1</v>
      </c>
      <c r="T270" s="163">
        <v>1</v>
      </c>
      <c r="U270" s="163">
        <v>1</v>
      </c>
      <c r="V270" s="135"/>
      <c r="W270" s="135"/>
      <c r="X270" s="163"/>
      <c r="Y270" s="135">
        <v>2501</v>
      </c>
      <c r="Z270" s="135">
        <v>1000</v>
      </c>
      <c r="AA270" s="135">
        <v>0</v>
      </c>
      <c r="AB270" s="135"/>
      <c r="AC270" s="135"/>
      <c r="AD270" s="135"/>
      <c r="AE270" s="135">
        <v>4</v>
      </c>
      <c r="AF270" s="163">
        <v>1</v>
      </c>
      <c r="AG270" s="169">
        <v>100</v>
      </c>
      <c r="AH270" s="135">
        <v>300</v>
      </c>
      <c r="AI270" s="135"/>
      <c r="AJ270" s="135"/>
      <c r="AK270" s="135">
        <v>0</v>
      </c>
      <c r="AL270" s="135">
        <v>21000</v>
      </c>
      <c r="AM270" s="135">
        <v>1000</v>
      </c>
      <c r="AN270" s="135"/>
      <c r="AO270" s="130" t="s">
        <v>663</v>
      </c>
      <c r="AP270" s="130" t="s">
        <v>654</v>
      </c>
      <c r="AQ270" s="130" t="s">
        <v>663</v>
      </c>
      <c r="AR270" s="130" t="s">
        <v>654</v>
      </c>
      <c r="AS270" s="130" t="s">
        <v>663</v>
      </c>
      <c r="AT270" s="130" t="s">
        <v>654</v>
      </c>
      <c r="AU270" s="130" t="s">
        <v>640</v>
      </c>
      <c r="AV270" s="130"/>
      <c r="AW270" s="135" t="s">
        <v>248</v>
      </c>
      <c r="AX270" s="130" t="s">
        <v>249</v>
      </c>
      <c r="AY270" s="130" t="s">
        <v>664</v>
      </c>
      <c r="AZ270" s="130" t="s">
        <v>246</v>
      </c>
      <c r="BA270" s="130" t="s">
        <v>665</v>
      </c>
      <c r="BB270" s="179" t="s">
        <v>655</v>
      </c>
      <c r="BC270" s="179"/>
      <c r="BD270" s="104"/>
      <c r="BE270" s="130"/>
      <c r="BF270" s="135">
        <v>101</v>
      </c>
      <c r="BG270" s="130" t="s">
        <v>5054</v>
      </c>
      <c r="BH270" s="185" t="s">
        <v>656</v>
      </c>
      <c r="BI270" s="130" t="s">
        <v>231</v>
      </c>
      <c r="BJ270" s="130" t="s">
        <v>615</v>
      </c>
      <c r="BK270" s="130" t="s">
        <v>253</v>
      </c>
      <c r="BL270" s="135"/>
      <c r="BM270" s="135"/>
      <c r="BN270" s="135"/>
      <c r="BO270" s="163">
        <v>100</v>
      </c>
      <c r="BP270" s="163">
        <v>200</v>
      </c>
      <c r="BQ270" s="130"/>
      <c r="BR270" s="135">
        <v>0</v>
      </c>
      <c r="BS270" s="135"/>
      <c r="BT270" s="163">
        <v>50</v>
      </c>
      <c r="BU270" s="163"/>
      <c r="BV270" s="130"/>
      <c r="BW270" s="104"/>
      <c r="BX270" s="135"/>
      <c r="BY270" s="135"/>
      <c r="BZ270" s="135">
        <v>1</v>
      </c>
      <c r="CA270" s="135">
        <v>1</v>
      </c>
      <c r="CB270" s="135">
        <v>1</v>
      </c>
      <c r="CC270" s="135">
        <v>1</v>
      </c>
      <c r="CD270" s="135">
        <v>1</v>
      </c>
      <c r="CE270" s="135">
        <v>1</v>
      </c>
      <c r="CF270" s="135">
        <v>1</v>
      </c>
      <c r="CG270" s="135">
        <v>1</v>
      </c>
      <c r="CH270" s="163"/>
      <c r="CI270" s="130"/>
      <c r="CJ270" s="135"/>
      <c r="CK270" s="135"/>
      <c r="CL270" s="130"/>
      <c r="CM270" s="193"/>
      <c r="CN270" s="193"/>
      <c r="CO270" s="193"/>
      <c r="CP270" s="193"/>
      <c r="CQ270" s="193"/>
      <c r="CR270" s="193"/>
    </row>
    <row r="271" spans="1:96" ht="15.75" customHeight="1" x14ac:dyDescent="0.35">
      <c r="A271" s="254"/>
      <c r="B271" s="257" t="s">
        <v>5219</v>
      </c>
      <c r="C271" s="255"/>
      <c r="D271" s="138">
        <v>99994</v>
      </c>
      <c r="E271" s="135">
        <v>70026</v>
      </c>
      <c r="F271" s="135"/>
      <c r="G271" s="139"/>
      <c r="H271" s="135"/>
      <c r="I271" s="135"/>
      <c r="J271" s="135"/>
      <c r="K271" s="135">
        <v>13</v>
      </c>
      <c r="L271" s="139"/>
      <c r="M271" s="139"/>
      <c r="N271" s="139"/>
      <c r="O271" s="154"/>
      <c r="P271" s="135">
        <v>5</v>
      </c>
      <c r="Q271" s="135">
        <v>3</v>
      </c>
      <c r="R271" s="135"/>
      <c r="S271" s="163">
        <v>1</v>
      </c>
      <c r="T271" s="163">
        <v>1</v>
      </c>
      <c r="U271" s="163">
        <v>1</v>
      </c>
      <c r="V271" s="135"/>
      <c r="W271" s="135"/>
      <c r="X271" s="163"/>
      <c r="Y271" s="135">
        <v>1710</v>
      </c>
      <c r="Z271" s="135">
        <v>1000</v>
      </c>
      <c r="AA271" s="135">
        <v>200</v>
      </c>
      <c r="AB271" s="135"/>
      <c r="AC271" s="135"/>
      <c r="AD271" s="135"/>
      <c r="AE271" s="135">
        <v>4</v>
      </c>
      <c r="AF271" s="163">
        <v>1</v>
      </c>
      <c r="AG271" s="169">
        <v>100</v>
      </c>
      <c r="AH271" s="135"/>
      <c r="AI271" s="135"/>
      <c r="AJ271" s="135"/>
      <c r="AK271" s="135">
        <v>0</v>
      </c>
      <c r="AL271" s="135">
        <v>21009</v>
      </c>
      <c r="AM271" s="135">
        <v>1000</v>
      </c>
      <c r="AN271" s="135"/>
      <c r="AO271" s="130" t="s">
        <v>365</v>
      </c>
      <c r="AP271" s="130">
        <v>1</v>
      </c>
      <c r="AQ271" s="130" t="s">
        <v>365</v>
      </c>
      <c r="AR271" s="130">
        <v>1</v>
      </c>
      <c r="AS271" s="130" t="s">
        <v>365</v>
      </c>
      <c r="AT271" s="130">
        <v>1</v>
      </c>
      <c r="AU271" s="130" t="s">
        <v>366</v>
      </c>
      <c r="AV271" s="130"/>
      <c r="AW271" s="135" t="s">
        <v>248</v>
      </c>
      <c r="AX271" s="130" t="s">
        <v>249</v>
      </c>
      <c r="AY271" s="130"/>
      <c r="AZ271" s="130"/>
      <c r="BA271" s="130"/>
      <c r="BB271" s="179"/>
      <c r="BC271" s="179"/>
      <c r="BD271" s="104"/>
      <c r="BE271" s="130"/>
      <c r="BF271" s="135">
        <v>99994</v>
      </c>
      <c r="BG271" s="130"/>
      <c r="BH271" s="185" t="s">
        <v>274</v>
      </c>
      <c r="BI271" s="130" t="s">
        <v>363</v>
      </c>
      <c r="BJ271" s="130" t="s">
        <v>269</v>
      </c>
      <c r="BK271" s="130" t="s">
        <v>253</v>
      </c>
      <c r="BL271" s="135"/>
      <c r="BM271" s="135"/>
      <c r="BN271" s="135"/>
      <c r="BO271" s="163">
        <v>100</v>
      </c>
      <c r="BP271" s="163">
        <v>200</v>
      </c>
      <c r="BQ271" s="130" t="s">
        <v>241</v>
      </c>
      <c r="BR271" s="135">
        <v>1</v>
      </c>
      <c r="BS271" s="135"/>
      <c r="BT271" s="163">
        <v>50</v>
      </c>
      <c r="BU271" s="163">
        <v>20</v>
      </c>
      <c r="BV271" s="130"/>
      <c r="BW271" s="104"/>
      <c r="BX271" s="135"/>
      <c r="BY271" s="135"/>
      <c r="BZ271" s="135">
        <v>4</v>
      </c>
      <c r="CA271" s="135">
        <v>5</v>
      </c>
      <c r="CB271" s="135">
        <v>5</v>
      </c>
      <c r="CC271" s="135">
        <v>5</v>
      </c>
      <c r="CD271" s="135">
        <v>5</v>
      </c>
      <c r="CE271" s="135">
        <v>6</v>
      </c>
      <c r="CF271" s="135">
        <v>5</v>
      </c>
      <c r="CG271" s="135">
        <v>5</v>
      </c>
      <c r="CH271" s="163"/>
      <c r="CI271" s="130"/>
      <c r="CJ271" s="135"/>
      <c r="CK271" s="135"/>
      <c r="CL271" s="130"/>
      <c r="CM271" s="193">
        <v>100005</v>
      </c>
      <c r="CN271" s="193"/>
      <c r="CO271" s="193"/>
      <c r="CP271" s="193">
        <v>100005</v>
      </c>
      <c r="CQ271" s="193"/>
      <c r="CR271" s="193"/>
    </row>
    <row r="272" spans="1:96" ht="15.75" customHeight="1" x14ac:dyDescent="0.35">
      <c r="B272" s="212" t="s">
        <v>666</v>
      </c>
      <c r="C272" s="75" t="s">
        <v>667</v>
      </c>
      <c r="D272" s="138">
        <v>99995</v>
      </c>
      <c r="E272" s="135">
        <v>70001</v>
      </c>
      <c r="F272" s="135"/>
      <c r="G272" s="135"/>
      <c r="H272" s="135">
        <v>0</v>
      </c>
      <c r="I272" s="135"/>
      <c r="J272" s="135"/>
      <c r="K272" s="135">
        <v>1</v>
      </c>
      <c r="L272" s="135"/>
      <c r="M272" s="135"/>
      <c r="N272" s="135"/>
      <c r="O272" s="154"/>
      <c r="P272" s="135">
        <v>1</v>
      </c>
      <c r="Q272" s="135">
        <v>1</v>
      </c>
      <c r="R272" s="135"/>
      <c r="S272" s="163">
        <v>99</v>
      </c>
      <c r="T272" s="163">
        <v>99</v>
      </c>
      <c r="U272" s="163">
        <v>99</v>
      </c>
      <c r="V272" s="135"/>
      <c r="W272" s="135"/>
      <c r="X272" s="163"/>
      <c r="Y272" s="135">
        <v>1002</v>
      </c>
      <c r="Z272" s="135">
        <v>1000</v>
      </c>
      <c r="AA272" s="135">
        <v>200</v>
      </c>
      <c r="AB272" s="135">
        <v>1</v>
      </c>
      <c r="AC272" s="135"/>
      <c r="AD272" s="135"/>
      <c r="AE272" s="135"/>
      <c r="AF272" s="163">
        <v>1</v>
      </c>
      <c r="AG272" s="163">
        <v>100</v>
      </c>
      <c r="AH272" s="135"/>
      <c r="AI272" s="135"/>
      <c r="AJ272" s="135"/>
      <c r="AK272" s="135">
        <v>0</v>
      </c>
      <c r="AL272" s="135">
        <v>21001</v>
      </c>
      <c r="AM272" s="135">
        <v>1000</v>
      </c>
      <c r="AN272" s="135"/>
      <c r="AO272" s="130" t="s">
        <v>271</v>
      </c>
      <c r="AP272" s="130" t="s">
        <v>272</v>
      </c>
      <c r="AQ272" s="130" t="s">
        <v>286</v>
      </c>
      <c r="AR272" s="130" t="s">
        <v>272</v>
      </c>
      <c r="AS272" s="130" t="s">
        <v>286</v>
      </c>
      <c r="AT272" s="130" t="s">
        <v>272</v>
      </c>
      <c r="AU272" s="130"/>
      <c r="AV272" s="130"/>
      <c r="AW272" s="130" t="s">
        <v>248</v>
      </c>
      <c r="AX272" s="130" t="s">
        <v>249</v>
      </c>
      <c r="AY272" s="130"/>
      <c r="AZ272" s="130"/>
      <c r="BA272" s="130"/>
      <c r="BB272" s="179"/>
      <c r="BC272" s="179"/>
      <c r="BD272" s="130"/>
      <c r="BE272" s="130"/>
      <c r="BF272" s="135">
        <v>99998</v>
      </c>
      <c r="BG272" s="130"/>
      <c r="BH272" s="185" t="s">
        <v>656</v>
      </c>
      <c r="BI272" s="130" t="s">
        <v>261</v>
      </c>
      <c r="BJ272" s="130" t="s">
        <v>287</v>
      </c>
      <c r="BK272" s="130" t="s">
        <v>253</v>
      </c>
      <c r="BL272" s="135"/>
      <c r="BM272" s="135"/>
      <c r="BN272" s="135"/>
      <c r="BO272" s="163">
        <v>50</v>
      </c>
      <c r="BP272" s="163">
        <v>200</v>
      </c>
      <c r="BQ272" s="130" t="s">
        <v>241</v>
      </c>
      <c r="BR272" s="135">
        <v>1</v>
      </c>
      <c r="BS272" s="135"/>
      <c r="BT272" s="163">
        <v>50</v>
      </c>
      <c r="BU272" s="163">
        <v>50</v>
      </c>
      <c r="BV272" s="130"/>
      <c r="BW272" s="130"/>
      <c r="BX272" s="135"/>
      <c r="BY272" s="135"/>
      <c r="BZ272" s="135">
        <v>3</v>
      </c>
      <c r="CA272" s="135">
        <v>4</v>
      </c>
      <c r="CB272" s="135">
        <v>4</v>
      </c>
      <c r="CC272" s="135">
        <v>4</v>
      </c>
      <c r="CD272" s="135">
        <v>4</v>
      </c>
      <c r="CE272" s="135">
        <v>5</v>
      </c>
      <c r="CF272" s="135">
        <v>4</v>
      </c>
      <c r="CG272" s="135">
        <v>4</v>
      </c>
      <c r="CH272" s="163"/>
      <c r="CI272" s="130"/>
      <c r="CJ272" s="135"/>
      <c r="CK272" s="135"/>
      <c r="CL272" s="130"/>
      <c r="CM272" s="193">
        <v>100005</v>
      </c>
      <c r="CN272" s="193"/>
      <c r="CO272" s="193"/>
      <c r="CP272" s="193"/>
      <c r="CQ272" s="193"/>
      <c r="CR272" s="193"/>
    </row>
    <row r="273" spans="2:96" ht="15.75" customHeight="1" x14ac:dyDescent="0.35">
      <c r="B273" s="213" t="s">
        <v>666</v>
      </c>
      <c r="C273" s="75" t="s">
        <v>667</v>
      </c>
      <c r="D273" s="138">
        <v>99996</v>
      </c>
      <c r="E273" s="135">
        <v>70001</v>
      </c>
      <c r="F273" s="135"/>
      <c r="G273" s="135"/>
      <c r="H273" s="135">
        <v>0</v>
      </c>
      <c r="I273" s="135"/>
      <c r="J273" s="135"/>
      <c r="K273" s="135">
        <v>1</v>
      </c>
      <c r="L273" s="135"/>
      <c r="M273" s="135"/>
      <c r="N273" s="135"/>
      <c r="O273" s="154"/>
      <c r="P273" s="135">
        <v>1</v>
      </c>
      <c r="Q273" s="135">
        <v>1</v>
      </c>
      <c r="R273" s="135"/>
      <c r="S273" s="163">
        <v>99</v>
      </c>
      <c r="T273" s="163">
        <v>99</v>
      </c>
      <c r="U273" s="163">
        <v>99</v>
      </c>
      <c r="V273" s="135"/>
      <c r="W273" s="135"/>
      <c r="X273" s="163"/>
      <c r="Y273" s="135">
        <v>1002</v>
      </c>
      <c r="Z273" s="135">
        <v>1000</v>
      </c>
      <c r="AA273" s="135">
        <v>200</v>
      </c>
      <c r="AB273" s="135">
        <v>1</v>
      </c>
      <c r="AC273" s="135"/>
      <c r="AD273" s="135"/>
      <c r="AE273" s="135"/>
      <c r="AF273" s="163">
        <v>1</v>
      </c>
      <c r="AG273" s="163">
        <v>100</v>
      </c>
      <c r="AH273" s="135"/>
      <c r="AI273" s="135"/>
      <c r="AJ273" s="135"/>
      <c r="AK273" s="135">
        <v>0</v>
      </c>
      <c r="AL273" s="135">
        <v>21001</v>
      </c>
      <c r="AM273" s="135">
        <v>1000</v>
      </c>
      <c r="AN273" s="135"/>
      <c r="AO273" s="130" t="s">
        <v>271</v>
      </c>
      <c r="AP273" s="130" t="s">
        <v>272</v>
      </c>
      <c r="AQ273" s="130" t="s">
        <v>286</v>
      </c>
      <c r="AR273" s="130" t="s">
        <v>272</v>
      </c>
      <c r="AS273" s="130" t="s">
        <v>286</v>
      </c>
      <c r="AT273" s="130" t="s">
        <v>272</v>
      </c>
      <c r="AU273" s="130"/>
      <c r="AV273" s="130"/>
      <c r="AW273" s="130" t="s">
        <v>248</v>
      </c>
      <c r="AX273" s="130" t="s">
        <v>249</v>
      </c>
      <c r="AY273" s="130"/>
      <c r="AZ273" s="130"/>
      <c r="BA273" s="130"/>
      <c r="BB273" s="179"/>
      <c r="BC273" s="179"/>
      <c r="BD273" s="130"/>
      <c r="BE273" s="130"/>
      <c r="BF273" s="135">
        <v>99999</v>
      </c>
      <c r="BG273" s="130"/>
      <c r="BH273" s="185" t="s">
        <v>656</v>
      </c>
      <c r="BI273" s="130" t="s">
        <v>261</v>
      </c>
      <c r="BJ273" s="130" t="s">
        <v>287</v>
      </c>
      <c r="BK273" s="130" t="s">
        <v>253</v>
      </c>
      <c r="BL273" s="135"/>
      <c r="BM273" s="135"/>
      <c r="BN273" s="135"/>
      <c r="BO273" s="163">
        <v>50</v>
      </c>
      <c r="BP273" s="163">
        <v>200</v>
      </c>
      <c r="BQ273" s="130" t="s">
        <v>241</v>
      </c>
      <c r="BR273" s="135">
        <v>1</v>
      </c>
      <c r="BS273" s="135"/>
      <c r="BT273" s="163">
        <v>50</v>
      </c>
      <c r="BU273" s="163">
        <v>50</v>
      </c>
      <c r="BV273" s="130"/>
      <c r="BW273" s="130"/>
      <c r="BX273" s="135"/>
      <c r="BY273" s="135"/>
      <c r="BZ273" s="135">
        <v>3</v>
      </c>
      <c r="CA273" s="135">
        <v>4</v>
      </c>
      <c r="CB273" s="135">
        <v>4</v>
      </c>
      <c r="CC273" s="135">
        <v>4</v>
      </c>
      <c r="CD273" s="135">
        <v>4</v>
      </c>
      <c r="CE273" s="135">
        <v>5</v>
      </c>
      <c r="CF273" s="135">
        <v>4</v>
      </c>
      <c r="CG273" s="135">
        <v>4</v>
      </c>
      <c r="CH273" s="163"/>
      <c r="CI273" s="130"/>
      <c r="CJ273" s="135"/>
      <c r="CK273" s="135"/>
      <c r="CL273" s="130"/>
      <c r="CM273" s="193">
        <v>100005</v>
      </c>
      <c r="CN273" s="193"/>
      <c r="CO273" s="193"/>
      <c r="CP273" s="193"/>
      <c r="CQ273" s="193"/>
      <c r="CR273" s="193"/>
    </row>
    <row r="274" spans="2:96" ht="15.75" customHeight="1" x14ac:dyDescent="0.35">
      <c r="B274" s="213" t="s">
        <v>666</v>
      </c>
      <c r="C274" s="75" t="s">
        <v>667</v>
      </c>
      <c r="D274" s="138">
        <v>99997</v>
      </c>
      <c r="E274" s="135">
        <v>70001</v>
      </c>
      <c r="F274" s="135"/>
      <c r="G274" s="135"/>
      <c r="H274" s="135">
        <v>0</v>
      </c>
      <c r="I274" s="135"/>
      <c r="J274" s="135"/>
      <c r="K274" s="135">
        <v>1</v>
      </c>
      <c r="L274" s="135"/>
      <c r="M274" s="135"/>
      <c r="N274" s="135"/>
      <c r="O274" s="154"/>
      <c r="P274" s="135">
        <v>1</v>
      </c>
      <c r="Q274" s="135">
        <v>1</v>
      </c>
      <c r="R274" s="135"/>
      <c r="S274" s="163">
        <v>99</v>
      </c>
      <c r="T274" s="163">
        <v>99</v>
      </c>
      <c r="U274" s="163">
        <v>99</v>
      </c>
      <c r="V274" s="135"/>
      <c r="W274" s="135"/>
      <c r="X274" s="163"/>
      <c r="Y274" s="135">
        <v>1002</v>
      </c>
      <c r="Z274" s="135">
        <v>1000</v>
      </c>
      <c r="AA274" s="135">
        <v>200</v>
      </c>
      <c r="AB274" s="135">
        <v>1</v>
      </c>
      <c r="AC274" s="135"/>
      <c r="AD274" s="135"/>
      <c r="AE274" s="135"/>
      <c r="AF274" s="163">
        <v>1</v>
      </c>
      <c r="AG274" s="163">
        <v>100</v>
      </c>
      <c r="AH274" s="135"/>
      <c r="AI274" s="135"/>
      <c r="AJ274" s="135"/>
      <c r="AK274" s="135">
        <v>0</v>
      </c>
      <c r="AL274" s="135">
        <v>21001</v>
      </c>
      <c r="AM274" s="135">
        <v>1000</v>
      </c>
      <c r="AN274" s="135"/>
      <c r="AO274" s="130" t="s">
        <v>271</v>
      </c>
      <c r="AP274" s="130" t="s">
        <v>272</v>
      </c>
      <c r="AQ274" s="130" t="s">
        <v>286</v>
      </c>
      <c r="AR274" s="130" t="s">
        <v>272</v>
      </c>
      <c r="AS274" s="130" t="s">
        <v>286</v>
      </c>
      <c r="AT274" s="130" t="s">
        <v>272</v>
      </c>
      <c r="AU274" s="130"/>
      <c r="AV274" s="130"/>
      <c r="AW274" s="130" t="s">
        <v>248</v>
      </c>
      <c r="AX274" s="130" t="s">
        <v>249</v>
      </c>
      <c r="AY274" s="130"/>
      <c r="AZ274" s="130"/>
      <c r="BA274" s="130"/>
      <c r="BB274" s="179"/>
      <c r="BC274" s="179"/>
      <c r="BD274" s="130"/>
      <c r="BE274" s="130"/>
      <c r="BF274" s="135">
        <v>10011</v>
      </c>
      <c r="BG274" s="130"/>
      <c r="BH274" s="185" t="s">
        <v>656</v>
      </c>
      <c r="BI274" s="130" t="s">
        <v>261</v>
      </c>
      <c r="BJ274" s="130" t="s">
        <v>287</v>
      </c>
      <c r="BK274" s="130" t="s">
        <v>253</v>
      </c>
      <c r="BL274" s="135"/>
      <c r="BM274" s="135"/>
      <c r="BN274" s="135"/>
      <c r="BO274" s="163">
        <v>50</v>
      </c>
      <c r="BP274" s="163">
        <v>200</v>
      </c>
      <c r="BQ274" s="130" t="s">
        <v>241</v>
      </c>
      <c r="BR274" s="135">
        <v>1</v>
      </c>
      <c r="BS274" s="135"/>
      <c r="BT274" s="163">
        <v>50</v>
      </c>
      <c r="BU274" s="163">
        <v>50</v>
      </c>
      <c r="BV274" s="130"/>
      <c r="BW274" s="130"/>
      <c r="BX274" s="135"/>
      <c r="BY274" s="135"/>
      <c r="BZ274" s="135">
        <v>3</v>
      </c>
      <c r="CA274" s="135">
        <v>4</v>
      </c>
      <c r="CB274" s="135">
        <v>4</v>
      </c>
      <c r="CC274" s="135">
        <v>4</v>
      </c>
      <c r="CD274" s="135">
        <v>4</v>
      </c>
      <c r="CE274" s="135">
        <v>5</v>
      </c>
      <c r="CF274" s="135">
        <v>4</v>
      </c>
      <c r="CG274" s="135">
        <v>4</v>
      </c>
      <c r="CH274" s="163"/>
      <c r="CI274" s="130"/>
      <c r="CJ274" s="135"/>
      <c r="CK274" s="135"/>
      <c r="CL274" s="130"/>
      <c r="CM274" s="193">
        <v>100005</v>
      </c>
      <c r="CN274" s="193"/>
      <c r="CO274" s="193"/>
      <c r="CP274" s="193"/>
      <c r="CQ274" s="193"/>
      <c r="CR274" s="193"/>
    </row>
    <row r="275" spans="2:96" ht="15.75" customHeight="1" x14ac:dyDescent="0.35">
      <c r="B275" s="213" t="s">
        <v>666</v>
      </c>
      <c r="C275" s="75" t="s">
        <v>667</v>
      </c>
      <c r="D275" s="138">
        <v>99998</v>
      </c>
      <c r="E275" s="135">
        <v>70001</v>
      </c>
      <c r="F275" s="135"/>
      <c r="G275" s="135"/>
      <c r="H275" s="135">
        <v>0</v>
      </c>
      <c r="I275" s="135"/>
      <c r="J275" s="135"/>
      <c r="K275" s="135">
        <v>1</v>
      </c>
      <c r="L275" s="135"/>
      <c r="M275" s="135"/>
      <c r="N275" s="135"/>
      <c r="O275" s="154"/>
      <c r="P275" s="135">
        <v>1</v>
      </c>
      <c r="Q275" s="135">
        <v>1</v>
      </c>
      <c r="R275" s="135"/>
      <c r="S275" s="163">
        <v>99</v>
      </c>
      <c r="T275" s="163">
        <v>99</v>
      </c>
      <c r="U275" s="163">
        <v>99</v>
      </c>
      <c r="V275" s="135"/>
      <c r="W275" s="135"/>
      <c r="X275" s="163"/>
      <c r="Y275" s="135">
        <v>1002</v>
      </c>
      <c r="Z275" s="135">
        <v>1000</v>
      </c>
      <c r="AA275" s="135">
        <v>200</v>
      </c>
      <c r="AB275" s="135">
        <v>1</v>
      </c>
      <c r="AC275" s="135"/>
      <c r="AD275" s="135"/>
      <c r="AE275" s="135"/>
      <c r="AF275" s="163">
        <v>1</v>
      </c>
      <c r="AG275" s="163">
        <v>100</v>
      </c>
      <c r="AH275" s="135"/>
      <c r="AI275" s="135"/>
      <c r="AJ275" s="135"/>
      <c r="AK275" s="135">
        <v>0</v>
      </c>
      <c r="AL275" s="135">
        <v>21001</v>
      </c>
      <c r="AM275" s="135">
        <v>1000</v>
      </c>
      <c r="AN275" s="135"/>
      <c r="AO275" s="130" t="s">
        <v>271</v>
      </c>
      <c r="AP275" s="130" t="s">
        <v>272</v>
      </c>
      <c r="AQ275" s="130" t="s">
        <v>286</v>
      </c>
      <c r="AR275" s="130" t="s">
        <v>272</v>
      </c>
      <c r="AS275" s="130" t="s">
        <v>286</v>
      </c>
      <c r="AT275" s="130" t="s">
        <v>272</v>
      </c>
      <c r="AU275" s="130"/>
      <c r="AV275" s="130"/>
      <c r="AW275" s="130" t="s">
        <v>248</v>
      </c>
      <c r="AX275" s="130" t="s">
        <v>249</v>
      </c>
      <c r="AY275" s="130"/>
      <c r="AZ275" s="130"/>
      <c r="BA275" s="130"/>
      <c r="BB275" s="179"/>
      <c r="BC275" s="179"/>
      <c r="BD275" s="130"/>
      <c r="BE275" s="130"/>
      <c r="BF275" s="135">
        <v>99999</v>
      </c>
      <c r="BG275" s="130"/>
      <c r="BH275" s="185" t="s">
        <v>656</v>
      </c>
      <c r="BI275" s="130" t="s">
        <v>261</v>
      </c>
      <c r="BJ275" s="130" t="s">
        <v>287</v>
      </c>
      <c r="BK275" s="130" t="s">
        <v>253</v>
      </c>
      <c r="BL275" s="135"/>
      <c r="BM275" s="135"/>
      <c r="BN275" s="135"/>
      <c r="BO275" s="163">
        <v>50</v>
      </c>
      <c r="BP275" s="163">
        <v>200</v>
      </c>
      <c r="BQ275" s="130" t="s">
        <v>241</v>
      </c>
      <c r="BR275" s="135">
        <v>1</v>
      </c>
      <c r="BS275" s="135"/>
      <c r="BT275" s="163">
        <v>50</v>
      </c>
      <c r="BU275" s="163">
        <v>50</v>
      </c>
      <c r="BV275" s="130"/>
      <c r="BW275" s="130"/>
      <c r="BX275" s="135"/>
      <c r="BY275" s="135"/>
      <c r="BZ275" s="135">
        <v>3</v>
      </c>
      <c r="CA275" s="135">
        <v>4</v>
      </c>
      <c r="CB275" s="135">
        <v>4</v>
      </c>
      <c r="CC275" s="135">
        <v>4</v>
      </c>
      <c r="CD275" s="135">
        <v>4</v>
      </c>
      <c r="CE275" s="135">
        <v>5</v>
      </c>
      <c r="CF275" s="135">
        <v>4</v>
      </c>
      <c r="CG275" s="135">
        <v>4</v>
      </c>
      <c r="CH275" s="163"/>
      <c r="CI275" s="130"/>
      <c r="CJ275" s="135"/>
      <c r="CK275" s="135"/>
      <c r="CL275" s="130"/>
      <c r="CM275" s="193">
        <v>100005</v>
      </c>
      <c r="CN275" s="193"/>
      <c r="CO275" s="193"/>
      <c r="CP275" s="193"/>
      <c r="CQ275" s="193"/>
      <c r="CR275" s="193"/>
    </row>
    <row r="276" spans="2:96" ht="15.75" customHeight="1" x14ac:dyDescent="0.35">
      <c r="B276" s="213" t="s">
        <v>666</v>
      </c>
      <c r="C276" s="214"/>
      <c r="D276" s="138">
        <v>99999</v>
      </c>
      <c r="E276" s="135"/>
      <c r="F276" s="135"/>
      <c r="G276" s="135"/>
      <c r="H276" s="135">
        <v>0</v>
      </c>
      <c r="I276" s="135"/>
      <c r="J276" s="135"/>
      <c r="K276" s="135">
        <v>3</v>
      </c>
      <c r="L276" s="135"/>
      <c r="M276" s="135"/>
      <c r="N276" s="135"/>
      <c r="O276" s="135"/>
      <c r="P276" s="135">
        <v>2</v>
      </c>
      <c r="Q276" s="135">
        <v>3</v>
      </c>
      <c r="R276" s="135"/>
      <c r="S276" s="163">
        <v>14</v>
      </c>
      <c r="T276" s="163">
        <v>38</v>
      </c>
      <c r="U276" s="163">
        <v>63</v>
      </c>
      <c r="V276" s="135"/>
      <c r="W276" s="135"/>
      <c r="X276" s="163"/>
      <c r="Y276" s="216">
        <v>2008</v>
      </c>
      <c r="Z276" s="154">
        <v>1000</v>
      </c>
      <c r="AA276" s="154">
        <v>150</v>
      </c>
      <c r="AB276" s="154"/>
      <c r="AC276" s="154"/>
      <c r="AD276" s="154"/>
      <c r="AE276" s="135">
        <v>4</v>
      </c>
      <c r="AF276" s="163">
        <v>2</v>
      </c>
      <c r="AG276" s="163">
        <v>150</v>
      </c>
      <c r="AH276" s="135">
        <v>3200</v>
      </c>
      <c r="AI276" s="135" t="s">
        <v>668</v>
      </c>
      <c r="AJ276" s="135"/>
      <c r="AK276" s="135">
        <v>0</v>
      </c>
      <c r="AL276" s="135">
        <v>21034</v>
      </c>
      <c r="AM276" s="135">
        <v>1000</v>
      </c>
      <c r="AN276" s="135"/>
      <c r="AO276" s="135" t="s">
        <v>669</v>
      </c>
      <c r="AP276" s="135" t="s">
        <v>670</v>
      </c>
      <c r="AQ276" s="135" t="s">
        <v>669</v>
      </c>
      <c r="AR276" s="135" t="s">
        <v>670</v>
      </c>
      <c r="AS276" s="135" t="s">
        <v>669</v>
      </c>
      <c r="AT276" s="135" t="s">
        <v>670</v>
      </c>
      <c r="AU276" s="130"/>
      <c r="AV276" s="135"/>
      <c r="AW276" s="135" t="s">
        <v>248</v>
      </c>
      <c r="AX276" s="135" t="s">
        <v>249</v>
      </c>
      <c r="AY276" s="135" t="s">
        <v>671</v>
      </c>
      <c r="AZ276" s="135">
        <v>1</v>
      </c>
      <c r="BA276" s="135" t="s">
        <v>672</v>
      </c>
      <c r="BB276" s="163"/>
      <c r="BC276" s="163"/>
      <c r="BD276" s="135"/>
      <c r="BE276" s="135">
        <v>1002</v>
      </c>
      <c r="BF276" s="135">
        <v>99999</v>
      </c>
      <c r="BG276" s="130"/>
      <c r="BH276" s="185" t="s">
        <v>656</v>
      </c>
      <c r="BI276" s="135" t="s">
        <v>293</v>
      </c>
      <c r="BJ276" s="130" t="s">
        <v>275</v>
      </c>
      <c r="BK276" s="135" t="s">
        <v>253</v>
      </c>
      <c r="BL276" s="135"/>
      <c r="BM276" s="135"/>
      <c r="BN276" s="135"/>
      <c r="BO276" s="163">
        <v>100</v>
      </c>
      <c r="BP276" s="163">
        <v>200</v>
      </c>
      <c r="BQ276" s="135" t="s">
        <v>241</v>
      </c>
      <c r="BR276" s="135">
        <v>1</v>
      </c>
      <c r="BS276" s="135"/>
      <c r="BT276" s="163">
        <v>50</v>
      </c>
      <c r="BU276" s="163"/>
      <c r="BV276" s="135"/>
      <c r="BW276" s="135"/>
      <c r="BX276" s="135"/>
      <c r="BY276" s="135"/>
      <c r="BZ276" s="135">
        <v>1</v>
      </c>
      <c r="CA276" s="135">
        <v>1</v>
      </c>
      <c r="CB276" s="135">
        <v>1</v>
      </c>
      <c r="CC276" s="135">
        <v>1</v>
      </c>
      <c r="CD276" s="135">
        <v>1</v>
      </c>
      <c r="CE276" s="135">
        <v>1</v>
      </c>
      <c r="CF276" s="135">
        <v>1</v>
      </c>
      <c r="CG276" s="135">
        <v>1</v>
      </c>
      <c r="CH276" s="163"/>
      <c r="CI276" s="130"/>
      <c r="CJ276" s="135"/>
      <c r="CK276" s="135"/>
      <c r="CL276" s="130"/>
      <c r="CM276" s="193"/>
      <c r="CN276" s="193"/>
      <c r="CO276" s="193"/>
      <c r="CP276" s="193"/>
      <c r="CQ276" s="193"/>
      <c r="CR276" s="193"/>
    </row>
    <row r="277" spans="2:96" x14ac:dyDescent="0.35">
      <c r="D277" s="241" t="s">
        <v>4604</v>
      </c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3"/>
      <c r="P277" s="242"/>
      <c r="Q277" s="242"/>
      <c r="R277" s="242"/>
      <c r="S277" s="244"/>
      <c r="T277" s="244"/>
      <c r="U277" s="244"/>
      <c r="V277" s="242"/>
      <c r="W277" s="242"/>
      <c r="X277" s="244"/>
      <c r="Y277" s="242"/>
      <c r="Z277" s="242"/>
      <c r="AA277" s="242"/>
      <c r="AB277" s="242"/>
      <c r="AC277" s="242"/>
      <c r="AD277" s="242"/>
      <c r="AE277" s="242"/>
      <c r="AF277" s="244"/>
      <c r="AG277" s="244"/>
      <c r="AH277" s="242"/>
      <c r="AI277" s="242"/>
      <c r="AJ277" s="242"/>
      <c r="AK277" s="242"/>
      <c r="AL277" s="242"/>
      <c r="AM277" s="242"/>
      <c r="AN277" s="242"/>
      <c r="AO277" s="242"/>
      <c r="AP277" s="242"/>
      <c r="AQ277" s="242"/>
      <c r="AR277" s="242"/>
      <c r="AS277" s="242"/>
      <c r="AT277" s="242"/>
      <c r="AU277" s="242"/>
      <c r="AV277" s="242"/>
      <c r="AW277" s="242"/>
      <c r="AX277" s="242"/>
      <c r="AY277" s="242"/>
      <c r="AZ277" s="242"/>
      <c r="BA277" s="242"/>
      <c r="BB277" s="244"/>
      <c r="BC277" s="244"/>
      <c r="BD277" s="242"/>
      <c r="BE277" s="242"/>
      <c r="BF277" s="245"/>
      <c r="BG277" s="242"/>
      <c r="BH277" s="252"/>
      <c r="BI277" s="242"/>
      <c r="BJ277" s="242"/>
      <c r="BK277" s="242"/>
      <c r="BL277" s="242"/>
      <c r="BM277" s="242"/>
      <c r="BN277" s="242"/>
      <c r="BO277" s="244"/>
      <c r="BP277" s="244"/>
      <c r="BQ277" s="242"/>
      <c r="BR277" s="242"/>
      <c r="BS277" s="242"/>
      <c r="BT277" s="244"/>
      <c r="BU277" s="244"/>
      <c r="BV277" s="242"/>
      <c r="BW277" s="242"/>
      <c r="BX277" s="242"/>
      <c r="BY277" s="242"/>
      <c r="BZ277" s="242"/>
      <c r="CA277" s="242"/>
      <c r="CB277" s="242"/>
      <c r="CC277" s="242"/>
      <c r="CD277" s="242"/>
      <c r="CE277" s="242"/>
      <c r="CF277" s="242"/>
      <c r="CG277" s="242"/>
      <c r="CH277" s="244"/>
      <c r="CI277" s="242"/>
      <c r="CJ277" s="242"/>
      <c r="CK277" s="242"/>
      <c r="CL277" s="242"/>
      <c r="CM277" s="252"/>
      <c r="CN277" s="252"/>
      <c r="CO277" s="252"/>
      <c r="CP277" s="252"/>
      <c r="CQ277" s="252"/>
      <c r="CR277" s="252">
        <f>SUBTOTAL(109,表4[tccomtaskid_i])</f>
        <v>0</v>
      </c>
    </row>
    <row r="278" spans="2:96" x14ac:dyDescent="0.35"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215"/>
      <c r="P278" s="120"/>
      <c r="Q278" s="120"/>
      <c r="R278" s="120"/>
      <c r="Z278" s="120"/>
      <c r="AA278" s="120"/>
      <c r="AB278" s="120"/>
      <c r="AC278" s="120"/>
      <c r="AD278" s="120"/>
      <c r="AE278" s="120"/>
      <c r="AH278" s="120"/>
      <c r="AI278" s="120"/>
      <c r="AJ278" s="120"/>
      <c r="AK278" s="120"/>
      <c r="AL278" s="120"/>
      <c r="AM278" s="120"/>
      <c r="AN278" s="120"/>
      <c r="AO278" s="75"/>
      <c r="AP278" s="120"/>
      <c r="AQ278" s="75"/>
      <c r="AR278" s="120"/>
      <c r="AS278" s="75"/>
      <c r="AT278" s="120"/>
      <c r="AU278" s="75"/>
      <c r="AV278" s="75"/>
      <c r="AW278" s="120"/>
      <c r="AX278" s="75"/>
      <c r="AY278" s="75"/>
      <c r="AZ278" s="75"/>
      <c r="BA278" s="75"/>
      <c r="BB278" s="69"/>
      <c r="BC278" s="69"/>
      <c r="BD278" s="75"/>
      <c r="BE278" s="75"/>
      <c r="BF278" s="120"/>
      <c r="BG278" s="120"/>
      <c r="BH278" s="120"/>
      <c r="BI278" s="75"/>
      <c r="BJ278" s="75"/>
      <c r="BK278" s="75"/>
      <c r="BL278" s="120"/>
      <c r="BM278" s="120"/>
      <c r="BN278" s="120"/>
      <c r="BQ278" s="75"/>
      <c r="BR278" s="120"/>
      <c r="BS278" s="120"/>
      <c r="BV278" s="75"/>
      <c r="BW278" s="75"/>
      <c r="BX278" s="120"/>
      <c r="BY278" s="120"/>
      <c r="BZ278" s="120"/>
      <c r="CA278" s="120"/>
      <c r="CB278" s="120"/>
      <c r="CC278" s="120"/>
      <c r="CD278" s="120"/>
      <c r="CE278" s="120"/>
      <c r="CF278" s="120"/>
      <c r="CG278" s="120"/>
      <c r="CI278" s="75"/>
      <c r="CJ278" s="120"/>
      <c r="CK278" s="120"/>
      <c r="CL278" s="75"/>
    </row>
    <row r="279" spans="2:96" x14ac:dyDescent="0.35"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215"/>
      <c r="P279" s="120"/>
      <c r="Q279" s="120"/>
      <c r="R279" s="120"/>
      <c r="Z279" s="120"/>
      <c r="AA279" s="120"/>
      <c r="AB279" s="120"/>
      <c r="AC279" s="120"/>
      <c r="AD279" s="120"/>
      <c r="AE279" s="120"/>
      <c r="AH279" s="120"/>
      <c r="AI279" s="120"/>
      <c r="AJ279" s="120"/>
      <c r="AK279" s="120"/>
      <c r="AL279" s="120"/>
      <c r="AM279" s="120"/>
      <c r="AN279" s="120"/>
      <c r="AO279" s="75"/>
      <c r="AP279" s="120"/>
      <c r="AQ279" s="75"/>
      <c r="AR279" s="120"/>
      <c r="AS279" s="75"/>
      <c r="AT279" s="120"/>
      <c r="AU279" s="75"/>
      <c r="AV279" s="75"/>
      <c r="AW279" s="120"/>
      <c r="AX279" s="75"/>
      <c r="AY279" s="75"/>
      <c r="AZ279" s="75"/>
      <c r="BA279" s="75"/>
      <c r="BB279" s="69"/>
      <c r="BC279" s="69"/>
      <c r="BD279" s="75"/>
      <c r="BE279" s="75"/>
      <c r="BF279" s="120"/>
      <c r="BG279" s="120"/>
      <c r="BH279" s="120"/>
      <c r="BI279" s="75"/>
      <c r="BJ279" s="75"/>
      <c r="BK279" s="75"/>
      <c r="BL279" s="120"/>
      <c r="BM279" s="120"/>
      <c r="BN279" s="120"/>
      <c r="BQ279" s="75"/>
      <c r="BR279" s="120"/>
      <c r="BS279" s="120"/>
      <c r="BV279" s="75"/>
      <c r="BW279" s="75"/>
      <c r="BX279" s="120"/>
      <c r="BY279" s="120"/>
      <c r="BZ279" s="120"/>
      <c r="CA279" s="120"/>
      <c r="CB279" s="120"/>
      <c r="CC279" s="120"/>
      <c r="CD279" s="120"/>
      <c r="CE279" s="120"/>
      <c r="CF279" s="120"/>
      <c r="CG279" s="120"/>
      <c r="CI279" s="75"/>
      <c r="CJ279" s="120"/>
      <c r="CK279" s="120"/>
      <c r="CL279" s="75"/>
    </row>
  </sheetData>
  <mergeCells count="23">
    <mergeCell ref="A212:A226"/>
    <mergeCell ref="A227:A231"/>
    <mergeCell ref="A14:A44"/>
    <mergeCell ref="A45:A72"/>
    <mergeCell ref="A73:A111"/>
    <mergeCell ref="A144:A173"/>
    <mergeCell ref="A175:A211"/>
    <mergeCell ref="A112:A142"/>
    <mergeCell ref="BT2:BU2"/>
    <mergeCell ref="BV2:BY2"/>
    <mergeCell ref="BZ2:CG2"/>
    <mergeCell ref="CH2:CI2"/>
    <mergeCell ref="CJ2:CL2"/>
    <mergeCell ref="AY2:BA2"/>
    <mergeCell ref="BB2:BC2"/>
    <mergeCell ref="BF2:BH2"/>
    <mergeCell ref="BI2:BK2"/>
    <mergeCell ref="BM2:BP2"/>
    <mergeCell ref="S2:U2"/>
    <mergeCell ref="V2:W2"/>
    <mergeCell ref="Y2:AA2"/>
    <mergeCell ref="AL2:AM2"/>
    <mergeCell ref="AO2:AT2"/>
  </mergeCells>
  <phoneticPr fontId="19" type="noConversion"/>
  <conditionalFormatting sqref="D1:D4">
    <cfRule type="cellIs" dxfId="685" priority="12590" operator="equal">
      <formula>20000552.5</formula>
    </cfRule>
    <cfRule type="duplicateValues" dxfId="684" priority="15160"/>
    <cfRule type="duplicateValues" dxfId="683" priority="15161"/>
  </conditionalFormatting>
  <conditionalFormatting sqref="D5:D6">
    <cfRule type="duplicateValues" dxfId="682" priority="15930"/>
    <cfRule type="duplicateValues" dxfId="681" priority="15933"/>
  </conditionalFormatting>
  <conditionalFormatting sqref="D7 D9:D12">
    <cfRule type="duplicateValues" dxfId="680" priority="825"/>
    <cfRule type="duplicateValues" dxfId="679" priority="828"/>
  </conditionalFormatting>
  <conditionalFormatting sqref="D8">
    <cfRule type="duplicateValues" dxfId="678" priority="374"/>
    <cfRule type="duplicateValues" dxfId="677" priority="377"/>
  </conditionalFormatting>
  <conditionalFormatting sqref="D13">
    <cfRule type="duplicateValues" dxfId="676" priority="262"/>
    <cfRule type="duplicateValues" dxfId="675" priority="265"/>
  </conditionalFormatting>
  <conditionalFormatting sqref="D14:D39 D41:D44">
    <cfRule type="duplicateValues" dxfId="674" priority="16762"/>
    <cfRule type="duplicateValues" dxfId="673" priority="16763"/>
  </conditionalFormatting>
  <conditionalFormatting sqref="D45">
    <cfRule type="duplicateValues" dxfId="672" priority="15946"/>
    <cfRule type="duplicateValues" dxfId="671" priority="15949"/>
  </conditionalFormatting>
  <conditionalFormatting sqref="D73:D81 D86:D91 D93:D108">
    <cfRule type="duplicateValues" dxfId="670" priority="16204"/>
    <cfRule type="duplicateValues" dxfId="669" priority="16207"/>
  </conditionalFormatting>
  <conditionalFormatting sqref="D82:D85">
    <cfRule type="duplicateValues" dxfId="668" priority="208"/>
    <cfRule type="duplicateValues" dxfId="667" priority="213"/>
    <cfRule type="duplicateValues" dxfId="666" priority="214"/>
  </conditionalFormatting>
  <conditionalFormatting sqref="D239:D268 D5:D39 D41:D111">
    <cfRule type="cellIs" dxfId="665" priority="236" operator="equal">
      <formula>20000552.5</formula>
    </cfRule>
  </conditionalFormatting>
  <conditionalFormatting sqref="D92 BF92">
    <cfRule type="cellIs" dxfId="664" priority="231" operator="equal">
      <formula>20000552.5</formula>
    </cfRule>
  </conditionalFormatting>
  <conditionalFormatting sqref="D92">
    <cfRule type="duplicateValues" dxfId="663" priority="230"/>
    <cfRule type="duplicateValues" dxfId="662" priority="234"/>
    <cfRule type="duplicateValues" dxfId="661" priority="235"/>
  </conditionalFormatting>
  <conditionalFormatting sqref="D109:D111">
    <cfRule type="duplicateValues" dxfId="660" priority="549"/>
    <cfRule type="duplicateValues" dxfId="659" priority="552"/>
  </conditionalFormatting>
  <conditionalFormatting sqref="D112:D146">
    <cfRule type="cellIs" dxfId="658" priority="783" operator="equal">
      <formula>20000552.5</formula>
    </cfRule>
  </conditionalFormatting>
  <conditionalFormatting sqref="D117 D119 D121">
    <cfRule type="duplicateValues" dxfId="657" priority="779"/>
    <cfRule type="duplicateValues" dxfId="656" priority="782"/>
  </conditionalFormatting>
  <conditionalFormatting sqref="D133">
    <cfRule type="duplicateValues" dxfId="655" priority="801"/>
    <cfRule type="duplicateValues" dxfId="654" priority="804"/>
  </conditionalFormatting>
  <conditionalFormatting sqref="D147">
    <cfRule type="duplicateValues" dxfId="653" priority="226"/>
    <cfRule type="duplicateValues" dxfId="652" priority="228"/>
    <cfRule type="duplicateValues" dxfId="651" priority="229"/>
  </conditionalFormatting>
  <conditionalFormatting sqref="D147:D236">
    <cfRule type="cellIs" dxfId="650" priority="223" operator="equal">
      <formula>20000552.5</formula>
    </cfRule>
  </conditionalFormatting>
  <conditionalFormatting sqref="D188">
    <cfRule type="duplicateValues" dxfId="649" priority="222"/>
    <cfRule type="duplicateValues" dxfId="648" priority="224"/>
    <cfRule type="duplicateValues" dxfId="647" priority="225"/>
  </conditionalFormatting>
  <conditionalFormatting sqref="D198">
    <cfRule type="duplicateValues" dxfId="646" priority="292"/>
    <cfRule type="duplicateValues" dxfId="645" priority="295"/>
  </conditionalFormatting>
  <conditionalFormatting sqref="D204 D211">
    <cfRule type="duplicateValues" dxfId="644" priority="620"/>
    <cfRule type="duplicateValues" dxfId="643" priority="623"/>
  </conditionalFormatting>
  <conditionalFormatting sqref="D205">
    <cfRule type="duplicateValues" dxfId="642" priority="277"/>
    <cfRule type="duplicateValues" dxfId="641" priority="280"/>
  </conditionalFormatting>
  <conditionalFormatting sqref="D206:D210">
    <cfRule type="duplicateValues" dxfId="640" priority="250"/>
    <cfRule type="duplicateValues" dxfId="639" priority="253"/>
  </conditionalFormatting>
  <conditionalFormatting sqref="D212:D221 D112:D116 D118 D120 D122:D132 D223:D231 D189:D197 D199:D203 D134:D146 D148:D187">
    <cfRule type="duplicateValues" dxfId="638" priority="16665"/>
    <cfRule type="duplicateValues" dxfId="637" priority="16668"/>
  </conditionalFormatting>
  <conditionalFormatting sqref="D222">
    <cfRule type="duplicateValues" dxfId="636" priority="575"/>
    <cfRule type="duplicateValues" dxfId="635" priority="578"/>
  </conditionalFormatting>
  <conditionalFormatting sqref="D232">
    <cfRule type="duplicateValues" dxfId="634" priority="434"/>
    <cfRule type="duplicateValues" dxfId="633" priority="436"/>
  </conditionalFormatting>
  <conditionalFormatting sqref="D233:D235 D237:D238">
    <cfRule type="duplicateValues" dxfId="632" priority="413"/>
    <cfRule type="duplicateValues" dxfId="631" priority="415"/>
  </conditionalFormatting>
  <conditionalFormatting sqref="D236 D239">
    <cfRule type="duplicateValues" dxfId="630" priority="410"/>
    <cfRule type="duplicateValues" dxfId="629" priority="412"/>
  </conditionalFormatting>
  <conditionalFormatting sqref="D237:D238">
    <cfRule type="cellIs" dxfId="628" priority="416" operator="equal">
      <formula>20000552.5</formula>
    </cfRule>
  </conditionalFormatting>
  <conditionalFormatting sqref="D240">
    <cfRule type="duplicateValues" dxfId="627" priority="419"/>
    <cfRule type="duplicateValues" dxfId="626" priority="421"/>
  </conditionalFormatting>
  <conditionalFormatting sqref="D241">
    <cfRule type="duplicateValues" dxfId="625" priority="431"/>
    <cfRule type="duplicateValues" dxfId="624" priority="433"/>
  </conditionalFormatting>
  <conditionalFormatting sqref="D242 D244 D246 D248 D250:D251 D253 D255 D258 D260 D262 D264 D266">
    <cfRule type="duplicateValues" dxfId="623" priority="442"/>
    <cfRule type="duplicateValues" dxfId="622" priority="444"/>
  </conditionalFormatting>
  <conditionalFormatting sqref="D243 D245 D247:D251 D253 D255 D258 D260 D262 D264 D266">
    <cfRule type="duplicateValues" dxfId="621" priority="439"/>
    <cfRule type="duplicateValues" dxfId="620" priority="441"/>
  </conditionalFormatting>
  <conditionalFormatting sqref="D252">
    <cfRule type="duplicateValues" dxfId="619" priority="424"/>
    <cfRule type="duplicateValues" dxfId="618" priority="426"/>
    <cfRule type="duplicateValues" dxfId="617" priority="427"/>
    <cfRule type="duplicateValues" dxfId="616" priority="429"/>
  </conditionalFormatting>
  <conditionalFormatting sqref="D254 D257">
    <cfRule type="duplicateValues" dxfId="615" priority="401"/>
    <cfRule type="duplicateValues" dxfId="614" priority="403"/>
    <cfRule type="duplicateValues" dxfId="613" priority="404"/>
    <cfRule type="duplicateValues" dxfId="612" priority="406"/>
  </conditionalFormatting>
  <conditionalFormatting sqref="D256 D259:D264 D266">
    <cfRule type="duplicateValues" dxfId="611" priority="16758"/>
    <cfRule type="duplicateValues" dxfId="610" priority="16759"/>
  </conditionalFormatting>
  <conditionalFormatting sqref="D265 D267">
    <cfRule type="duplicateValues" dxfId="609" priority="115"/>
    <cfRule type="duplicateValues" dxfId="608" priority="117"/>
    <cfRule type="duplicateValues" dxfId="607" priority="118"/>
  </conditionalFormatting>
  <conditionalFormatting sqref="D268 D270:D271">
    <cfRule type="duplicateValues" dxfId="606" priority="1331"/>
    <cfRule type="duplicateValues" dxfId="605" priority="1334"/>
  </conditionalFormatting>
  <conditionalFormatting sqref="D269">
    <cfRule type="duplicateValues" dxfId="604" priority="1324"/>
    <cfRule type="duplicateValues" dxfId="603" priority="1327"/>
    <cfRule type="cellIs" dxfId="602" priority="1328" operator="equal">
      <formula>20000552.5</formula>
    </cfRule>
  </conditionalFormatting>
  <conditionalFormatting sqref="D270:D271">
    <cfRule type="cellIs" dxfId="601" priority="1335" operator="equal">
      <formula>20000552.5</formula>
    </cfRule>
  </conditionalFormatting>
  <conditionalFormatting sqref="D272">
    <cfRule type="duplicateValues" dxfId="600" priority="933"/>
    <cfRule type="duplicateValues" dxfId="599" priority="936"/>
    <cfRule type="cellIs" dxfId="598" priority="937" operator="equal">
      <formula>20000552.5</formula>
    </cfRule>
  </conditionalFormatting>
  <conditionalFormatting sqref="D273">
    <cfRule type="duplicateValues" dxfId="597" priority="999"/>
    <cfRule type="duplicateValues" dxfId="596" priority="1002"/>
    <cfRule type="cellIs" dxfId="595" priority="1003" operator="equal">
      <formula>20000552.5</formula>
    </cfRule>
  </conditionalFormatting>
  <conditionalFormatting sqref="D274">
    <cfRule type="duplicateValues" dxfId="594" priority="1202"/>
    <cfRule type="duplicateValues" dxfId="593" priority="1205"/>
    <cfRule type="cellIs" dxfId="592" priority="1206" operator="equal">
      <formula>20000552.5</formula>
    </cfRule>
  </conditionalFormatting>
  <conditionalFormatting sqref="D275">
    <cfRule type="duplicateValues" dxfId="591" priority="1216"/>
    <cfRule type="duplicateValues" dxfId="590" priority="1219"/>
    <cfRule type="cellIs" dxfId="589" priority="1220" operator="equal">
      <formula>20000552.5</formula>
    </cfRule>
  </conditionalFormatting>
  <conditionalFormatting sqref="D276">
    <cfRule type="duplicateValues" dxfId="588" priority="1315"/>
    <cfRule type="duplicateValues" dxfId="587" priority="1318"/>
    <cfRule type="cellIs" dxfId="586" priority="1319" operator="equal">
      <formula>20000552.5</formula>
    </cfRule>
  </conditionalFormatting>
  <conditionalFormatting sqref="D278:D279">
    <cfRule type="duplicateValues" dxfId="585" priority="1554"/>
    <cfRule type="duplicateValues" dxfId="584" priority="1556"/>
  </conditionalFormatting>
  <conditionalFormatting sqref="D278:D1048576 D86:D91 D93:D146 D148:D187 D189:D264 D266 D268:D276 D1:D39 D41:D81">
    <cfRule type="duplicateValues" dxfId="583" priority="238"/>
  </conditionalFormatting>
  <conditionalFormatting sqref="D278:D1048576">
    <cfRule type="cellIs" dxfId="582" priority="1557" operator="equal">
      <formula>20000552.5</formula>
    </cfRule>
  </conditionalFormatting>
  <conditionalFormatting sqref="D280:D1048576 D1:D4">
    <cfRule type="duplicateValues" dxfId="581" priority="15141"/>
  </conditionalFormatting>
  <conditionalFormatting sqref="E1:R1 E4:R4 E3:H3 E2:M2 O2:R2">
    <cfRule type="duplicateValues" dxfId="580" priority="14511"/>
  </conditionalFormatting>
  <conditionalFormatting sqref="M31:M34">
    <cfRule type="cellIs" dxfId="579" priority="754" operator="equal">
      <formula>20000552.5</formula>
    </cfRule>
    <cfRule type="duplicateValues" dxfId="578" priority="755"/>
    <cfRule type="duplicateValues" dxfId="577" priority="758"/>
  </conditionalFormatting>
  <conditionalFormatting sqref="M36:M39">
    <cfRule type="duplicateValues" dxfId="576" priority="16852"/>
    <cfRule type="duplicateValues" dxfId="575" priority="16853"/>
  </conditionalFormatting>
  <conditionalFormatting sqref="M36:M39 M41:M43">
    <cfRule type="cellIs" dxfId="574" priority="134" operator="equal">
      <formula>20000552.5</formula>
    </cfRule>
  </conditionalFormatting>
  <conditionalFormatting sqref="M41:M43">
    <cfRule type="duplicateValues" dxfId="573" priority="135"/>
    <cfRule type="duplicateValues" dxfId="572" priority="136"/>
  </conditionalFormatting>
  <conditionalFormatting sqref="M97:M100">
    <cfRule type="duplicateValues" dxfId="571" priority="750"/>
    <cfRule type="duplicateValues" dxfId="570" priority="753"/>
  </conditionalFormatting>
  <conditionalFormatting sqref="M97:M110">
    <cfRule type="cellIs" dxfId="569" priority="127" operator="equal">
      <formula>20000552.5</formula>
    </cfRule>
  </conditionalFormatting>
  <conditionalFormatting sqref="M101:M105">
    <cfRule type="duplicateValues" dxfId="568" priority="174"/>
    <cfRule type="duplicateValues" dxfId="567" priority="175"/>
  </conditionalFormatting>
  <conditionalFormatting sqref="M106:M108">
    <cfRule type="duplicateValues" dxfId="566" priority="129"/>
    <cfRule type="duplicateValues" dxfId="565" priority="130"/>
  </conditionalFormatting>
  <conditionalFormatting sqref="M109">
    <cfRule type="duplicateValues" dxfId="564" priority="539"/>
    <cfRule type="duplicateValues" dxfId="563" priority="542"/>
  </conditionalFormatting>
  <conditionalFormatting sqref="M110">
    <cfRule type="duplicateValues" dxfId="562" priority="529"/>
    <cfRule type="duplicateValues" dxfId="561" priority="532"/>
  </conditionalFormatting>
  <conditionalFormatting sqref="M131:M134">
    <cfRule type="duplicateValues" dxfId="560" priority="735"/>
    <cfRule type="duplicateValues" dxfId="559" priority="738"/>
  </conditionalFormatting>
  <conditionalFormatting sqref="M131:M142">
    <cfRule type="cellIs" dxfId="558" priority="120" operator="equal">
      <formula>20000552.5</formula>
    </cfRule>
  </conditionalFormatting>
  <conditionalFormatting sqref="M135:M139">
    <cfRule type="duplicateValues" dxfId="557" priority="166"/>
    <cfRule type="duplicateValues" dxfId="556" priority="167"/>
  </conditionalFormatting>
  <conditionalFormatting sqref="M140:M142">
    <cfRule type="duplicateValues" dxfId="555" priority="121"/>
    <cfRule type="duplicateValues" dxfId="554" priority="122"/>
  </conditionalFormatting>
  <conditionalFormatting sqref="M160:M163">
    <cfRule type="duplicateValues" dxfId="553" priority="16340"/>
    <cfRule type="duplicateValues" dxfId="552" priority="16343"/>
  </conditionalFormatting>
  <conditionalFormatting sqref="M160:M172">
    <cfRule type="cellIs" dxfId="551" priority="161" operator="equal">
      <formula>20000552.5</formula>
    </cfRule>
  </conditionalFormatting>
  <conditionalFormatting sqref="M164:M171">
    <cfRule type="duplicateValues" dxfId="550" priority="162"/>
    <cfRule type="duplicateValues" dxfId="549" priority="163"/>
  </conditionalFormatting>
  <conditionalFormatting sqref="M172">
    <cfRule type="duplicateValues" dxfId="548" priority="508"/>
    <cfRule type="duplicateValues" dxfId="547" priority="511"/>
  </conditionalFormatting>
  <conditionalFormatting sqref="M195:M197 M199">
    <cfRule type="duplicateValues" dxfId="546" priority="16591"/>
    <cfRule type="duplicateValues" dxfId="545" priority="16594"/>
  </conditionalFormatting>
  <conditionalFormatting sqref="M195:M210">
    <cfRule type="cellIs" dxfId="544" priority="150" operator="equal">
      <formula>20000552.5</formula>
    </cfRule>
  </conditionalFormatting>
  <conditionalFormatting sqref="M198">
    <cfRule type="duplicateValues" dxfId="543" priority="284"/>
    <cfRule type="duplicateValues" dxfId="542" priority="287"/>
  </conditionalFormatting>
  <conditionalFormatting sqref="M200:M202">
    <cfRule type="duplicateValues" dxfId="541" priority="157"/>
    <cfRule type="duplicateValues" dxfId="540" priority="158"/>
  </conditionalFormatting>
  <conditionalFormatting sqref="M203">
    <cfRule type="duplicateValues" dxfId="539" priority="151"/>
    <cfRule type="duplicateValues" dxfId="538" priority="152"/>
  </conditionalFormatting>
  <conditionalFormatting sqref="M204">
    <cfRule type="duplicateValues" dxfId="537" priority="610"/>
    <cfRule type="duplicateValues" dxfId="536" priority="613"/>
  </conditionalFormatting>
  <conditionalFormatting sqref="M205">
    <cfRule type="duplicateValues" dxfId="535" priority="269"/>
    <cfRule type="duplicateValues" dxfId="534" priority="272"/>
  </conditionalFormatting>
  <conditionalFormatting sqref="M206:M210">
    <cfRule type="duplicateValues" dxfId="533" priority="242"/>
    <cfRule type="duplicateValues" dxfId="532" priority="245"/>
  </conditionalFormatting>
  <conditionalFormatting sqref="M225">
    <cfRule type="duplicateValues" dxfId="531" priority="637"/>
    <cfRule type="duplicateValues" dxfId="530" priority="640"/>
  </conditionalFormatting>
  <conditionalFormatting sqref="M225:M226">
    <cfRule type="cellIs" dxfId="529" priority="624" operator="equal">
      <formula>20000552.5</formula>
    </cfRule>
  </conditionalFormatting>
  <conditionalFormatting sqref="M226">
    <cfRule type="duplicateValues" dxfId="528" priority="16693"/>
    <cfRule type="duplicateValues" dxfId="527" priority="16696"/>
  </conditionalFormatting>
  <conditionalFormatting sqref="M231">
    <cfRule type="cellIs" dxfId="526" priority="599" operator="equal">
      <formula>20000552.5</formula>
    </cfRule>
    <cfRule type="duplicateValues" dxfId="525" priority="600"/>
    <cfRule type="duplicateValues" dxfId="524" priority="603"/>
  </conditionalFormatting>
  <conditionalFormatting sqref="N2">
    <cfRule type="duplicateValues" dxfId="523" priority="1562"/>
  </conditionalFormatting>
  <conditionalFormatting sqref="Y2:Y3 Y10:Y39 Y41:Y72">
    <cfRule type="containsText" dxfId="522" priority="11380" operator="containsText" text="160">
      <formula>NOT(ISERROR(SEARCH("160",Y2)))</formula>
    </cfRule>
    <cfRule type="containsText" dxfId="521" priority="11381" operator="containsText" text="470">
      <formula>NOT(ISERROR(SEARCH("470",Y2)))</formula>
    </cfRule>
  </conditionalFormatting>
  <conditionalFormatting sqref="Y5:Y6">
    <cfRule type="containsText" dxfId="520" priority="1004" operator="containsText" text="160">
      <formula>NOT(ISERROR(SEARCH("160",Y5)))</formula>
    </cfRule>
    <cfRule type="containsText" dxfId="519" priority="1005" operator="containsText" text="470">
      <formula>NOT(ISERROR(SEARCH("470",Y5)))</formula>
    </cfRule>
  </conditionalFormatting>
  <conditionalFormatting sqref="Y93">
    <cfRule type="containsText" dxfId="518" priority="859" operator="containsText" text="160">
      <formula>NOT(ISERROR(SEARCH("160",Y93)))</formula>
    </cfRule>
    <cfRule type="containsText" dxfId="517" priority="860" operator="containsText" text="470">
      <formula>NOT(ISERROR(SEARCH("470",Y93)))</formula>
    </cfRule>
  </conditionalFormatting>
  <conditionalFormatting sqref="Y111">
    <cfRule type="containsText" dxfId="516" priority="526" operator="containsText" text="160">
      <formula>NOT(ISERROR(SEARCH("160",Y111)))</formula>
    </cfRule>
    <cfRule type="containsText" dxfId="515" priority="527" operator="containsText" text="470">
      <formula>NOT(ISERROR(SEARCH("470",Y111)))</formula>
    </cfRule>
  </conditionalFormatting>
  <conditionalFormatting sqref="Y114">
    <cfRule type="containsText" dxfId="514" priority="788" operator="containsText" text="160">
      <formula>NOT(ISERROR(SEARCH("160",Y114)))</formula>
    </cfRule>
    <cfRule type="containsText" dxfId="513" priority="789" operator="containsText" text="470">
      <formula>NOT(ISERROR(SEARCH("470",Y114)))</formula>
    </cfRule>
  </conditionalFormatting>
  <conditionalFormatting sqref="Y143">
    <cfRule type="containsText" dxfId="512" priority="383" operator="containsText" text="160">
      <formula>NOT(ISERROR(SEARCH("160",Y143)))</formula>
    </cfRule>
    <cfRule type="containsText" dxfId="511" priority="384" operator="containsText" text="470">
      <formula>NOT(ISERROR(SEARCH("470",Y143)))</formula>
    </cfRule>
  </conditionalFormatting>
  <conditionalFormatting sqref="Y156">
    <cfRule type="containsText" dxfId="510" priority="732" operator="containsText" text="160">
      <formula>NOT(ISERROR(SEARCH("160",Y156)))</formula>
    </cfRule>
    <cfRule type="containsText" dxfId="509" priority="733" operator="containsText" text="470">
      <formula>NOT(ISERROR(SEARCH("470",Y156)))</formula>
    </cfRule>
  </conditionalFormatting>
  <conditionalFormatting sqref="Y173">
    <cfRule type="containsText" dxfId="508" priority="505" operator="containsText" text="160">
      <formula>NOT(ISERROR(SEARCH("160",Y173)))</formula>
    </cfRule>
    <cfRule type="containsText" dxfId="507" priority="506" operator="containsText" text="470">
      <formula>NOT(ISERROR(SEARCH("470",Y173)))</formula>
    </cfRule>
  </conditionalFormatting>
  <conditionalFormatting sqref="Y189">
    <cfRule type="containsText" dxfId="506" priority="705" operator="containsText" text="160">
      <formula>NOT(ISERROR(SEARCH("160",Y189)))</formula>
    </cfRule>
    <cfRule type="containsText" dxfId="505" priority="706" operator="containsText" text="470">
      <formula>NOT(ISERROR(SEARCH("470",Y189)))</formula>
    </cfRule>
  </conditionalFormatting>
  <conditionalFormatting sqref="Y191">
    <cfRule type="containsText" dxfId="504" priority="691" operator="containsText" text="160">
      <formula>NOT(ISERROR(SEARCH("160",Y191)))</formula>
    </cfRule>
    <cfRule type="containsText" dxfId="503" priority="692" operator="containsText" text="470">
      <formula>NOT(ISERROR(SEARCH("470",Y191)))</formula>
    </cfRule>
  </conditionalFormatting>
  <conditionalFormatting sqref="Y214:Y215">
    <cfRule type="containsText" dxfId="502" priority="677" operator="containsText" text="160">
      <formula>NOT(ISERROR(SEARCH("160",Y214)))</formula>
    </cfRule>
    <cfRule type="containsText" dxfId="501" priority="678" operator="containsText" text="470">
      <formula>NOT(ISERROR(SEARCH("470",Y214)))</formula>
    </cfRule>
  </conditionalFormatting>
  <conditionalFormatting sqref="Y218:Y219">
    <cfRule type="containsText" dxfId="500" priority="653" operator="containsText" text="160">
      <formula>NOT(ISERROR(SEARCH("160",Y218)))</formula>
    </cfRule>
    <cfRule type="containsText" dxfId="499" priority="654" operator="containsText" text="470">
      <formula>NOT(ISERROR(SEARCH("470",Y218)))</formula>
    </cfRule>
  </conditionalFormatting>
  <conditionalFormatting sqref="Y225:Y226">
    <cfRule type="containsText" dxfId="498" priority="634" operator="containsText" text="160">
      <formula>NOT(ISERROR(SEARCH("160",Y225)))</formula>
    </cfRule>
    <cfRule type="containsText" dxfId="497" priority="635" operator="containsText" text="470">
      <formula>NOT(ISERROR(SEARCH("470",Y225)))</formula>
    </cfRule>
  </conditionalFormatting>
  <conditionalFormatting sqref="Y232:Y276">
    <cfRule type="containsText" dxfId="496" priority="43" operator="containsText" text="160">
      <formula>NOT(ISERROR(SEARCH("160",Y232)))</formula>
    </cfRule>
    <cfRule type="containsText" dxfId="495" priority="44" operator="containsText" text="470">
      <formula>NOT(ISERROR(SEARCH("470",Y232)))</formula>
    </cfRule>
  </conditionalFormatting>
  <conditionalFormatting sqref="Y278:Y279">
    <cfRule type="containsText" dxfId="494" priority="1505" operator="containsText" text="160">
      <formula>NOT(ISERROR(SEARCH("160",Y278)))</formula>
    </cfRule>
    <cfRule type="containsText" dxfId="493" priority="1506" operator="containsText" text="470">
      <formula>NOT(ISERROR(SEARCH("470",Y278)))</formula>
    </cfRule>
  </conditionalFormatting>
  <conditionalFormatting sqref="AO70">
    <cfRule type="duplicateValues" dxfId="492" priority="1020"/>
    <cfRule type="duplicateValues" dxfId="491" priority="1021"/>
  </conditionalFormatting>
  <conditionalFormatting sqref="AQ70">
    <cfRule type="duplicateValues" dxfId="490" priority="1016"/>
    <cfRule type="duplicateValues" dxfId="489" priority="1017"/>
  </conditionalFormatting>
  <conditionalFormatting sqref="AS70">
    <cfRule type="duplicateValues" dxfId="488" priority="1012"/>
    <cfRule type="duplicateValues" dxfId="487" priority="1013"/>
  </conditionalFormatting>
  <conditionalFormatting sqref="BF9">
    <cfRule type="duplicateValues" dxfId="486" priority="687"/>
    <cfRule type="duplicateValues" dxfId="485" priority="690"/>
  </conditionalFormatting>
  <conditionalFormatting sqref="BF9:BF10">
    <cfRule type="cellIs" dxfId="484" priority="354" operator="equal">
      <formula>20000552.5</formula>
    </cfRule>
  </conditionalFormatting>
  <conditionalFormatting sqref="BF10">
    <cfRule type="duplicateValues" dxfId="483" priority="357"/>
    <cfRule type="duplicateValues" dxfId="482" priority="360"/>
  </conditionalFormatting>
  <conditionalFormatting sqref="BF12">
    <cfRule type="duplicateValues" dxfId="481" priority="348"/>
    <cfRule type="duplicateValues" dxfId="480" priority="351"/>
  </conditionalFormatting>
  <conditionalFormatting sqref="BF12:BF39">
    <cfRule type="cellIs" dxfId="479" priority="209" operator="equal">
      <formula>20000552.5</formula>
    </cfRule>
  </conditionalFormatting>
  <conditionalFormatting sqref="BF13">
    <cfRule type="duplicateValues" dxfId="478" priority="257"/>
    <cfRule type="duplicateValues" dxfId="477" priority="260"/>
  </conditionalFormatting>
  <conditionalFormatting sqref="BF14:BF21">
    <cfRule type="duplicateValues" dxfId="476" priority="867"/>
    <cfRule type="duplicateValues" dxfId="475" priority="870"/>
  </conditionalFormatting>
  <conditionalFormatting sqref="BF22:BF34">
    <cfRule type="duplicateValues" dxfId="474" priority="862"/>
    <cfRule type="duplicateValues" dxfId="473" priority="865"/>
  </conditionalFormatting>
  <conditionalFormatting sqref="BF35">
    <cfRule type="duplicateValues" dxfId="472" priority="181"/>
    <cfRule type="duplicateValues" dxfId="471" priority="182"/>
  </conditionalFormatting>
  <conditionalFormatting sqref="BF36:BF39">
    <cfRule type="duplicateValues" dxfId="470" priority="16862"/>
    <cfRule type="duplicateValues" dxfId="469" priority="16863"/>
  </conditionalFormatting>
  <conditionalFormatting sqref="BF41:BF43">
    <cfRule type="duplicateValues" dxfId="468" priority="137"/>
    <cfRule type="duplicateValues" dxfId="467" priority="138"/>
  </conditionalFormatting>
  <conditionalFormatting sqref="BF41:BF44">
    <cfRule type="cellIs" dxfId="466" priority="133" operator="equal">
      <formula>20000552.5</formula>
    </cfRule>
  </conditionalFormatting>
  <conditionalFormatting sqref="BF44">
    <cfRule type="duplicateValues" dxfId="465" priority="554"/>
    <cfRule type="duplicateValues" dxfId="464" priority="557"/>
  </conditionalFormatting>
  <conditionalFormatting sqref="BF73:BF81 BF93:BF100 BF86:BF91">
    <cfRule type="duplicateValues" dxfId="463" priority="16067"/>
    <cfRule type="duplicateValues" dxfId="462" priority="16070"/>
  </conditionalFormatting>
  <conditionalFormatting sqref="BF73:BF85">
    <cfRule type="cellIs" dxfId="461" priority="202" operator="equal">
      <formula>20000552.5</formula>
    </cfRule>
  </conditionalFormatting>
  <conditionalFormatting sqref="BF82 BF84">
    <cfRule type="duplicateValues" dxfId="460" priority="211"/>
    <cfRule type="duplicateValues" dxfId="459" priority="212"/>
  </conditionalFormatting>
  <conditionalFormatting sqref="BF83">
    <cfRule type="duplicateValues" dxfId="458" priority="206"/>
    <cfRule type="duplicateValues" dxfId="457" priority="207"/>
  </conditionalFormatting>
  <conditionalFormatting sqref="BF85">
    <cfRule type="duplicateValues" dxfId="456" priority="203"/>
    <cfRule type="duplicateValues" dxfId="455" priority="204"/>
  </conditionalFormatting>
  <conditionalFormatting sqref="BF86:BF100">
    <cfRule type="cellIs" dxfId="454" priority="237" operator="equal">
      <formula>20000552.5</formula>
    </cfRule>
  </conditionalFormatting>
  <conditionalFormatting sqref="BF92">
    <cfRule type="duplicateValues" dxfId="453" priority="232"/>
    <cfRule type="duplicateValues" dxfId="452" priority="233"/>
  </conditionalFormatting>
  <conditionalFormatting sqref="BF101:BF105">
    <cfRule type="duplicateValues" dxfId="451" priority="176"/>
    <cfRule type="duplicateValues" dxfId="450" priority="177"/>
  </conditionalFormatting>
  <conditionalFormatting sqref="BF101:BF111">
    <cfRule type="cellIs" dxfId="449" priority="128" operator="equal">
      <formula>20000552.5</formula>
    </cfRule>
  </conditionalFormatting>
  <conditionalFormatting sqref="BF106:BF108">
    <cfRule type="duplicateValues" dxfId="448" priority="131"/>
    <cfRule type="duplicateValues" dxfId="447" priority="132"/>
  </conditionalFormatting>
  <conditionalFormatting sqref="BF109">
    <cfRule type="duplicateValues" dxfId="446" priority="544"/>
    <cfRule type="duplicateValues" dxfId="445" priority="547"/>
  </conditionalFormatting>
  <conditionalFormatting sqref="BF110">
    <cfRule type="duplicateValues" dxfId="444" priority="534"/>
    <cfRule type="duplicateValues" dxfId="443" priority="537"/>
  </conditionalFormatting>
  <conditionalFormatting sqref="BF111">
    <cfRule type="duplicateValues" dxfId="442" priority="522"/>
    <cfRule type="duplicateValues" dxfId="441" priority="525"/>
  </conditionalFormatting>
  <conditionalFormatting sqref="BF112:BF125">
    <cfRule type="cellIs" dxfId="440" priority="763" operator="equal">
      <formula>20000552.5</formula>
    </cfRule>
  </conditionalFormatting>
  <conditionalFormatting sqref="BF117 BF119 BF121">
    <cfRule type="duplicateValues" dxfId="439" priority="759"/>
    <cfRule type="duplicateValues" dxfId="438" priority="762"/>
  </conditionalFormatting>
  <conditionalFormatting sqref="BF126">
    <cfRule type="duplicateValues" dxfId="437" priority="200"/>
    <cfRule type="duplicateValues" dxfId="436" priority="201"/>
  </conditionalFormatting>
  <conditionalFormatting sqref="BF126:BF143">
    <cfRule type="cellIs" dxfId="435" priority="119" operator="equal">
      <formula>20000552.5</formula>
    </cfRule>
  </conditionalFormatting>
  <conditionalFormatting sqref="BF133">
    <cfRule type="duplicateValues" dxfId="434" priority="765"/>
    <cfRule type="duplicateValues" dxfId="433" priority="768"/>
  </conditionalFormatting>
  <conditionalFormatting sqref="BF134 BF112:BF116 BF118 BF120 BF122:BF125 BF127:BF132">
    <cfRule type="duplicateValues" dxfId="432" priority="16147"/>
    <cfRule type="duplicateValues" dxfId="431" priority="16150"/>
  </conditionalFormatting>
  <conditionalFormatting sqref="BF137">
    <cfRule type="duplicateValues" dxfId="430" priority="168"/>
    <cfRule type="duplicateValues" dxfId="429" priority="169"/>
  </conditionalFormatting>
  <conditionalFormatting sqref="BF138:BF139 BF135:BF136">
    <cfRule type="duplicateValues" dxfId="428" priority="170"/>
    <cfRule type="duplicateValues" dxfId="427" priority="171"/>
  </conditionalFormatting>
  <conditionalFormatting sqref="BF141">
    <cfRule type="duplicateValues" dxfId="426" priority="123"/>
    <cfRule type="duplicateValues" dxfId="425" priority="124"/>
  </conditionalFormatting>
  <conditionalFormatting sqref="BF142 BF140">
    <cfRule type="duplicateValues" dxfId="424" priority="125"/>
    <cfRule type="duplicateValues" dxfId="423" priority="126"/>
  </conditionalFormatting>
  <conditionalFormatting sqref="BF143">
    <cfRule type="duplicateValues" dxfId="422" priority="379"/>
    <cfRule type="duplicateValues" dxfId="421" priority="382"/>
  </conditionalFormatting>
  <conditionalFormatting sqref="BF156">
    <cfRule type="cellIs" dxfId="420" priority="727" operator="equal">
      <formula>20000552.5</formula>
    </cfRule>
    <cfRule type="duplicateValues" dxfId="419" priority="728"/>
    <cfRule type="duplicateValues" dxfId="418" priority="731"/>
  </conditionalFormatting>
  <conditionalFormatting sqref="BF173">
    <cfRule type="cellIs" dxfId="417" priority="500" operator="equal">
      <formula>20000552.5</formula>
    </cfRule>
    <cfRule type="duplicateValues" dxfId="416" priority="501"/>
    <cfRule type="duplicateValues" dxfId="415" priority="504"/>
  </conditionalFormatting>
  <conditionalFormatting sqref="BF175:BF187 BF192:BF197 BF199 BF189:BF190">
    <cfRule type="duplicateValues" dxfId="414" priority="16595"/>
    <cfRule type="duplicateValues" dxfId="413" priority="16598"/>
  </conditionalFormatting>
  <conditionalFormatting sqref="BF175:BF190">
    <cfRule type="cellIs" dxfId="412" priority="221" operator="equal">
      <formula>20000552.5</formula>
    </cfRule>
  </conditionalFormatting>
  <conditionalFormatting sqref="BF188">
    <cfRule type="cellIs" dxfId="411" priority="218" operator="equal">
      <formula>20000552.5</formula>
    </cfRule>
    <cfRule type="duplicateValues" dxfId="410" priority="219"/>
    <cfRule type="duplicateValues" dxfId="409" priority="220"/>
  </conditionalFormatting>
  <conditionalFormatting sqref="BF192:BF211">
    <cfRule type="cellIs" dxfId="408" priority="149" operator="equal">
      <formula>20000552.5</formula>
    </cfRule>
  </conditionalFormatting>
  <conditionalFormatting sqref="BF198">
    <cfRule type="duplicateValues" dxfId="407" priority="288"/>
    <cfRule type="duplicateValues" dxfId="406" priority="291"/>
  </conditionalFormatting>
  <conditionalFormatting sqref="BF200:BF202">
    <cfRule type="duplicateValues" dxfId="405" priority="159"/>
    <cfRule type="duplicateValues" dxfId="404" priority="160"/>
  </conditionalFormatting>
  <conditionalFormatting sqref="BF203">
    <cfRule type="duplicateValues" dxfId="403" priority="153"/>
    <cfRule type="duplicateValues" dxfId="402" priority="154"/>
  </conditionalFormatting>
  <conditionalFormatting sqref="BF204">
    <cfRule type="duplicateValues" dxfId="401" priority="616"/>
    <cfRule type="duplicateValues" dxfId="400" priority="619"/>
  </conditionalFormatting>
  <conditionalFormatting sqref="BF205">
    <cfRule type="duplicateValues" dxfId="399" priority="273"/>
    <cfRule type="duplicateValues" dxfId="398" priority="276"/>
  </conditionalFormatting>
  <conditionalFormatting sqref="BF206:BF210">
    <cfRule type="duplicateValues" dxfId="397" priority="246"/>
    <cfRule type="duplicateValues" dxfId="396" priority="249"/>
  </conditionalFormatting>
  <conditionalFormatting sqref="BF211">
    <cfRule type="duplicateValues" dxfId="395" priority="16745"/>
    <cfRule type="duplicateValues" dxfId="394" priority="16748"/>
  </conditionalFormatting>
  <conditionalFormatting sqref="BF214">
    <cfRule type="duplicateValues" dxfId="393" priority="680"/>
    <cfRule type="duplicateValues" dxfId="392" priority="683"/>
  </conditionalFormatting>
  <conditionalFormatting sqref="BF214:BF216">
    <cfRule type="cellIs" dxfId="391" priority="671" operator="equal">
      <formula>20000552.5</formula>
    </cfRule>
  </conditionalFormatting>
  <conditionalFormatting sqref="BF215">
    <cfRule type="duplicateValues" dxfId="390" priority="673"/>
    <cfRule type="duplicateValues" dxfId="389" priority="676"/>
  </conditionalFormatting>
  <conditionalFormatting sqref="BF216">
    <cfRule type="duplicateValues" dxfId="388" priority="667"/>
    <cfRule type="duplicateValues" dxfId="387" priority="670"/>
  </conditionalFormatting>
  <conditionalFormatting sqref="BF217">
    <cfRule type="duplicateValues" dxfId="386" priority="662"/>
    <cfRule type="duplicateValues" dxfId="385" priority="665"/>
    <cfRule type="cellIs" dxfId="384" priority="666" operator="equal">
      <formula>20000552.5</formula>
    </cfRule>
  </conditionalFormatting>
  <conditionalFormatting sqref="BF218">
    <cfRule type="duplicateValues" dxfId="383" priority="656"/>
    <cfRule type="duplicateValues" dxfId="382" priority="659"/>
  </conditionalFormatting>
  <conditionalFormatting sqref="BF218:BF219">
    <cfRule type="cellIs" dxfId="381" priority="648" operator="equal">
      <formula>20000552.5</formula>
    </cfRule>
  </conditionalFormatting>
  <conditionalFormatting sqref="BF219">
    <cfRule type="duplicateValues" dxfId="380" priority="649"/>
    <cfRule type="duplicateValues" dxfId="379" priority="652"/>
  </conditionalFormatting>
  <conditionalFormatting sqref="BF222">
    <cfRule type="cellIs" dxfId="378" priority="569" operator="equal">
      <formula>20000552.5</formula>
    </cfRule>
    <cfRule type="duplicateValues" dxfId="377" priority="571"/>
    <cfRule type="duplicateValues" dxfId="376" priority="574"/>
  </conditionalFormatting>
  <conditionalFormatting sqref="BF225">
    <cfRule type="duplicateValues" dxfId="375" priority="642"/>
    <cfRule type="duplicateValues" dxfId="374" priority="645"/>
  </conditionalFormatting>
  <conditionalFormatting sqref="BF225:BF231">
    <cfRule type="cellIs" dxfId="373" priority="579" operator="equal">
      <formula>20000552.5</formula>
    </cfRule>
  </conditionalFormatting>
  <conditionalFormatting sqref="BF226">
    <cfRule type="duplicateValues" dxfId="372" priority="16689"/>
    <cfRule type="duplicateValues" dxfId="371" priority="16692"/>
  </conditionalFormatting>
  <conditionalFormatting sqref="BF227">
    <cfRule type="duplicateValues" dxfId="370" priority="595"/>
    <cfRule type="duplicateValues" dxfId="369" priority="598"/>
  </conditionalFormatting>
  <conditionalFormatting sqref="BF228">
    <cfRule type="duplicateValues" dxfId="368" priority="590"/>
    <cfRule type="duplicateValues" dxfId="367" priority="593"/>
  </conditionalFormatting>
  <conditionalFormatting sqref="BF229">
    <cfRule type="duplicateValues" dxfId="366" priority="585"/>
    <cfRule type="duplicateValues" dxfId="365" priority="588"/>
  </conditionalFormatting>
  <conditionalFormatting sqref="BF230">
    <cfRule type="duplicateValues" dxfId="364" priority="580"/>
    <cfRule type="duplicateValues" dxfId="363" priority="583"/>
  </conditionalFormatting>
  <conditionalFormatting sqref="BF231">
    <cfRule type="duplicateValues" dxfId="362" priority="605"/>
    <cfRule type="duplicateValues" dxfId="361" priority="608"/>
  </conditionalFormatting>
  <conditionalFormatting sqref="CM41:CM43">
    <cfRule type="duplicateValues" dxfId="360" priority="86"/>
    <cfRule type="duplicateValues" dxfId="359" priority="87"/>
    <cfRule type="duplicateValues" dxfId="358" priority="88"/>
  </conditionalFormatting>
  <conditionalFormatting sqref="CM106:CM108">
    <cfRule type="duplicateValues" dxfId="357" priority="80"/>
    <cfRule type="duplicateValues" dxfId="356" priority="81"/>
    <cfRule type="duplicateValues" dxfId="355" priority="82"/>
  </conditionalFormatting>
  <conditionalFormatting sqref="CM140:CM142">
    <cfRule type="duplicateValues" dxfId="354" priority="74"/>
    <cfRule type="duplicateValues" dxfId="353" priority="75"/>
    <cfRule type="duplicateValues" dxfId="352" priority="76"/>
  </conditionalFormatting>
  <conditionalFormatting sqref="CM169:CM171">
    <cfRule type="duplicateValues" dxfId="351" priority="68"/>
    <cfRule type="duplicateValues" dxfId="350" priority="69"/>
    <cfRule type="duplicateValues" dxfId="349" priority="70"/>
  </conditionalFormatting>
  <conditionalFormatting sqref="CM208:CM210">
    <cfRule type="duplicateValues" dxfId="348" priority="62"/>
    <cfRule type="duplicateValues" dxfId="347" priority="63"/>
    <cfRule type="duplicateValues" dxfId="346" priority="64"/>
  </conditionalFormatting>
  <conditionalFormatting sqref="CP106:CP108">
    <cfRule type="duplicateValues" dxfId="345" priority="77"/>
    <cfRule type="duplicateValues" dxfId="344" priority="78"/>
    <cfRule type="duplicateValues" dxfId="343" priority="79"/>
  </conditionalFormatting>
  <conditionalFormatting sqref="CP140:CP142">
    <cfRule type="duplicateValues" dxfId="342" priority="71"/>
    <cfRule type="duplicateValues" dxfId="341" priority="72"/>
    <cfRule type="duplicateValues" dxfId="340" priority="73"/>
  </conditionalFormatting>
  <conditionalFormatting sqref="CP169:CP171">
    <cfRule type="duplicateValues" dxfId="339" priority="65"/>
    <cfRule type="duplicateValues" dxfId="338" priority="66"/>
    <cfRule type="duplicateValues" dxfId="337" priority="67"/>
  </conditionalFormatting>
  <conditionalFormatting sqref="CP208:CP210">
    <cfRule type="duplicateValues" dxfId="336" priority="59"/>
    <cfRule type="duplicateValues" dxfId="335" priority="60"/>
    <cfRule type="duplicateValues" dxfId="334" priority="61"/>
  </conditionalFormatting>
  <conditionalFormatting sqref="D46:D72">
    <cfRule type="duplicateValues" dxfId="333" priority="16864"/>
    <cfRule type="duplicateValues" dxfId="332" priority="16865"/>
  </conditionalFormatting>
  <conditionalFormatting sqref="D40">
    <cfRule type="duplicateValues" dxfId="331" priority="41"/>
    <cfRule type="duplicateValues" dxfId="330" priority="42"/>
  </conditionalFormatting>
  <conditionalFormatting sqref="D40">
    <cfRule type="cellIs" dxfId="329" priority="32" operator="equal">
      <formula>20000552.5</formula>
    </cfRule>
  </conditionalFormatting>
  <conditionalFormatting sqref="D40">
    <cfRule type="duplicateValues" dxfId="328" priority="33"/>
  </conditionalFormatting>
  <conditionalFormatting sqref="M40">
    <cfRule type="cellIs" dxfId="327" priority="34" operator="equal">
      <formula>20000552.5</formula>
    </cfRule>
    <cfRule type="duplicateValues" dxfId="326" priority="35"/>
    <cfRule type="duplicateValues" dxfId="325" priority="36"/>
  </conditionalFormatting>
  <conditionalFormatting sqref="Y40">
    <cfRule type="containsText" dxfId="324" priority="39" operator="containsText" text="160">
      <formula>NOT(ISERROR(SEARCH("160",Y40)))</formula>
    </cfRule>
    <cfRule type="containsText" dxfId="323" priority="40" operator="containsText" text="470">
      <formula>NOT(ISERROR(SEARCH("470",Y40)))</formula>
    </cfRule>
  </conditionalFormatting>
  <conditionalFormatting sqref="BF40">
    <cfRule type="cellIs" dxfId="322" priority="31" operator="equal">
      <formula>20000552.5</formula>
    </cfRule>
  </conditionalFormatting>
  <conditionalFormatting sqref="BF40">
    <cfRule type="duplicateValues" dxfId="321" priority="37"/>
    <cfRule type="duplicateValues" dxfId="320" priority="38"/>
  </conditionalFormatting>
  <conditionalFormatting sqref="CM40">
    <cfRule type="duplicateValues" dxfId="319" priority="28"/>
    <cfRule type="duplicateValues" dxfId="318" priority="29"/>
    <cfRule type="duplicateValues" dxfId="317" priority="30"/>
  </conditionalFormatting>
  <conditionalFormatting sqref="CP42:CP43 CP40">
    <cfRule type="duplicateValues" dxfId="316" priority="16877"/>
    <cfRule type="duplicateValues" dxfId="315" priority="16878"/>
    <cfRule type="duplicateValues" dxfId="314" priority="16879"/>
  </conditionalFormatting>
  <conditionalFormatting sqref="CP41">
    <cfRule type="duplicateValues" dxfId="313" priority="25"/>
    <cfRule type="duplicateValues" dxfId="312" priority="26"/>
    <cfRule type="duplicateValues" dxfId="311" priority="27"/>
  </conditionalFormatting>
  <conditionalFormatting sqref="CM139">
    <cfRule type="duplicateValues" dxfId="310" priority="22"/>
    <cfRule type="duplicateValues" dxfId="309" priority="23"/>
    <cfRule type="duplicateValues" dxfId="308" priority="24"/>
  </conditionalFormatting>
  <conditionalFormatting sqref="CP139">
    <cfRule type="duplicateValues" dxfId="307" priority="19"/>
    <cfRule type="duplicateValues" dxfId="306" priority="20"/>
    <cfRule type="duplicateValues" dxfId="305" priority="21"/>
  </conditionalFormatting>
  <conditionalFormatting sqref="CM105">
    <cfRule type="duplicateValues" dxfId="304" priority="16"/>
    <cfRule type="duplicateValues" dxfId="303" priority="17"/>
    <cfRule type="duplicateValues" dxfId="302" priority="18"/>
  </conditionalFormatting>
  <conditionalFormatting sqref="CP105">
    <cfRule type="duplicateValues" dxfId="301" priority="13"/>
    <cfRule type="duplicateValues" dxfId="300" priority="14"/>
    <cfRule type="duplicateValues" dxfId="299" priority="15"/>
  </conditionalFormatting>
  <conditionalFormatting sqref="CM168">
    <cfRule type="duplicateValues" dxfId="298" priority="10"/>
    <cfRule type="duplicateValues" dxfId="297" priority="11"/>
    <cfRule type="duplicateValues" dxfId="296" priority="12"/>
  </conditionalFormatting>
  <conditionalFormatting sqref="CP168">
    <cfRule type="duplicateValues" dxfId="295" priority="7"/>
    <cfRule type="duplicateValues" dxfId="294" priority="8"/>
    <cfRule type="duplicateValues" dxfId="293" priority="9"/>
  </conditionalFormatting>
  <conditionalFormatting sqref="CM207">
    <cfRule type="duplicateValues" dxfId="292" priority="4"/>
    <cfRule type="duplicateValues" dxfId="291" priority="5"/>
    <cfRule type="duplicateValues" dxfId="290" priority="6"/>
  </conditionalFormatting>
  <conditionalFormatting sqref="CP207">
    <cfRule type="duplicateValues" dxfId="289" priority="1"/>
    <cfRule type="duplicateValues" dxfId="288" priority="2"/>
    <cfRule type="duplicateValues" dxfId="287" priority="3"/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8"/>
  <sheetViews>
    <sheetView workbookViewId="0">
      <pane xSplit="4" ySplit="4" topLeftCell="E65" activePane="bottomRight" state="frozen"/>
      <selection pane="topRight"/>
      <selection pane="bottomLeft"/>
      <selection pane="bottomRight" activeCell="H22" sqref="H22"/>
    </sheetView>
  </sheetViews>
  <sheetFormatPr defaultColWidth="9" defaultRowHeight="14.25" x14ac:dyDescent="0.2"/>
  <cols>
    <col min="1" max="1" width="15.375" style="9" customWidth="1"/>
    <col min="2" max="2" width="19.75" style="9" customWidth="1"/>
    <col min="3" max="3" width="13" style="9" customWidth="1"/>
    <col min="4" max="4" width="16.625" style="9" customWidth="1"/>
    <col min="5" max="20" width="15.625" style="9" customWidth="1"/>
    <col min="21" max="21" width="14.625" style="9" customWidth="1"/>
    <col min="22" max="25" width="17.375" style="9" customWidth="1"/>
    <col min="26" max="26" width="19.25" style="9" bestFit="1" customWidth="1"/>
    <col min="27" max="27" width="19.5" style="9" bestFit="1" customWidth="1"/>
    <col min="28" max="28" width="19.25" style="9" bestFit="1" customWidth="1"/>
    <col min="29" max="16384" width="9" style="9"/>
  </cols>
  <sheetData>
    <row r="1" spans="1:28" x14ac:dyDescent="0.2">
      <c r="A1" s="21" t="s">
        <v>673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8" x14ac:dyDescent="0.2"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spans="1:28" ht="32.450000000000003" customHeight="1" x14ac:dyDescent="0.2">
      <c r="D3" s="60"/>
      <c r="E3" s="62" t="s">
        <v>674</v>
      </c>
      <c r="F3" s="62" t="s">
        <v>675</v>
      </c>
      <c r="G3" s="62" t="s">
        <v>676</v>
      </c>
      <c r="H3" s="62" t="s">
        <v>677</v>
      </c>
      <c r="I3" s="62" t="s">
        <v>678</v>
      </c>
      <c r="J3" s="62" t="s">
        <v>679</v>
      </c>
      <c r="K3" s="62" t="s">
        <v>680</v>
      </c>
      <c r="L3" s="62" t="s">
        <v>681</v>
      </c>
      <c r="M3" s="62" t="s">
        <v>682</v>
      </c>
      <c r="N3" s="62" t="s">
        <v>683</v>
      </c>
      <c r="O3" s="62" t="s">
        <v>684</v>
      </c>
      <c r="P3" s="62" t="s">
        <v>685</v>
      </c>
      <c r="Q3" s="62" t="s">
        <v>686</v>
      </c>
      <c r="R3" s="62" t="s">
        <v>687</v>
      </c>
      <c r="S3" s="62" t="s">
        <v>688</v>
      </c>
      <c r="T3" s="62" t="s">
        <v>689</v>
      </c>
      <c r="U3" s="88" t="s">
        <v>690</v>
      </c>
      <c r="V3" s="89" t="s">
        <v>691</v>
      </c>
      <c r="W3" s="89" t="s">
        <v>692</v>
      </c>
      <c r="X3" s="89" t="s">
        <v>693</v>
      </c>
      <c r="Y3" s="89" t="s">
        <v>694</v>
      </c>
      <c r="Z3" s="89" t="s">
        <v>4618</v>
      </c>
      <c r="AA3" s="89" t="s">
        <v>4619</v>
      </c>
      <c r="AB3" s="89" t="s">
        <v>4620</v>
      </c>
    </row>
    <row r="4" spans="1:28" x14ac:dyDescent="0.2">
      <c r="D4" s="9" t="s">
        <v>137</v>
      </c>
      <c r="E4" s="21" t="s">
        <v>695</v>
      </c>
      <c r="F4" s="21" t="s">
        <v>696</v>
      </c>
      <c r="G4" s="21" t="s">
        <v>697</v>
      </c>
      <c r="H4" s="21" t="s">
        <v>698</v>
      </c>
      <c r="I4" s="21" t="s">
        <v>699</v>
      </c>
      <c r="J4" s="21" t="s">
        <v>700</v>
      </c>
      <c r="K4" s="21" t="s">
        <v>701</v>
      </c>
      <c r="L4" s="21" t="s">
        <v>702</v>
      </c>
      <c r="M4" s="21" t="s">
        <v>703</v>
      </c>
      <c r="N4" s="21" t="s">
        <v>704</v>
      </c>
      <c r="O4" s="21" t="s">
        <v>705</v>
      </c>
      <c r="P4" s="21" t="s">
        <v>706</v>
      </c>
      <c r="Q4" s="21" t="s">
        <v>707</v>
      </c>
      <c r="R4" s="21" t="s">
        <v>708</v>
      </c>
      <c r="S4" s="21" t="s">
        <v>709</v>
      </c>
      <c r="T4" s="21" t="s">
        <v>710</v>
      </c>
      <c r="U4" s="21" t="s">
        <v>711</v>
      </c>
      <c r="V4" s="21" t="s">
        <v>712</v>
      </c>
      <c r="W4" s="21" t="s">
        <v>713</v>
      </c>
      <c r="X4" s="21" t="s">
        <v>714</v>
      </c>
      <c r="Y4" s="21" t="s">
        <v>715</v>
      </c>
      <c r="Z4" s="21" t="s">
        <v>4615</v>
      </c>
      <c r="AA4" s="21" t="s">
        <v>4616</v>
      </c>
      <c r="AB4" s="21" t="s">
        <v>4617</v>
      </c>
    </row>
    <row r="5" spans="1:28" x14ac:dyDescent="0.2">
      <c r="D5" s="9">
        <v>0</v>
      </c>
      <c r="E5" s="9">
        <v>0</v>
      </c>
      <c r="F5" s="9">
        <v>0</v>
      </c>
      <c r="G5" s="56">
        <v>0</v>
      </c>
      <c r="H5" s="56">
        <v>0</v>
      </c>
      <c r="I5" s="56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</row>
    <row r="6" spans="1:28" x14ac:dyDescent="0.2">
      <c r="A6" s="56"/>
      <c r="B6" s="21"/>
      <c r="C6" s="21"/>
      <c r="D6" s="9">
        <v>1</v>
      </c>
      <c r="E6" s="9">
        <v>1</v>
      </c>
      <c r="F6" s="9">
        <v>10</v>
      </c>
      <c r="G6" s="56">
        <v>1</v>
      </c>
      <c r="H6" s="63" t="s">
        <v>229</v>
      </c>
      <c r="I6" s="56">
        <v>1</v>
      </c>
      <c r="J6" s="9">
        <v>100</v>
      </c>
      <c r="L6" s="9">
        <v>5</v>
      </c>
      <c r="M6" s="9">
        <v>0</v>
      </c>
      <c r="N6" s="9">
        <v>10</v>
      </c>
      <c r="O6" s="9">
        <v>0</v>
      </c>
      <c r="P6" s="9">
        <v>0</v>
      </c>
      <c r="Q6" s="9">
        <v>0</v>
      </c>
      <c r="R6" s="9">
        <v>100</v>
      </c>
      <c r="S6" s="9">
        <v>5</v>
      </c>
      <c r="T6" s="9">
        <v>150</v>
      </c>
      <c r="U6" s="9">
        <v>10</v>
      </c>
      <c r="V6" s="9">
        <v>0</v>
      </c>
      <c r="W6" s="9">
        <v>20</v>
      </c>
      <c r="X6" s="9">
        <v>30</v>
      </c>
      <c r="Y6" s="9">
        <v>20</v>
      </c>
      <c r="Z6" s="9">
        <v>0</v>
      </c>
      <c r="AA6" s="9">
        <v>0</v>
      </c>
      <c r="AB6" s="9">
        <v>0</v>
      </c>
    </row>
    <row r="7" spans="1:28" x14ac:dyDescent="0.2">
      <c r="D7" s="9">
        <v>2</v>
      </c>
      <c r="E7" s="9">
        <v>20</v>
      </c>
      <c r="F7" s="9">
        <v>300</v>
      </c>
      <c r="G7" s="56">
        <v>1</v>
      </c>
      <c r="H7" s="56">
        <v>10</v>
      </c>
      <c r="I7" s="56">
        <v>1</v>
      </c>
      <c r="J7" s="9">
        <v>100</v>
      </c>
      <c r="L7" s="9">
        <v>10</v>
      </c>
      <c r="M7" s="9">
        <v>10</v>
      </c>
      <c r="N7" s="9">
        <v>20</v>
      </c>
      <c r="O7" s="9">
        <v>20</v>
      </c>
      <c r="P7" s="9">
        <v>20</v>
      </c>
      <c r="Q7" s="9">
        <v>20</v>
      </c>
      <c r="R7" s="9">
        <v>100</v>
      </c>
      <c r="S7" s="9">
        <v>5</v>
      </c>
      <c r="T7" s="9">
        <v>150</v>
      </c>
      <c r="U7" s="9">
        <v>10</v>
      </c>
      <c r="V7" s="9">
        <v>0</v>
      </c>
      <c r="W7" s="9">
        <v>20</v>
      </c>
      <c r="X7" s="9">
        <v>30</v>
      </c>
      <c r="Y7" s="9">
        <v>20</v>
      </c>
      <c r="Z7" s="9">
        <v>0</v>
      </c>
      <c r="AA7" s="9">
        <v>0</v>
      </c>
      <c r="AB7" s="9">
        <v>0</v>
      </c>
    </row>
    <row r="8" spans="1:28" x14ac:dyDescent="0.2">
      <c r="D8" s="9">
        <v>3</v>
      </c>
      <c r="E8" s="9">
        <v>30</v>
      </c>
      <c r="F8" s="9">
        <v>500</v>
      </c>
      <c r="G8" s="56">
        <v>1</v>
      </c>
      <c r="H8" s="56">
        <v>10</v>
      </c>
      <c r="I8" s="56">
        <v>1</v>
      </c>
      <c r="J8" s="9">
        <v>100</v>
      </c>
      <c r="L8" s="9">
        <v>10</v>
      </c>
      <c r="M8" s="9">
        <v>10</v>
      </c>
      <c r="N8" s="9">
        <v>20</v>
      </c>
      <c r="O8" s="9">
        <v>20</v>
      </c>
      <c r="P8" s="9">
        <v>20</v>
      </c>
      <c r="Q8" s="9">
        <v>20</v>
      </c>
      <c r="R8" s="9">
        <v>100</v>
      </c>
      <c r="S8" s="9">
        <v>5</v>
      </c>
      <c r="T8" s="9">
        <v>150</v>
      </c>
      <c r="U8" s="9">
        <v>10</v>
      </c>
      <c r="V8" s="9">
        <v>0</v>
      </c>
      <c r="W8" s="9">
        <v>20</v>
      </c>
      <c r="X8" s="9">
        <v>30</v>
      </c>
      <c r="Y8" s="9">
        <v>20</v>
      </c>
      <c r="Z8" s="9">
        <v>0</v>
      </c>
      <c r="AA8" s="9">
        <v>0</v>
      </c>
      <c r="AB8" s="9">
        <v>0</v>
      </c>
    </row>
    <row r="9" spans="1:28" x14ac:dyDescent="0.2">
      <c r="D9" s="9">
        <v>4</v>
      </c>
      <c r="E9" s="9">
        <v>40</v>
      </c>
      <c r="F9" s="9">
        <v>1000</v>
      </c>
      <c r="G9" s="56">
        <v>1</v>
      </c>
      <c r="H9" s="56">
        <v>10</v>
      </c>
      <c r="I9" s="56">
        <v>1</v>
      </c>
      <c r="J9" s="9">
        <v>100</v>
      </c>
      <c r="L9" s="9">
        <v>10</v>
      </c>
      <c r="M9" s="9">
        <v>10</v>
      </c>
      <c r="N9" s="9">
        <v>20</v>
      </c>
      <c r="O9" s="9">
        <v>20</v>
      </c>
      <c r="P9" s="9">
        <v>20</v>
      </c>
      <c r="Q9" s="9">
        <v>20</v>
      </c>
      <c r="R9" s="9">
        <v>100</v>
      </c>
      <c r="S9" s="9">
        <v>5</v>
      </c>
      <c r="T9" s="9">
        <v>150</v>
      </c>
      <c r="U9" s="9">
        <v>10</v>
      </c>
      <c r="V9" s="9">
        <v>0</v>
      </c>
      <c r="W9" s="9">
        <v>20</v>
      </c>
      <c r="X9" s="9">
        <v>30</v>
      </c>
      <c r="Y9" s="9">
        <v>20</v>
      </c>
      <c r="Z9" s="9">
        <v>0</v>
      </c>
      <c r="AA9" s="9">
        <v>0</v>
      </c>
      <c r="AB9" s="9">
        <v>0</v>
      </c>
    </row>
    <row r="10" spans="1:28" x14ac:dyDescent="0.2">
      <c r="D10" s="9">
        <v>5</v>
      </c>
      <c r="E10" s="9">
        <v>50</v>
      </c>
      <c r="F10" s="9">
        <v>2000</v>
      </c>
      <c r="G10" s="56">
        <v>1</v>
      </c>
      <c r="H10" s="56">
        <v>10</v>
      </c>
      <c r="I10" s="56">
        <v>1</v>
      </c>
      <c r="J10" s="9">
        <v>100</v>
      </c>
      <c r="L10" s="9">
        <v>10</v>
      </c>
      <c r="M10" s="9">
        <v>10</v>
      </c>
      <c r="N10" s="9">
        <v>20</v>
      </c>
      <c r="O10" s="9">
        <v>20</v>
      </c>
      <c r="P10" s="9">
        <v>20</v>
      </c>
      <c r="Q10" s="9">
        <v>20</v>
      </c>
      <c r="R10" s="9">
        <v>100</v>
      </c>
      <c r="S10" s="9">
        <v>5</v>
      </c>
      <c r="T10" s="9">
        <v>150</v>
      </c>
      <c r="U10" s="9">
        <v>10</v>
      </c>
      <c r="V10" s="9">
        <v>0</v>
      </c>
      <c r="W10" s="9">
        <v>20</v>
      </c>
      <c r="X10" s="9">
        <v>30</v>
      </c>
      <c r="Y10" s="9">
        <v>20</v>
      </c>
      <c r="Z10" s="9">
        <v>0</v>
      </c>
      <c r="AA10" s="9">
        <v>0</v>
      </c>
      <c r="AB10" s="9">
        <v>0</v>
      </c>
    </row>
    <row r="11" spans="1:28" x14ac:dyDescent="0.2">
      <c r="A11" s="61"/>
      <c r="B11" s="256" t="s">
        <v>364</v>
      </c>
      <c r="C11" s="61"/>
      <c r="D11" s="9">
        <v>99994</v>
      </c>
      <c r="E11" s="9">
        <v>30</v>
      </c>
      <c r="F11" s="9">
        <v>1500</v>
      </c>
      <c r="G11" s="56">
        <v>0</v>
      </c>
      <c r="H11" s="56">
        <v>0</v>
      </c>
      <c r="I11" s="56">
        <v>0</v>
      </c>
      <c r="J11" s="9">
        <v>1000000</v>
      </c>
      <c r="L11" s="9">
        <v>0</v>
      </c>
      <c r="M11" s="9">
        <v>100</v>
      </c>
      <c r="N11" s="9">
        <v>100</v>
      </c>
      <c r="O11" s="9">
        <v>100</v>
      </c>
      <c r="P11" s="9">
        <v>100</v>
      </c>
      <c r="Q11" s="9">
        <v>100</v>
      </c>
      <c r="R11" s="9">
        <v>200</v>
      </c>
      <c r="S11" s="9">
        <v>25</v>
      </c>
      <c r="T11" s="9">
        <v>200</v>
      </c>
      <c r="U11" s="9">
        <v>10</v>
      </c>
      <c r="V11" s="9">
        <v>0</v>
      </c>
      <c r="W11" s="9">
        <v>20</v>
      </c>
      <c r="X11" s="9">
        <v>30</v>
      </c>
      <c r="Y11" s="9">
        <v>20</v>
      </c>
      <c r="Z11" s="9">
        <v>0</v>
      </c>
      <c r="AA11" s="9">
        <v>0</v>
      </c>
      <c r="AB11" s="9">
        <v>0</v>
      </c>
    </row>
    <row r="12" spans="1:28" s="61" customFormat="1" x14ac:dyDescent="0.2">
      <c r="B12" s="64" t="s">
        <v>716</v>
      </c>
      <c r="C12" s="64"/>
      <c r="D12" s="9">
        <v>99999</v>
      </c>
      <c r="E12" s="9">
        <v>1</v>
      </c>
      <c r="F12" s="9">
        <v>99999999</v>
      </c>
      <c r="G12" s="56">
        <v>1</v>
      </c>
      <c r="H12" s="63" t="s">
        <v>229</v>
      </c>
      <c r="I12" s="63" t="s">
        <v>229</v>
      </c>
      <c r="J12" s="9">
        <v>0</v>
      </c>
      <c r="K12" s="9"/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100</v>
      </c>
      <c r="S12" s="9">
        <v>5</v>
      </c>
      <c r="T12" s="9">
        <v>150</v>
      </c>
      <c r="U12" s="9">
        <v>10</v>
      </c>
      <c r="V12" s="9">
        <v>0</v>
      </c>
      <c r="W12" s="9">
        <v>20</v>
      </c>
      <c r="X12" s="9">
        <v>30</v>
      </c>
      <c r="Y12" s="9">
        <v>20</v>
      </c>
      <c r="Z12" s="9">
        <v>0</v>
      </c>
      <c r="AA12" s="9">
        <v>0</v>
      </c>
      <c r="AB12" s="9">
        <v>0</v>
      </c>
    </row>
    <row r="13" spans="1:28" s="61" customFormat="1" x14ac:dyDescent="0.2">
      <c r="B13" s="64" t="s">
        <v>716</v>
      </c>
      <c r="C13" s="64"/>
      <c r="D13" s="9">
        <v>99998</v>
      </c>
      <c r="E13" s="9">
        <v>1</v>
      </c>
      <c r="F13" s="9">
        <v>99999999</v>
      </c>
      <c r="G13" s="56">
        <v>1</v>
      </c>
      <c r="H13" s="63" t="s">
        <v>229</v>
      </c>
      <c r="I13" s="63" t="s">
        <v>229</v>
      </c>
      <c r="J13" s="9">
        <v>0</v>
      </c>
      <c r="K13" s="9"/>
      <c r="L13" s="9">
        <v>50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100</v>
      </c>
      <c r="S13" s="9">
        <v>5</v>
      </c>
      <c r="T13" s="9">
        <v>150</v>
      </c>
      <c r="U13" s="9">
        <v>10</v>
      </c>
      <c r="V13" s="9">
        <v>0</v>
      </c>
      <c r="W13" s="9">
        <v>20</v>
      </c>
      <c r="X13" s="9">
        <v>30</v>
      </c>
      <c r="Y13" s="9">
        <v>20</v>
      </c>
      <c r="Z13" s="9">
        <v>0</v>
      </c>
      <c r="AA13" s="9">
        <v>0</v>
      </c>
      <c r="AB13" s="9">
        <v>0</v>
      </c>
    </row>
    <row r="14" spans="1:28" s="61" customFormat="1" x14ac:dyDescent="0.2">
      <c r="B14" s="64" t="s">
        <v>717</v>
      </c>
      <c r="C14" s="64"/>
      <c r="D14" s="9">
        <v>101</v>
      </c>
      <c r="E14" s="9">
        <v>5</v>
      </c>
      <c r="F14" s="9">
        <v>10</v>
      </c>
      <c r="G14" s="56">
        <v>0</v>
      </c>
      <c r="H14" s="56">
        <v>0</v>
      </c>
      <c r="I14" s="56">
        <v>0</v>
      </c>
      <c r="J14" s="9">
        <v>200</v>
      </c>
      <c r="K14" s="9"/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100</v>
      </c>
      <c r="S14" s="9">
        <v>5</v>
      </c>
      <c r="T14" s="9">
        <v>200</v>
      </c>
      <c r="U14" s="9">
        <v>10</v>
      </c>
      <c r="V14" s="9">
        <v>0</v>
      </c>
      <c r="W14" s="9">
        <v>20</v>
      </c>
      <c r="X14" s="9">
        <v>30</v>
      </c>
      <c r="Y14" s="9">
        <v>20</v>
      </c>
      <c r="Z14" s="9">
        <v>0</v>
      </c>
      <c r="AA14" s="9">
        <v>0</v>
      </c>
      <c r="AB14" s="9">
        <v>0</v>
      </c>
    </row>
    <row r="15" spans="1:28" s="61" customFormat="1" x14ac:dyDescent="0.2">
      <c r="B15" s="64" t="s">
        <v>718</v>
      </c>
      <c r="C15" s="64"/>
      <c r="D15" s="9">
        <v>201</v>
      </c>
      <c r="E15" s="9">
        <v>10</v>
      </c>
      <c r="F15" s="9">
        <v>5</v>
      </c>
      <c r="G15" s="56">
        <v>0</v>
      </c>
      <c r="H15" s="56">
        <v>0</v>
      </c>
      <c r="I15" s="56">
        <v>0</v>
      </c>
      <c r="J15" s="9">
        <v>0</v>
      </c>
      <c r="K15" s="9"/>
      <c r="L15" s="9">
        <v>10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110</v>
      </c>
      <c r="S15" s="9">
        <v>10</v>
      </c>
      <c r="T15" s="9">
        <v>150</v>
      </c>
      <c r="U15" s="9">
        <v>10</v>
      </c>
      <c r="V15" s="9">
        <v>0</v>
      </c>
      <c r="W15" s="9">
        <v>20</v>
      </c>
      <c r="X15" s="9">
        <v>30</v>
      </c>
      <c r="Y15" s="9">
        <v>20</v>
      </c>
      <c r="Z15" s="9">
        <v>0</v>
      </c>
      <c r="AA15" s="9">
        <v>0</v>
      </c>
      <c r="AB15" s="9">
        <v>0</v>
      </c>
    </row>
    <row r="16" spans="1:28" s="61" customFormat="1" x14ac:dyDescent="0.2">
      <c r="B16" s="64" t="s">
        <v>719</v>
      </c>
      <c r="C16" s="64"/>
      <c r="D16" s="9">
        <v>301</v>
      </c>
      <c r="E16" s="9">
        <v>20</v>
      </c>
      <c r="F16" s="9">
        <v>300</v>
      </c>
      <c r="G16" s="56">
        <v>1</v>
      </c>
      <c r="H16" s="56">
        <v>0</v>
      </c>
      <c r="I16" s="56">
        <v>0</v>
      </c>
      <c r="J16" s="9">
        <v>200</v>
      </c>
      <c r="K16" s="9"/>
      <c r="L16" s="9">
        <v>20</v>
      </c>
      <c r="M16" s="9">
        <v>20</v>
      </c>
      <c r="N16" s="9">
        <v>20</v>
      </c>
      <c r="O16" s="9">
        <v>20</v>
      </c>
      <c r="P16" s="9">
        <v>20</v>
      </c>
      <c r="Q16" s="9">
        <v>20</v>
      </c>
      <c r="R16" s="9">
        <v>120</v>
      </c>
      <c r="S16" s="9">
        <v>25</v>
      </c>
      <c r="T16" s="9">
        <v>200</v>
      </c>
      <c r="U16" s="9">
        <v>10</v>
      </c>
      <c r="V16" s="9">
        <v>0</v>
      </c>
      <c r="W16" s="9">
        <v>20</v>
      </c>
      <c r="X16" s="9">
        <v>30</v>
      </c>
      <c r="Y16" s="9">
        <v>20</v>
      </c>
      <c r="Z16" s="9">
        <v>0</v>
      </c>
      <c r="AA16" s="9">
        <v>0</v>
      </c>
      <c r="AB16" s="9">
        <v>0</v>
      </c>
    </row>
    <row r="17" spans="1:28" s="61" customFormat="1" x14ac:dyDescent="0.2">
      <c r="A17" s="65"/>
      <c r="B17" s="66" t="s">
        <v>720</v>
      </c>
      <c r="C17" s="64"/>
      <c r="D17" s="9">
        <v>401</v>
      </c>
      <c r="E17" s="9">
        <v>20</v>
      </c>
      <c r="F17" s="9">
        <v>1000</v>
      </c>
      <c r="G17" s="56">
        <v>1</v>
      </c>
      <c r="H17" s="56">
        <v>0</v>
      </c>
      <c r="I17" s="56">
        <v>0</v>
      </c>
      <c r="J17" s="9">
        <v>200</v>
      </c>
      <c r="K17" s="9"/>
      <c r="L17" s="9">
        <v>20</v>
      </c>
      <c r="M17" s="9">
        <v>50</v>
      </c>
      <c r="N17" s="9">
        <v>50</v>
      </c>
      <c r="O17" s="9">
        <v>50</v>
      </c>
      <c r="P17" s="9">
        <v>50</v>
      </c>
      <c r="Q17" s="9">
        <v>50</v>
      </c>
      <c r="R17" s="9">
        <v>150</v>
      </c>
      <c r="S17" s="9">
        <v>25</v>
      </c>
      <c r="T17" s="9">
        <v>200</v>
      </c>
      <c r="U17" s="9">
        <v>10</v>
      </c>
      <c r="V17" s="9">
        <v>0</v>
      </c>
      <c r="W17" s="9">
        <v>20</v>
      </c>
      <c r="X17" s="9">
        <v>30</v>
      </c>
      <c r="Y17" s="9">
        <v>20</v>
      </c>
      <c r="Z17" s="9">
        <v>0</v>
      </c>
      <c r="AA17" s="9">
        <v>0</v>
      </c>
      <c r="AB17" s="9">
        <v>0</v>
      </c>
    </row>
    <row r="18" spans="1:28" s="61" customFormat="1" x14ac:dyDescent="0.2">
      <c r="B18" s="67" t="s">
        <v>264</v>
      </c>
      <c r="C18" s="64"/>
      <c r="D18" s="9">
        <v>1001</v>
      </c>
      <c r="E18" s="9">
        <v>1</v>
      </c>
      <c r="F18" s="9">
        <v>3000</v>
      </c>
      <c r="G18" s="63" t="s">
        <v>246</v>
      </c>
      <c r="H18" s="63" t="s">
        <v>229</v>
      </c>
      <c r="I18" s="63" t="s">
        <v>229</v>
      </c>
      <c r="J18" s="9">
        <v>200</v>
      </c>
      <c r="K18" s="9"/>
      <c r="L18" s="9">
        <v>20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100</v>
      </c>
      <c r="S18" s="9">
        <v>0</v>
      </c>
      <c r="T18" s="9">
        <v>100</v>
      </c>
      <c r="U18" s="9">
        <v>10</v>
      </c>
      <c r="V18" s="9">
        <v>0</v>
      </c>
      <c r="W18" s="9">
        <v>20</v>
      </c>
      <c r="X18" s="9">
        <v>30</v>
      </c>
      <c r="Y18" s="9">
        <v>20</v>
      </c>
      <c r="Z18" s="9">
        <v>0</v>
      </c>
      <c r="AA18" s="9">
        <v>0</v>
      </c>
      <c r="AB18" s="9">
        <v>0</v>
      </c>
    </row>
    <row r="19" spans="1:28" ht="16.5" customHeight="1" x14ac:dyDescent="0.35">
      <c r="A19" s="289" t="s">
        <v>721</v>
      </c>
      <c r="B19" s="68" t="s">
        <v>285</v>
      </c>
      <c r="C19" s="69"/>
      <c r="D19" s="70">
        <v>10001</v>
      </c>
      <c r="E19" s="9">
        <v>10</v>
      </c>
      <c r="F19" s="9">
        <v>50</v>
      </c>
      <c r="G19" s="56">
        <v>0</v>
      </c>
      <c r="H19" s="56">
        <v>0</v>
      </c>
      <c r="I19" s="56">
        <v>0</v>
      </c>
      <c r="J19" s="9">
        <v>0</v>
      </c>
      <c r="M19" s="9">
        <v>10</v>
      </c>
      <c r="N19" s="9">
        <v>10</v>
      </c>
      <c r="O19" s="9">
        <v>10</v>
      </c>
      <c r="P19" s="9">
        <v>10</v>
      </c>
      <c r="Q19" s="9">
        <v>10</v>
      </c>
      <c r="R19" s="9">
        <v>100</v>
      </c>
      <c r="S19" s="9">
        <v>0</v>
      </c>
      <c r="T19" s="9">
        <v>200</v>
      </c>
      <c r="U19" s="9">
        <v>10</v>
      </c>
      <c r="V19" s="9">
        <v>0</v>
      </c>
      <c r="W19" s="9">
        <v>20</v>
      </c>
      <c r="X19" s="9">
        <v>30</v>
      </c>
      <c r="Y19" s="9">
        <v>20</v>
      </c>
      <c r="Z19" s="9">
        <v>0</v>
      </c>
      <c r="AA19" s="9">
        <v>0</v>
      </c>
      <c r="AB19" s="9">
        <v>0</v>
      </c>
    </row>
    <row r="20" spans="1:28" ht="16.5" x14ac:dyDescent="0.35">
      <c r="A20" s="290"/>
      <c r="B20" s="71" t="s">
        <v>722</v>
      </c>
      <c r="C20" s="69"/>
      <c r="D20" s="70">
        <v>10011</v>
      </c>
      <c r="E20" s="9">
        <v>10</v>
      </c>
      <c r="F20" s="9">
        <v>200</v>
      </c>
      <c r="G20" s="56">
        <v>0</v>
      </c>
      <c r="H20" s="63" t="s">
        <v>239</v>
      </c>
      <c r="I20" s="56">
        <v>0</v>
      </c>
      <c r="J20" s="9">
        <v>0</v>
      </c>
      <c r="M20" s="9">
        <v>10</v>
      </c>
      <c r="N20" s="9">
        <v>10</v>
      </c>
      <c r="O20" s="9">
        <v>10</v>
      </c>
      <c r="P20" s="9">
        <v>10</v>
      </c>
      <c r="Q20" s="9">
        <v>10</v>
      </c>
      <c r="R20" s="9">
        <v>100</v>
      </c>
      <c r="S20" s="9">
        <v>0</v>
      </c>
      <c r="T20" s="9">
        <v>200</v>
      </c>
      <c r="U20" s="9">
        <v>10</v>
      </c>
      <c r="V20" s="9">
        <v>0</v>
      </c>
      <c r="W20" s="9">
        <v>20</v>
      </c>
      <c r="X20" s="9">
        <v>30</v>
      </c>
      <c r="Y20" s="9">
        <v>20</v>
      </c>
      <c r="Z20" s="9">
        <v>0</v>
      </c>
      <c r="AA20" s="9">
        <v>0</v>
      </c>
      <c r="AB20" s="9">
        <v>0</v>
      </c>
    </row>
    <row r="21" spans="1:28" ht="16.5" x14ac:dyDescent="0.35">
      <c r="A21" s="290"/>
      <c r="B21" s="71" t="s">
        <v>290</v>
      </c>
      <c r="C21" s="69"/>
      <c r="D21" s="70">
        <v>10021</v>
      </c>
      <c r="E21" s="9">
        <v>15</v>
      </c>
      <c r="F21" s="9">
        <v>300</v>
      </c>
      <c r="G21" s="56">
        <v>0</v>
      </c>
      <c r="H21" s="56">
        <v>0</v>
      </c>
      <c r="I21" s="56">
        <v>0</v>
      </c>
      <c r="J21" s="9">
        <v>0</v>
      </c>
      <c r="M21" s="9">
        <v>10</v>
      </c>
      <c r="N21" s="9">
        <v>10</v>
      </c>
      <c r="O21" s="9">
        <v>10</v>
      </c>
      <c r="P21" s="9">
        <v>10</v>
      </c>
      <c r="Q21" s="9">
        <v>10</v>
      </c>
      <c r="R21" s="9">
        <v>100</v>
      </c>
      <c r="S21" s="9">
        <v>5</v>
      </c>
      <c r="T21" s="9">
        <v>200</v>
      </c>
      <c r="U21" s="9">
        <v>10</v>
      </c>
      <c r="V21" s="9">
        <v>0</v>
      </c>
      <c r="W21" s="9">
        <v>20</v>
      </c>
      <c r="X21" s="9">
        <v>30</v>
      </c>
      <c r="Y21" s="9">
        <v>20</v>
      </c>
      <c r="Z21" s="9">
        <v>0</v>
      </c>
      <c r="AA21" s="9">
        <v>0</v>
      </c>
      <c r="AB21" s="9">
        <v>0</v>
      </c>
    </row>
    <row r="22" spans="1:28" ht="16.5" x14ac:dyDescent="0.35">
      <c r="A22" s="290"/>
      <c r="B22" s="71" t="s">
        <v>295</v>
      </c>
      <c r="C22" s="69"/>
      <c r="D22" s="70">
        <v>10031</v>
      </c>
      <c r="E22" s="9">
        <v>20</v>
      </c>
      <c r="F22" s="9">
        <v>150</v>
      </c>
      <c r="G22" s="56">
        <v>0</v>
      </c>
      <c r="H22" s="56">
        <v>0</v>
      </c>
      <c r="I22" s="56">
        <v>0</v>
      </c>
      <c r="J22" s="9">
        <v>0</v>
      </c>
      <c r="M22" s="9">
        <v>10</v>
      </c>
      <c r="N22" s="9">
        <v>10</v>
      </c>
      <c r="O22" s="9">
        <v>10</v>
      </c>
      <c r="P22" s="9">
        <v>10</v>
      </c>
      <c r="Q22" s="9">
        <v>10</v>
      </c>
      <c r="R22" s="9">
        <v>100</v>
      </c>
      <c r="S22" s="9">
        <v>10</v>
      </c>
      <c r="T22" s="9">
        <v>200</v>
      </c>
      <c r="U22" s="9">
        <v>10</v>
      </c>
      <c r="V22" s="9">
        <v>0</v>
      </c>
      <c r="W22" s="9">
        <v>20</v>
      </c>
      <c r="X22" s="9">
        <v>30</v>
      </c>
      <c r="Y22" s="9">
        <v>20</v>
      </c>
      <c r="Z22" s="9">
        <v>0</v>
      </c>
      <c r="AA22" s="9">
        <v>0</v>
      </c>
      <c r="AB22" s="9">
        <v>0</v>
      </c>
    </row>
    <row r="23" spans="1:28" ht="16.5" x14ac:dyDescent="0.35">
      <c r="A23" s="290"/>
      <c r="B23" s="71" t="s">
        <v>298</v>
      </c>
      <c r="C23" s="69"/>
      <c r="D23" s="70">
        <v>10041</v>
      </c>
      <c r="E23" s="9">
        <v>15</v>
      </c>
      <c r="F23" s="9">
        <v>200</v>
      </c>
      <c r="G23" s="56">
        <v>0</v>
      </c>
      <c r="H23" s="56">
        <v>0</v>
      </c>
      <c r="I23" s="56">
        <v>0</v>
      </c>
      <c r="J23" s="9">
        <v>0</v>
      </c>
      <c r="M23" s="9">
        <v>10</v>
      </c>
      <c r="N23" s="9">
        <v>10</v>
      </c>
      <c r="O23" s="9">
        <v>10</v>
      </c>
      <c r="P23" s="9">
        <v>10</v>
      </c>
      <c r="Q23" s="9">
        <v>10</v>
      </c>
      <c r="R23" s="9">
        <v>100</v>
      </c>
      <c r="S23" s="9">
        <v>5</v>
      </c>
      <c r="T23" s="9">
        <v>200</v>
      </c>
      <c r="U23" s="9">
        <v>10</v>
      </c>
      <c r="V23" s="9">
        <v>0</v>
      </c>
      <c r="W23" s="9">
        <v>20</v>
      </c>
      <c r="X23" s="9">
        <v>30</v>
      </c>
      <c r="Y23" s="9">
        <v>20</v>
      </c>
      <c r="Z23" s="9">
        <v>0</v>
      </c>
      <c r="AA23" s="9">
        <v>0</v>
      </c>
      <c r="AB23" s="9">
        <v>0</v>
      </c>
    </row>
    <row r="24" spans="1:28" ht="16.5" x14ac:dyDescent="0.35">
      <c r="A24" s="290"/>
      <c r="B24" s="71" t="s">
        <v>301</v>
      </c>
      <c r="C24" s="69"/>
      <c r="D24" s="70">
        <v>10051</v>
      </c>
      <c r="E24" s="9">
        <v>15</v>
      </c>
      <c r="F24" s="9">
        <v>75</v>
      </c>
      <c r="G24" s="56">
        <v>0</v>
      </c>
      <c r="H24" s="56">
        <v>0</v>
      </c>
      <c r="I24" s="56">
        <v>0</v>
      </c>
      <c r="J24" s="9">
        <v>0</v>
      </c>
      <c r="L24" s="9">
        <v>25</v>
      </c>
      <c r="M24" s="9">
        <v>10</v>
      </c>
      <c r="N24" s="9">
        <v>10</v>
      </c>
      <c r="O24" s="9">
        <v>10</v>
      </c>
      <c r="P24" s="9">
        <v>10</v>
      </c>
      <c r="Q24" s="9">
        <v>10</v>
      </c>
      <c r="R24" s="9">
        <v>100</v>
      </c>
      <c r="S24" s="9">
        <v>10</v>
      </c>
      <c r="T24" s="9">
        <v>200</v>
      </c>
      <c r="U24" s="9">
        <v>10</v>
      </c>
      <c r="V24" s="9">
        <v>0</v>
      </c>
      <c r="W24" s="9">
        <v>20</v>
      </c>
      <c r="X24" s="9">
        <v>30</v>
      </c>
      <c r="Y24" s="9">
        <v>20</v>
      </c>
      <c r="Z24" s="9">
        <v>0</v>
      </c>
      <c r="AA24" s="9">
        <v>0</v>
      </c>
      <c r="AB24" s="9">
        <v>0</v>
      </c>
    </row>
    <row r="25" spans="1:28" ht="16.5" x14ac:dyDescent="0.35">
      <c r="A25" s="290"/>
      <c r="B25" s="71" t="s">
        <v>303</v>
      </c>
      <c r="C25" s="69"/>
      <c r="D25" s="70">
        <v>10061</v>
      </c>
      <c r="E25" s="9">
        <v>15</v>
      </c>
      <c r="F25" s="9">
        <v>600</v>
      </c>
      <c r="G25" s="56">
        <v>0</v>
      </c>
      <c r="H25" s="56">
        <v>0</v>
      </c>
      <c r="I25" s="56">
        <v>0</v>
      </c>
      <c r="J25" s="9">
        <v>0</v>
      </c>
      <c r="L25" s="9">
        <v>10</v>
      </c>
      <c r="M25" s="9">
        <v>10</v>
      </c>
      <c r="N25" s="9">
        <v>10</v>
      </c>
      <c r="O25" s="9">
        <v>10</v>
      </c>
      <c r="P25" s="9">
        <v>10</v>
      </c>
      <c r="Q25" s="9">
        <v>10</v>
      </c>
      <c r="R25" s="9">
        <v>100</v>
      </c>
      <c r="S25" s="9">
        <v>5</v>
      </c>
      <c r="T25" s="9">
        <v>200</v>
      </c>
      <c r="U25" s="9">
        <v>10</v>
      </c>
      <c r="V25" s="9">
        <v>0</v>
      </c>
      <c r="W25" s="9">
        <v>20</v>
      </c>
      <c r="X25" s="9">
        <v>30</v>
      </c>
      <c r="Y25" s="9">
        <v>20</v>
      </c>
      <c r="Z25" s="9">
        <v>0</v>
      </c>
      <c r="AA25" s="9">
        <v>0</v>
      </c>
      <c r="AB25" s="9">
        <v>0</v>
      </c>
    </row>
    <row r="26" spans="1:28" ht="16.5" x14ac:dyDescent="0.35">
      <c r="A26" s="290"/>
      <c r="B26" s="71" t="s">
        <v>306</v>
      </c>
      <c r="C26" s="69"/>
      <c r="D26" s="70">
        <v>10071</v>
      </c>
      <c r="E26" s="9">
        <v>20</v>
      </c>
      <c r="F26" s="9">
        <v>300</v>
      </c>
      <c r="G26" s="56">
        <v>0</v>
      </c>
      <c r="H26" s="56">
        <v>0</v>
      </c>
      <c r="I26" s="56">
        <v>0</v>
      </c>
      <c r="J26" s="9">
        <v>0</v>
      </c>
      <c r="L26" s="9">
        <v>10</v>
      </c>
      <c r="M26" s="9">
        <v>10</v>
      </c>
      <c r="N26" s="9">
        <v>10</v>
      </c>
      <c r="O26" s="9">
        <v>10</v>
      </c>
      <c r="P26" s="9">
        <v>10</v>
      </c>
      <c r="Q26" s="9">
        <v>10</v>
      </c>
      <c r="R26" s="9">
        <v>100</v>
      </c>
      <c r="S26" s="9">
        <v>10</v>
      </c>
      <c r="T26" s="9">
        <v>200</v>
      </c>
      <c r="U26" s="9">
        <v>10</v>
      </c>
      <c r="V26" s="9">
        <v>0</v>
      </c>
      <c r="W26" s="9">
        <v>20</v>
      </c>
      <c r="X26" s="9">
        <v>30</v>
      </c>
      <c r="Y26" s="9">
        <v>20</v>
      </c>
      <c r="Z26" s="9">
        <v>0</v>
      </c>
      <c r="AA26" s="9">
        <v>0</v>
      </c>
      <c r="AB26" s="9">
        <v>0</v>
      </c>
    </row>
    <row r="27" spans="1:28" ht="16.5" x14ac:dyDescent="0.35">
      <c r="A27" s="290"/>
      <c r="B27" s="72" t="s">
        <v>307</v>
      </c>
      <c r="C27" s="69"/>
      <c r="D27" s="70">
        <v>10501</v>
      </c>
      <c r="E27" s="9">
        <v>10</v>
      </c>
      <c r="F27" s="9">
        <v>100</v>
      </c>
      <c r="G27" s="56">
        <v>0</v>
      </c>
      <c r="H27" s="56">
        <v>0</v>
      </c>
      <c r="I27" s="56">
        <v>0</v>
      </c>
      <c r="J27" s="9">
        <v>0</v>
      </c>
      <c r="M27" s="9">
        <v>10</v>
      </c>
      <c r="N27" s="9">
        <v>10</v>
      </c>
      <c r="O27" s="9">
        <v>10</v>
      </c>
      <c r="P27" s="9">
        <v>10</v>
      </c>
      <c r="Q27" s="9">
        <v>10</v>
      </c>
      <c r="R27" s="9">
        <v>100</v>
      </c>
      <c r="S27" s="9">
        <v>0</v>
      </c>
      <c r="T27" s="9">
        <v>200</v>
      </c>
      <c r="U27" s="9">
        <v>10</v>
      </c>
      <c r="V27" s="9">
        <v>0</v>
      </c>
      <c r="W27" s="9">
        <v>20</v>
      </c>
      <c r="X27" s="9">
        <v>30</v>
      </c>
      <c r="Y27" s="9">
        <v>20</v>
      </c>
      <c r="Z27" s="9">
        <v>0</v>
      </c>
      <c r="AA27" s="9">
        <v>0</v>
      </c>
      <c r="AB27" s="9">
        <v>0</v>
      </c>
    </row>
    <row r="28" spans="1:28" ht="16.5" x14ac:dyDescent="0.35">
      <c r="A28" s="290"/>
      <c r="B28" s="72" t="s">
        <v>310</v>
      </c>
      <c r="C28" s="69"/>
      <c r="D28" s="70">
        <v>10511</v>
      </c>
      <c r="E28" s="9">
        <v>10</v>
      </c>
      <c r="F28" s="9">
        <v>1000</v>
      </c>
      <c r="G28" s="56">
        <v>0</v>
      </c>
      <c r="H28" s="56">
        <v>0</v>
      </c>
      <c r="I28" s="56">
        <v>0</v>
      </c>
      <c r="J28" s="9">
        <v>0</v>
      </c>
      <c r="M28" s="9">
        <v>10</v>
      </c>
      <c r="N28" s="9">
        <v>10</v>
      </c>
      <c r="O28" s="9">
        <v>10</v>
      </c>
      <c r="P28" s="9">
        <v>10</v>
      </c>
      <c r="Q28" s="9">
        <v>10</v>
      </c>
      <c r="R28" s="9">
        <v>100</v>
      </c>
      <c r="S28" s="9">
        <v>0</v>
      </c>
      <c r="T28" s="9">
        <v>200</v>
      </c>
      <c r="U28" s="9">
        <v>10</v>
      </c>
      <c r="V28" s="9">
        <v>0</v>
      </c>
      <c r="W28" s="9">
        <v>20</v>
      </c>
      <c r="X28" s="9">
        <v>30</v>
      </c>
      <c r="Y28" s="9">
        <v>20</v>
      </c>
      <c r="Z28" s="9">
        <v>0</v>
      </c>
      <c r="AA28" s="9">
        <v>0</v>
      </c>
      <c r="AB28" s="9">
        <v>0</v>
      </c>
    </row>
    <row r="29" spans="1:28" ht="16.5" x14ac:dyDescent="0.35">
      <c r="A29" s="290"/>
      <c r="B29" s="72" t="s">
        <v>314</v>
      </c>
      <c r="C29" s="69"/>
      <c r="D29" s="70">
        <v>10521</v>
      </c>
      <c r="E29" s="9">
        <v>20</v>
      </c>
      <c r="F29" s="9">
        <v>200</v>
      </c>
      <c r="G29" s="56">
        <v>0</v>
      </c>
      <c r="H29" s="56">
        <v>0</v>
      </c>
      <c r="I29" s="56">
        <v>0</v>
      </c>
      <c r="J29" s="9">
        <v>0</v>
      </c>
      <c r="L29" s="9">
        <v>25</v>
      </c>
      <c r="M29" s="9">
        <v>10</v>
      </c>
      <c r="N29" s="9">
        <v>10</v>
      </c>
      <c r="O29" s="9">
        <v>10</v>
      </c>
      <c r="P29" s="9">
        <v>10</v>
      </c>
      <c r="Q29" s="9">
        <v>10</v>
      </c>
      <c r="R29" s="9">
        <v>100</v>
      </c>
      <c r="S29" s="9">
        <v>10</v>
      </c>
      <c r="T29" s="9">
        <v>200</v>
      </c>
      <c r="U29" s="9">
        <v>10</v>
      </c>
      <c r="V29" s="9">
        <v>0</v>
      </c>
      <c r="W29" s="9">
        <v>20</v>
      </c>
      <c r="X29" s="9">
        <v>30</v>
      </c>
      <c r="Y29" s="9">
        <v>20</v>
      </c>
      <c r="Z29" s="9">
        <v>0</v>
      </c>
      <c r="AA29" s="9">
        <v>0</v>
      </c>
      <c r="AB29" s="9">
        <v>0</v>
      </c>
    </row>
    <row r="30" spans="1:28" ht="16.5" x14ac:dyDescent="0.35">
      <c r="A30" s="290"/>
      <c r="B30" s="72" t="s">
        <v>315</v>
      </c>
      <c r="C30" s="69"/>
      <c r="D30" s="70">
        <v>10531</v>
      </c>
      <c r="E30" s="9">
        <v>10</v>
      </c>
      <c r="F30" s="9">
        <v>500</v>
      </c>
      <c r="G30" s="56">
        <v>0</v>
      </c>
      <c r="H30" s="56">
        <v>0</v>
      </c>
      <c r="I30" s="56">
        <v>0</v>
      </c>
      <c r="J30" s="9">
        <v>0</v>
      </c>
      <c r="M30" s="9">
        <v>10</v>
      </c>
      <c r="N30" s="9">
        <v>10</v>
      </c>
      <c r="O30" s="9">
        <v>10</v>
      </c>
      <c r="P30" s="9">
        <v>10</v>
      </c>
      <c r="Q30" s="9">
        <v>10</v>
      </c>
      <c r="R30" s="9">
        <v>100</v>
      </c>
      <c r="S30" s="9">
        <v>0</v>
      </c>
      <c r="T30" s="9">
        <v>200</v>
      </c>
      <c r="U30" s="9">
        <v>10</v>
      </c>
      <c r="V30" s="9">
        <v>0</v>
      </c>
      <c r="W30" s="9">
        <v>20</v>
      </c>
      <c r="X30" s="9">
        <v>30</v>
      </c>
      <c r="Y30" s="9">
        <v>20</v>
      </c>
      <c r="Z30" s="9">
        <v>0</v>
      </c>
      <c r="AA30" s="9">
        <v>0</v>
      </c>
      <c r="AB30" s="9">
        <v>0</v>
      </c>
    </row>
    <row r="31" spans="1:28" ht="16.5" x14ac:dyDescent="0.35">
      <c r="A31" s="290"/>
      <c r="B31" s="73" t="s">
        <v>320</v>
      </c>
      <c r="C31" s="69"/>
      <c r="D31" s="70">
        <v>10541</v>
      </c>
      <c r="E31" s="9">
        <v>15</v>
      </c>
      <c r="F31" s="9">
        <v>500</v>
      </c>
      <c r="G31" s="56">
        <v>0</v>
      </c>
      <c r="H31" s="56">
        <v>0</v>
      </c>
      <c r="I31" s="56">
        <v>0</v>
      </c>
      <c r="J31" s="9">
        <v>0</v>
      </c>
      <c r="M31" s="9">
        <v>10</v>
      </c>
      <c r="N31" s="9">
        <v>10</v>
      </c>
      <c r="O31" s="9">
        <v>10</v>
      </c>
      <c r="P31" s="9">
        <v>10</v>
      </c>
      <c r="Q31" s="9">
        <v>10</v>
      </c>
      <c r="R31" s="9">
        <v>100</v>
      </c>
      <c r="S31" s="9">
        <v>0</v>
      </c>
      <c r="T31" s="9">
        <v>200</v>
      </c>
      <c r="U31" s="9">
        <v>10</v>
      </c>
      <c r="V31" s="9">
        <v>0</v>
      </c>
      <c r="W31" s="9">
        <v>20</v>
      </c>
      <c r="X31" s="9">
        <v>30</v>
      </c>
      <c r="Y31" s="9">
        <v>20</v>
      </c>
      <c r="Z31" s="9">
        <v>0</v>
      </c>
      <c r="AA31" s="9">
        <v>0</v>
      </c>
      <c r="AB31" s="9">
        <v>0</v>
      </c>
    </row>
    <row r="32" spans="1:28" ht="16.5" x14ac:dyDescent="0.35">
      <c r="A32" s="290"/>
      <c r="B32" s="74" t="s">
        <v>321</v>
      </c>
      <c r="C32" s="75"/>
      <c r="D32" s="70">
        <v>10551</v>
      </c>
      <c r="E32" s="9">
        <v>20</v>
      </c>
      <c r="F32" s="9">
        <v>100</v>
      </c>
      <c r="G32" s="56">
        <v>0</v>
      </c>
      <c r="H32" s="56">
        <v>0</v>
      </c>
      <c r="I32" s="56">
        <v>0</v>
      </c>
      <c r="J32" s="9">
        <v>0</v>
      </c>
      <c r="M32" s="9">
        <v>10</v>
      </c>
      <c r="N32" s="9">
        <v>10</v>
      </c>
      <c r="O32" s="9">
        <v>10</v>
      </c>
      <c r="P32" s="9">
        <v>10</v>
      </c>
      <c r="Q32" s="9">
        <v>10</v>
      </c>
      <c r="R32" s="9">
        <v>100</v>
      </c>
      <c r="S32" s="9">
        <v>0</v>
      </c>
      <c r="T32" s="9">
        <v>200</v>
      </c>
      <c r="U32" s="9">
        <v>10</v>
      </c>
      <c r="V32" s="9">
        <v>0</v>
      </c>
      <c r="W32" s="9">
        <v>20</v>
      </c>
      <c r="X32" s="9">
        <v>30</v>
      </c>
      <c r="Y32" s="9">
        <v>20</v>
      </c>
      <c r="Z32" s="9">
        <v>0</v>
      </c>
      <c r="AA32" s="9">
        <v>0</v>
      </c>
      <c r="AB32" s="9">
        <v>0</v>
      </c>
    </row>
    <row r="33" spans="1:28" ht="16.5" x14ac:dyDescent="0.35">
      <c r="A33" s="290"/>
      <c r="B33" s="76" t="s">
        <v>322</v>
      </c>
      <c r="C33" s="69"/>
      <c r="D33" s="70">
        <v>10601</v>
      </c>
      <c r="E33" s="9">
        <v>20</v>
      </c>
      <c r="F33" s="9">
        <v>1500</v>
      </c>
      <c r="G33" s="56">
        <v>0</v>
      </c>
      <c r="H33" s="63" t="s">
        <v>723</v>
      </c>
      <c r="I33" s="56">
        <v>0</v>
      </c>
      <c r="J33" s="9">
        <v>0</v>
      </c>
      <c r="L33" s="9">
        <v>10</v>
      </c>
      <c r="M33" s="9">
        <v>10</v>
      </c>
      <c r="N33" s="9">
        <v>10</v>
      </c>
      <c r="O33" s="9">
        <v>10</v>
      </c>
      <c r="P33" s="9">
        <v>10</v>
      </c>
      <c r="Q33" s="9">
        <v>10</v>
      </c>
      <c r="R33" s="9">
        <v>100</v>
      </c>
      <c r="S33" s="9">
        <v>5</v>
      </c>
      <c r="T33" s="9">
        <v>200</v>
      </c>
      <c r="U33" s="9">
        <v>10</v>
      </c>
      <c r="V33" s="9">
        <v>0</v>
      </c>
      <c r="W33" s="9">
        <v>20</v>
      </c>
      <c r="X33" s="9">
        <v>30</v>
      </c>
      <c r="Y33" s="9">
        <v>20</v>
      </c>
      <c r="Z33" s="9">
        <v>0</v>
      </c>
      <c r="AA33" s="9">
        <v>0</v>
      </c>
      <c r="AB33" s="9">
        <v>0</v>
      </c>
    </row>
    <row r="34" spans="1:28" ht="16.5" x14ac:dyDescent="0.35">
      <c r="A34" s="290"/>
      <c r="B34" s="76" t="s">
        <v>326</v>
      </c>
      <c r="C34" s="69"/>
      <c r="D34" s="70">
        <v>10611</v>
      </c>
      <c r="E34" s="9">
        <v>20</v>
      </c>
      <c r="F34" s="9">
        <v>2200</v>
      </c>
      <c r="G34" s="56">
        <v>0</v>
      </c>
      <c r="H34" s="63" t="s">
        <v>724</v>
      </c>
      <c r="I34" s="56">
        <v>0</v>
      </c>
      <c r="J34" s="9">
        <v>0</v>
      </c>
      <c r="L34" s="9">
        <v>10</v>
      </c>
      <c r="M34" s="9">
        <v>10</v>
      </c>
      <c r="N34" s="9">
        <v>10</v>
      </c>
      <c r="O34" s="9">
        <v>10</v>
      </c>
      <c r="P34" s="9">
        <v>10</v>
      </c>
      <c r="Q34" s="9">
        <v>10</v>
      </c>
      <c r="R34" s="9">
        <v>100</v>
      </c>
      <c r="S34" s="9">
        <v>5</v>
      </c>
      <c r="T34" s="9">
        <v>200</v>
      </c>
      <c r="U34" s="9">
        <v>10</v>
      </c>
      <c r="V34" s="9">
        <v>0</v>
      </c>
      <c r="W34" s="9">
        <v>20</v>
      </c>
      <c r="X34" s="9">
        <v>30</v>
      </c>
      <c r="Y34" s="9">
        <v>20</v>
      </c>
      <c r="Z34" s="9">
        <v>0</v>
      </c>
      <c r="AA34" s="9">
        <v>0</v>
      </c>
      <c r="AB34" s="9">
        <v>0</v>
      </c>
    </row>
    <row r="35" spans="1:28" ht="16.5" x14ac:dyDescent="0.35">
      <c r="A35" s="290"/>
      <c r="B35" s="76" t="s">
        <v>330</v>
      </c>
      <c r="C35" s="69"/>
      <c r="D35" s="70">
        <v>10621</v>
      </c>
      <c r="E35" s="9">
        <v>20</v>
      </c>
      <c r="F35" s="9">
        <v>3000</v>
      </c>
      <c r="G35" s="56">
        <v>0</v>
      </c>
      <c r="H35" s="63" t="s">
        <v>725</v>
      </c>
      <c r="I35" s="56">
        <v>0</v>
      </c>
      <c r="J35" s="9">
        <v>0</v>
      </c>
      <c r="L35" s="9">
        <v>20</v>
      </c>
      <c r="M35" s="9">
        <v>10</v>
      </c>
      <c r="N35" s="9">
        <v>10</v>
      </c>
      <c r="O35" s="9">
        <v>10</v>
      </c>
      <c r="P35" s="9">
        <v>10</v>
      </c>
      <c r="Q35" s="9">
        <v>10</v>
      </c>
      <c r="R35" s="9">
        <v>100</v>
      </c>
      <c r="S35" s="9">
        <v>5</v>
      </c>
      <c r="T35" s="9">
        <v>200</v>
      </c>
      <c r="U35" s="9">
        <v>10</v>
      </c>
      <c r="V35" s="9">
        <v>0</v>
      </c>
      <c r="W35" s="9">
        <v>20</v>
      </c>
      <c r="X35" s="9">
        <v>30</v>
      </c>
      <c r="Y35" s="9">
        <v>20</v>
      </c>
      <c r="Z35" s="9">
        <v>0</v>
      </c>
      <c r="AA35" s="9">
        <v>0</v>
      </c>
      <c r="AB35" s="9">
        <v>0</v>
      </c>
    </row>
    <row r="36" spans="1:28" ht="16.5" x14ac:dyDescent="0.35">
      <c r="A36" s="290"/>
      <c r="B36" s="77" t="s">
        <v>333</v>
      </c>
      <c r="C36" s="69"/>
      <c r="D36" s="70">
        <v>10701</v>
      </c>
      <c r="E36" s="9">
        <v>20</v>
      </c>
      <c r="F36" s="9">
        <v>5000</v>
      </c>
      <c r="G36" s="56">
        <v>0</v>
      </c>
      <c r="H36" s="63" t="s">
        <v>725</v>
      </c>
      <c r="I36" s="56">
        <v>0</v>
      </c>
      <c r="J36" s="9">
        <v>0</v>
      </c>
      <c r="L36" s="9">
        <v>10</v>
      </c>
      <c r="M36" s="9">
        <v>10</v>
      </c>
      <c r="N36" s="9">
        <v>10</v>
      </c>
      <c r="O36" s="9">
        <v>10</v>
      </c>
      <c r="P36" s="9">
        <v>10</v>
      </c>
      <c r="Q36" s="9">
        <v>10</v>
      </c>
      <c r="R36" s="9">
        <v>100</v>
      </c>
      <c r="S36" s="9">
        <v>5</v>
      </c>
      <c r="T36" s="9">
        <v>200</v>
      </c>
      <c r="U36" s="9">
        <v>10</v>
      </c>
      <c r="V36" s="9">
        <v>0</v>
      </c>
      <c r="W36" s="9">
        <v>20</v>
      </c>
      <c r="X36" s="9">
        <v>30</v>
      </c>
      <c r="Y36" s="9">
        <v>20</v>
      </c>
      <c r="Z36" s="9">
        <v>0</v>
      </c>
      <c r="AA36" s="9">
        <v>0</v>
      </c>
      <c r="AB36" s="9">
        <v>0</v>
      </c>
    </row>
    <row r="37" spans="1:28" ht="16.5" x14ac:dyDescent="0.35">
      <c r="A37" s="290"/>
      <c r="B37" s="77" t="s">
        <v>337</v>
      </c>
      <c r="C37" s="69"/>
      <c r="D37" s="70">
        <v>10711</v>
      </c>
      <c r="E37" s="9">
        <v>20</v>
      </c>
      <c r="F37" s="9">
        <v>5500</v>
      </c>
      <c r="G37" s="56">
        <v>0</v>
      </c>
      <c r="H37" s="63" t="s">
        <v>726</v>
      </c>
      <c r="I37" s="56">
        <v>0</v>
      </c>
      <c r="J37" s="9">
        <v>0</v>
      </c>
      <c r="L37" s="9">
        <v>10</v>
      </c>
      <c r="M37" s="9">
        <v>10</v>
      </c>
      <c r="N37" s="9">
        <v>10</v>
      </c>
      <c r="O37" s="9">
        <v>10</v>
      </c>
      <c r="P37" s="9">
        <v>10</v>
      </c>
      <c r="Q37" s="9">
        <v>10</v>
      </c>
      <c r="R37" s="9">
        <v>100</v>
      </c>
      <c r="S37" s="9">
        <v>5</v>
      </c>
      <c r="T37" s="9">
        <v>200</v>
      </c>
      <c r="U37" s="9">
        <v>10</v>
      </c>
      <c r="V37" s="9">
        <v>0</v>
      </c>
      <c r="W37" s="9">
        <v>20</v>
      </c>
      <c r="X37" s="9">
        <v>30</v>
      </c>
      <c r="Y37" s="9">
        <v>20</v>
      </c>
      <c r="Z37" s="9">
        <v>0</v>
      </c>
      <c r="AA37" s="9">
        <v>0</v>
      </c>
      <c r="AB37" s="9">
        <v>0</v>
      </c>
    </row>
    <row r="38" spans="1:28" ht="16.5" x14ac:dyDescent="0.35">
      <c r="A38" s="290"/>
      <c r="B38" s="77" t="s">
        <v>342</v>
      </c>
      <c r="C38" s="69"/>
      <c r="D38" s="70">
        <v>10721</v>
      </c>
      <c r="E38" s="9">
        <v>20</v>
      </c>
      <c r="F38" s="9">
        <v>6000</v>
      </c>
      <c r="G38" s="56">
        <v>0</v>
      </c>
      <c r="H38" s="63" t="s">
        <v>727</v>
      </c>
      <c r="I38" s="56">
        <v>0</v>
      </c>
      <c r="J38" s="9">
        <v>0</v>
      </c>
      <c r="L38" s="9">
        <v>20</v>
      </c>
      <c r="M38" s="9">
        <v>10</v>
      </c>
      <c r="N38" s="9">
        <v>10</v>
      </c>
      <c r="O38" s="9">
        <v>10</v>
      </c>
      <c r="P38" s="9">
        <v>10</v>
      </c>
      <c r="Q38" s="9">
        <v>10</v>
      </c>
      <c r="R38" s="9">
        <v>100</v>
      </c>
      <c r="S38" s="9">
        <v>10</v>
      </c>
      <c r="T38" s="9">
        <v>200</v>
      </c>
      <c r="U38" s="9">
        <v>10</v>
      </c>
      <c r="V38" s="9">
        <v>0</v>
      </c>
      <c r="W38" s="9">
        <v>20</v>
      </c>
      <c r="X38" s="9">
        <v>30</v>
      </c>
      <c r="Y38" s="9">
        <v>20</v>
      </c>
      <c r="Z38" s="9">
        <v>0</v>
      </c>
      <c r="AA38" s="9">
        <v>0</v>
      </c>
      <c r="AB38" s="9">
        <v>0</v>
      </c>
    </row>
    <row r="39" spans="1:28" ht="16.5" x14ac:dyDescent="0.35">
      <c r="A39" s="290"/>
      <c r="B39" s="73" t="s">
        <v>346</v>
      </c>
      <c r="C39" s="69"/>
      <c r="D39" s="70">
        <v>10731</v>
      </c>
      <c r="E39" s="9">
        <v>20</v>
      </c>
      <c r="F39" s="9">
        <v>7000</v>
      </c>
      <c r="G39" s="56">
        <v>0</v>
      </c>
      <c r="H39" s="63" t="s">
        <v>728</v>
      </c>
      <c r="I39" s="56">
        <v>0</v>
      </c>
      <c r="J39" s="9">
        <v>0</v>
      </c>
      <c r="L39" s="9">
        <v>20</v>
      </c>
      <c r="M39" s="9">
        <v>10</v>
      </c>
      <c r="N39" s="9">
        <v>10</v>
      </c>
      <c r="O39" s="9">
        <v>10</v>
      </c>
      <c r="P39" s="9">
        <v>10</v>
      </c>
      <c r="Q39" s="9">
        <v>10</v>
      </c>
      <c r="R39" s="9">
        <v>100</v>
      </c>
      <c r="S39" s="9">
        <v>10</v>
      </c>
      <c r="T39" s="9">
        <v>200</v>
      </c>
      <c r="U39" s="9">
        <v>10</v>
      </c>
      <c r="V39" s="9">
        <v>0</v>
      </c>
      <c r="W39" s="9">
        <v>20</v>
      </c>
      <c r="X39" s="9">
        <v>30</v>
      </c>
      <c r="Y39" s="9">
        <v>20</v>
      </c>
      <c r="Z39" s="9">
        <v>0</v>
      </c>
      <c r="AA39" s="9">
        <v>0</v>
      </c>
      <c r="AB39" s="9">
        <v>0</v>
      </c>
    </row>
    <row r="40" spans="1:28" ht="16.5" x14ac:dyDescent="0.35">
      <c r="A40" s="299" t="s">
        <v>729</v>
      </c>
      <c r="B40" s="79" t="s">
        <v>374</v>
      </c>
      <c r="C40" s="69"/>
      <c r="D40" s="70">
        <v>11001</v>
      </c>
      <c r="E40" s="9">
        <v>10</v>
      </c>
      <c r="F40" s="9">
        <v>60</v>
      </c>
      <c r="G40" s="56">
        <v>0</v>
      </c>
      <c r="H40" s="56">
        <v>0</v>
      </c>
      <c r="I40" s="56">
        <v>0</v>
      </c>
      <c r="J40" s="9">
        <v>0</v>
      </c>
      <c r="M40" s="9">
        <v>10</v>
      </c>
      <c r="N40" s="9">
        <v>10</v>
      </c>
      <c r="O40" s="9">
        <v>10</v>
      </c>
      <c r="P40" s="9">
        <v>15</v>
      </c>
      <c r="Q40" s="9">
        <v>10</v>
      </c>
      <c r="R40" s="9">
        <v>100</v>
      </c>
      <c r="T40" s="9">
        <v>200</v>
      </c>
      <c r="U40" s="9">
        <v>10</v>
      </c>
      <c r="V40" s="9">
        <v>0</v>
      </c>
      <c r="W40" s="9">
        <v>20</v>
      </c>
      <c r="X40" s="9">
        <v>30</v>
      </c>
      <c r="Y40" s="9">
        <v>20</v>
      </c>
      <c r="Z40" s="9">
        <v>0</v>
      </c>
      <c r="AA40" s="9">
        <v>0</v>
      </c>
      <c r="AB40" s="9">
        <v>0</v>
      </c>
    </row>
    <row r="41" spans="1:28" ht="16.5" x14ac:dyDescent="0.35">
      <c r="A41" s="299"/>
      <c r="B41" s="80" t="s">
        <v>378</v>
      </c>
      <c r="C41" s="69"/>
      <c r="D41" s="70">
        <v>11011</v>
      </c>
      <c r="E41" s="9">
        <v>10</v>
      </c>
      <c r="F41" s="9">
        <v>500</v>
      </c>
      <c r="G41" s="56">
        <v>0</v>
      </c>
      <c r="H41" s="56">
        <v>0</v>
      </c>
      <c r="I41" s="56">
        <v>0</v>
      </c>
      <c r="J41" s="9">
        <v>0</v>
      </c>
      <c r="M41" s="9">
        <v>10</v>
      </c>
      <c r="N41" s="9">
        <v>10</v>
      </c>
      <c r="O41" s="9">
        <v>10</v>
      </c>
      <c r="P41" s="9">
        <v>20</v>
      </c>
      <c r="Q41" s="9">
        <v>10</v>
      </c>
      <c r="R41" s="9">
        <v>100</v>
      </c>
      <c r="T41" s="9">
        <v>200</v>
      </c>
      <c r="U41" s="9">
        <v>10</v>
      </c>
      <c r="V41" s="9">
        <v>0</v>
      </c>
      <c r="W41" s="9">
        <v>20</v>
      </c>
      <c r="X41" s="9">
        <v>30</v>
      </c>
      <c r="Y41" s="9">
        <v>20</v>
      </c>
      <c r="Z41" s="9">
        <v>0</v>
      </c>
      <c r="AA41" s="9">
        <v>0</v>
      </c>
      <c r="AB41" s="9">
        <v>0</v>
      </c>
    </row>
    <row r="42" spans="1:28" ht="16.5" x14ac:dyDescent="0.35">
      <c r="A42" s="299"/>
      <c r="B42" s="80" t="s">
        <v>381</v>
      </c>
      <c r="C42" s="69"/>
      <c r="D42" s="70">
        <v>11021</v>
      </c>
      <c r="E42" s="9">
        <v>15</v>
      </c>
      <c r="F42" s="9">
        <v>180</v>
      </c>
      <c r="G42" s="56">
        <v>0</v>
      </c>
      <c r="H42" s="56">
        <v>0</v>
      </c>
      <c r="I42" s="56">
        <v>0</v>
      </c>
      <c r="J42" s="9">
        <v>0</v>
      </c>
      <c r="L42" s="9">
        <v>15</v>
      </c>
      <c r="M42" s="9">
        <v>10</v>
      </c>
      <c r="N42" s="9">
        <v>10</v>
      </c>
      <c r="O42" s="9">
        <v>10</v>
      </c>
      <c r="P42" s="9">
        <v>15</v>
      </c>
      <c r="Q42" s="9">
        <v>10</v>
      </c>
      <c r="R42" s="9">
        <v>100</v>
      </c>
      <c r="S42" s="9">
        <v>5</v>
      </c>
      <c r="T42" s="9">
        <v>200</v>
      </c>
      <c r="U42" s="9">
        <v>10</v>
      </c>
      <c r="V42" s="9">
        <v>0</v>
      </c>
      <c r="W42" s="9">
        <v>20</v>
      </c>
      <c r="X42" s="9">
        <v>30</v>
      </c>
      <c r="Y42" s="9">
        <v>20</v>
      </c>
      <c r="Z42" s="9">
        <v>0</v>
      </c>
      <c r="AA42" s="9">
        <v>0</v>
      </c>
      <c r="AB42" s="9">
        <v>0</v>
      </c>
    </row>
    <row r="43" spans="1:28" ht="16.5" x14ac:dyDescent="0.35">
      <c r="A43" s="299"/>
      <c r="B43" s="80" t="s">
        <v>383</v>
      </c>
      <c r="C43" s="69"/>
      <c r="D43" s="70">
        <v>11031</v>
      </c>
      <c r="E43" s="9">
        <v>20</v>
      </c>
      <c r="F43" s="9">
        <v>200</v>
      </c>
      <c r="G43" s="56">
        <v>0</v>
      </c>
      <c r="H43" s="56">
        <v>0</v>
      </c>
      <c r="I43" s="56">
        <v>0</v>
      </c>
      <c r="J43" s="9">
        <v>0</v>
      </c>
      <c r="L43" s="9">
        <v>10</v>
      </c>
      <c r="M43" s="9">
        <v>10</v>
      </c>
      <c r="N43" s="9">
        <v>10</v>
      </c>
      <c r="O43" s="9">
        <v>10</v>
      </c>
      <c r="P43" s="9">
        <v>15</v>
      </c>
      <c r="Q43" s="9">
        <v>10</v>
      </c>
      <c r="R43" s="9">
        <v>100</v>
      </c>
      <c r="S43" s="9">
        <v>10</v>
      </c>
      <c r="T43" s="9">
        <v>200</v>
      </c>
      <c r="U43" s="9">
        <v>10</v>
      </c>
      <c r="V43" s="9">
        <v>0</v>
      </c>
      <c r="W43" s="9">
        <v>20</v>
      </c>
      <c r="X43" s="9">
        <v>30</v>
      </c>
      <c r="Y43" s="9">
        <v>20</v>
      </c>
      <c r="Z43" s="9">
        <v>0</v>
      </c>
      <c r="AA43" s="9">
        <v>0</v>
      </c>
      <c r="AB43" s="9">
        <v>0</v>
      </c>
    </row>
    <row r="44" spans="1:28" ht="16.5" x14ac:dyDescent="0.35">
      <c r="A44" s="299"/>
      <c r="B44" s="81" t="s">
        <v>385</v>
      </c>
      <c r="C44" s="69"/>
      <c r="D44" s="70">
        <v>11201</v>
      </c>
      <c r="E44" s="9">
        <v>10</v>
      </c>
      <c r="F44" s="9">
        <v>100</v>
      </c>
      <c r="G44" s="56">
        <v>0</v>
      </c>
      <c r="H44" s="56">
        <v>0</v>
      </c>
      <c r="I44" s="56">
        <v>0</v>
      </c>
      <c r="J44" s="9">
        <v>0</v>
      </c>
      <c r="M44" s="9">
        <v>10</v>
      </c>
      <c r="N44" s="9">
        <v>10</v>
      </c>
      <c r="O44" s="9">
        <v>10</v>
      </c>
      <c r="P44" s="9">
        <v>15</v>
      </c>
      <c r="Q44" s="9">
        <v>10</v>
      </c>
      <c r="R44" s="9">
        <v>100</v>
      </c>
      <c r="T44" s="9">
        <v>200</v>
      </c>
      <c r="U44" s="9">
        <v>10</v>
      </c>
      <c r="V44" s="9">
        <v>0</v>
      </c>
      <c r="W44" s="9">
        <v>20</v>
      </c>
      <c r="X44" s="9">
        <v>30</v>
      </c>
      <c r="Y44" s="9">
        <v>20</v>
      </c>
      <c r="Z44" s="9">
        <v>0</v>
      </c>
      <c r="AA44" s="9">
        <v>0</v>
      </c>
      <c r="AB44" s="9">
        <v>0</v>
      </c>
    </row>
    <row r="45" spans="1:28" ht="16.5" x14ac:dyDescent="0.35">
      <c r="A45" s="299"/>
      <c r="B45" s="81" t="s">
        <v>387</v>
      </c>
      <c r="C45" s="69"/>
      <c r="D45" s="70">
        <v>11211</v>
      </c>
      <c r="E45" s="9">
        <v>15</v>
      </c>
      <c r="F45" s="9">
        <v>500</v>
      </c>
      <c r="G45" s="56">
        <v>0</v>
      </c>
      <c r="H45" s="56">
        <v>0</v>
      </c>
      <c r="I45" s="56">
        <v>0</v>
      </c>
      <c r="J45" s="9">
        <v>0</v>
      </c>
      <c r="L45" s="9">
        <v>5</v>
      </c>
      <c r="M45" s="9">
        <v>10</v>
      </c>
      <c r="N45" s="9">
        <v>10</v>
      </c>
      <c r="O45" s="9">
        <v>10</v>
      </c>
      <c r="P45" s="9">
        <v>15</v>
      </c>
      <c r="Q45" s="9">
        <v>10</v>
      </c>
      <c r="R45" s="9">
        <v>100</v>
      </c>
      <c r="T45" s="9">
        <v>200</v>
      </c>
      <c r="U45" s="9">
        <v>10</v>
      </c>
      <c r="V45" s="9">
        <v>0</v>
      </c>
      <c r="W45" s="9">
        <v>20</v>
      </c>
      <c r="X45" s="9">
        <v>30</v>
      </c>
      <c r="Y45" s="9">
        <v>20</v>
      </c>
      <c r="Z45" s="9">
        <v>0</v>
      </c>
      <c r="AA45" s="9">
        <v>0</v>
      </c>
      <c r="AB45" s="9">
        <v>0</v>
      </c>
    </row>
    <row r="46" spans="1:28" ht="16.5" x14ac:dyDescent="0.35">
      <c r="A46" s="299"/>
      <c r="B46" s="81" t="s">
        <v>389</v>
      </c>
      <c r="C46" s="69"/>
      <c r="D46" s="70">
        <v>11221</v>
      </c>
      <c r="E46" s="9">
        <v>15</v>
      </c>
      <c r="F46" s="9">
        <v>200</v>
      </c>
      <c r="G46" s="56">
        <v>0</v>
      </c>
      <c r="H46" s="56">
        <v>0</v>
      </c>
      <c r="I46" s="56">
        <v>0</v>
      </c>
      <c r="J46" s="9">
        <v>0</v>
      </c>
      <c r="M46" s="9">
        <v>10</v>
      </c>
      <c r="N46" s="9">
        <v>10</v>
      </c>
      <c r="O46" s="9">
        <v>10</v>
      </c>
      <c r="P46" s="9">
        <v>15</v>
      </c>
      <c r="Q46" s="9">
        <v>10</v>
      </c>
      <c r="R46" s="9">
        <v>100</v>
      </c>
      <c r="S46" s="9">
        <v>5</v>
      </c>
      <c r="T46" s="9">
        <v>200</v>
      </c>
      <c r="U46" s="9">
        <v>10</v>
      </c>
      <c r="V46" s="9">
        <v>0</v>
      </c>
      <c r="W46" s="9">
        <v>20</v>
      </c>
      <c r="X46" s="9">
        <v>30</v>
      </c>
      <c r="Y46" s="9">
        <v>20</v>
      </c>
      <c r="Z46" s="9">
        <v>0</v>
      </c>
      <c r="AA46" s="9">
        <v>0</v>
      </c>
      <c r="AB46" s="9">
        <v>0</v>
      </c>
    </row>
    <row r="47" spans="1:28" ht="16.5" x14ac:dyDescent="0.35">
      <c r="A47" s="299"/>
      <c r="B47" s="81" t="s">
        <v>391</v>
      </c>
      <c r="C47" s="69"/>
      <c r="D47" s="70">
        <v>11231</v>
      </c>
      <c r="E47" s="9">
        <v>20</v>
      </c>
      <c r="F47" s="9">
        <v>600</v>
      </c>
      <c r="G47" s="56">
        <v>0</v>
      </c>
      <c r="H47" s="56">
        <v>0</v>
      </c>
      <c r="I47" s="56">
        <v>0</v>
      </c>
      <c r="J47" s="9">
        <v>0</v>
      </c>
      <c r="L47" s="9">
        <v>5</v>
      </c>
      <c r="M47" s="9">
        <v>10</v>
      </c>
      <c r="N47" s="9">
        <v>10</v>
      </c>
      <c r="O47" s="9">
        <v>10</v>
      </c>
      <c r="P47" s="9">
        <v>15</v>
      </c>
      <c r="Q47" s="9">
        <v>10</v>
      </c>
      <c r="R47" s="9">
        <v>100</v>
      </c>
      <c r="S47" s="9">
        <v>5</v>
      </c>
      <c r="T47" s="9">
        <v>200</v>
      </c>
      <c r="U47" s="9">
        <v>10</v>
      </c>
      <c r="V47" s="9">
        <v>0</v>
      </c>
      <c r="W47" s="9">
        <v>20</v>
      </c>
      <c r="X47" s="9">
        <v>30</v>
      </c>
      <c r="Y47" s="9">
        <v>20</v>
      </c>
      <c r="Z47" s="9">
        <v>0</v>
      </c>
      <c r="AA47" s="9">
        <v>0</v>
      </c>
      <c r="AB47" s="9">
        <v>0</v>
      </c>
    </row>
    <row r="48" spans="1:28" ht="16.5" x14ac:dyDescent="0.35">
      <c r="A48" s="299"/>
      <c r="B48" s="81" t="s">
        <v>393</v>
      </c>
      <c r="C48" s="69"/>
      <c r="D48" s="70">
        <v>11241</v>
      </c>
      <c r="E48" s="9">
        <v>10</v>
      </c>
      <c r="F48" s="9">
        <v>1200</v>
      </c>
      <c r="G48" s="56">
        <v>0</v>
      </c>
      <c r="H48" s="56">
        <v>0</v>
      </c>
      <c r="I48" s="56">
        <v>0</v>
      </c>
      <c r="J48" s="9">
        <v>0</v>
      </c>
      <c r="M48" s="9">
        <v>10</v>
      </c>
      <c r="N48" s="9">
        <v>10</v>
      </c>
      <c r="O48" s="9">
        <v>10</v>
      </c>
      <c r="P48" s="9">
        <v>20</v>
      </c>
      <c r="Q48" s="9">
        <v>10</v>
      </c>
      <c r="R48" s="9">
        <v>100</v>
      </c>
      <c r="T48" s="9">
        <v>200</v>
      </c>
      <c r="U48" s="9">
        <v>10</v>
      </c>
      <c r="V48" s="9">
        <v>0</v>
      </c>
      <c r="W48" s="9">
        <v>20</v>
      </c>
      <c r="X48" s="9">
        <v>30</v>
      </c>
      <c r="Y48" s="9">
        <v>20</v>
      </c>
      <c r="Z48" s="9">
        <v>0</v>
      </c>
      <c r="AA48" s="9">
        <v>0</v>
      </c>
      <c r="AB48" s="9">
        <v>0</v>
      </c>
    </row>
    <row r="49" spans="1:28" ht="16.5" x14ac:dyDescent="0.35">
      <c r="A49" s="299"/>
      <c r="B49" s="81" t="s">
        <v>4465</v>
      </c>
      <c r="C49" s="69"/>
      <c r="D49" s="70">
        <v>11251</v>
      </c>
      <c r="E49" s="9">
        <v>15</v>
      </c>
      <c r="F49" s="9">
        <v>300</v>
      </c>
      <c r="G49" s="56">
        <v>0</v>
      </c>
      <c r="H49" s="56">
        <v>0</v>
      </c>
      <c r="I49" s="56">
        <v>0</v>
      </c>
      <c r="J49" s="9">
        <v>0</v>
      </c>
      <c r="M49" s="9">
        <v>10</v>
      </c>
      <c r="N49" s="9">
        <v>10</v>
      </c>
      <c r="O49" s="9">
        <v>10</v>
      </c>
      <c r="P49" s="9">
        <v>15</v>
      </c>
      <c r="Q49" s="9">
        <v>10</v>
      </c>
      <c r="R49" s="9">
        <v>100</v>
      </c>
      <c r="S49" s="9">
        <v>5</v>
      </c>
      <c r="T49" s="9">
        <v>200</v>
      </c>
      <c r="U49" s="9">
        <v>10</v>
      </c>
      <c r="V49" s="9">
        <v>0</v>
      </c>
      <c r="W49" s="9">
        <v>20</v>
      </c>
      <c r="X49" s="9">
        <v>30</v>
      </c>
      <c r="Y49" s="9">
        <v>20</v>
      </c>
      <c r="Z49" s="9">
        <v>0</v>
      </c>
      <c r="AA49" s="9">
        <v>0</v>
      </c>
      <c r="AB49" s="9">
        <v>0</v>
      </c>
    </row>
    <row r="50" spans="1:28" ht="16.5" x14ac:dyDescent="0.35">
      <c r="A50" s="299"/>
      <c r="B50" s="81" t="s">
        <v>4467</v>
      </c>
      <c r="C50" s="69"/>
      <c r="D50" s="70">
        <v>11252</v>
      </c>
      <c r="E50" s="9">
        <v>15</v>
      </c>
      <c r="F50" s="9">
        <v>300</v>
      </c>
      <c r="G50" s="56">
        <v>0</v>
      </c>
      <c r="H50" s="56">
        <v>0</v>
      </c>
      <c r="I50" s="56">
        <v>0</v>
      </c>
      <c r="J50" s="9">
        <v>0</v>
      </c>
      <c r="M50" s="9">
        <v>10</v>
      </c>
      <c r="N50" s="9">
        <v>10</v>
      </c>
      <c r="O50" s="9">
        <v>10</v>
      </c>
      <c r="P50" s="9">
        <v>15</v>
      </c>
      <c r="Q50" s="9">
        <v>10</v>
      </c>
      <c r="R50" s="9">
        <v>100</v>
      </c>
      <c r="S50" s="9">
        <v>5</v>
      </c>
      <c r="T50" s="9">
        <v>200</v>
      </c>
      <c r="U50" s="9">
        <v>10</v>
      </c>
      <c r="V50" s="9">
        <v>30</v>
      </c>
      <c r="W50" s="9">
        <v>20</v>
      </c>
      <c r="X50" s="9">
        <v>30</v>
      </c>
      <c r="Y50" s="9">
        <v>20</v>
      </c>
      <c r="Z50" s="9">
        <v>0</v>
      </c>
      <c r="AA50" s="9">
        <v>0</v>
      </c>
      <c r="AB50" s="9">
        <v>0</v>
      </c>
    </row>
    <row r="51" spans="1:28" ht="16.5" x14ac:dyDescent="0.35">
      <c r="A51" s="299"/>
      <c r="B51" s="81" t="s">
        <v>4468</v>
      </c>
      <c r="C51" s="69"/>
      <c r="D51" s="70">
        <v>11261</v>
      </c>
      <c r="E51" s="9">
        <v>8</v>
      </c>
      <c r="F51" s="9">
        <v>60</v>
      </c>
      <c r="G51" s="56">
        <v>0</v>
      </c>
      <c r="H51" s="56">
        <v>0</v>
      </c>
      <c r="I51" s="56">
        <v>0</v>
      </c>
      <c r="J51" s="9">
        <v>0</v>
      </c>
      <c r="M51" s="9">
        <v>10</v>
      </c>
      <c r="N51" s="9">
        <v>10</v>
      </c>
      <c r="O51" s="9">
        <v>10</v>
      </c>
      <c r="P51" s="9">
        <v>15</v>
      </c>
      <c r="Q51" s="9">
        <v>10</v>
      </c>
      <c r="R51" s="9">
        <v>100</v>
      </c>
      <c r="T51" s="9">
        <v>200</v>
      </c>
      <c r="U51" s="9">
        <v>10</v>
      </c>
      <c r="V51" s="9">
        <v>0</v>
      </c>
      <c r="W51" s="9">
        <v>20</v>
      </c>
      <c r="X51" s="9">
        <v>30</v>
      </c>
      <c r="Y51" s="9">
        <v>20</v>
      </c>
      <c r="Z51" s="9">
        <v>0</v>
      </c>
      <c r="AA51" s="9">
        <v>0</v>
      </c>
      <c r="AB51" s="9">
        <v>0</v>
      </c>
    </row>
    <row r="52" spans="1:28" ht="16.5" x14ac:dyDescent="0.35">
      <c r="A52" s="299"/>
      <c r="B52" s="81" t="s">
        <v>4471</v>
      </c>
      <c r="C52" s="69"/>
      <c r="D52" s="70">
        <v>11262</v>
      </c>
      <c r="E52" s="9">
        <v>8</v>
      </c>
      <c r="F52" s="9">
        <v>60</v>
      </c>
      <c r="G52" s="56">
        <v>0</v>
      </c>
      <c r="H52" s="56">
        <v>0</v>
      </c>
      <c r="I52" s="56">
        <v>0</v>
      </c>
      <c r="J52" s="9">
        <v>0</v>
      </c>
      <c r="M52" s="9">
        <v>10</v>
      </c>
      <c r="N52" s="9">
        <v>10</v>
      </c>
      <c r="O52" s="9">
        <v>10</v>
      </c>
      <c r="P52" s="9">
        <v>15</v>
      </c>
      <c r="Q52" s="9">
        <v>10</v>
      </c>
      <c r="R52" s="9">
        <v>100</v>
      </c>
      <c r="T52" s="9">
        <v>200</v>
      </c>
      <c r="U52" s="9">
        <v>10</v>
      </c>
      <c r="V52" s="9">
        <v>30</v>
      </c>
      <c r="W52" s="9">
        <v>20</v>
      </c>
      <c r="X52" s="9">
        <v>30</v>
      </c>
      <c r="Y52" s="9">
        <v>20</v>
      </c>
      <c r="Z52" s="9">
        <v>0</v>
      </c>
      <c r="AA52" s="9">
        <v>0</v>
      </c>
      <c r="AB52" s="9">
        <v>0</v>
      </c>
    </row>
    <row r="53" spans="1:28" ht="16.5" x14ac:dyDescent="0.35">
      <c r="A53" s="299"/>
      <c r="B53" s="82" t="s">
        <v>395</v>
      </c>
      <c r="C53" s="69"/>
      <c r="D53" s="70">
        <v>11401</v>
      </c>
      <c r="E53" s="9">
        <v>10</v>
      </c>
      <c r="F53" s="9">
        <v>200</v>
      </c>
      <c r="G53" s="56">
        <v>0</v>
      </c>
      <c r="H53" s="56">
        <v>0</v>
      </c>
      <c r="I53" s="56">
        <v>0</v>
      </c>
      <c r="J53" s="9">
        <v>0</v>
      </c>
      <c r="M53" s="9">
        <v>10</v>
      </c>
      <c r="N53" s="9">
        <v>10</v>
      </c>
      <c r="O53" s="9">
        <v>10</v>
      </c>
      <c r="P53" s="9">
        <v>15</v>
      </c>
      <c r="Q53" s="9">
        <v>10</v>
      </c>
      <c r="R53" s="9">
        <v>100</v>
      </c>
      <c r="T53" s="9">
        <v>200</v>
      </c>
      <c r="U53" s="9">
        <v>10</v>
      </c>
      <c r="V53" s="9">
        <v>0</v>
      </c>
      <c r="W53" s="9">
        <v>20</v>
      </c>
      <c r="X53" s="9">
        <v>30</v>
      </c>
      <c r="Y53" s="9">
        <v>20</v>
      </c>
      <c r="Z53" s="9">
        <v>0</v>
      </c>
      <c r="AA53" s="9">
        <v>0</v>
      </c>
      <c r="AB53" s="9">
        <v>0</v>
      </c>
    </row>
    <row r="54" spans="1:28" ht="16.5" x14ac:dyDescent="0.35">
      <c r="A54" s="299"/>
      <c r="B54" s="82" t="s">
        <v>397</v>
      </c>
      <c r="C54" s="69"/>
      <c r="D54" s="70">
        <v>11411</v>
      </c>
      <c r="E54" s="9">
        <v>15</v>
      </c>
      <c r="F54" s="9">
        <v>500</v>
      </c>
      <c r="G54" s="56">
        <v>0</v>
      </c>
      <c r="H54" s="56">
        <v>0</v>
      </c>
      <c r="I54" s="56">
        <v>0</v>
      </c>
      <c r="J54" s="9">
        <v>0</v>
      </c>
      <c r="L54" s="9">
        <v>10</v>
      </c>
      <c r="M54" s="9">
        <v>10</v>
      </c>
      <c r="N54" s="9">
        <v>10</v>
      </c>
      <c r="O54" s="9">
        <v>10</v>
      </c>
      <c r="P54" s="9">
        <v>15</v>
      </c>
      <c r="Q54" s="9">
        <v>10</v>
      </c>
      <c r="R54" s="9">
        <v>100</v>
      </c>
      <c r="S54" s="9">
        <v>5</v>
      </c>
      <c r="T54" s="9">
        <v>200</v>
      </c>
      <c r="U54" s="9">
        <v>10</v>
      </c>
      <c r="V54" s="9">
        <v>0</v>
      </c>
      <c r="W54" s="9">
        <v>20</v>
      </c>
      <c r="X54" s="9">
        <v>30</v>
      </c>
      <c r="Y54" s="9">
        <v>20</v>
      </c>
      <c r="Z54" s="9">
        <v>0</v>
      </c>
      <c r="AA54" s="9">
        <v>0</v>
      </c>
      <c r="AB54" s="9">
        <v>0</v>
      </c>
    </row>
    <row r="55" spans="1:28" ht="16.5" x14ac:dyDescent="0.35">
      <c r="A55" s="299"/>
      <c r="B55" s="83" t="s">
        <v>400</v>
      </c>
      <c r="C55" s="69"/>
      <c r="D55" s="70">
        <v>11421</v>
      </c>
      <c r="E55" s="9">
        <v>15</v>
      </c>
      <c r="F55" s="9">
        <v>300</v>
      </c>
      <c r="G55" s="56">
        <v>0</v>
      </c>
      <c r="H55" s="56">
        <v>0</v>
      </c>
      <c r="I55" s="56">
        <v>0</v>
      </c>
      <c r="J55" s="9">
        <v>0</v>
      </c>
      <c r="L55" s="9">
        <v>5</v>
      </c>
      <c r="M55" s="9">
        <v>10</v>
      </c>
      <c r="N55" s="9">
        <v>10</v>
      </c>
      <c r="O55" s="9">
        <v>10</v>
      </c>
      <c r="P55" s="9">
        <v>15</v>
      </c>
      <c r="Q55" s="9">
        <v>10</v>
      </c>
      <c r="R55" s="9">
        <v>100</v>
      </c>
      <c r="S55" s="9">
        <v>5</v>
      </c>
      <c r="T55" s="9">
        <v>200</v>
      </c>
      <c r="U55" s="9">
        <v>10</v>
      </c>
      <c r="V55" s="9">
        <v>0</v>
      </c>
      <c r="W55" s="9">
        <v>20</v>
      </c>
      <c r="X55" s="9">
        <v>30</v>
      </c>
      <c r="Y55" s="9">
        <v>20</v>
      </c>
      <c r="Z55" s="9">
        <v>0</v>
      </c>
      <c r="AA55" s="9">
        <v>0</v>
      </c>
      <c r="AB55" s="9">
        <v>0</v>
      </c>
    </row>
    <row r="56" spans="1:28" ht="16.5" x14ac:dyDescent="0.35">
      <c r="A56" s="299"/>
      <c r="B56" s="82" t="s">
        <v>403</v>
      </c>
      <c r="C56" s="69"/>
      <c r="D56" s="70">
        <v>11431</v>
      </c>
      <c r="E56" s="9">
        <v>20</v>
      </c>
      <c r="F56" s="9">
        <v>1500</v>
      </c>
      <c r="G56" s="56">
        <v>0</v>
      </c>
      <c r="H56" s="56">
        <v>0</v>
      </c>
      <c r="I56" s="56">
        <v>0</v>
      </c>
      <c r="J56" s="9">
        <v>0</v>
      </c>
      <c r="M56" s="9">
        <v>10</v>
      </c>
      <c r="N56" s="9">
        <v>10</v>
      </c>
      <c r="O56" s="9">
        <v>10</v>
      </c>
      <c r="P56" s="9">
        <v>20</v>
      </c>
      <c r="Q56" s="9">
        <v>10</v>
      </c>
      <c r="R56" s="9">
        <v>100</v>
      </c>
      <c r="T56" s="9">
        <v>200</v>
      </c>
      <c r="U56" s="9">
        <v>10</v>
      </c>
      <c r="V56" s="9">
        <v>0</v>
      </c>
      <c r="W56" s="9">
        <v>20</v>
      </c>
      <c r="X56" s="9">
        <v>30</v>
      </c>
      <c r="Y56" s="9">
        <v>20</v>
      </c>
      <c r="Z56" s="9">
        <v>0</v>
      </c>
      <c r="AA56" s="9">
        <v>0</v>
      </c>
      <c r="AB56" s="9">
        <v>0</v>
      </c>
    </row>
    <row r="57" spans="1:28" ht="16.5" x14ac:dyDescent="0.35">
      <c r="A57" s="299"/>
      <c r="B57" s="82" t="s">
        <v>405</v>
      </c>
      <c r="C57" s="69"/>
      <c r="D57" s="70">
        <v>11441</v>
      </c>
      <c r="E57" s="9">
        <v>20</v>
      </c>
      <c r="F57" s="9">
        <v>1000</v>
      </c>
      <c r="G57" s="56">
        <v>0</v>
      </c>
      <c r="H57" s="56">
        <v>0</v>
      </c>
      <c r="I57" s="56">
        <v>0</v>
      </c>
      <c r="J57" s="9">
        <v>0</v>
      </c>
      <c r="M57" s="9">
        <v>10</v>
      </c>
      <c r="N57" s="9">
        <v>10</v>
      </c>
      <c r="O57" s="9">
        <v>10</v>
      </c>
      <c r="P57" s="9">
        <v>15</v>
      </c>
      <c r="Q57" s="9">
        <v>10</v>
      </c>
      <c r="R57" s="9">
        <v>100</v>
      </c>
      <c r="T57" s="9">
        <v>200</v>
      </c>
      <c r="U57" s="9">
        <v>10</v>
      </c>
      <c r="V57" s="9">
        <v>0</v>
      </c>
      <c r="W57" s="9">
        <v>20</v>
      </c>
      <c r="X57" s="9">
        <v>30</v>
      </c>
      <c r="Y57" s="9">
        <v>20</v>
      </c>
      <c r="Z57" s="9">
        <v>0</v>
      </c>
      <c r="AA57" s="9">
        <v>0</v>
      </c>
      <c r="AB57" s="9">
        <v>0</v>
      </c>
    </row>
    <row r="58" spans="1:28" ht="16.5" x14ac:dyDescent="0.35">
      <c r="A58" s="299"/>
      <c r="B58" s="82" t="s">
        <v>407</v>
      </c>
      <c r="C58" s="69"/>
      <c r="D58" s="70">
        <v>11451</v>
      </c>
      <c r="E58" s="9">
        <v>20</v>
      </c>
      <c r="F58" s="9">
        <v>300</v>
      </c>
      <c r="G58" s="56">
        <v>0</v>
      </c>
      <c r="H58" s="56">
        <v>0</v>
      </c>
      <c r="I58" s="56">
        <v>0</v>
      </c>
      <c r="J58" s="9">
        <v>0</v>
      </c>
      <c r="L58" s="9">
        <v>20</v>
      </c>
      <c r="M58" s="9">
        <v>10</v>
      </c>
      <c r="N58" s="9">
        <v>10</v>
      </c>
      <c r="O58" s="9">
        <v>10</v>
      </c>
      <c r="P58" s="9">
        <v>15</v>
      </c>
      <c r="Q58" s="9">
        <v>10</v>
      </c>
      <c r="R58" s="9">
        <v>100</v>
      </c>
      <c r="S58" s="9">
        <v>10</v>
      </c>
      <c r="T58" s="9">
        <v>200</v>
      </c>
      <c r="U58" s="9">
        <v>10</v>
      </c>
      <c r="V58" s="9">
        <v>0</v>
      </c>
      <c r="W58" s="9">
        <v>20</v>
      </c>
      <c r="X58" s="9">
        <v>30</v>
      </c>
      <c r="Y58" s="9">
        <v>20</v>
      </c>
      <c r="Z58" s="9">
        <v>0</v>
      </c>
      <c r="AA58" s="9">
        <v>0</v>
      </c>
      <c r="AB58" s="9">
        <v>0</v>
      </c>
    </row>
    <row r="59" spans="1:28" ht="16.5" x14ac:dyDescent="0.35">
      <c r="A59" s="299"/>
      <c r="B59" s="74" t="s">
        <v>409</v>
      </c>
      <c r="C59" s="75"/>
      <c r="D59" s="70">
        <v>11501</v>
      </c>
      <c r="E59" s="9">
        <v>20</v>
      </c>
      <c r="F59" s="9">
        <v>200</v>
      </c>
      <c r="G59" s="63">
        <v>0</v>
      </c>
      <c r="H59" s="63">
        <v>0</v>
      </c>
      <c r="I59" s="63">
        <v>0</v>
      </c>
      <c r="J59" s="21">
        <v>0</v>
      </c>
      <c r="K59" s="21">
        <v>0</v>
      </c>
      <c r="L59" s="21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200</v>
      </c>
      <c r="S59" s="9">
        <v>25</v>
      </c>
      <c r="T59" s="9">
        <v>200</v>
      </c>
      <c r="U59" s="9">
        <v>10</v>
      </c>
      <c r="V59" s="9">
        <v>0</v>
      </c>
      <c r="W59" s="9">
        <v>20</v>
      </c>
      <c r="X59" s="9">
        <v>30</v>
      </c>
      <c r="Y59" s="9">
        <v>20</v>
      </c>
      <c r="Z59" s="9">
        <v>0</v>
      </c>
      <c r="AA59" s="9">
        <v>0</v>
      </c>
      <c r="AB59" s="9">
        <v>0</v>
      </c>
    </row>
    <row r="60" spans="1:28" ht="16.5" x14ac:dyDescent="0.35">
      <c r="A60" s="299"/>
      <c r="B60" s="84" t="s">
        <v>411</v>
      </c>
      <c r="C60" s="69"/>
      <c r="D60" s="70">
        <v>11601</v>
      </c>
      <c r="E60" s="9">
        <v>20</v>
      </c>
      <c r="F60" s="9">
        <v>2000</v>
      </c>
      <c r="G60" s="56">
        <v>0</v>
      </c>
      <c r="H60" s="63" t="s">
        <v>723</v>
      </c>
      <c r="I60" s="56">
        <v>0</v>
      </c>
      <c r="J60" s="9">
        <v>300</v>
      </c>
      <c r="M60" s="9">
        <v>10</v>
      </c>
      <c r="N60" s="9">
        <v>10</v>
      </c>
      <c r="O60" s="9">
        <v>10</v>
      </c>
      <c r="P60" s="9">
        <v>25</v>
      </c>
      <c r="Q60" s="9">
        <v>10</v>
      </c>
      <c r="R60" s="9">
        <v>100</v>
      </c>
      <c r="T60" s="9">
        <v>200</v>
      </c>
      <c r="U60" s="9">
        <v>10</v>
      </c>
      <c r="V60" s="9">
        <v>0</v>
      </c>
      <c r="W60" s="9">
        <v>20</v>
      </c>
      <c r="X60" s="9">
        <v>30</v>
      </c>
      <c r="Y60" s="9">
        <v>20</v>
      </c>
      <c r="Z60" s="9">
        <v>0</v>
      </c>
      <c r="AA60" s="9">
        <v>0</v>
      </c>
      <c r="AB60" s="9">
        <v>0</v>
      </c>
    </row>
    <row r="61" spans="1:28" ht="16.5" x14ac:dyDescent="0.35">
      <c r="A61" s="299"/>
      <c r="B61" s="85" t="s">
        <v>391</v>
      </c>
      <c r="C61" s="69"/>
      <c r="D61" s="70">
        <v>11611</v>
      </c>
      <c r="E61" s="9">
        <v>20</v>
      </c>
      <c r="F61" s="9">
        <v>3200</v>
      </c>
      <c r="G61" s="56">
        <v>0</v>
      </c>
      <c r="H61" s="63" t="s">
        <v>724</v>
      </c>
      <c r="I61" s="56">
        <v>0</v>
      </c>
      <c r="J61" s="9">
        <v>300</v>
      </c>
      <c r="M61" s="9">
        <v>10</v>
      </c>
      <c r="N61" s="9">
        <v>10</v>
      </c>
      <c r="O61" s="9">
        <v>10</v>
      </c>
      <c r="P61" s="9">
        <v>25</v>
      </c>
      <c r="Q61" s="9">
        <v>10</v>
      </c>
      <c r="R61" s="9">
        <v>100</v>
      </c>
      <c r="T61" s="9">
        <v>200</v>
      </c>
      <c r="U61" s="9">
        <v>10</v>
      </c>
      <c r="V61" s="9">
        <v>0</v>
      </c>
      <c r="W61" s="9">
        <v>20</v>
      </c>
      <c r="X61" s="9">
        <v>30</v>
      </c>
      <c r="Y61" s="9">
        <v>20</v>
      </c>
      <c r="Z61" s="9">
        <v>0</v>
      </c>
      <c r="AA61" s="9">
        <v>0</v>
      </c>
      <c r="AB61" s="9">
        <v>0</v>
      </c>
    </row>
    <row r="62" spans="1:28" ht="16.5" x14ac:dyDescent="0.35">
      <c r="A62" s="299"/>
      <c r="B62" s="76" t="s">
        <v>730</v>
      </c>
      <c r="C62" s="69"/>
      <c r="D62" s="70">
        <v>11621</v>
      </c>
      <c r="E62" s="9">
        <v>20</v>
      </c>
      <c r="F62" s="9">
        <v>4000</v>
      </c>
      <c r="G62" s="56">
        <v>0</v>
      </c>
      <c r="H62" s="63" t="s">
        <v>725</v>
      </c>
      <c r="I62" s="56">
        <v>0</v>
      </c>
      <c r="J62" s="9">
        <v>300</v>
      </c>
      <c r="M62" s="9">
        <v>10</v>
      </c>
      <c r="N62" s="9">
        <v>10</v>
      </c>
      <c r="O62" s="9">
        <v>10</v>
      </c>
      <c r="P62" s="9">
        <v>25</v>
      </c>
      <c r="Q62" s="9">
        <v>10</v>
      </c>
      <c r="R62" s="9">
        <v>100</v>
      </c>
      <c r="T62" s="9">
        <v>200</v>
      </c>
      <c r="U62" s="9">
        <v>10</v>
      </c>
      <c r="V62" s="9">
        <v>0</v>
      </c>
      <c r="W62" s="9">
        <v>20</v>
      </c>
      <c r="X62" s="9">
        <v>30</v>
      </c>
      <c r="Y62" s="9">
        <v>20</v>
      </c>
      <c r="Z62" s="9">
        <v>0</v>
      </c>
      <c r="AA62" s="9">
        <v>0</v>
      </c>
      <c r="AB62" s="9">
        <v>0</v>
      </c>
    </row>
    <row r="63" spans="1:28" ht="16.5" x14ac:dyDescent="0.35">
      <c r="A63" s="299"/>
      <c r="B63" s="86" t="s">
        <v>418</v>
      </c>
      <c r="C63" s="69"/>
      <c r="D63" s="70">
        <v>11701</v>
      </c>
      <c r="E63" s="9">
        <v>20</v>
      </c>
      <c r="F63" s="9">
        <v>6500</v>
      </c>
      <c r="G63" s="56">
        <v>0</v>
      </c>
      <c r="H63" s="63" t="s">
        <v>725</v>
      </c>
      <c r="I63" s="56">
        <v>0</v>
      </c>
      <c r="J63" s="9">
        <v>500</v>
      </c>
      <c r="M63" s="9">
        <v>10</v>
      </c>
      <c r="N63" s="9">
        <v>10</v>
      </c>
      <c r="O63" s="9">
        <v>10</v>
      </c>
      <c r="P63" s="9">
        <v>30</v>
      </c>
      <c r="Q63" s="9">
        <v>10</v>
      </c>
      <c r="R63" s="9">
        <v>100</v>
      </c>
      <c r="S63" s="9">
        <v>5</v>
      </c>
      <c r="T63" s="9">
        <v>200</v>
      </c>
      <c r="U63" s="9">
        <v>10</v>
      </c>
      <c r="V63" s="9">
        <v>0</v>
      </c>
      <c r="W63" s="9">
        <v>20</v>
      </c>
      <c r="X63" s="9">
        <v>30</v>
      </c>
      <c r="Y63" s="9">
        <v>20</v>
      </c>
      <c r="Z63" s="9">
        <v>0</v>
      </c>
      <c r="AA63" s="9">
        <v>0</v>
      </c>
      <c r="AB63" s="9">
        <v>0</v>
      </c>
    </row>
    <row r="64" spans="1:28" ht="16.5" x14ac:dyDescent="0.35">
      <c r="A64" s="299"/>
      <c r="B64" s="87" t="s">
        <v>731</v>
      </c>
      <c r="C64" s="69"/>
      <c r="D64" s="70">
        <v>11711</v>
      </c>
      <c r="E64" s="9">
        <v>20</v>
      </c>
      <c r="F64" s="9">
        <v>7500</v>
      </c>
      <c r="G64" s="56">
        <v>0</v>
      </c>
      <c r="H64" s="63" t="s">
        <v>726</v>
      </c>
      <c r="I64" s="56">
        <v>0</v>
      </c>
      <c r="J64" s="9">
        <v>500</v>
      </c>
      <c r="M64" s="9">
        <v>10</v>
      </c>
      <c r="N64" s="9">
        <v>10</v>
      </c>
      <c r="O64" s="9">
        <v>10</v>
      </c>
      <c r="P64" s="9">
        <v>30</v>
      </c>
      <c r="Q64" s="9">
        <v>10</v>
      </c>
      <c r="R64" s="9">
        <v>100</v>
      </c>
      <c r="S64" s="9">
        <v>5</v>
      </c>
      <c r="T64" s="9">
        <v>200</v>
      </c>
      <c r="U64" s="9">
        <v>10</v>
      </c>
      <c r="V64" s="9">
        <v>0</v>
      </c>
      <c r="W64" s="9">
        <v>20</v>
      </c>
      <c r="X64" s="9">
        <v>30</v>
      </c>
      <c r="Y64" s="9">
        <v>20</v>
      </c>
      <c r="Z64" s="9">
        <v>0</v>
      </c>
      <c r="AA64" s="9">
        <v>0</v>
      </c>
      <c r="AB64" s="9">
        <v>0</v>
      </c>
    </row>
    <row r="65" spans="1:28" ht="16.5" x14ac:dyDescent="0.35">
      <c r="A65" s="299"/>
      <c r="B65" s="87" t="s">
        <v>732</v>
      </c>
      <c r="C65" s="69"/>
      <c r="D65" s="70">
        <v>11721</v>
      </c>
      <c r="E65" s="9">
        <v>20</v>
      </c>
      <c r="F65" s="9">
        <v>9000</v>
      </c>
      <c r="G65" s="56">
        <v>0</v>
      </c>
      <c r="H65" s="63" t="s">
        <v>727</v>
      </c>
      <c r="I65" s="56">
        <v>0</v>
      </c>
      <c r="J65" s="9">
        <v>500</v>
      </c>
      <c r="L65" s="9">
        <v>10</v>
      </c>
      <c r="M65" s="9">
        <v>10</v>
      </c>
      <c r="N65" s="9">
        <v>10</v>
      </c>
      <c r="O65" s="9">
        <v>10</v>
      </c>
      <c r="P65" s="9">
        <v>30</v>
      </c>
      <c r="Q65" s="9">
        <v>10</v>
      </c>
      <c r="R65" s="9">
        <v>100</v>
      </c>
      <c r="S65" s="9">
        <v>5</v>
      </c>
      <c r="T65" s="9">
        <v>200</v>
      </c>
      <c r="U65" s="9">
        <v>10</v>
      </c>
      <c r="V65" s="9">
        <v>0</v>
      </c>
      <c r="W65" s="9">
        <v>20</v>
      </c>
      <c r="X65" s="9">
        <v>30</v>
      </c>
      <c r="Y65" s="9">
        <v>20</v>
      </c>
      <c r="Z65" s="9">
        <v>0</v>
      </c>
      <c r="AA65" s="9">
        <v>0</v>
      </c>
      <c r="AB65" s="9">
        <v>0</v>
      </c>
    </row>
    <row r="66" spans="1:28" ht="16.5" x14ac:dyDescent="0.35">
      <c r="A66" s="299"/>
      <c r="B66" s="87" t="s">
        <v>426</v>
      </c>
      <c r="C66" s="69"/>
      <c r="D66" s="70">
        <v>11731</v>
      </c>
      <c r="E66" s="9">
        <v>20</v>
      </c>
      <c r="F66" s="9">
        <v>10000</v>
      </c>
      <c r="G66" s="56">
        <v>0</v>
      </c>
      <c r="H66" s="63" t="s">
        <v>728</v>
      </c>
      <c r="I66" s="56">
        <v>0</v>
      </c>
      <c r="J66" s="9">
        <v>500</v>
      </c>
      <c r="L66" s="9">
        <v>10</v>
      </c>
      <c r="M66" s="9">
        <v>10</v>
      </c>
      <c r="N66" s="9">
        <v>10</v>
      </c>
      <c r="O66" s="9">
        <v>10</v>
      </c>
      <c r="P66" s="9">
        <v>30</v>
      </c>
      <c r="Q66" s="9">
        <v>10</v>
      </c>
      <c r="R66" s="9">
        <v>100</v>
      </c>
      <c r="S66" s="9">
        <v>10</v>
      </c>
      <c r="T66" s="9">
        <v>200</v>
      </c>
      <c r="U66" s="9">
        <v>10</v>
      </c>
      <c r="V66" s="9">
        <v>0</v>
      </c>
      <c r="W66" s="9">
        <v>20</v>
      </c>
      <c r="X66" s="9">
        <v>30</v>
      </c>
      <c r="Y66" s="9">
        <v>20</v>
      </c>
      <c r="Z66" s="9">
        <v>0</v>
      </c>
      <c r="AA66" s="9">
        <v>0</v>
      </c>
      <c r="AB66" s="9">
        <v>0</v>
      </c>
    </row>
    <row r="67" spans="1:28" ht="16.5" x14ac:dyDescent="0.35">
      <c r="A67" s="299" t="s">
        <v>733</v>
      </c>
      <c r="B67" s="80" t="s">
        <v>432</v>
      </c>
      <c r="C67" s="75" t="s">
        <v>375</v>
      </c>
      <c r="D67" s="70">
        <v>12101</v>
      </c>
      <c r="E67" s="9">
        <v>10</v>
      </c>
      <c r="F67" s="9">
        <v>75</v>
      </c>
      <c r="G67" s="56">
        <v>0</v>
      </c>
      <c r="H67" s="56">
        <v>0</v>
      </c>
      <c r="I67" s="56">
        <v>0</v>
      </c>
      <c r="J67" s="9">
        <v>0</v>
      </c>
      <c r="M67" s="9">
        <v>10</v>
      </c>
      <c r="N67" s="9">
        <v>10</v>
      </c>
      <c r="O67" s="9">
        <v>10</v>
      </c>
      <c r="P67" s="9">
        <v>10</v>
      </c>
      <c r="Q67" s="9">
        <v>15</v>
      </c>
      <c r="R67" s="9">
        <v>100</v>
      </c>
      <c r="T67" s="9">
        <v>200</v>
      </c>
      <c r="U67" s="9">
        <v>10</v>
      </c>
      <c r="V67" s="9">
        <v>0</v>
      </c>
      <c r="W67" s="9">
        <v>20</v>
      </c>
      <c r="X67" s="9">
        <v>30</v>
      </c>
      <c r="Y67" s="9">
        <v>20</v>
      </c>
      <c r="Z67" s="9">
        <v>0</v>
      </c>
      <c r="AA67" s="9">
        <v>0</v>
      </c>
      <c r="AB67" s="9">
        <v>0</v>
      </c>
    </row>
    <row r="68" spans="1:28" ht="16.5" x14ac:dyDescent="0.35">
      <c r="A68" s="299"/>
      <c r="B68" s="80" t="s">
        <v>435</v>
      </c>
      <c r="C68" s="75" t="s">
        <v>379</v>
      </c>
      <c r="D68" s="70">
        <v>12111</v>
      </c>
      <c r="E68" s="9">
        <v>10</v>
      </c>
      <c r="F68" s="9">
        <v>500</v>
      </c>
      <c r="G68" s="56">
        <v>0</v>
      </c>
      <c r="H68" s="56">
        <v>0</v>
      </c>
      <c r="I68" s="56">
        <v>0</v>
      </c>
      <c r="J68" s="9">
        <v>0</v>
      </c>
      <c r="M68" s="9">
        <v>10</v>
      </c>
      <c r="N68" s="9">
        <v>10</v>
      </c>
      <c r="O68" s="9">
        <v>10</v>
      </c>
      <c r="P68" s="9">
        <v>10</v>
      </c>
      <c r="Q68" s="9">
        <v>25</v>
      </c>
      <c r="R68" s="9">
        <v>100</v>
      </c>
      <c r="T68" s="9">
        <v>200</v>
      </c>
      <c r="U68" s="9">
        <v>10</v>
      </c>
      <c r="V68" s="9">
        <v>0</v>
      </c>
      <c r="W68" s="9">
        <v>20</v>
      </c>
      <c r="X68" s="9">
        <v>30</v>
      </c>
      <c r="Y68" s="9">
        <v>20</v>
      </c>
      <c r="Z68" s="9">
        <v>0</v>
      </c>
      <c r="AA68" s="9">
        <v>0</v>
      </c>
      <c r="AB68" s="9">
        <v>0</v>
      </c>
    </row>
    <row r="69" spans="1:28" ht="16.5" x14ac:dyDescent="0.35">
      <c r="A69" s="299"/>
      <c r="B69" s="80" t="s">
        <v>437</v>
      </c>
      <c r="C69" s="75" t="s">
        <v>382</v>
      </c>
      <c r="D69" s="70">
        <v>12121</v>
      </c>
      <c r="E69" s="9">
        <v>15</v>
      </c>
      <c r="F69" s="9">
        <v>180</v>
      </c>
      <c r="G69" s="56">
        <v>0</v>
      </c>
      <c r="H69" s="56">
        <v>0</v>
      </c>
      <c r="I69" s="56">
        <v>0</v>
      </c>
      <c r="J69" s="9">
        <v>0</v>
      </c>
      <c r="L69" s="9">
        <v>5</v>
      </c>
      <c r="M69" s="9">
        <v>10</v>
      </c>
      <c r="N69" s="9">
        <v>10</v>
      </c>
      <c r="O69" s="9">
        <v>10</v>
      </c>
      <c r="P69" s="9">
        <v>10</v>
      </c>
      <c r="Q69" s="9">
        <v>15</v>
      </c>
      <c r="R69" s="9">
        <v>100</v>
      </c>
      <c r="T69" s="9">
        <v>200</v>
      </c>
      <c r="U69" s="9">
        <v>10</v>
      </c>
      <c r="V69" s="9">
        <v>0</v>
      </c>
      <c r="W69" s="9">
        <v>20</v>
      </c>
      <c r="X69" s="9">
        <v>30</v>
      </c>
      <c r="Y69" s="9">
        <v>20</v>
      </c>
      <c r="Z69" s="9">
        <v>0</v>
      </c>
      <c r="AA69" s="9">
        <v>0</v>
      </c>
      <c r="AB69" s="9">
        <v>0</v>
      </c>
    </row>
    <row r="70" spans="1:28" ht="16.5" x14ac:dyDescent="0.35">
      <c r="A70" s="299"/>
      <c r="B70" s="80" t="s">
        <v>438</v>
      </c>
      <c r="C70" s="75" t="s">
        <v>384</v>
      </c>
      <c r="D70" s="70">
        <v>12131</v>
      </c>
      <c r="E70" s="9">
        <v>20</v>
      </c>
      <c r="F70" s="9">
        <v>240</v>
      </c>
      <c r="G70" s="56">
        <v>0</v>
      </c>
      <c r="H70" s="56">
        <v>0</v>
      </c>
      <c r="I70" s="56">
        <v>0</v>
      </c>
      <c r="J70" s="9">
        <v>0</v>
      </c>
      <c r="L70" s="9">
        <v>5</v>
      </c>
      <c r="M70" s="9">
        <v>10</v>
      </c>
      <c r="N70" s="9">
        <v>10</v>
      </c>
      <c r="O70" s="9">
        <v>10</v>
      </c>
      <c r="P70" s="9">
        <v>10</v>
      </c>
      <c r="Q70" s="9">
        <v>15</v>
      </c>
      <c r="R70" s="9">
        <v>100</v>
      </c>
      <c r="S70" s="9">
        <v>5</v>
      </c>
      <c r="T70" s="9">
        <v>200</v>
      </c>
      <c r="U70" s="9">
        <v>10</v>
      </c>
      <c r="V70" s="9">
        <v>0</v>
      </c>
      <c r="W70" s="9">
        <v>20</v>
      </c>
      <c r="X70" s="9">
        <v>30</v>
      </c>
      <c r="Y70" s="9">
        <v>20</v>
      </c>
      <c r="Z70" s="9">
        <v>0</v>
      </c>
      <c r="AA70" s="9">
        <v>0</v>
      </c>
      <c r="AB70" s="9">
        <v>0</v>
      </c>
    </row>
    <row r="71" spans="1:28" ht="16.5" x14ac:dyDescent="0.35">
      <c r="A71" s="299"/>
      <c r="B71" s="81" t="s">
        <v>439</v>
      </c>
      <c r="C71" s="75" t="s">
        <v>386</v>
      </c>
      <c r="D71" s="70">
        <v>12201</v>
      </c>
      <c r="E71" s="9">
        <v>10</v>
      </c>
      <c r="F71" s="9">
        <v>150</v>
      </c>
      <c r="G71" s="56">
        <v>0</v>
      </c>
      <c r="H71" s="56">
        <v>0</v>
      </c>
      <c r="I71" s="56">
        <v>0</v>
      </c>
      <c r="J71" s="9">
        <v>0</v>
      </c>
      <c r="M71" s="9">
        <v>10</v>
      </c>
      <c r="N71" s="9">
        <v>10</v>
      </c>
      <c r="O71" s="9">
        <v>10</v>
      </c>
      <c r="P71" s="9">
        <v>10</v>
      </c>
      <c r="Q71" s="9">
        <v>15</v>
      </c>
      <c r="R71" s="9">
        <v>100</v>
      </c>
      <c r="S71" s="9">
        <v>5</v>
      </c>
      <c r="T71" s="9">
        <v>200</v>
      </c>
      <c r="U71" s="9">
        <v>10</v>
      </c>
      <c r="V71" s="9">
        <v>0</v>
      </c>
      <c r="W71" s="9">
        <v>20</v>
      </c>
      <c r="X71" s="9">
        <v>30</v>
      </c>
      <c r="Y71" s="9">
        <v>20</v>
      </c>
      <c r="Z71" s="9">
        <v>0</v>
      </c>
      <c r="AA71" s="9">
        <v>0</v>
      </c>
      <c r="AB71" s="9">
        <v>0</v>
      </c>
    </row>
    <row r="72" spans="1:28" ht="16.5" x14ac:dyDescent="0.35">
      <c r="A72" s="299"/>
      <c r="B72" s="81" t="s">
        <v>442</v>
      </c>
      <c r="C72" s="75" t="s">
        <v>443</v>
      </c>
      <c r="D72" s="70">
        <v>12211</v>
      </c>
      <c r="E72" s="9">
        <v>10</v>
      </c>
      <c r="F72" s="9">
        <v>1200</v>
      </c>
      <c r="G72" s="56">
        <v>0</v>
      </c>
      <c r="H72" s="56">
        <v>0</v>
      </c>
      <c r="I72" s="56">
        <v>0</v>
      </c>
      <c r="J72" s="9">
        <v>0</v>
      </c>
      <c r="M72" s="9">
        <v>10</v>
      </c>
      <c r="N72" s="9">
        <v>10</v>
      </c>
      <c r="O72" s="9">
        <v>10</v>
      </c>
      <c r="P72" s="9">
        <v>10</v>
      </c>
      <c r="Q72" s="9">
        <v>25</v>
      </c>
      <c r="R72" s="9">
        <v>100</v>
      </c>
      <c r="S72" s="9">
        <v>10</v>
      </c>
      <c r="T72" s="9">
        <v>200</v>
      </c>
      <c r="U72" s="9">
        <v>10</v>
      </c>
      <c r="V72" s="9">
        <v>0</v>
      </c>
      <c r="W72" s="9">
        <v>20</v>
      </c>
      <c r="X72" s="9">
        <v>30</v>
      </c>
      <c r="Y72" s="9">
        <v>20</v>
      </c>
      <c r="Z72" s="9">
        <v>0</v>
      </c>
      <c r="AA72" s="9">
        <v>0</v>
      </c>
      <c r="AB72" s="9">
        <v>0</v>
      </c>
    </row>
    <row r="73" spans="1:28" ht="16.5" x14ac:dyDescent="0.35">
      <c r="A73" s="299"/>
      <c r="B73" s="81" t="s">
        <v>445</v>
      </c>
      <c r="C73" s="75" t="s">
        <v>382</v>
      </c>
      <c r="D73" s="70">
        <v>12221</v>
      </c>
      <c r="E73" s="9">
        <v>15</v>
      </c>
      <c r="F73" s="9">
        <v>250</v>
      </c>
      <c r="G73" s="56">
        <v>0</v>
      </c>
      <c r="H73" s="56">
        <v>0</v>
      </c>
      <c r="I73" s="56">
        <v>0</v>
      </c>
      <c r="J73" s="9">
        <v>0</v>
      </c>
      <c r="L73" s="9">
        <v>10</v>
      </c>
      <c r="M73" s="9">
        <v>10</v>
      </c>
      <c r="N73" s="9">
        <v>10</v>
      </c>
      <c r="O73" s="9">
        <v>10</v>
      </c>
      <c r="P73" s="9">
        <v>10</v>
      </c>
      <c r="Q73" s="9">
        <v>15</v>
      </c>
      <c r="R73" s="9">
        <v>100</v>
      </c>
      <c r="S73" s="9">
        <v>10</v>
      </c>
      <c r="T73" s="9">
        <v>200</v>
      </c>
      <c r="U73" s="9">
        <v>10</v>
      </c>
      <c r="V73" s="9">
        <v>0</v>
      </c>
      <c r="W73" s="9">
        <v>20</v>
      </c>
      <c r="X73" s="9">
        <v>30</v>
      </c>
      <c r="Y73" s="9">
        <v>20</v>
      </c>
      <c r="Z73" s="9">
        <v>0</v>
      </c>
      <c r="AA73" s="9">
        <v>0</v>
      </c>
      <c r="AB73" s="9">
        <v>0</v>
      </c>
    </row>
    <row r="74" spans="1:28" ht="16.5" x14ac:dyDescent="0.35">
      <c r="A74" s="299"/>
      <c r="B74" s="81" t="s">
        <v>446</v>
      </c>
      <c r="C74" s="75" t="s">
        <v>447</v>
      </c>
      <c r="D74" s="70">
        <v>12231</v>
      </c>
      <c r="E74" s="9">
        <v>20</v>
      </c>
      <c r="F74" s="9">
        <v>200</v>
      </c>
      <c r="G74" s="56">
        <v>0</v>
      </c>
      <c r="H74" s="56">
        <v>0</v>
      </c>
      <c r="I74" s="56">
        <v>0</v>
      </c>
      <c r="J74" s="9">
        <v>0</v>
      </c>
      <c r="M74" s="9">
        <v>10</v>
      </c>
      <c r="N74" s="9">
        <v>10</v>
      </c>
      <c r="O74" s="9">
        <v>10</v>
      </c>
      <c r="P74" s="9">
        <v>10</v>
      </c>
      <c r="Q74" s="9">
        <v>20</v>
      </c>
      <c r="R74" s="9">
        <v>100</v>
      </c>
      <c r="S74" s="9">
        <v>10</v>
      </c>
      <c r="T74" s="9">
        <v>200</v>
      </c>
      <c r="U74" s="9">
        <v>10</v>
      </c>
      <c r="V74" s="9">
        <v>0</v>
      </c>
      <c r="W74" s="9">
        <v>20</v>
      </c>
      <c r="X74" s="9">
        <v>30</v>
      </c>
      <c r="Y74" s="9">
        <v>20</v>
      </c>
      <c r="Z74" s="9">
        <v>0</v>
      </c>
      <c r="AA74" s="9">
        <v>0</v>
      </c>
      <c r="AB74" s="9">
        <v>0</v>
      </c>
    </row>
    <row r="75" spans="1:28" ht="16.5" x14ac:dyDescent="0.35">
      <c r="A75" s="299"/>
      <c r="B75" s="81" t="s">
        <v>448</v>
      </c>
      <c r="C75" s="75" t="s">
        <v>449</v>
      </c>
      <c r="D75" s="70">
        <v>12241</v>
      </c>
      <c r="E75" s="9">
        <v>15</v>
      </c>
      <c r="F75" s="9">
        <v>500</v>
      </c>
      <c r="G75" s="56">
        <v>0</v>
      </c>
      <c r="H75" s="56">
        <v>0</v>
      </c>
      <c r="I75" s="56">
        <v>0</v>
      </c>
      <c r="J75" s="9">
        <v>0</v>
      </c>
      <c r="M75" s="9">
        <v>10</v>
      </c>
      <c r="N75" s="9">
        <v>10</v>
      </c>
      <c r="O75" s="9">
        <v>10</v>
      </c>
      <c r="P75" s="9">
        <v>10</v>
      </c>
      <c r="Q75" s="9">
        <v>15</v>
      </c>
      <c r="R75" s="9">
        <v>100</v>
      </c>
      <c r="S75" s="9">
        <v>10</v>
      </c>
      <c r="T75" s="9">
        <v>200</v>
      </c>
      <c r="U75" s="9">
        <v>10</v>
      </c>
      <c r="V75" s="9">
        <v>0</v>
      </c>
      <c r="W75" s="9">
        <v>20</v>
      </c>
      <c r="X75" s="9">
        <v>30</v>
      </c>
      <c r="Y75" s="9">
        <v>20</v>
      </c>
      <c r="Z75" s="9">
        <v>0</v>
      </c>
      <c r="AA75" s="9">
        <v>0</v>
      </c>
      <c r="AB75" s="9">
        <v>0</v>
      </c>
    </row>
    <row r="76" spans="1:28" ht="16.5" x14ac:dyDescent="0.35">
      <c r="A76" s="299"/>
      <c r="B76" s="81" t="s">
        <v>450</v>
      </c>
      <c r="C76" s="75" t="s">
        <v>449</v>
      </c>
      <c r="D76" s="70">
        <v>12251</v>
      </c>
      <c r="E76" s="9">
        <v>8</v>
      </c>
      <c r="F76" s="9">
        <v>900</v>
      </c>
      <c r="G76" s="56">
        <v>0</v>
      </c>
      <c r="H76" s="56">
        <v>0</v>
      </c>
      <c r="I76" s="56">
        <v>0</v>
      </c>
      <c r="J76" s="9">
        <v>0</v>
      </c>
      <c r="M76" s="9">
        <v>10</v>
      </c>
      <c r="N76" s="9">
        <v>10</v>
      </c>
      <c r="O76" s="9">
        <v>10</v>
      </c>
      <c r="P76" s="9">
        <v>10</v>
      </c>
      <c r="Q76" s="9">
        <v>15</v>
      </c>
      <c r="R76" s="9">
        <v>100</v>
      </c>
      <c r="S76" s="9">
        <v>10</v>
      </c>
      <c r="T76" s="9">
        <v>200</v>
      </c>
      <c r="U76" s="9">
        <v>10</v>
      </c>
      <c r="V76" s="9">
        <v>0</v>
      </c>
      <c r="W76" s="9">
        <v>20</v>
      </c>
      <c r="X76" s="9">
        <v>30</v>
      </c>
      <c r="Y76" s="9">
        <v>20</v>
      </c>
      <c r="Z76" s="9">
        <v>0</v>
      </c>
      <c r="AA76" s="9">
        <v>0</v>
      </c>
      <c r="AB76" s="9">
        <v>0</v>
      </c>
    </row>
    <row r="77" spans="1:28" ht="16.5" x14ac:dyDescent="0.35">
      <c r="A77" s="299"/>
      <c r="B77" s="82" t="s">
        <v>452</v>
      </c>
      <c r="C77" s="75" t="s">
        <v>396</v>
      </c>
      <c r="D77" s="70">
        <v>12401</v>
      </c>
      <c r="E77" s="9">
        <v>20</v>
      </c>
      <c r="F77" s="9">
        <v>200</v>
      </c>
      <c r="G77" s="56">
        <v>0</v>
      </c>
      <c r="H77" s="56">
        <v>0</v>
      </c>
      <c r="I77" s="56">
        <v>0</v>
      </c>
      <c r="J77" s="9">
        <v>0</v>
      </c>
      <c r="M77" s="9">
        <v>10</v>
      </c>
      <c r="N77" s="9">
        <v>10</v>
      </c>
      <c r="O77" s="9">
        <v>10</v>
      </c>
      <c r="P77" s="9">
        <v>10</v>
      </c>
      <c r="Q77" s="9">
        <v>15</v>
      </c>
      <c r="R77" s="9">
        <v>100</v>
      </c>
      <c r="S77" s="9">
        <v>10</v>
      </c>
      <c r="T77" s="9">
        <v>200</v>
      </c>
      <c r="U77" s="9">
        <v>10</v>
      </c>
      <c r="V77" s="9">
        <v>0</v>
      </c>
      <c r="W77" s="9">
        <v>20</v>
      </c>
      <c r="X77" s="9">
        <v>30</v>
      </c>
      <c r="Y77" s="9">
        <v>20</v>
      </c>
      <c r="Z77" s="9">
        <v>0</v>
      </c>
      <c r="AA77" s="9">
        <v>0</v>
      </c>
      <c r="AB77" s="9">
        <v>0</v>
      </c>
    </row>
    <row r="78" spans="1:28" ht="16.5" x14ac:dyDescent="0.35">
      <c r="A78" s="299"/>
      <c r="B78" s="82" t="s">
        <v>453</v>
      </c>
      <c r="C78" s="75" t="s">
        <v>454</v>
      </c>
      <c r="D78" s="70">
        <v>12411</v>
      </c>
      <c r="E78" s="9">
        <v>15</v>
      </c>
      <c r="F78" s="9">
        <v>600</v>
      </c>
      <c r="G78" s="56">
        <v>0</v>
      </c>
      <c r="H78" s="56">
        <v>0</v>
      </c>
      <c r="I78" s="56">
        <v>0</v>
      </c>
      <c r="J78" s="9">
        <v>0</v>
      </c>
      <c r="L78" s="9">
        <v>10</v>
      </c>
      <c r="M78" s="9">
        <v>10</v>
      </c>
      <c r="N78" s="9">
        <v>10</v>
      </c>
      <c r="O78" s="9">
        <v>10</v>
      </c>
      <c r="P78" s="9">
        <v>10</v>
      </c>
      <c r="Q78" s="9">
        <v>15</v>
      </c>
      <c r="R78" s="9">
        <v>100</v>
      </c>
      <c r="S78" s="9">
        <v>10</v>
      </c>
      <c r="T78" s="9">
        <v>200</v>
      </c>
      <c r="U78" s="9">
        <v>10</v>
      </c>
      <c r="V78" s="9">
        <v>0</v>
      </c>
      <c r="W78" s="9">
        <v>20</v>
      </c>
      <c r="X78" s="9">
        <v>30</v>
      </c>
      <c r="Y78" s="9">
        <v>20</v>
      </c>
      <c r="Z78" s="9">
        <v>0</v>
      </c>
      <c r="AA78" s="9">
        <v>0</v>
      </c>
      <c r="AB78" s="9">
        <v>0</v>
      </c>
    </row>
    <row r="79" spans="1:28" ht="16.5" x14ac:dyDescent="0.35">
      <c r="A79" s="299"/>
      <c r="B79" s="82" t="s">
        <v>455</v>
      </c>
      <c r="C79" s="75" t="s">
        <v>456</v>
      </c>
      <c r="D79" s="70">
        <v>12421</v>
      </c>
      <c r="E79" s="9">
        <v>20</v>
      </c>
      <c r="F79" s="9">
        <v>1800</v>
      </c>
      <c r="G79" s="56">
        <v>0</v>
      </c>
      <c r="H79" s="56">
        <v>0</v>
      </c>
      <c r="I79" s="56">
        <v>0</v>
      </c>
      <c r="J79" s="9">
        <v>0</v>
      </c>
      <c r="L79" s="9">
        <v>10</v>
      </c>
      <c r="M79" s="9">
        <v>10</v>
      </c>
      <c r="N79" s="9">
        <v>10</v>
      </c>
      <c r="O79" s="9">
        <v>10</v>
      </c>
      <c r="P79" s="9">
        <v>10</v>
      </c>
      <c r="Q79" s="9">
        <v>25</v>
      </c>
      <c r="R79" s="9">
        <v>100</v>
      </c>
      <c r="S79" s="9">
        <v>10</v>
      </c>
      <c r="T79" s="9">
        <v>200</v>
      </c>
      <c r="U79" s="9">
        <v>10</v>
      </c>
      <c r="V79" s="9">
        <v>0</v>
      </c>
      <c r="W79" s="9">
        <v>20</v>
      </c>
      <c r="X79" s="9">
        <v>30</v>
      </c>
      <c r="Y79" s="9">
        <v>20</v>
      </c>
      <c r="Z79" s="9">
        <v>0</v>
      </c>
      <c r="AA79" s="9">
        <v>0</v>
      </c>
      <c r="AB79" s="9">
        <v>0</v>
      </c>
    </row>
    <row r="80" spans="1:28" ht="16.5" x14ac:dyDescent="0.35">
      <c r="A80" s="299"/>
      <c r="B80" s="82" t="s">
        <v>459</v>
      </c>
      <c r="C80" s="75" t="s">
        <v>460</v>
      </c>
      <c r="D80" s="70">
        <v>12431</v>
      </c>
      <c r="E80" s="9">
        <v>15</v>
      </c>
      <c r="F80" s="9">
        <v>1800</v>
      </c>
      <c r="G80" s="56">
        <v>0</v>
      </c>
      <c r="H80" s="56">
        <v>0</v>
      </c>
      <c r="I80" s="56">
        <v>0</v>
      </c>
      <c r="J80" s="9">
        <v>0</v>
      </c>
      <c r="M80" s="9">
        <v>10</v>
      </c>
      <c r="N80" s="9">
        <v>10</v>
      </c>
      <c r="O80" s="9">
        <v>10</v>
      </c>
      <c r="P80" s="9">
        <v>10</v>
      </c>
      <c r="Q80" s="9">
        <v>15</v>
      </c>
      <c r="R80" s="9">
        <v>100</v>
      </c>
      <c r="S80" s="9">
        <v>10</v>
      </c>
      <c r="T80" s="9">
        <v>200</v>
      </c>
      <c r="U80" s="9">
        <v>10</v>
      </c>
      <c r="V80" s="9">
        <v>0</v>
      </c>
      <c r="W80" s="9">
        <v>20</v>
      </c>
      <c r="X80" s="9">
        <v>30</v>
      </c>
      <c r="Y80" s="9">
        <v>20</v>
      </c>
      <c r="Z80" s="9">
        <v>0</v>
      </c>
      <c r="AA80" s="9">
        <v>0</v>
      </c>
      <c r="AB80" s="9">
        <v>0</v>
      </c>
    </row>
    <row r="81" spans="1:28" ht="16.5" x14ac:dyDescent="0.35">
      <c r="A81" s="299"/>
      <c r="B81" s="90" t="s">
        <v>462</v>
      </c>
      <c r="C81" s="75" t="s">
        <v>463</v>
      </c>
      <c r="D81" s="70">
        <v>12432</v>
      </c>
      <c r="E81" s="9">
        <v>10</v>
      </c>
      <c r="F81" s="9">
        <v>100</v>
      </c>
      <c r="G81" s="56">
        <v>0</v>
      </c>
      <c r="H81" s="56">
        <v>0</v>
      </c>
      <c r="I81" s="56">
        <v>0</v>
      </c>
      <c r="J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15</v>
      </c>
      <c r="R81" s="9">
        <v>100</v>
      </c>
      <c r="S81" s="9">
        <v>10</v>
      </c>
      <c r="T81" s="9">
        <v>200</v>
      </c>
      <c r="U81" s="9">
        <v>10</v>
      </c>
      <c r="V81" s="9">
        <v>0</v>
      </c>
      <c r="W81" s="9">
        <v>20</v>
      </c>
      <c r="X81" s="9">
        <v>30</v>
      </c>
      <c r="Y81" s="9">
        <v>20</v>
      </c>
      <c r="Z81" s="9">
        <v>0</v>
      </c>
      <c r="AA81" s="9">
        <v>0</v>
      </c>
      <c r="AB81" s="9">
        <v>0</v>
      </c>
    </row>
    <row r="82" spans="1:28" ht="16.5" x14ac:dyDescent="0.35">
      <c r="A82" s="299"/>
      <c r="B82" s="90" t="s">
        <v>464</v>
      </c>
      <c r="C82" s="75" t="s">
        <v>465</v>
      </c>
      <c r="D82" s="70">
        <v>12441</v>
      </c>
      <c r="E82" s="9">
        <v>20</v>
      </c>
      <c r="F82" s="9">
        <v>1800</v>
      </c>
      <c r="G82" s="56">
        <v>0</v>
      </c>
      <c r="H82" s="56">
        <v>0</v>
      </c>
      <c r="I82" s="56">
        <v>0</v>
      </c>
      <c r="J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15</v>
      </c>
      <c r="R82" s="9">
        <v>100</v>
      </c>
      <c r="T82" s="9">
        <v>200</v>
      </c>
      <c r="U82" s="9">
        <v>10</v>
      </c>
      <c r="V82" s="9">
        <v>0</v>
      </c>
      <c r="W82" s="9">
        <v>20</v>
      </c>
      <c r="X82" s="9">
        <v>30</v>
      </c>
      <c r="Y82" s="9">
        <v>20</v>
      </c>
      <c r="Z82" s="9">
        <v>0</v>
      </c>
      <c r="AA82" s="9">
        <v>0</v>
      </c>
      <c r="AB82" s="9">
        <v>0</v>
      </c>
    </row>
    <row r="83" spans="1:28" ht="16.5" x14ac:dyDescent="0.35">
      <c r="A83" s="299"/>
      <c r="B83" s="85" t="s">
        <v>466</v>
      </c>
      <c r="C83" s="75" t="s">
        <v>412</v>
      </c>
      <c r="D83" s="70">
        <v>12601</v>
      </c>
      <c r="E83" s="9">
        <v>20</v>
      </c>
      <c r="F83" s="9">
        <v>2000</v>
      </c>
      <c r="G83" s="56">
        <v>0</v>
      </c>
      <c r="H83" s="63" t="s">
        <v>723</v>
      </c>
      <c r="I83" s="56">
        <v>0</v>
      </c>
      <c r="J83" s="9">
        <v>300</v>
      </c>
      <c r="M83" s="9">
        <v>10</v>
      </c>
      <c r="N83" s="9">
        <v>10</v>
      </c>
      <c r="O83" s="9">
        <v>10</v>
      </c>
      <c r="P83" s="9">
        <v>10</v>
      </c>
      <c r="Q83" s="9">
        <v>25</v>
      </c>
      <c r="R83" s="9">
        <v>100</v>
      </c>
      <c r="T83" s="9">
        <v>200</v>
      </c>
      <c r="U83" s="9">
        <v>10</v>
      </c>
      <c r="V83" s="9">
        <v>0</v>
      </c>
      <c r="W83" s="9">
        <v>20</v>
      </c>
      <c r="X83" s="9">
        <v>30</v>
      </c>
      <c r="Y83" s="9">
        <v>20</v>
      </c>
      <c r="Z83" s="9">
        <v>0</v>
      </c>
      <c r="AA83" s="9">
        <v>0</v>
      </c>
      <c r="AB83" s="9">
        <v>0</v>
      </c>
    </row>
    <row r="84" spans="1:28" ht="16.5" x14ac:dyDescent="0.35">
      <c r="A84" s="299"/>
      <c r="B84" s="85" t="s">
        <v>452</v>
      </c>
      <c r="C84" s="75" t="s">
        <v>412</v>
      </c>
      <c r="D84" s="70">
        <v>12611</v>
      </c>
      <c r="E84" s="9">
        <v>20</v>
      </c>
      <c r="F84" s="9">
        <v>2500</v>
      </c>
      <c r="G84" s="56">
        <v>0</v>
      </c>
      <c r="H84" s="63" t="s">
        <v>724</v>
      </c>
      <c r="I84" s="56">
        <v>0</v>
      </c>
      <c r="J84" s="9">
        <v>300</v>
      </c>
      <c r="M84" s="9">
        <v>10</v>
      </c>
      <c r="N84" s="9">
        <v>10</v>
      </c>
      <c r="O84" s="9">
        <v>10</v>
      </c>
      <c r="P84" s="9">
        <v>10</v>
      </c>
      <c r="Q84" s="9">
        <v>25</v>
      </c>
      <c r="R84" s="9">
        <v>100</v>
      </c>
      <c r="T84" s="9">
        <v>200</v>
      </c>
      <c r="U84" s="9">
        <v>10</v>
      </c>
      <c r="V84" s="9">
        <v>0</v>
      </c>
      <c r="W84" s="9">
        <v>20</v>
      </c>
      <c r="X84" s="9">
        <v>30</v>
      </c>
      <c r="Y84" s="9">
        <v>20</v>
      </c>
      <c r="Z84" s="9">
        <v>0</v>
      </c>
      <c r="AA84" s="9">
        <v>0</v>
      </c>
      <c r="AB84" s="9">
        <v>0</v>
      </c>
    </row>
    <row r="85" spans="1:28" ht="16.5" x14ac:dyDescent="0.35">
      <c r="A85" s="299"/>
      <c r="B85" s="85" t="s">
        <v>453</v>
      </c>
      <c r="C85" s="75" t="s">
        <v>412</v>
      </c>
      <c r="D85" s="70">
        <v>12621</v>
      </c>
      <c r="E85" s="9">
        <v>20</v>
      </c>
      <c r="F85" s="9">
        <v>3000</v>
      </c>
      <c r="G85" s="56">
        <v>0</v>
      </c>
      <c r="H85" s="63" t="s">
        <v>725</v>
      </c>
      <c r="I85" s="56">
        <v>0</v>
      </c>
      <c r="J85" s="9">
        <v>300</v>
      </c>
      <c r="M85" s="9">
        <v>10</v>
      </c>
      <c r="N85" s="9">
        <v>10</v>
      </c>
      <c r="O85" s="9">
        <v>10</v>
      </c>
      <c r="P85" s="9">
        <v>10</v>
      </c>
      <c r="Q85" s="9">
        <v>25</v>
      </c>
      <c r="R85" s="9">
        <v>100</v>
      </c>
      <c r="T85" s="9">
        <v>200</v>
      </c>
      <c r="U85" s="9">
        <v>10</v>
      </c>
      <c r="V85" s="9">
        <v>0</v>
      </c>
      <c r="W85" s="9">
        <v>20</v>
      </c>
      <c r="X85" s="9">
        <v>30</v>
      </c>
      <c r="Y85" s="9">
        <v>20</v>
      </c>
      <c r="Z85" s="9">
        <v>0</v>
      </c>
      <c r="AA85" s="9">
        <v>0</v>
      </c>
      <c r="AB85" s="9">
        <v>0</v>
      </c>
    </row>
    <row r="86" spans="1:28" ht="16.5" x14ac:dyDescent="0.35">
      <c r="A86" s="299"/>
      <c r="B86" s="87" t="s">
        <v>469</v>
      </c>
      <c r="C86" s="75" t="s">
        <v>419</v>
      </c>
      <c r="D86" s="70">
        <v>12701</v>
      </c>
      <c r="E86" s="9">
        <v>25</v>
      </c>
      <c r="F86" s="9">
        <v>5000</v>
      </c>
      <c r="G86" s="56">
        <v>0</v>
      </c>
      <c r="H86" s="63" t="s">
        <v>725</v>
      </c>
      <c r="I86" s="56">
        <v>0</v>
      </c>
      <c r="J86" s="9">
        <v>750</v>
      </c>
      <c r="M86" s="9">
        <v>10</v>
      </c>
      <c r="N86" s="9">
        <v>10</v>
      </c>
      <c r="O86" s="9">
        <v>10</v>
      </c>
      <c r="P86" s="9">
        <v>10</v>
      </c>
      <c r="Q86" s="9">
        <v>30</v>
      </c>
      <c r="R86" s="9">
        <v>100</v>
      </c>
      <c r="S86" s="9">
        <v>5</v>
      </c>
      <c r="T86" s="9">
        <v>200</v>
      </c>
      <c r="U86" s="9">
        <v>10</v>
      </c>
      <c r="V86" s="9">
        <v>0</v>
      </c>
      <c r="W86" s="9">
        <v>20</v>
      </c>
      <c r="X86" s="9">
        <v>30</v>
      </c>
      <c r="Y86" s="9">
        <v>20</v>
      </c>
      <c r="Z86" s="9">
        <v>0</v>
      </c>
      <c r="AA86" s="9">
        <v>0</v>
      </c>
      <c r="AB86" s="9">
        <v>0</v>
      </c>
    </row>
    <row r="87" spans="1:28" ht="16.5" x14ac:dyDescent="0.35">
      <c r="A87" s="299"/>
      <c r="B87" s="87" t="s">
        <v>471</v>
      </c>
      <c r="C87" s="75" t="s">
        <v>419</v>
      </c>
      <c r="D87" s="70">
        <v>12711</v>
      </c>
      <c r="E87" s="9">
        <v>25</v>
      </c>
      <c r="F87" s="9">
        <v>7000</v>
      </c>
      <c r="G87" s="56">
        <v>0</v>
      </c>
      <c r="H87" s="63" t="s">
        <v>726</v>
      </c>
      <c r="I87" s="56">
        <v>0</v>
      </c>
      <c r="J87" s="9">
        <v>750</v>
      </c>
      <c r="L87" s="9">
        <v>10</v>
      </c>
      <c r="M87" s="9">
        <v>10</v>
      </c>
      <c r="N87" s="9">
        <v>10</v>
      </c>
      <c r="O87" s="9">
        <v>10</v>
      </c>
      <c r="P87" s="9">
        <v>10</v>
      </c>
      <c r="Q87" s="9">
        <v>30</v>
      </c>
      <c r="R87" s="9">
        <v>100</v>
      </c>
      <c r="S87" s="9">
        <v>5</v>
      </c>
      <c r="T87" s="9">
        <v>200</v>
      </c>
      <c r="U87" s="9">
        <v>10</v>
      </c>
      <c r="V87" s="9">
        <v>0</v>
      </c>
      <c r="W87" s="9">
        <v>20</v>
      </c>
      <c r="X87" s="9">
        <v>30</v>
      </c>
      <c r="Y87" s="9">
        <v>20</v>
      </c>
      <c r="Z87" s="9">
        <v>0</v>
      </c>
      <c r="AA87" s="9">
        <v>0</v>
      </c>
      <c r="AB87" s="9">
        <v>0</v>
      </c>
    </row>
    <row r="88" spans="1:28" ht="16.5" x14ac:dyDescent="0.35">
      <c r="A88" s="299"/>
      <c r="B88" s="87" t="s">
        <v>473</v>
      </c>
      <c r="C88" s="75" t="s">
        <v>419</v>
      </c>
      <c r="D88" s="70">
        <v>12721</v>
      </c>
      <c r="E88" s="9">
        <v>25</v>
      </c>
      <c r="F88" s="9">
        <v>10000</v>
      </c>
      <c r="G88" s="56">
        <v>0</v>
      </c>
      <c r="H88" s="63" t="s">
        <v>727</v>
      </c>
      <c r="I88" s="56">
        <v>0</v>
      </c>
      <c r="J88" s="9">
        <v>750</v>
      </c>
      <c r="L88" s="9">
        <v>10</v>
      </c>
      <c r="M88" s="9">
        <v>10</v>
      </c>
      <c r="N88" s="9">
        <v>10</v>
      </c>
      <c r="O88" s="9">
        <v>10</v>
      </c>
      <c r="P88" s="9">
        <v>10</v>
      </c>
      <c r="Q88" s="9">
        <v>30</v>
      </c>
      <c r="R88" s="9">
        <v>100</v>
      </c>
      <c r="S88" s="9">
        <v>10</v>
      </c>
      <c r="T88" s="9">
        <v>200</v>
      </c>
      <c r="U88" s="9">
        <v>10</v>
      </c>
      <c r="V88" s="9">
        <v>0</v>
      </c>
      <c r="W88" s="9">
        <v>20</v>
      </c>
      <c r="X88" s="9">
        <v>30</v>
      </c>
      <c r="Y88" s="9">
        <v>20</v>
      </c>
      <c r="Z88" s="9">
        <v>0</v>
      </c>
      <c r="AA88" s="9">
        <v>0</v>
      </c>
      <c r="AB88" s="9">
        <v>0</v>
      </c>
    </row>
    <row r="89" spans="1:28" ht="16.5" x14ac:dyDescent="0.35">
      <c r="A89" s="299"/>
      <c r="B89" s="87" t="s">
        <v>475</v>
      </c>
      <c r="C89" s="75" t="s">
        <v>419</v>
      </c>
      <c r="D89" s="70">
        <v>12731</v>
      </c>
      <c r="E89" s="9">
        <v>25</v>
      </c>
      <c r="F89" s="9">
        <v>13000</v>
      </c>
      <c r="G89" s="56">
        <v>0</v>
      </c>
      <c r="H89" s="63" t="s">
        <v>728</v>
      </c>
      <c r="I89" s="56">
        <v>0</v>
      </c>
      <c r="J89" s="9">
        <v>750</v>
      </c>
      <c r="L89" s="9">
        <v>10</v>
      </c>
      <c r="M89" s="9">
        <v>10</v>
      </c>
      <c r="N89" s="9">
        <v>10</v>
      </c>
      <c r="O89" s="9">
        <v>10</v>
      </c>
      <c r="P89" s="9">
        <v>10</v>
      </c>
      <c r="Q89" s="9">
        <v>30</v>
      </c>
      <c r="R89" s="9">
        <v>100</v>
      </c>
      <c r="S89" s="9">
        <v>10</v>
      </c>
      <c r="T89" s="9">
        <v>200</v>
      </c>
      <c r="U89" s="9">
        <v>10</v>
      </c>
      <c r="V89" s="9">
        <v>0</v>
      </c>
      <c r="W89" s="9">
        <v>20</v>
      </c>
      <c r="X89" s="9">
        <v>30</v>
      </c>
      <c r="Y89" s="9">
        <v>20</v>
      </c>
      <c r="Z89" s="9">
        <v>0</v>
      </c>
      <c r="AA89" s="9">
        <v>0</v>
      </c>
      <c r="AB89" s="9">
        <v>0</v>
      </c>
    </row>
    <row r="90" spans="1:28" ht="16.5" x14ac:dyDescent="0.35">
      <c r="A90" s="299" t="s">
        <v>734</v>
      </c>
      <c r="B90" s="80" t="s">
        <v>479</v>
      </c>
      <c r="C90" s="91" t="s">
        <v>480</v>
      </c>
      <c r="D90" s="70">
        <v>13101</v>
      </c>
      <c r="E90" s="9">
        <v>10</v>
      </c>
      <c r="F90" s="9">
        <v>85</v>
      </c>
      <c r="G90" s="56">
        <v>0</v>
      </c>
      <c r="H90" s="56">
        <v>0</v>
      </c>
      <c r="I90" s="56">
        <v>0</v>
      </c>
      <c r="J90" s="9">
        <v>0</v>
      </c>
      <c r="M90" s="9">
        <v>10</v>
      </c>
      <c r="N90" s="9">
        <v>15</v>
      </c>
      <c r="O90" s="9">
        <v>10</v>
      </c>
      <c r="P90" s="9">
        <v>10</v>
      </c>
      <c r="Q90" s="9">
        <v>10</v>
      </c>
      <c r="R90" s="9">
        <v>100</v>
      </c>
      <c r="T90" s="9">
        <v>200</v>
      </c>
      <c r="U90" s="9">
        <v>10</v>
      </c>
      <c r="V90" s="9">
        <v>0</v>
      </c>
      <c r="W90" s="9">
        <v>20</v>
      </c>
      <c r="X90" s="9">
        <v>30</v>
      </c>
      <c r="Y90" s="9">
        <v>20</v>
      </c>
      <c r="Z90" s="9">
        <v>0</v>
      </c>
      <c r="AA90" s="9">
        <v>0</v>
      </c>
      <c r="AB90" s="9">
        <v>0</v>
      </c>
    </row>
    <row r="91" spans="1:28" ht="16.5" x14ac:dyDescent="0.35">
      <c r="A91" s="299"/>
      <c r="B91" s="80" t="s">
        <v>481</v>
      </c>
      <c r="C91" s="92" t="s">
        <v>482</v>
      </c>
      <c r="D91" s="70">
        <v>13111</v>
      </c>
      <c r="E91" s="9">
        <v>10</v>
      </c>
      <c r="F91" s="9">
        <v>800</v>
      </c>
      <c r="G91" s="56">
        <v>0</v>
      </c>
      <c r="H91" s="56">
        <v>0</v>
      </c>
      <c r="I91" s="56">
        <v>0</v>
      </c>
      <c r="J91" s="9">
        <v>0</v>
      </c>
      <c r="M91" s="9">
        <v>10</v>
      </c>
      <c r="N91" s="9">
        <v>20</v>
      </c>
      <c r="O91" s="9">
        <v>10</v>
      </c>
      <c r="P91" s="9">
        <v>10</v>
      </c>
      <c r="Q91" s="9">
        <v>10</v>
      </c>
      <c r="R91" s="9">
        <v>100</v>
      </c>
      <c r="T91" s="9">
        <v>200</v>
      </c>
      <c r="U91" s="9">
        <v>10</v>
      </c>
      <c r="V91" s="9">
        <v>0</v>
      </c>
      <c r="W91" s="9">
        <v>20</v>
      </c>
      <c r="X91" s="9">
        <v>30</v>
      </c>
      <c r="Y91" s="9">
        <v>20</v>
      </c>
      <c r="Z91" s="9">
        <v>0</v>
      </c>
      <c r="AA91" s="9">
        <v>0</v>
      </c>
      <c r="AB91" s="9">
        <v>0</v>
      </c>
    </row>
    <row r="92" spans="1:28" ht="16.5" x14ac:dyDescent="0.35">
      <c r="A92" s="299"/>
      <c r="B92" s="80" t="s">
        <v>483</v>
      </c>
      <c r="C92" s="92" t="s">
        <v>382</v>
      </c>
      <c r="D92" s="70">
        <v>13121</v>
      </c>
      <c r="E92" s="9">
        <v>15</v>
      </c>
      <c r="F92" s="9">
        <v>300</v>
      </c>
      <c r="G92" s="56">
        <v>0</v>
      </c>
      <c r="H92" s="56">
        <v>0</v>
      </c>
      <c r="I92" s="56">
        <v>0</v>
      </c>
      <c r="J92" s="9">
        <v>0</v>
      </c>
      <c r="L92" s="9">
        <v>15</v>
      </c>
      <c r="M92" s="9">
        <v>10</v>
      </c>
      <c r="N92" s="9">
        <v>15</v>
      </c>
      <c r="O92" s="9">
        <v>10</v>
      </c>
      <c r="P92" s="9">
        <v>10</v>
      </c>
      <c r="Q92" s="9">
        <v>10</v>
      </c>
      <c r="R92" s="9">
        <v>100</v>
      </c>
      <c r="S92" s="9">
        <v>5</v>
      </c>
      <c r="T92" s="9">
        <v>200</v>
      </c>
      <c r="U92" s="9">
        <v>10</v>
      </c>
      <c r="V92" s="9">
        <v>0</v>
      </c>
      <c r="W92" s="9">
        <v>20</v>
      </c>
      <c r="X92" s="9">
        <v>30</v>
      </c>
      <c r="Y92" s="9">
        <v>20</v>
      </c>
      <c r="Z92" s="9">
        <v>0</v>
      </c>
      <c r="AA92" s="9">
        <v>0</v>
      </c>
      <c r="AB92" s="9">
        <v>0</v>
      </c>
    </row>
    <row r="93" spans="1:28" ht="16.5" x14ac:dyDescent="0.35">
      <c r="A93" s="299"/>
      <c r="B93" s="93" t="s">
        <v>484</v>
      </c>
      <c r="C93" s="92" t="s">
        <v>386</v>
      </c>
      <c r="D93" s="70">
        <v>13201</v>
      </c>
      <c r="E93" s="9">
        <v>15</v>
      </c>
      <c r="F93" s="9">
        <v>170</v>
      </c>
      <c r="G93" s="56">
        <v>0</v>
      </c>
      <c r="H93" s="56">
        <v>0</v>
      </c>
      <c r="I93" s="56">
        <v>0</v>
      </c>
      <c r="J93" s="9">
        <v>0</v>
      </c>
      <c r="M93" s="9">
        <v>10</v>
      </c>
      <c r="N93" s="9">
        <v>15</v>
      </c>
      <c r="O93" s="9">
        <v>10</v>
      </c>
      <c r="P93" s="9">
        <v>10</v>
      </c>
      <c r="Q93" s="9">
        <v>10</v>
      </c>
      <c r="R93" s="9">
        <v>100</v>
      </c>
      <c r="T93" s="9">
        <v>200</v>
      </c>
      <c r="U93" s="9">
        <v>10</v>
      </c>
      <c r="V93" s="9">
        <v>0</v>
      </c>
      <c r="W93" s="9">
        <v>20</v>
      </c>
      <c r="X93" s="9">
        <v>30</v>
      </c>
      <c r="Y93" s="9">
        <v>20</v>
      </c>
      <c r="Z93" s="9">
        <v>0</v>
      </c>
      <c r="AA93" s="9">
        <v>0</v>
      </c>
      <c r="AB93" s="9">
        <v>0</v>
      </c>
    </row>
    <row r="94" spans="1:28" ht="16.5" x14ac:dyDescent="0.35">
      <c r="A94" s="299"/>
      <c r="B94" s="94" t="s">
        <v>485</v>
      </c>
      <c r="C94" s="92" t="s">
        <v>386</v>
      </c>
      <c r="D94" s="70">
        <v>13211</v>
      </c>
      <c r="E94" s="9">
        <v>15</v>
      </c>
      <c r="F94" s="9">
        <v>200</v>
      </c>
      <c r="G94" s="56">
        <v>0</v>
      </c>
      <c r="H94" s="56">
        <v>0</v>
      </c>
      <c r="I94" s="56">
        <v>0</v>
      </c>
      <c r="J94" s="9">
        <v>0</v>
      </c>
      <c r="M94" s="9">
        <v>10</v>
      </c>
      <c r="N94" s="9">
        <v>15</v>
      </c>
      <c r="O94" s="9">
        <v>10</v>
      </c>
      <c r="P94" s="9">
        <v>10</v>
      </c>
      <c r="Q94" s="9">
        <v>10</v>
      </c>
      <c r="R94" s="9">
        <v>100</v>
      </c>
      <c r="T94" s="9">
        <v>200</v>
      </c>
      <c r="U94" s="9">
        <v>10</v>
      </c>
      <c r="V94" s="9">
        <v>0</v>
      </c>
      <c r="W94" s="9">
        <v>20</v>
      </c>
      <c r="X94" s="9">
        <v>30</v>
      </c>
      <c r="Y94" s="9">
        <v>20</v>
      </c>
      <c r="Z94" s="9">
        <v>0</v>
      </c>
      <c r="AA94" s="9">
        <v>0</v>
      </c>
      <c r="AB94" s="9">
        <v>0</v>
      </c>
    </row>
    <row r="95" spans="1:28" ht="16.5" x14ac:dyDescent="0.35">
      <c r="A95" s="299"/>
      <c r="B95" s="81" t="s">
        <v>486</v>
      </c>
      <c r="C95" s="92" t="s">
        <v>382</v>
      </c>
      <c r="D95" s="70">
        <v>13221</v>
      </c>
      <c r="E95" s="9">
        <v>15</v>
      </c>
      <c r="F95" s="9">
        <v>300</v>
      </c>
      <c r="G95" s="56">
        <v>0</v>
      </c>
      <c r="H95" s="56">
        <v>0</v>
      </c>
      <c r="I95" s="56">
        <v>0</v>
      </c>
      <c r="J95" s="9">
        <v>0</v>
      </c>
      <c r="L95" s="9">
        <v>15</v>
      </c>
      <c r="M95" s="9">
        <v>10</v>
      </c>
      <c r="N95" s="9">
        <v>15</v>
      </c>
      <c r="O95" s="9">
        <v>10</v>
      </c>
      <c r="P95" s="9">
        <v>10</v>
      </c>
      <c r="Q95" s="9">
        <v>10</v>
      </c>
      <c r="R95" s="9">
        <v>100</v>
      </c>
      <c r="S95" s="9">
        <v>10</v>
      </c>
      <c r="T95" s="9">
        <v>200</v>
      </c>
      <c r="U95" s="9">
        <v>10</v>
      </c>
      <c r="V95" s="9">
        <v>0</v>
      </c>
      <c r="W95" s="9">
        <v>20</v>
      </c>
      <c r="X95" s="9">
        <v>30</v>
      </c>
      <c r="Y95" s="9">
        <v>20</v>
      </c>
      <c r="Z95" s="9">
        <v>0</v>
      </c>
      <c r="AA95" s="9">
        <v>0</v>
      </c>
      <c r="AB95" s="9">
        <v>0</v>
      </c>
    </row>
    <row r="96" spans="1:28" ht="16.5" x14ac:dyDescent="0.35">
      <c r="A96" s="299"/>
      <c r="B96" s="81" t="s">
        <v>487</v>
      </c>
      <c r="C96" s="92" t="s">
        <v>382</v>
      </c>
      <c r="D96" s="70">
        <v>13231</v>
      </c>
      <c r="E96" s="9">
        <v>15</v>
      </c>
      <c r="F96" s="9">
        <v>300</v>
      </c>
      <c r="G96" s="56">
        <v>0</v>
      </c>
      <c r="H96" s="56">
        <v>0</v>
      </c>
      <c r="I96" s="56">
        <v>0</v>
      </c>
      <c r="J96" s="9">
        <v>0</v>
      </c>
      <c r="L96" s="9">
        <v>15</v>
      </c>
      <c r="M96" s="9">
        <v>10</v>
      </c>
      <c r="N96" s="9">
        <v>15</v>
      </c>
      <c r="O96" s="9">
        <v>10</v>
      </c>
      <c r="P96" s="9">
        <v>10</v>
      </c>
      <c r="Q96" s="9">
        <v>10</v>
      </c>
      <c r="R96" s="9">
        <v>100</v>
      </c>
      <c r="S96" s="9">
        <v>10</v>
      </c>
      <c r="T96" s="9">
        <v>200</v>
      </c>
      <c r="U96" s="9">
        <v>10</v>
      </c>
      <c r="V96" s="9">
        <v>0</v>
      </c>
      <c r="W96" s="9">
        <v>20</v>
      </c>
      <c r="X96" s="9">
        <v>30</v>
      </c>
      <c r="Y96" s="9">
        <v>20</v>
      </c>
      <c r="Z96" s="9">
        <v>0</v>
      </c>
      <c r="AA96" s="9">
        <v>0</v>
      </c>
      <c r="AB96" s="9">
        <v>0</v>
      </c>
    </row>
    <row r="97" spans="1:28" ht="16.5" x14ac:dyDescent="0.35">
      <c r="A97" s="299"/>
      <c r="B97" s="81" t="s">
        <v>488</v>
      </c>
      <c r="C97" s="92" t="s">
        <v>449</v>
      </c>
      <c r="D97" s="70">
        <v>13241</v>
      </c>
      <c r="E97" s="9">
        <v>15</v>
      </c>
      <c r="F97" s="9">
        <v>600</v>
      </c>
      <c r="G97" s="56">
        <v>0</v>
      </c>
      <c r="H97" s="56">
        <v>0</v>
      </c>
      <c r="I97" s="56">
        <v>0</v>
      </c>
      <c r="J97" s="9">
        <v>0</v>
      </c>
      <c r="M97" s="9">
        <v>10</v>
      </c>
      <c r="N97" s="9">
        <v>15</v>
      </c>
      <c r="O97" s="9">
        <v>10</v>
      </c>
      <c r="P97" s="9">
        <v>10</v>
      </c>
      <c r="Q97" s="9">
        <v>10</v>
      </c>
      <c r="R97" s="9">
        <v>100</v>
      </c>
      <c r="T97" s="9">
        <v>200</v>
      </c>
      <c r="U97" s="9">
        <v>10</v>
      </c>
      <c r="V97" s="9">
        <v>0</v>
      </c>
      <c r="W97" s="9">
        <v>20</v>
      </c>
      <c r="X97" s="9">
        <v>30</v>
      </c>
      <c r="Y97" s="9">
        <v>20</v>
      </c>
      <c r="Z97" s="9">
        <v>0</v>
      </c>
      <c r="AA97" s="9">
        <v>0</v>
      </c>
      <c r="AB97" s="9">
        <v>0</v>
      </c>
    </row>
    <row r="98" spans="1:28" ht="16.5" x14ac:dyDescent="0.35">
      <c r="A98" s="299"/>
      <c r="B98" s="81" t="s">
        <v>489</v>
      </c>
      <c r="C98" s="92" t="s">
        <v>449</v>
      </c>
      <c r="D98" s="70">
        <v>13251</v>
      </c>
      <c r="E98" s="9">
        <v>15</v>
      </c>
      <c r="F98" s="9">
        <v>600</v>
      </c>
      <c r="G98" s="56">
        <v>0</v>
      </c>
      <c r="H98" s="56">
        <v>0</v>
      </c>
      <c r="I98" s="56">
        <v>0</v>
      </c>
      <c r="J98" s="9">
        <v>0</v>
      </c>
      <c r="M98" s="9">
        <v>10</v>
      </c>
      <c r="N98" s="9">
        <v>15</v>
      </c>
      <c r="O98" s="9">
        <v>10</v>
      </c>
      <c r="P98" s="9">
        <v>10</v>
      </c>
      <c r="Q98" s="9">
        <v>10</v>
      </c>
      <c r="R98" s="9">
        <v>100</v>
      </c>
      <c r="T98" s="9">
        <v>200</v>
      </c>
      <c r="U98" s="9">
        <v>10</v>
      </c>
      <c r="V98" s="9">
        <v>0</v>
      </c>
      <c r="W98" s="9">
        <v>20</v>
      </c>
      <c r="X98" s="9">
        <v>30</v>
      </c>
      <c r="Y98" s="9">
        <v>20</v>
      </c>
      <c r="Z98" s="9">
        <v>0</v>
      </c>
      <c r="AA98" s="9">
        <v>0</v>
      </c>
      <c r="AB98" s="9">
        <v>0</v>
      </c>
    </row>
    <row r="99" spans="1:28" ht="16.5" x14ac:dyDescent="0.35">
      <c r="A99" s="299"/>
      <c r="B99" s="81" t="s">
        <v>490</v>
      </c>
      <c r="C99" s="92" t="s">
        <v>449</v>
      </c>
      <c r="D99" s="70">
        <v>13261</v>
      </c>
      <c r="E99" s="9">
        <v>10</v>
      </c>
      <c r="F99" s="9">
        <v>800</v>
      </c>
      <c r="G99" s="56">
        <v>0</v>
      </c>
      <c r="H99" s="56">
        <v>0</v>
      </c>
      <c r="I99" s="56">
        <v>0</v>
      </c>
      <c r="J99" s="9">
        <v>0</v>
      </c>
      <c r="M99" s="9">
        <v>10</v>
      </c>
      <c r="N99" s="9">
        <v>15</v>
      </c>
      <c r="O99" s="9">
        <v>10</v>
      </c>
      <c r="P99" s="9">
        <v>10</v>
      </c>
      <c r="Q99" s="9">
        <v>10</v>
      </c>
      <c r="R99" s="9">
        <v>100</v>
      </c>
      <c r="T99" s="9">
        <v>200</v>
      </c>
      <c r="U99" s="9">
        <v>10</v>
      </c>
      <c r="V99" s="9">
        <v>0</v>
      </c>
      <c r="W99" s="9">
        <v>20</v>
      </c>
      <c r="X99" s="9">
        <v>30</v>
      </c>
      <c r="Y99" s="9">
        <v>20</v>
      </c>
      <c r="Z99" s="9">
        <v>0</v>
      </c>
      <c r="AA99" s="9">
        <v>0</v>
      </c>
      <c r="AB99" s="9">
        <v>0</v>
      </c>
    </row>
    <row r="100" spans="1:28" ht="16.5" x14ac:dyDescent="0.35">
      <c r="A100" s="299"/>
      <c r="B100" s="81" t="s">
        <v>491</v>
      </c>
      <c r="C100" s="92" t="s">
        <v>443</v>
      </c>
      <c r="D100" s="70">
        <v>13271</v>
      </c>
      <c r="E100" s="9">
        <v>15</v>
      </c>
      <c r="F100" s="9">
        <v>1200</v>
      </c>
      <c r="G100" s="56">
        <v>0</v>
      </c>
      <c r="H100" s="63" t="s">
        <v>4577</v>
      </c>
      <c r="I100" s="56">
        <v>0</v>
      </c>
      <c r="J100" s="9">
        <v>300</v>
      </c>
      <c r="M100" s="9">
        <v>10</v>
      </c>
      <c r="N100" s="9">
        <v>20</v>
      </c>
      <c r="O100" s="9">
        <v>10</v>
      </c>
      <c r="P100" s="9">
        <v>10</v>
      </c>
      <c r="Q100" s="9">
        <v>10</v>
      </c>
      <c r="R100" s="9">
        <v>100</v>
      </c>
      <c r="S100" s="9">
        <v>5</v>
      </c>
      <c r="T100" s="9">
        <v>200</v>
      </c>
      <c r="U100" s="9">
        <v>10</v>
      </c>
      <c r="V100" s="9">
        <v>0</v>
      </c>
      <c r="W100" s="9">
        <v>20</v>
      </c>
      <c r="X100" s="9">
        <v>30</v>
      </c>
      <c r="Y100" s="9">
        <v>20</v>
      </c>
      <c r="Z100" s="9">
        <v>0</v>
      </c>
      <c r="AA100" s="9">
        <v>0</v>
      </c>
      <c r="AB100" s="9">
        <v>0</v>
      </c>
    </row>
    <row r="101" spans="1:28" ht="16.5" x14ac:dyDescent="0.35">
      <c r="A101" s="299"/>
      <c r="B101" s="81" t="s">
        <v>492</v>
      </c>
      <c r="C101" s="92" t="s">
        <v>443</v>
      </c>
      <c r="D101" s="70">
        <v>13281</v>
      </c>
      <c r="E101" s="9">
        <v>20</v>
      </c>
      <c r="F101" s="9">
        <v>1600</v>
      </c>
      <c r="G101" s="56">
        <v>0</v>
      </c>
      <c r="H101" s="63" t="s">
        <v>4577</v>
      </c>
      <c r="I101" s="56">
        <v>0</v>
      </c>
      <c r="J101" s="9">
        <v>300</v>
      </c>
      <c r="M101" s="9">
        <v>10</v>
      </c>
      <c r="N101" s="9">
        <v>20</v>
      </c>
      <c r="O101" s="9">
        <v>10</v>
      </c>
      <c r="P101" s="9">
        <v>10</v>
      </c>
      <c r="Q101" s="9">
        <v>10</v>
      </c>
      <c r="R101" s="9">
        <v>100</v>
      </c>
      <c r="S101" s="9">
        <v>5</v>
      </c>
      <c r="T101" s="9">
        <v>200</v>
      </c>
      <c r="U101" s="9">
        <v>10</v>
      </c>
      <c r="V101" s="9">
        <v>0</v>
      </c>
      <c r="W101" s="9">
        <v>20</v>
      </c>
      <c r="X101" s="9">
        <v>30</v>
      </c>
      <c r="Y101" s="9">
        <v>20</v>
      </c>
      <c r="Z101" s="9">
        <v>0</v>
      </c>
      <c r="AA101" s="9">
        <v>0</v>
      </c>
      <c r="AB101" s="9">
        <v>0</v>
      </c>
    </row>
    <row r="102" spans="1:28" ht="16.5" x14ac:dyDescent="0.35">
      <c r="A102" s="299"/>
      <c r="B102" s="85" t="s">
        <v>496</v>
      </c>
      <c r="C102" s="92" t="s">
        <v>412</v>
      </c>
      <c r="D102" s="70">
        <v>13601</v>
      </c>
      <c r="E102" s="9">
        <v>20</v>
      </c>
      <c r="F102" s="9">
        <v>3000</v>
      </c>
      <c r="G102" s="56">
        <v>0</v>
      </c>
      <c r="H102" s="63" t="s">
        <v>723</v>
      </c>
      <c r="I102" s="56">
        <v>0</v>
      </c>
      <c r="J102" s="9">
        <v>300</v>
      </c>
      <c r="M102" s="9">
        <v>10</v>
      </c>
      <c r="N102" s="9">
        <v>25</v>
      </c>
      <c r="O102" s="9">
        <v>10</v>
      </c>
      <c r="P102" s="9">
        <v>10</v>
      </c>
      <c r="Q102" s="9">
        <v>10</v>
      </c>
      <c r="R102" s="9">
        <v>100</v>
      </c>
      <c r="T102" s="9">
        <v>200</v>
      </c>
      <c r="U102" s="9">
        <v>10</v>
      </c>
      <c r="V102" s="9">
        <v>0</v>
      </c>
      <c r="W102" s="9">
        <v>20</v>
      </c>
      <c r="X102" s="9">
        <v>30</v>
      </c>
      <c r="Y102" s="9">
        <v>20</v>
      </c>
      <c r="Z102" s="9">
        <v>0</v>
      </c>
      <c r="AA102" s="9">
        <v>0</v>
      </c>
      <c r="AB102" s="9">
        <v>0</v>
      </c>
    </row>
    <row r="103" spans="1:28" ht="16.5" x14ac:dyDescent="0.35">
      <c r="A103" s="299"/>
      <c r="B103" s="85" t="s">
        <v>499</v>
      </c>
      <c r="C103" s="92" t="s">
        <v>412</v>
      </c>
      <c r="D103" s="70">
        <v>13611</v>
      </c>
      <c r="E103" s="9">
        <v>20</v>
      </c>
      <c r="F103" s="9">
        <v>4500</v>
      </c>
      <c r="G103" s="56">
        <v>0</v>
      </c>
      <c r="H103" s="63" t="s">
        <v>724</v>
      </c>
      <c r="I103" s="56">
        <v>0</v>
      </c>
      <c r="J103" s="9">
        <v>300</v>
      </c>
      <c r="M103" s="9">
        <v>10</v>
      </c>
      <c r="N103" s="9">
        <v>25</v>
      </c>
      <c r="O103" s="9">
        <v>10</v>
      </c>
      <c r="P103" s="9">
        <v>10</v>
      </c>
      <c r="Q103" s="9">
        <v>10</v>
      </c>
      <c r="R103" s="9">
        <v>100</v>
      </c>
      <c r="T103" s="9">
        <v>200</v>
      </c>
      <c r="U103" s="9">
        <v>10</v>
      </c>
      <c r="V103" s="9">
        <v>0</v>
      </c>
      <c r="W103" s="9">
        <v>20</v>
      </c>
      <c r="X103" s="9">
        <v>30</v>
      </c>
      <c r="Y103" s="9">
        <v>20</v>
      </c>
      <c r="Z103" s="9">
        <v>0</v>
      </c>
      <c r="AA103" s="9">
        <v>0</v>
      </c>
      <c r="AB103" s="9">
        <v>0</v>
      </c>
    </row>
    <row r="104" spans="1:28" ht="16.5" x14ac:dyDescent="0.35">
      <c r="A104" s="299"/>
      <c r="B104" s="85" t="s">
        <v>500</v>
      </c>
      <c r="C104" s="92" t="s">
        <v>412</v>
      </c>
      <c r="D104" s="70">
        <v>13621</v>
      </c>
      <c r="E104" s="9">
        <v>20</v>
      </c>
      <c r="F104" s="9">
        <v>6000</v>
      </c>
      <c r="G104" s="56">
        <v>0</v>
      </c>
      <c r="H104" s="63" t="s">
        <v>725</v>
      </c>
      <c r="I104" s="56">
        <v>0</v>
      </c>
      <c r="J104" s="9">
        <v>300</v>
      </c>
      <c r="M104" s="9">
        <v>10</v>
      </c>
      <c r="N104" s="9">
        <v>25</v>
      </c>
      <c r="O104" s="9">
        <v>10</v>
      </c>
      <c r="P104" s="9">
        <v>10</v>
      </c>
      <c r="Q104" s="9">
        <v>10</v>
      </c>
      <c r="R104" s="9">
        <v>100</v>
      </c>
      <c r="T104" s="9">
        <v>200</v>
      </c>
      <c r="U104" s="9">
        <v>10</v>
      </c>
      <c r="V104" s="9">
        <v>0</v>
      </c>
      <c r="W104" s="9">
        <v>20</v>
      </c>
      <c r="X104" s="9">
        <v>30</v>
      </c>
      <c r="Y104" s="9">
        <v>20</v>
      </c>
      <c r="Z104" s="9">
        <v>0</v>
      </c>
      <c r="AA104" s="9">
        <v>0</v>
      </c>
      <c r="AB104" s="9">
        <v>0</v>
      </c>
    </row>
    <row r="105" spans="1:28" ht="16.5" x14ac:dyDescent="0.35">
      <c r="A105" s="299"/>
      <c r="B105" s="87" t="s">
        <v>501</v>
      </c>
      <c r="C105" s="92" t="s">
        <v>419</v>
      </c>
      <c r="D105" s="70">
        <v>13701</v>
      </c>
      <c r="E105" s="9">
        <v>25</v>
      </c>
      <c r="F105" s="9">
        <v>8000</v>
      </c>
      <c r="G105" s="56">
        <v>0</v>
      </c>
      <c r="H105" s="63" t="s">
        <v>725</v>
      </c>
      <c r="I105" s="56">
        <v>0</v>
      </c>
      <c r="J105" s="9">
        <v>750</v>
      </c>
      <c r="L105" s="9">
        <v>15</v>
      </c>
      <c r="M105" s="9">
        <v>10</v>
      </c>
      <c r="N105" s="9">
        <v>30</v>
      </c>
      <c r="O105" s="9">
        <v>10</v>
      </c>
      <c r="P105" s="9">
        <v>10</v>
      </c>
      <c r="Q105" s="9">
        <v>10</v>
      </c>
      <c r="R105" s="9">
        <v>100</v>
      </c>
      <c r="S105" s="9">
        <v>10</v>
      </c>
      <c r="T105" s="9">
        <v>200</v>
      </c>
      <c r="U105" s="9">
        <v>10</v>
      </c>
      <c r="V105" s="9">
        <v>0</v>
      </c>
      <c r="W105" s="9">
        <v>20</v>
      </c>
      <c r="X105" s="9">
        <v>30</v>
      </c>
      <c r="Y105" s="9">
        <v>20</v>
      </c>
      <c r="Z105" s="9">
        <v>0</v>
      </c>
      <c r="AA105" s="9">
        <v>0</v>
      </c>
      <c r="AB105" s="9">
        <v>0</v>
      </c>
    </row>
    <row r="106" spans="1:28" ht="16.5" x14ac:dyDescent="0.35">
      <c r="A106" s="299"/>
      <c r="B106" s="87" t="s">
        <v>503</v>
      </c>
      <c r="C106" s="92" t="s">
        <v>419</v>
      </c>
      <c r="D106" s="70">
        <v>13711</v>
      </c>
      <c r="E106" s="9">
        <v>25</v>
      </c>
      <c r="F106" s="9">
        <v>10000</v>
      </c>
      <c r="G106" s="56">
        <v>0</v>
      </c>
      <c r="H106" s="63" t="s">
        <v>726</v>
      </c>
      <c r="I106" s="56">
        <v>0</v>
      </c>
      <c r="J106" s="9">
        <v>750</v>
      </c>
      <c r="L106" s="9">
        <v>15</v>
      </c>
      <c r="M106" s="9">
        <v>10</v>
      </c>
      <c r="N106" s="9">
        <v>30</v>
      </c>
      <c r="O106" s="9">
        <v>10</v>
      </c>
      <c r="P106" s="9">
        <v>10</v>
      </c>
      <c r="Q106" s="9">
        <v>10</v>
      </c>
      <c r="R106" s="9">
        <v>100</v>
      </c>
      <c r="S106" s="9">
        <v>10</v>
      </c>
      <c r="T106" s="9">
        <v>200</v>
      </c>
      <c r="U106" s="9">
        <v>10</v>
      </c>
      <c r="V106" s="9">
        <v>0</v>
      </c>
      <c r="W106" s="9">
        <v>20</v>
      </c>
      <c r="X106" s="9">
        <v>30</v>
      </c>
      <c r="Y106" s="9">
        <v>20</v>
      </c>
      <c r="Z106" s="9">
        <v>0</v>
      </c>
      <c r="AA106" s="9">
        <v>0</v>
      </c>
      <c r="AB106" s="9">
        <v>0</v>
      </c>
    </row>
    <row r="107" spans="1:28" ht="16.5" x14ac:dyDescent="0.35">
      <c r="A107" s="299"/>
      <c r="B107" s="87" t="s">
        <v>505</v>
      </c>
      <c r="C107" s="92" t="s">
        <v>419</v>
      </c>
      <c r="D107" s="70">
        <v>13721</v>
      </c>
      <c r="E107" s="9">
        <v>25</v>
      </c>
      <c r="F107" s="9">
        <v>12000</v>
      </c>
      <c r="G107" s="56">
        <v>0</v>
      </c>
      <c r="H107" s="63" t="s">
        <v>727</v>
      </c>
      <c r="I107" s="56">
        <v>0</v>
      </c>
      <c r="J107" s="9">
        <v>750</v>
      </c>
      <c r="L107" s="9">
        <v>15</v>
      </c>
      <c r="M107" s="9">
        <v>10</v>
      </c>
      <c r="N107" s="9">
        <v>30</v>
      </c>
      <c r="O107" s="9">
        <v>10</v>
      </c>
      <c r="P107" s="9">
        <v>10</v>
      </c>
      <c r="Q107" s="9">
        <v>10</v>
      </c>
      <c r="R107" s="9">
        <v>100</v>
      </c>
      <c r="S107" s="9">
        <v>10</v>
      </c>
      <c r="T107" s="9">
        <v>200</v>
      </c>
      <c r="U107" s="9">
        <v>10</v>
      </c>
      <c r="V107" s="9">
        <v>0</v>
      </c>
      <c r="W107" s="9">
        <v>20</v>
      </c>
      <c r="X107" s="9">
        <v>30</v>
      </c>
      <c r="Y107" s="9">
        <v>20</v>
      </c>
      <c r="Z107" s="9">
        <v>0</v>
      </c>
      <c r="AA107" s="9">
        <v>0</v>
      </c>
      <c r="AB107" s="9">
        <v>0</v>
      </c>
    </row>
    <row r="108" spans="1:28" ht="16.5" x14ac:dyDescent="0.35">
      <c r="A108" s="299"/>
      <c r="B108" s="95" t="s">
        <v>507</v>
      </c>
      <c r="C108" s="96" t="s">
        <v>419</v>
      </c>
      <c r="D108" s="70">
        <v>13731</v>
      </c>
      <c r="E108" s="9">
        <v>25</v>
      </c>
      <c r="F108" s="9">
        <v>15000</v>
      </c>
      <c r="G108" s="56">
        <v>0</v>
      </c>
      <c r="H108" s="63" t="s">
        <v>728</v>
      </c>
      <c r="I108" s="56">
        <v>0</v>
      </c>
      <c r="J108" s="9">
        <v>750</v>
      </c>
      <c r="L108" s="9">
        <v>15</v>
      </c>
      <c r="M108" s="9">
        <v>10</v>
      </c>
      <c r="N108" s="9">
        <v>30</v>
      </c>
      <c r="O108" s="9">
        <v>10</v>
      </c>
      <c r="P108" s="9">
        <v>10</v>
      </c>
      <c r="Q108" s="9">
        <v>10</v>
      </c>
      <c r="R108" s="9">
        <v>100</v>
      </c>
      <c r="S108" s="9">
        <v>10</v>
      </c>
      <c r="T108" s="9">
        <v>200</v>
      </c>
      <c r="U108" s="9">
        <v>10</v>
      </c>
      <c r="V108" s="9">
        <v>0</v>
      </c>
      <c r="W108" s="9">
        <v>20</v>
      </c>
      <c r="X108" s="9">
        <v>30</v>
      </c>
      <c r="Y108" s="9">
        <v>20</v>
      </c>
      <c r="Z108" s="9">
        <v>0</v>
      </c>
      <c r="AA108" s="9">
        <v>0</v>
      </c>
      <c r="AB108" s="9">
        <v>0</v>
      </c>
    </row>
    <row r="109" spans="1:28" ht="16.5" x14ac:dyDescent="0.35">
      <c r="A109" s="299" t="s">
        <v>735</v>
      </c>
      <c r="B109" s="80" t="s">
        <v>513</v>
      </c>
      <c r="C109" s="91" t="s">
        <v>480</v>
      </c>
      <c r="D109" s="70">
        <v>14101</v>
      </c>
      <c r="E109" s="9">
        <v>15</v>
      </c>
      <c r="F109" s="9">
        <v>100</v>
      </c>
      <c r="G109" s="56">
        <v>0</v>
      </c>
      <c r="H109" s="56">
        <v>0</v>
      </c>
      <c r="I109" s="56">
        <v>0</v>
      </c>
      <c r="J109" s="9">
        <v>0</v>
      </c>
      <c r="M109" s="9">
        <v>10</v>
      </c>
      <c r="N109" s="9">
        <v>10</v>
      </c>
      <c r="O109" s="9">
        <v>15</v>
      </c>
      <c r="P109" s="9">
        <v>10</v>
      </c>
      <c r="Q109" s="9">
        <v>10</v>
      </c>
      <c r="R109" s="9">
        <v>100</v>
      </c>
      <c r="T109" s="9">
        <v>200</v>
      </c>
      <c r="U109" s="9">
        <v>10</v>
      </c>
      <c r="V109" s="9">
        <v>0</v>
      </c>
      <c r="W109" s="9">
        <v>20</v>
      </c>
      <c r="X109" s="9">
        <v>30</v>
      </c>
      <c r="Y109" s="9">
        <v>20</v>
      </c>
      <c r="Z109" s="9">
        <v>0</v>
      </c>
      <c r="AA109" s="9">
        <v>0</v>
      </c>
      <c r="AB109" s="9">
        <v>0</v>
      </c>
    </row>
    <row r="110" spans="1:28" ht="16.5" x14ac:dyDescent="0.35">
      <c r="A110" s="299"/>
      <c r="B110" s="80" t="s">
        <v>514</v>
      </c>
      <c r="C110" s="92" t="s">
        <v>482</v>
      </c>
      <c r="D110" s="70">
        <v>14111</v>
      </c>
      <c r="E110" s="9">
        <v>15</v>
      </c>
      <c r="F110" s="9">
        <v>750</v>
      </c>
      <c r="G110" s="56">
        <v>0</v>
      </c>
      <c r="H110" s="56">
        <v>0</v>
      </c>
      <c r="I110" s="56">
        <v>0</v>
      </c>
      <c r="J110" s="9">
        <v>0</v>
      </c>
      <c r="M110" s="9">
        <v>10</v>
      </c>
      <c r="N110" s="9">
        <v>10</v>
      </c>
      <c r="O110" s="9">
        <v>20</v>
      </c>
      <c r="P110" s="9">
        <v>10</v>
      </c>
      <c r="Q110" s="9">
        <v>10</v>
      </c>
      <c r="R110" s="9">
        <v>100</v>
      </c>
      <c r="T110" s="9">
        <v>200</v>
      </c>
      <c r="U110" s="9">
        <v>10</v>
      </c>
      <c r="V110" s="9">
        <v>0</v>
      </c>
      <c r="W110" s="9">
        <v>20</v>
      </c>
      <c r="X110" s="9">
        <v>30</v>
      </c>
      <c r="Y110" s="9">
        <v>20</v>
      </c>
      <c r="Z110" s="9">
        <v>0</v>
      </c>
      <c r="AA110" s="9">
        <v>0</v>
      </c>
      <c r="AB110" s="9">
        <v>0</v>
      </c>
    </row>
    <row r="111" spans="1:28" ht="16.5" x14ac:dyDescent="0.35">
      <c r="A111" s="299"/>
      <c r="B111" s="80" t="s">
        <v>515</v>
      </c>
      <c r="C111" s="92" t="s">
        <v>382</v>
      </c>
      <c r="D111" s="70">
        <v>14121</v>
      </c>
      <c r="E111" s="9">
        <v>20</v>
      </c>
      <c r="F111" s="9">
        <v>250</v>
      </c>
      <c r="G111" s="56">
        <v>0</v>
      </c>
      <c r="H111" s="56">
        <v>0</v>
      </c>
      <c r="I111" s="56">
        <v>0</v>
      </c>
      <c r="J111" s="9">
        <v>0</v>
      </c>
      <c r="L111" s="9">
        <v>15</v>
      </c>
      <c r="M111" s="9">
        <v>10</v>
      </c>
      <c r="N111" s="9">
        <v>10</v>
      </c>
      <c r="O111" s="9">
        <v>15</v>
      </c>
      <c r="P111" s="9">
        <v>10</v>
      </c>
      <c r="Q111" s="9">
        <v>10</v>
      </c>
      <c r="R111" s="9">
        <v>100</v>
      </c>
      <c r="T111" s="9">
        <v>200</v>
      </c>
      <c r="U111" s="9">
        <v>10</v>
      </c>
      <c r="V111" s="9">
        <v>0</v>
      </c>
      <c r="W111" s="9">
        <v>20</v>
      </c>
      <c r="X111" s="9">
        <v>30</v>
      </c>
      <c r="Y111" s="9">
        <v>20</v>
      </c>
      <c r="Z111" s="9">
        <v>0</v>
      </c>
      <c r="AA111" s="9">
        <v>0</v>
      </c>
      <c r="AB111" s="9">
        <v>0</v>
      </c>
    </row>
    <row r="112" spans="1:28" ht="16.5" x14ac:dyDescent="0.35">
      <c r="A112" s="299"/>
      <c r="B112" s="93" t="s">
        <v>516</v>
      </c>
      <c r="C112" s="92" t="s">
        <v>386</v>
      </c>
      <c r="D112" s="70">
        <v>14201</v>
      </c>
      <c r="E112" s="9">
        <v>20</v>
      </c>
      <c r="F112" s="9">
        <v>150</v>
      </c>
      <c r="G112" s="56">
        <v>0</v>
      </c>
      <c r="H112" s="56">
        <v>0</v>
      </c>
      <c r="I112" s="56">
        <v>0</v>
      </c>
      <c r="J112" s="9">
        <v>0</v>
      </c>
      <c r="M112" s="9">
        <v>10</v>
      </c>
      <c r="N112" s="9">
        <v>10</v>
      </c>
      <c r="O112" s="9">
        <v>15</v>
      </c>
      <c r="P112" s="9">
        <v>10</v>
      </c>
      <c r="Q112" s="9">
        <v>10</v>
      </c>
      <c r="R112" s="9">
        <v>100</v>
      </c>
      <c r="T112" s="9">
        <v>200</v>
      </c>
      <c r="U112" s="9">
        <v>10</v>
      </c>
      <c r="V112" s="9">
        <v>0</v>
      </c>
      <c r="W112" s="9">
        <v>20</v>
      </c>
      <c r="X112" s="9">
        <v>30</v>
      </c>
      <c r="Y112" s="9">
        <v>20</v>
      </c>
      <c r="Z112" s="9">
        <v>0</v>
      </c>
      <c r="AA112" s="9">
        <v>0</v>
      </c>
      <c r="AB112" s="9">
        <v>0</v>
      </c>
    </row>
    <row r="113" spans="1:28" ht="16.5" x14ac:dyDescent="0.35">
      <c r="A113" s="299"/>
      <c r="B113" s="93" t="s">
        <v>517</v>
      </c>
      <c r="C113" s="92" t="s">
        <v>443</v>
      </c>
      <c r="D113" s="70">
        <v>14211</v>
      </c>
      <c r="E113" s="9">
        <v>20</v>
      </c>
      <c r="F113" s="9">
        <v>1000</v>
      </c>
      <c r="G113" s="56">
        <v>0</v>
      </c>
      <c r="H113" s="56">
        <v>0</v>
      </c>
      <c r="I113" s="56">
        <v>0</v>
      </c>
      <c r="J113" s="9">
        <v>0</v>
      </c>
      <c r="M113" s="9">
        <v>10</v>
      </c>
      <c r="N113" s="9">
        <v>10</v>
      </c>
      <c r="O113" s="9">
        <v>20</v>
      </c>
      <c r="P113" s="9">
        <v>10</v>
      </c>
      <c r="Q113" s="9">
        <v>10</v>
      </c>
      <c r="R113" s="9">
        <v>100</v>
      </c>
      <c r="T113" s="9">
        <v>200</v>
      </c>
      <c r="U113" s="9">
        <v>10</v>
      </c>
      <c r="V113" s="9">
        <v>0</v>
      </c>
      <c r="W113" s="9">
        <v>20</v>
      </c>
      <c r="X113" s="9">
        <v>30</v>
      </c>
      <c r="Y113" s="9">
        <v>20</v>
      </c>
      <c r="Z113" s="9">
        <v>0</v>
      </c>
      <c r="AA113" s="9">
        <v>0</v>
      </c>
      <c r="AB113" s="9">
        <v>0</v>
      </c>
    </row>
    <row r="114" spans="1:28" ht="16.5" x14ac:dyDescent="0.35">
      <c r="A114" s="299"/>
      <c r="B114" s="94" t="s">
        <v>518</v>
      </c>
      <c r="C114" s="92" t="s">
        <v>519</v>
      </c>
      <c r="D114" s="70">
        <v>14221</v>
      </c>
      <c r="E114" s="9">
        <v>20</v>
      </c>
      <c r="F114" s="9">
        <v>400</v>
      </c>
      <c r="G114" s="56">
        <v>0</v>
      </c>
      <c r="H114" s="56">
        <v>0</v>
      </c>
      <c r="I114" s="56">
        <v>0</v>
      </c>
      <c r="J114" s="9">
        <v>0</v>
      </c>
      <c r="L114" s="9">
        <v>10</v>
      </c>
      <c r="M114" s="9">
        <v>10</v>
      </c>
      <c r="N114" s="9">
        <v>10</v>
      </c>
      <c r="O114" s="9">
        <v>15</v>
      </c>
      <c r="P114" s="9">
        <v>10</v>
      </c>
      <c r="Q114" s="9">
        <v>10</v>
      </c>
      <c r="R114" s="9">
        <v>100</v>
      </c>
      <c r="T114" s="9">
        <v>200</v>
      </c>
      <c r="U114" s="9">
        <v>10</v>
      </c>
      <c r="V114" s="9">
        <v>0</v>
      </c>
      <c r="W114" s="9">
        <v>20</v>
      </c>
      <c r="X114" s="9">
        <v>30</v>
      </c>
      <c r="Y114" s="9">
        <v>20</v>
      </c>
      <c r="Z114" s="9">
        <v>0</v>
      </c>
      <c r="AA114" s="9">
        <v>0</v>
      </c>
      <c r="AB114" s="9">
        <v>0</v>
      </c>
    </row>
    <row r="115" spans="1:28" ht="16.5" x14ac:dyDescent="0.35">
      <c r="A115" s="299"/>
      <c r="B115" s="81" t="s">
        <v>521</v>
      </c>
      <c r="C115" s="92" t="s">
        <v>382</v>
      </c>
      <c r="D115" s="70">
        <v>14231</v>
      </c>
      <c r="E115" s="9">
        <v>20</v>
      </c>
      <c r="F115" s="9">
        <v>400</v>
      </c>
      <c r="G115" s="56">
        <v>0</v>
      </c>
      <c r="H115" s="56">
        <v>0</v>
      </c>
      <c r="I115" s="56">
        <v>0</v>
      </c>
      <c r="J115" s="9">
        <v>0</v>
      </c>
      <c r="L115" s="9">
        <v>10</v>
      </c>
      <c r="M115" s="9">
        <v>10</v>
      </c>
      <c r="N115" s="9">
        <v>10</v>
      </c>
      <c r="O115" s="9">
        <v>15</v>
      </c>
      <c r="P115" s="9">
        <v>10</v>
      </c>
      <c r="Q115" s="9">
        <v>10</v>
      </c>
      <c r="R115" s="9">
        <v>100</v>
      </c>
      <c r="T115" s="9">
        <v>200</v>
      </c>
      <c r="U115" s="9">
        <v>10</v>
      </c>
      <c r="V115" s="9">
        <v>0</v>
      </c>
      <c r="W115" s="9">
        <v>20</v>
      </c>
      <c r="X115" s="9">
        <v>30</v>
      </c>
      <c r="Y115" s="9">
        <v>20</v>
      </c>
      <c r="Z115" s="9">
        <v>0</v>
      </c>
      <c r="AA115" s="9">
        <v>0</v>
      </c>
      <c r="AB115" s="9">
        <v>0</v>
      </c>
    </row>
    <row r="116" spans="1:28" ht="16.5" x14ac:dyDescent="0.35">
      <c r="A116" s="299"/>
      <c r="B116" s="81" t="s">
        <v>522</v>
      </c>
      <c r="C116" s="92" t="s">
        <v>449</v>
      </c>
      <c r="D116" s="70">
        <v>14241</v>
      </c>
      <c r="E116" s="9">
        <v>20</v>
      </c>
      <c r="F116" s="9">
        <v>400</v>
      </c>
      <c r="G116" s="56">
        <v>0</v>
      </c>
      <c r="H116" s="56">
        <v>0</v>
      </c>
      <c r="I116" s="56">
        <v>0</v>
      </c>
      <c r="J116" s="9">
        <v>0</v>
      </c>
      <c r="M116" s="9">
        <v>10</v>
      </c>
      <c r="N116" s="9">
        <v>10</v>
      </c>
      <c r="O116" s="9">
        <v>15</v>
      </c>
      <c r="P116" s="9">
        <v>10</v>
      </c>
      <c r="Q116" s="9">
        <v>10</v>
      </c>
      <c r="R116" s="9">
        <v>100</v>
      </c>
      <c r="T116" s="9">
        <v>200</v>
      </c>
      <c r="U116" s="9">
        <v>10</v>
      </c>
      <c r="V116" s="9">
        <v>0</v>
      </c>
      <c r="W116" s="9">
        <v>20</v>
      </c>
      <c r="X116" s="9">
        <v>30</v>
      </c>
      <c r="Y116" s="9">
        <v>20</v>
      </c>
      <c r="Z116" s="9">
        <v>0</v>
      </c>
      <c r="AA116" s="9">
        <v>0</v>
      </c>
      <c r="AB116" s="9">
        <v>0</v>
      </c>
    </row>
    <row r="117" spans="1:28" ht="16.5" x14ac:dyDescent="0.35">
      <c r="A117" s="299"/>
      <c r="B117" s="81" t="s">
        <v>523</v>
      </c>
      <c r="C117" s="92" t="s">
        <v>449</v>
      </c>
      <c r="D117" s="70">
        <v>14251</v>
      </c>
      <c r="E117" s="9">
        <v>20</v>
      </c>
      <c r="F117" s="9">
        <v>750</v>
      </c>
      <c r="G117" s="56">
        <v>0</v>
      </c>
      <c r="H117" s="56">
        <v>0</v>
      </c>
      <c r="I117" s="56">
        <v>0</v>
      </c>
      <c r="J117" s="9">
        <v>0</v>
      </c>
      <c r="M117" s="9">
        <v>10</v>
      </c>
      <c r="N117" s="9">
        <v>10</v>
      </c>
      <c r="O117" s="9">
        <v>15</v>
      </c>
      <c r="P117" s="9">
        <v>10</v>
      </c>
      <c r="Q117" s="9">
        <v>10</v>
      </c>
      <c r="R117" s="9">
        <v>100</v>
      </c>
      <c r="T117" s="9">
        <v>200</v>
      </c>
      <c r="U117" s="9">
        <v>10</v>
      </c>
      <c r="V117" s="9">
        <v>0</v>
      </c>
      <c r="W117" s="9">
        <v>20</v>
      </c>
      <c r="X117" s="9">
        <v>30</v>
      </c>
      <c r="Y117" s="9">
        <v>20</v>
      </c>
      <c r="Z117" s="9">
        <v>0</v>
      </c>
      <c r="AA117" s="9">
        <v>0</v>
      </c>
      <c r="AB117" s="9">
        <v>0</v>
      </c>
    </row>
    <row r="118" spans="1:28" ht="16.5" x14ac:dyDescent="0.35">
      <c r="A118" s="299"/>
      <c r="B118" s="81" t="s">
        <v>525</v>
      </c>
      <c r="C118" s="92" t="s">
        <v>449</v>
      </c>
      <c r="D118" s="70">
        <v>14261</v>
      </c>
      <c r="E118" s="9">
        <v>15</v>
      </c>
      <c r="F118" s="9">
        <v>900</v>
      </c>
      <c r="G118" s="56">
        <v>0</v>
      </c>
      <c r="H118" s="56">
        <v>0</v>
      </c>
      <c r="I118" s="56">
        <v>0</v>
      </c>
      <c r="J118" s="9">
        <v>0</v>
      </c>
      <c r="M118" s="9">
        <v>10</v>
      </c>
      <c r="N118" s="9">
        <v>10</v>
      </c>
      <c r="O118" s="9">
        <v>15</v>
      </c>
      <c r="P118" s="9">
        <v>10</v>
      </c>
      <c r="Q118" s="9">
        <v>10</v>
      </c>
      <c r="R118" s="9">
        <v>100</v>
      </c>
      <c r="T118" s="9">
        <v>200</v>
      </c>
      <c r="U118" s="9">
        <v>10</v>
      </c>
      <c r="V118" s="9">
        <v>0</v>
      </c>
      <c r="W118" s="9">
        <v>20</v>
      </c>
      <c r="X118" s="9">
        <v>30</v>
      </c>
      <c r="Y118" s="9">
        <v>20</v>
      </c>
      <c r="Z118" s="9">
        <v>0</v>
      </c>
      <c r="AA118" s="9">
        <v>0</v>
      </c>
      <c r="AB118" s="9">
        <v>0</v>
      </c>
    </row>
    <row r="119" spans="1:28" ht="16.5" x14ac:dyDescent="0.35">
      <c r="A119" s="299"/>
      <c r="B119" s="97" t="s">
        <v>527</v>
      </c>
      <c r="C119" s="92" t="s">
        <v>528</v>
      </c>
      <c r="D119" s="70">
        <v>14401</v>
      </c>
      <c r="E119" s="9">
        <v>25</v>
      </c>
      <c r="F119" s="9">
        <v>400</v>
      </c>
      <c r="G119" s="56">
        <v>0</v>
      </c>
      <c r="H119" s="56">
        <v>0</v>
      </c>
      <c r="I119" s="56">
        <v>0</v>
      </c>
      <c r="J119" s="9">
        <v>0</v>
      </c>
      <c r="M119" s="9">
        <v>10</v>
      </c>
      <c r="N119" s="9">
        <v>10</v>
      </c>
      <c r="O119" s="9">
        <v>15</v>
      </c>
      <c r="P119" s="9">
        <v>10</v>
      </c>
      <c r="Q119" s="9">
        <v>10</v>
      </c>
      <c r="R119" s="9">
        <v>100</v>
      </c>
      <c r="T119" s="9">
        <v>200</v>
      </c>
      <c r="U119" s="9">
        <v>10</v>
      </c>
      <c r="V119" s="9">
        <v>0</v>
      </c>
      <c r="W119" s="9">
        <v>20</v>
      </c>
      <c r="X119" s="9">
        <v>30</v>
      </c>
      <c r="Y119" s="9">
        <v>20</v>
      </c>
      <c r="Z119" s="9">
        <v>0</v>
      </c>
      <c r="AA119" s="9">
        <v>0</v>
      </c>
      <c r="AB119" s="9">
        <v>0</v>
      </c>
    </row>
    <row r="120" spans="1:28" ht="16.5" x14ac:dyDescent="0.35">
      <c r="A120" s="299"/>
      <c r="B120" s="97" t="s">
        <v>527</v>
      </c>
      <c r="C120" s="92" t="s">
        <v>529</v>
      </c>
      <c r="D120" s="70">
        <v>14411</v>
      </c>
      <c r="E120" s="9">
        <v>25</v>
      </c>
      <c r="F120" s="9">
        <v>800</v>
      </c>
      <c r="G120" s="56">
        <v>0</v>
      </c>
      <c r="H120" s="63" t="s">
        <v>4578</v>
      </c>
      <c r="I120" s="56">
        <v>0</v>
      </c>
      <c r="J120" s="9">
        <v>0</v>
      </c>
      <c r="M120" s="9">
        <v>10</v>
      </c>
      <c r="N120" s="9">
        <v>10</v>
      </c>
      <c r="O120" s="9">
        <v>20</v>
      </c>
      <c r="P120" s="9">
        <v>10</v>
      </c>
      <c r="Q120" s="9">
        <v>10</v>
      </c>
      <c r="R120" s="9">
        <v>100</v>
      </c>
      <c r="T120" s="9">
        <v>200</v>
      </c>
      <c r="U120" s="9">
        <v>10</v>
      </c>
      <c r="V120" s="9">
        <v>0</v>
      </c>
      <c r="W120" s="9">
        <v>20</v>
      </c>
      <c r="X120" s="9">
        <v>30</v>
      </c>
      <c r="Y120" s="9">
        <v>20</v>
      </c>
      <c r="Z120" s="9">
        <v>0</v>
      </c>
      <c r="AA120" s="9">
        <v>0</v>
      </c>
      <c r="AB120" s="9">
        <v>0</v>
      </c>
    </row>
    <row r="121" spans="1:28" ht="16.5" x14ac:dyDescent="0.35">
      <c r="A121" s="299"/>
      <c r="B121" s="97" t="s">
        <v>530</v>
      </c>
      <c r="C121" s="92" t="s">
        <v>456</v>
      </c>
      <c r="D121" s="70">
        <v>14421</v>
      </c>
      <c r="E121" s="9">
        <v>25</v>
      </c>
      <c r="F121" s="9">
        <v>1500</v>
      </c>
      <c r="G121" s="56">
        <v>0</v>
      </c>
      <c r="H121" s="63" t="s">
        <v>4577</v>
      </c>
      <c r="I121" s="56">
        <v>0</v>
      </c>
      <c r="J121" s="9">
        <v>0</v>
      </c>
      <c r="M121" s="9">
        <v>10</v>
      </c>
      <c r="N121" s="9">
        <v>10</v>
      </c>
      <c r="O121" s="9">
        <v>25</v>
      </c>
      <c r="P121" s="9">
        <v>10</v>
      </c>
      <c r="Q121" s="9">
        <v>10</v>
      </c>
      <c r="R121" s="9">
        <v>100</v>
      </c>
      <c r="T121" s="9">
        <v>200</v>
      </c>
      <c r="U121" s="9">
        <v>10</v>
      </c>
      <c r="V121" s="9">
        <v>0</v>
      </c>
      <c r="W121" s="9">
        <v>20</v>
      </c>
      <c r="X121" s="9">
        <v>30</v>
      </c>
      <c r="Y121" s="9">
        <v>20</v>
      </c>
      <c r="Z121" s="9">
        <v>0</v>
      </c>
      <c r="AA121" s="9">
        <v>0</v>
      </c>
      <c r="AB121" s="9">
        <v>0</v>
      </c>
    </row>
    <row r="122" spans="1:28" ht="16.5" x14ac:dyDescent="0.35">
      <c r="A122" s="299"/>
      <c r="B122" s="98" t="s">
        <v>493</v>
      </c>
      <c r="C122" s="92" t="s">
        <v>531</v>
      </c>
      <c r="D122" s="70">
        <v>14501</v>
      </c>
      <c r="E122" s="9">
        <v>25</v>
      </c>
      <c r="F122" s="9">
        <v>400</v>
      </c>
      <c r="G122" s="56">
        <v>0</v>
      </c>
      <c r="H122" s="56">
        <v>0</v>
      </c>
      <c r="I122" s="56">
        <v>0</v>
      </c>
      <c r="J122" s="9">
        <v>0</v>
      </c>
      <c r="M122" s="9">
        <v>0</v>
      </c>
      <c r="N122" s="9">
        <v>0</v>
      </c>
      <c r="O122" s="9">
        <v>0</v>
      </c>
      <c r="P122" s="9">
        <v>10</v>
      </c>
      <c r="Q122" s="9">
        <v>10</v>
      </c>
      <c r="R122" s="9">
        <v>100</v>
      </c>
      <c r="T122" s="9">
        <v>200</v>
      </c>
      <c r="U122" s="9">
        <v>10</v>
      </c>
      <c r="V122" s="9">
        <v>0</v>
      </c>
      <c r="W122" s="9">
        <v>20</v>
      </c>
      <c r="X122" s="9">
        <v>30</v>
      </c>
      <c r="Y122" s="9">
        <v>20</v>
      </c>
      <c r="Z122" s="9">
        <v>0</v>
      </c>
      <c r="AA122" s="9">
        <v>0</v>
      </c>
      <c r="AB122" s="9">
        <v>0</v>
      </c>
    </row>
    <row r="123" spans="1:28" ht="16.5" x14ac:dyDescent="0.35">
      <c r="A123" s="299"/>
      <c r="B123" s="98" t="s">
        <v>493</v>
      </c>
      <c r="C123" s="92" t="s">
        <v>532</v>
      </c>
      <c r="D123" s="70">
        <v>14511</v>
      </c>
      <c r="E123" s="9">
        <v>25</v>
      </c>
      <c r="F123" s="9">
        <v>400</v>
      </c>
      <c r="G123" s="56">
        <v>0</v>
      </c>
      <c r="H123" s="56">
        <v>0</v>
      </c>
      <c r="I123" s="56">
        <v>0</v>
      </c>
      <c r="J123" s="9">
        <v>0</v>
      </c>
      <c r="M123" s="9">
        <v>0</v>
      </c>
      <c r="N123" s="9">
        <v>0</v>
      </c>
      <c r="O123" s="9">
        <v>0</v>
      </c>
      <c r="P123" s="9">
        <v>10</v>
      </c>
      <c r="Q123" s="9">
        <v>10</v>
      </c>
      <c r="R123" s="9">
        <v>100</v>
      </c>
      <c r="T123" s="9">
        <v>200</v>
      </c>
      <c r="U123" s="9">
        <v>10</v>
      </c>
      <c r="V123" s="9">
        <v>0</v>
      </c>
      <c r="W123" s="9">
        <v>20</v>
      </c>
      <c r="X123" s="9">
        <v>30</v>
      </c>
      <c r="Y123" s="9">
        <v>20</v>
      </c>
      <c r="Z123" s="9">
        <v>0</v>
      </c>
      <c r="AA123" s="9">
        <v>0</v>
      </c>
      <c r="AB123" s="9">
        <v>0</v>
      </c>
    </row>
    <row r="124" spans="1:28" ht="16.5" x14ac:dyDescent="0.35">
      <c r="A124" s="299"/>
      <c r="B124" s="85" t="s">
        <v>522</v>
      </c>
      <c r="C124" s="92" t="s">
        <v>412</v>
      </c>
      <c r="D124" s="70">
        <v>14601</v>
      </c>
      <c r="E124" s="9">
        <v>25</v>
      </c>
      <c r="F124" s="9">
        <v>5000</v>
      </c>
      <c r="G124" s="56">
        <v>0</v>
      </c>
      <c r="H124" s="63" t="s">
        <v>723</v>
      </c>
      <c r="I124" s="56">
        <v>0</v>
      </c>
      <c r="J124" s="9">
        <v>300</v>
      </c>
      <c r="M124" s="9">
        <v>10</v>
      </c>
      <c r="N124" s="9">
        <v>10</v>
      </c>
      <c r="O124" s="9">
        <v>25</v>
      </c>
      <c r="P124" s="9">
        <v>10</v>
      </c>
      <c r="Q124" s="9">
        <v>10</v>
      </c>
      <c r="R124" s="9">
        <v>100</v>
      </c>
      <c r="T124" s="9">
        <v>200</v>
      </c>
      <c r="U124" s="9">
        <v>10</v>
      </c>
      <c r="V124" s="9">
        <v>0</v>
      </c>
      <c r="W124" s="9">
        <v>20</v>
      </c>
      <c r="X124" s="9">
        <v>30</v>
      </c>
      <c r="Y124" s="9">
        <v>20</v>
      </c>
      <c r="Z124" s="9">
        <v>0</v>
      </c>
      <c r="AA124" s="9">
        <v>0</v>
      </c>
      <c r="AB124" s="9">
        <v>0</v>
      </c>
    </row>
    <row r="125" spans="1:28" ht="16.5" x14ac:dyDescent="0.35">
      <c r="A125" s="299"/>
      <c r="B125" s="85" t="s">
        <v>536</v>
      </c>
      <c r="C125" s="92" t="s">
        <v>412</v>
      </c>
      <c r="D125" s="70">
        <v>14611</v>
      </c>
      <c r="E125" s="9">
        <v>25</v>
      </c>
      <c r="F125" s="9">
        <v>6500</v>
      </c>
      <c r="G125" s="56">
        <v>0</v>
      </c>
      <c r="H125" s="63" t="s">
        <v>724</v>
      </c>
      <c r="I125" s="56">
        <v>0</v>
      </c>
      <c r="J125" s="9">
        <v>300</v>
      </c>
      <c r="L125" s="9">
        <v>10</v>
      </c>
      <c r="M125" s="9">
        <v>10</v>
      </c>
      <c r="N125" s="9">
        <v>10</v>
      </c>
      <c r="O125" s="9">
        <v>25</v>
      </c>
      <c r="P125" s="9">
        <v>10</v>
      </c>
      <c r="Q125" s="9">
        <v>10</v>
      </c>
      <c r="R125" s="9">
        <v>100</v>
      </c>
      <c r="T125" s="9">
        <v>200</v>
      </c>
      <c r="U125" s="9">
        <v>10</v>
      </c>
      <c r="V125" s="9">
        <v>0</v>
      </c>
      <c r="W125" s="9">
        <v>20</v>
      </c>
      <c r="X125" s="9">
        <v>30</v>
      </c>
      <c r="Y125" s="9">
        <v>20</v>
      </c>
      <c r="Z125" s="9">
        <v>0</v>
      </c>
      <c r="AA125" s="9">
        <v>0</v>
      </c>
      <c r="AB125" s="9">
        <v>0</v>
      </c>
    </row>
    <row r="126" spans="1:28" ht="16.5" x14ac:dyDescent="0.35">
      <c r="A126" s="299"/>
      <c r="B126" s="85" t="s">
        <v>537</v>
      </c>
      <c r="C126" s="92" t="s">
        <v>412</v>
      </c>
      <c r="D126" s="70">
        <v>14621</v>
      </c>
      <c r="E126" s="9">
        <v>25</v>
      </c>
      <c r="F126" s="9">
        <v>8000</v>
      </c>
      <c r="G126" s="56">
        <v>0</v>
      </c>
      <c r="H126" s="63" t="s">
        <v>725</v>
      </c>
      <c r="I126" s="56">
        <v>0</v>
      </c>
      <c r="J126" s="9">
        <v>300</v>
      </c>
      <c r="L126" s="9">
        <v>10</v>
      </c>
      <c r="M126" s="9">
        <v>10</v>
      </c>
      <c r="N126" s="9">
        <v>10</v>
      </c>
      <c r="O126" s="9">
        <v>30</v>
      </c>
      <c r="P126" s="9">
        <v>10</v>
      </c>
      <c r="Q126" s="9">
        <v>10</v>
      </c>
      <c r="R126" s="9">
        <v>100</v>
      </c>
      <c r="T126" s="9">
        <v>200</v>
      </c>
      <c r="U126" s="9">
        <v>10</v>
      </c>
      <c r="V126" s="9">
        <v>0</v>
      </c>
      <c r="W126" s="9">
        <v>20</v>
      </c>
      <c r="X126" s="9">
        <v>30</v>
      </c>
      <c r="Y126" s="9">
        <v>20</v>
      </c>
      <c r="Z126" s="9">
        <v>0</v>
      </c>
      <c r="AA126" s="9">
        <v>0</v>
      </c>
      <c r="AB126" s="9">
        <v>0</v>
      </c>
    </row>
    <row r="127" spans="1:28" ht="16.5" x14ac:dyDescent="0.35">
      <c r="A127" s="299"/>
      <c r="B127" s="87" t="s">
        <v>538</v>
      </c>
      <c r="C127" s="92" t="s">
        <v>419</v>
      </c>
      <c r="D127" s="70">
        <v>14701</v>
      </c>
      <c r="E127" s="9">
        <v>30</v>
      </c>
      <c r="F127" s="9">
        <v>10000</v>
      </c>
      <c r="G127" s="56">
        <v>0</v>
      </c>
      <c r="H127" s="63" t="s">
        <v>725</v>
      </c>
      <c r="I127" s="56">
        <v>0</v>
      </c>
      <c r="J127" s="9">
        <v>750</v>
      </c>
      <c r="L127" s="9">
        <v>10</v>
      </c>
      <c r="M127" s="9">
        <v>10</v>
      </c>
      <c r="N127" s="9">
        <v>10</v>
      </c>
      <c r="O127" s="9">
        <v>30</v>
      </c>
      <c r="P127" s="9">
        <v>10</v>
      </c>
      <c r="Q127" s="9">
        <v>10</v>
      </c>
      <c r="R127" s="9">
        <v>100</v>
      </c>
      <c r="S127" s="9">
        <v>10</v>
      </c>
      <c r="T127" s="9">
        <v>200</v>
      </c>
      <c r="U127" s="9">
        <v>10</v>
      </c>
      <c r="V127" s="9">
        <v>0</v>
      </c>
      <c r="W127" s="9">
        <v>20</v>
      </c>
      <c r="X127" s="9">
        <v>30</v>
      </c>
      <c r="Y127" s="9">
        <v>20</v>
      </c>
      <c r="Z127" s="9">
        <v>0</v>
      </c>
      <c r="AA127" s="9">
        <v>0</v>
      </c>
      <c r="AB127" s="9">
        <v>0</v>
      </c>
    </row>
    <row r="128" spans="1:28" ht="16.5" x14ac:dyDescent="0.35">
      <c r="A128" s="299"/>
      <c r="B128" s="87" t="s">
        <v>540</v>
      </c>
      <c r="C128" s="92" t="s">
        <v>419</v>
      </c>
      <c r="D128" s="70">
        <v>14711</v>
      </c>
      <c r="E128" s="9">
        <v>30</v>
      </c>
      <c r="F128" s="9">
        <v>13000</v>
      </c>
      <c r="G128" s="56">
        <v>0</v>
      </c>
      <c r="H128" s="63" t="s">
        <v>726</v>
      </c>
      <c r="I128" s="56">
        <v>0</v>
      </c>
      <c r="J128" s="9">
        <v>750</v>
      </c>
      <c r="L128" s="9">
        <v>10</v>
      </c>
      <c r="M128" s="9">
        <v>10</v>
      </c>
      <c r="N128" s="9">
        <v>10</v>
      </c>
      <c r="O128" s="9">
        <v>30</v>
      </c>
      <c r="P128" s="9">
        <v>10</v>
      </c>
      <c r="Q128" s="9">
        <v>10</v>
      </c>
      <c r="R128" s="9">
        <v>100</v>
      </c>
      <c r="S128" s="9">
        <v>10</v>
      </c>
      <c r="T128" s="9">
        <v>200</v>
      </c>
      <c r="U128" s="9">
        <v>10</v>
      </c>
      <c r="V128" s="9">
        <v>0</v>
      </c>
      <c r="W128" s="9">
        <v>20</v>
      </c>
      <c r="X128" s="9">
        <v>30</v>
      </c>
      <c r="Y128" s="9">
        <v>20</v>
      </c>
      <c r="Z128" s="9">
        <v>0</v>
      </c>
      <c r="AA128" s="9">
        <v>0</v>
      </c>
      <c r="AB128" s="9">
        <v>0</v>
      </c>
    </row>
    <row r="129" spans="1:28" ht="16.5" x14ac:dyDescent="0.35">
      <c r="A129" s="299"/>
      <c r="B129" s="87" t="s">
        <v>542</v>
      </c>
      <c r="C129" s="92" t="s">
        <v>419</v>
      </c>
      <c r="D129" s="70">
        <v>14721</v>
      </c>
      <c r="E129" s="9">
        <v>30</v>
      </c>
      <c r="F129" s="9">
        <v>17000</v>
      </c>
      <c r="G129" s="56">
        <v>0</v>
      </c>
      <c r="H129" s="63" t="s">
        <v>727</v>
      </c>
      <c r="I129" s="56">
        <v>0</v>
      </c>
      <c r="J129" s="9">
        <v>750</v>
      </c>
      <c r="L129" s="9">
        <v>10</v>
      </c>
      <c r="M129" s="9">
        <v>10</v>
      </c>
      <c r="N129" s="9">
        <v>10</v>
      </c>
      <c r="O129" s="9">
        <v>30</v>
      </c>
      <c r="P129" s="9">
        <v>10</v>
      </c>
      <c r="Q129" s="9">
        <v>10</v>
      </c>
      <c r="R129" s="9">
        <v>100</v>
      </c>
      <c r="S129" s="9">
        <v>10</v>
      </c>
      <c r="T129" s="9">
        <v>200</v>
      </c>
      <c r="U129" s="9">
        <v>10</v>
      </c>
      <c r="V129" s="9">
        <v>0</v>
      </c>
      <c r="W129" s="9">
        <v>20</v>
      </c>
      <c r="X129" s="9">
        <v>30</v>
      </c>
      <c r="Y129" s="9">
        <v>20</v>
      </c>
      <c r="Z129" s="9">
        <v>0</v>
      </c>
      <c r="AA129" s="9">
        <v>0</v>
      </c>
      <c r="AB129" s="9">
        <v>0</v>
      </c>
    </row>
    <row r="130" spans="1:28" ht="16.5" x14ac:dyDescent="0.35">
      <c r="A130" s="299"/>
      <c r="B130" s="95" t="s">
        <v>546</v>
      </c>
      <c r="C130" s="96" t="s">
        <v>419</v>
      </c>
      <c r="D130" s="70">
        <v>14731</v>
      </c>
      <c r="E130" s="9">
        <v>30</v>
      </c>
      <c r="F130" s="9">
        <v>20000</v>
      </c>
      <c r="G130" s="56">
        <v>0</v>
      </c>
      <c r="H130" s="63" t="s">
        <v>728</v>
      </c>
      <c r="I130" s="56">
        <v>0</v>
      </c>
      <c r="J130" s="9">
        <v>750</v>
      </c>
      <c r="L130" s="9">
        <v>10</v>
      </c>
      <c r="M130" s="9">
        <v>10</v>
      </c>
      <c r="N130" s="9">
        <v>10</v>
      </c>
      <c r="O130" s="9">
        <v>30</v>
      </c>
      <c r="P130" s="9">
        <v>10</v>
      </c>
      <c r="Q130" s="9">
        <v>10</v>
      </c>
      <c r="R130" s="9">
        <v>100</v>
      </c>
      <c r="S130" s="9">
        <v>10</v>
      </c>
      <c r="T130" s="9">
        <v>200</v>
      </c>
      <c r="U130" s="9">
        <v>10</v>
      </c>
      <c r="V130" s="9">
        <v>0</v>
      </c>
      <c r="W130" s="9">
        <v>20</v>
      </c>
      <c r="X130" s="9">
        <v>30</v>
      </c>
      <c r="Y130" s="9">
        <v>20</v>
      </c>
      <c r="Z130" s="9">
        <v>0</v>
      </c>
      <c r="AA130" s="9">
        <v>0</v>
      </c>
      <c r="AB130" s="9">
        <v>0</v>
      </c>
    </row>
    <row r="131" spans="1:28" ht="16.5" x14ac:dyDescent="0.35">
      <c r="A131" s="78"/>
      <c r="B131" s="95" t="s">
        <v>548</v>
      </c>
      <c r="C131" s="92"/>
      <c r="D131" s="70">
        <v>14801</v>
      </c>
      <c r="E131" s="9">
        <v>50</v>
      </c>
      <c r="F131" s="9">
        <v>300000</v>
      </c>
      <c r="G131" s="56">
        <v>0</v>
      </c>
      <c r="H131" s="63" t="s">
        <v>736</v>
      </c>
      <c r="I131" s="56">
        <v>0</v>
      </c>
      <c r="J131" s="9">
        <v>750</v>
      </c>
      <c r="L131" s="9">
        <v>10</v>
      </c>
      <c r="M131" s="9">
        <v>10</v>
      </c>
      <c r="N131" s="9">
        <v>10</v>
      </c>
      <c r="O131" s="9">
        <v>30</v>
      </c>
      <c r="P131" s="9">
        <v>10</v>
      </c>
      <c r="Q131" s="9">
        <v>10</v>
      </c>
      <c r="R131" s="9">
        <v>100</v>
      </c>
      <c r="S131" s="9">
        <v>20</v>
      </c>
      <c r="T131" s="9">
        <v>200</v>
      </c>
      <c r="U131" s="9">
        <v>10</v>
      </c>
      <c r="V131" s="9">
        <v>0</v>
      </c>
      <c r="W131" s="9">
        <v>20</v>
      </c>
      <c r="X131" s="9">
        <v>30</v>
      </c>
      <c r="Y131" s="9">
        <v>20</v>
      </c>
      <c r="Z131" s="9">
        <v>0</v>
      </c>
      <c r="AA131" s="9">
        <v>0</v>
      </c>
      <c r="AB131" s="9">
        <v>0</v>
      </c>
    </row>
    <row r="132" spans="1:28" ht="16.5" x14ac:dyDescent="0.35">
      <c r="A132" s="287" t="s">
        <v>555</v>
      </c>
      <c r="B132" s="80" t="s">
        <v>556</v>
      </c>
      <c r="C132" s="99" t="s">
        <v>480</v>
      </c>
      <c r="D132" s="70">
        <v>40101</v>
      </c>
      <c r="E132" s="9">
        <v>15</v>
      </c>
      <c r="F132" s="9">
        <v>100</v>
      </c>
      <c r="G132" s="56">
        <v>0</v>
      </c>
      <c r="H132" s="56">
        <v>0</v>
      </c>
      <c r="I132" s="56">
        <v>0</v>
      </c>
      <c r="J132" s="9">
        <v>0</v>
      </c>
      <c r="M132" s="9">
        <v>10</v>
      </c>
      <c r="N132" s="9">
        <v>10</v>
      </c>
      <c r="O132" s="9">
        <v>10</v>
      </c>
      <c r="P132" s="9">
        <v>10</v>
      </c>
      <c r="Q132" s="9">
        <v>10</v>
      </c>
      <c r="R132" s="9">
        <v>100</v>
      </c>
      <c r="T132" s="9">
        <v>200</v>
      </c>
      <c r="U132" s="9">
        <v>10</v>
      </c>
      <c r="V132" s="9">
        <v>0</v>
      </c>
      <c r="W132" s="9">
        <v>20</v>
      </c>
      <c r="X132" s="9">
        <v>30</v>
      </c>
      <c r="Y132" s="9">
        <v>20</v>
      </c>
      <c r="Z132" s="9">
        <v>0</v>
      </c>
      <c r="AA132" s="9">
        <v>0</v>
      </c>
      <c r="AB132" s="9">
        <v>0</v>
      </c>
    </row>
    <row r="133" spans="1:28" ht="16.5" x14ac:dyDescent="0.35">
      <c r="A133" s="288"/>
      <c r="B133" s="80" t="s">
        <v>558</v>
      </c>
      <c r="C133" s="100" t="s">
        <v>480</v>
      </c>
      <c r="D133" s="70">
        <v>40111</v>
      </c>
      <c r="E133" s="9">
        <v>15</v>
      </c>
      <c r="F133" s="9">
        <v>150</v>
      </c>
      <c r="G133" s="63" t="s">
        <v>4580</v>
      </c>
      <c r="H133" s="56">
        <v>0</v>
      </c>
      <c r="I133" s="56">
        <v>0</v>
      </c>
      <c r="J133" s="9">
        <v>0</v>
      </c>
      <c r="M133" s="9">
        <v>10</v>
      </c>
      <c r="N133" s="9">
        <v>10</v>
      </c>
      <c r="O133" s="9">
        <v>10</v>
      </c>
      <c r="P133" s="9">
        <v>10</v>
      </c>
      <c r="Q133" s="9">
        <v>10</v>
      </c>
      <c r="R133" s="9">
        <v>100</v>
      </c>
      <c r="T133" s="9">
        <v>200</v>
      </c>
      <c r="U133" s="9">
        <v>10</v>
      </c>
      <c r="V133" s="9">
        <v>0</v>
      </c>
      <c r="W133" s="9">
        <v>20</v>
      </c>
      <c r="X133" s="9">
        <v>30</v>
      </c>
      <c r="Y133" s="9">
        <v>20</v>
      </c>
      <c r="Z133" s="9">
        <v>0</v>
      </c>
      <c r="AA133" s="9">
        <v>0</v>
      </c>
      <c r="AB133" s="9">
        <v>0</v>
      </c>
    </row>
    <row r="134" spans="1:28" ht="16.5" x14ac:dyDescent="0.35">
      <c r="A134" s="288"/>
      <c r="B134" s="80" t="s">
        <v>559</v>
      </c>
      <c r="C134" s="100" t="s">
        <v>560</v>
      </c>
      <c r="D134" s="70">
        <v>40121</v>
      </c>
      <c r="E134" s="9">
        <v>10</v>
      </c>
      <c r="F134" s="9">
        <v>800</v>
      </c>
      <c r="G134" s="56">
        <v>0</v>
      </c>
      <c r="H134" s="63" t="s">
        <v>4579</v>
      </c>
      <c r="I134" s="56">
        <v>0</v>
      </c>
      <c r="J134" s="9">
        <v>0</v>
      </c>
      <c r="L134" s="9">
        <v>15</v>
      </c>
      <c r="M134" s="9">
        <v>10</v>
      </c>
      <c r="N134" s="9">
        <v>10</v>
      </c>
      <c r="O134" s="9">
        <v>10</v>
      </c>
      <c r="P134" s="9">
        <v>10</v>
      </c>
      <c r="Q134" s="9">
        <v>10</v>
      </c>
      <c r="R134" s="9">
        <v>100</v>
      </c>
      <c r="S134" s="9">
        <v>5</v>
      </c>
      <c r="T134" s="9">
        <v>200</v>
      </c>
      <c r="U134" s="9">
        <v>10</v>
      </c>
      <c r="V134" s="9">
        <v>0</v>
      </c>
      <c r="W134" s="9">
        <v>20</v>
      </c>
      <c r="X134" s="9">
        <v>30</v>
      </c>
      <c r="Y134" s="9">
        <v>20</v>
      </c>
      <c r="Z134" s="9">
        <v>0</v>
      </c>
      <c r="AA134" s="9">
        <v>0</v>
      </c>
      <c r="AB134" s="9">
        <v>0</v>
      </c>
    </row>
    <row r="135" spans="1:28" ht="16.5" x14ac:dyDescent="0.35">
      <c r="A135" s="288"/>
      <c r="B135" s="80" t="s">
        <v>561</v>
      </c>
      <c r="C135" s="100" t="s">
        <v>382</v>
      </c>
      <c r="D135" s="70">
        <v>40131</v>
      </c>
      <c r="E135" s="9">
        <v>20</v>
      </c>
      <c r="F135" s="9">
        <v>400</v>
      </c>
      <c r="G135" s="56">
        <v>0</v>
      </c>
      <c r="H135" s="56">
        <v>0</v>
      </c>
      <c r="I135" s="56">
        <v>0</v>
      </c>
      <c r="J135" s="9">
        <v>0</v>
      </c>
      <c r="M135" s="9">
        <v>10</v>
      </c>
      <c r="N135" s="9">
        <v>10</v>
      </c>
      <c r="O135" s="9">
        <v>10</v>
      </c>
      <c r="P135" s="9">
        <v>10</v>
      </c>
      <c r="Q135" s="9">
        <v>10</v>
      </c>
      <c r="R135" s="9">
        <v>100</v>
      </c>
      <c r="T135" s="9">
        <v>200</v>
      </c>
      <c r="U135" s="9">
        <v>10</v>
      </c>
      <c r="V135" s="9">
        <v>0</v>
      </c>
      <c r="W135" s="9">
        <v>20</v>
      </c>
      <c r="X135" s="9">
        <v>30</v>
      </c>
      <c r="Y135" s="9">
        <v>20</v>
      </c>
      <c r="Z135" s="9">
        <v>0</v>
      </c>
      <c r="AA135" s="9">
        <v>0</v>
      </c>
      <c r="AB135" s="9">
        <v>0</v>
      </c>
    </row>
    <row r="136" spans="1:28" ht="16.5" x14ac:dyDescent="0.35">
      <c r="A136" s="288"/>
      <c r="B136" s="93" t="s">
        <v>562</v>
      </c>
      <c r="C136" s="100" t="s">
        <v>386</v>
      </c>
      <c r="D136" s="70">
        <v>40201</v>
      </c>
      <c r="E136" s="9">
        <v>15</v>
      </c>
      <c r="F136" s="9">
        <v>600</v>
      </c>
      <c r="G136" s="56">
        <v>0</v>
      </c>
      <c r="H136" s="63" t="s">
        <v>4216</v>
      </c>
      <c r="I136" s="56">
        <v>0</v>
      </c>
      <c r="J136" s="9">
        <v>0</v>
      </c>
      <c r="M136" s="9">
        <v>10</v>
      </c>
      <c r="N136" s="9">
        <v>10</v>
      </c>
      <c r="O136" s="9">
        <v>10</v>
      </c>
      <c r="P136" s="9">
        <v>10</v>
      </c>
      <c r="Q136" s="9">
        <v>10</v>
      </c>
      <c r="R136" s="9">
        <v>100</v>
      </c>
      <c r="T136" s="9">
        <v>200</v>
      </c>
      <c r="U136" s="9">
        <v>10</v>
      </c>
      <c r="V136" s="9">
        <v>0</v>
      </c>
      <c r="W136" s="9">
        <v>20</v>
      </c>
      <c r="X136" s="9">
        <v>30</v>
      </c>
      <c r="Y136" s="9">
        <v>20</v>
      </c>
      <c r="Z136" s="9">
        <v>0</v>
      </c>
      <c r="AA136" s="9">
        <v>0</v>
      </c>
      <c r="AB136" s="9">
        <v>0</v>
      </c>
    </row>
    <row r="137" spans="1:28" ht="16.5" x14ac:dyDescent="0.35">
      <c r="A137" s="288"/>
      <c r="B137" s="93" t="s">
        <v>563</v>
      </c>
      <c r="C137" s="100" t="s">
        <v>443</v>
      </c>
      <c r="D137" s="70">
        <v>40211</v>
      </c>
      <c r="E137" s="9">
        <v>15</v>
      </c>
      <c r="F137" s="9">
        <v>800</v>
      </c>
      <c r="G137" s="56">
        <v>0</v>
      </c>
      <c r="H137" s="63" t="s">
        <v>4578</v>
      </c>
      <c r="I137" s="56">
        <v>0</v>
      </c>
      <c r="J137" s="9">
        <v>0</v>
      </c>
      <c r="M137" s="9">
        <v>10</v>
      </c>
      <c r="N137" s="9">
        <v>10</v>
      </c>
      <c r="O137" s="9">
        <v>10</v>
      </c>
      <c r="P137" s="9">
        <v>10</v>
      </c>
      <c r="Q137" s="9">
        <v>10</v>
      </c>
      <c r="R137" s="9">
        <v>100</v>
      </c>
      <c r="T137" s="9">
        <v>200</v>
      </c>
      <c r="U137" s="9">
        <v>10</v>
      </c>
      <c r="V137" s="9">
        <v>0</v>
      </c>
      <c r="W137" s="9">
        <v>20</v>
      </c>
      <c r="X137" s="9">
        <v>30</v>
      </c>
      <c r="Y137" s="9">
        <v>20</v>
      </c>
      <c r="Z137" s="9">
        <v>0</v>
      </c>
      <c r="AA137" s="9">
        <v>0</v>
      </c>
      <c r="AB137" s="9">
        <v>0</v>
      </c>
    </row>
    <row r="138" spans="1:28" ht="16.5" x14ac:dyDescent="0.35">
      <c r="A138" s="288"/>
      <c r="B138" s="94" t="s">
        <v>564</v>
      </c>
      <c r="C138" s="100" t="s">
        <v>565</v>
      </c>
      <c r="D138" s="70">
        <v>40221</v>
      </c>
      <c r="E138" s="9">
        <v>20</v>
      </c>
      <c r="F138" s="9">
        <v>1000</v>
      </c>
      <c r="G138" s="56">
        <v>0</v>
      </c>
      <c r="H138" s="56">
        <v>0</v>
      </c>
      <c r="I138" s="56">
        <v>0</v>
      </c>
      <c r="J138" s="9">
        <v>0</v>
      </c>
      <c r="M138" s="9">
        <v>10</v>
      </c>
      <c r="N138" s="9">
        <v>10</v>
      </c>
      <c r="O138" s="9">
        <v>10</v>
      </c>
      <c r="P138" s="9">
        <v>10</v>
      </c>
      <c r="Q138" s="9">
        <v>10</v>
      </c>
      <c r="R138" s="9">
        <v>100</v>
      </c>
      <c r="T138" s="9">
        <v>200</v>
      </c>
      <c r="U138" s="9">
        <v>10</v>
      </c>
      <c r="V138" s="9">
        <v>0</v>
      </c>
      <c r="W138" s="9">
        <v>20</v>
      </c>
      <c r="X138" s="9">
        <v>30</v>
      </c>
      <c r="Y138" s="9">
        <v>20</v>
      </c>
      <c r="Z138" s="9">
        <v>0</v>
      </c>
      <c r="AA138" s="9">
        <v>0</v>
      </c>
      <c r="AB138" s="9">
        <v>0</v>
      </c>
    </row>
    <row r="139" spans="1:28" ht="16.5" x14ac:dyDescent="0.35">
      <c r="A139" s="288"/>
      <c r="B139" s="81" t="s">
        <v>566</v>
      </c>
      <c r="C139" s="100" t="s">
        <v>449</v>
      </c>
      <c r="D139" s="70">
        <v>40231</v>
      </c>
      <c r="E139" s="9">
        <v>15</v>
      </c>
      <c r="F139" s="9">
        <v>600</v>
      </c>
      <c r="G139" s="56">
        <v>0</v>
      </c>
      <c r="H139" s="56">
        <v>0</v>
      </c>
      <c r="I139" s="56">
        <v>0</v>
      </c>
      <c r="J139" s="9">
        <v>0</v>
      </c>
      <c r="L139" s="9">
        <v>15</v>
      </c>
      <c r="M139" s="9">
        <v>10</v>
      </c>
      <c r="N139" s="9">
        <v>10</v>
      </c>
      <c r="O139" s="9">
        <v>10</v>
      </c>
      <c r="P139" s="9">
        <v>10</v>
      </c>
      <c r="Q139" s="9">
        <v>10</v>
      </c>
      <c r="R139" s="9">
        <v>100</v>
      </c>
      <c r="S139" s="9">
        <v>5</v>
      </c>
      <c r="T139" s="9">
        <v>200</v>
      </c>
      <c r="U139" s="9">
        <v>10</v>
      </c>
      <c r="V139" s="9">
        <v>0</v>
      </c>
      <c r="W139" s="9">
        <v>20</v>
      </c>
      <c r="X139" s="9">
        <v>30</v>
      </c>
      <c r="Y139" s="9">
        <v>20</v>
      </c>
      <c r="Z139" s="9">
        <v>0</v>
      </c>
      <c r="AA139" s="9">
        <v>0</v>
      </c>
      <c r="AB139" s="9">
        <v>0</v>
      </c>
    </row>
    <row r="140" spans="1:28" ht="16.5" x14ac:dyDescent="0.35">
      <c r="A140" s="288"/>
      <c r="B140" s="81" t="s">
        <v>567</v>
      </c>
      <c r="C140" s="100" t="s">
        <v>568</v>
      </c>
      <c r="D140" s="70">
        <v>40241</v>
      </c>
      <c r="E140" s="9">
        <v>15</v>
      </c>
      <c r="F140" s="9">
        <v>1200</v>
      </c>
      <c r="G140" s="56">
        <v>0</v>
      </c>
      <c r="H140" s="63" t="s">
        <v>4578</v>
      </c>
      <c r="I140" s="56">
        <v>0</v>
      </c>
      <c r="J140" s="9">
        <v>0</v>
      </c>
      <c r="L140" s="9">
        <v>10</v>
      </c>
      <c r="M140" s="9">
        <v>10</v>
      </c>
      <c r="N140" s="9">
        <v>10</v>
      </c>
      <c r="O140" s="9">
        <v>10</v>
      </c>
      <c r="P140" s="9">
        <v>10</v>
      </c>
      <c r="Q140" s="9">
        <v>10</v>
      </c>
      <c r="R140" s="9">
        <v>100</v>
      </c>
      <c r="S140" s="9">
        <v>10</v>
      </c>
      <c r="T140" s="9">
        <v>200</v>
      </c>
      <c r="U140" s="9">
        <v>10</v>
      </c>
      <c r="V140" s="9">
        <v>0</v>
      </c>
      <c r="W140" s="9">
        <v>20</v>
      </c>
      <c r="X140" s="9">
        <v>30</v>
      </c>
      <c r="Y140" s="9">
        <v>20</v>
      </c>
      <c r="Z140" s="9">
        <v>0</v>
      </c>
      <c r="AA140" s="9">
        <v>0</v>
      </c>
      <c r="AB140" s="9">
        <v>0</v>
      </c>
    </row>
    <row r="141" spans="1:28" ht="16.5" x14ac:dyDescent="0.35">
      <c r="A141" s="288"/>
      <c r="B141" s="81" t="s">
        <v>569</v>
      </c>
      <c r="C141" s="100" t="s">
        <v>456</v>
      </c>
      <c r="D141" s="70">
        <v>40251</v>
      </c>
      <c r="E141" s="9">
        <v>15</v>
      </c>
      <c r="F141" s="9">
        <v>1600</v>
      </c>
      <c r="G141" s="56">
        <v>0</v>
      </c>
      <c r="H141" s="63" t="s">
        <v>4577</v>
      </c>
      <c r="I141" s="56">
        <v>0</v>
      </c>
      <c r="J141" s="9">
        <v>0</v>
      </c>
      <c r="L141" s="9">
        <v>10</v>
      </c>
      <c r="M141" s="9">
        <v>10</v>
      </c>
      <c r="N141" s="9">
        <v>10</v>
      </c>
      <c r="O141" s="9">
        <v>10</v>
      </c>
      <c r="P141" s="9">
        <v>10</v>
      </c>
      <c r="Q141" s="9">
        <v>10</v>
      </c>
      <c r="R141" s="9">
        <v>100</v>
      </c>
      <c r="S141" s="9">
        <v>10</v>
      </c>
      <c r="T141" s="9">
        <v>200</v>
      </c>
      <c r="U141" s="9">
        <v>10</v>
      </c>
      <c r="V141" s="9">
        <v>0</v>
      </c>
      <c r="W141" s="9">
        <v>20</v>
      </c>
      <c r="X141" s="9">
        <v>30</v>
      </c>
      <c r="Y141" s="9">
        <v>20</v>
      </c>
      <c r="Z141" s="9">
        <v>0</v>
      </c>
      <c r="AA141" s="9">
        <v>0</v>
      </c>
      <c r="AB141" s="9">
        <v>0</v>
      </c>
    </row>
    <row r="142" spans="1:28" ht="16.5" x14ac:dyDescent="0.35">
      <c r="A142" s="288"/>
      <c r="B142" s="98" t="s">
        <v>493</v>
      </c>
      <c r="C142" s="100" t="s">
        <v>571</v>
      </c>
      <c r="D142" s="70">
        <v>40501</v>
      </c>
      <c r="E142" s="9">
        <v>7</v>
      </c>
      <c r="F142" s="9">
        <v>10000</v>
      </c>
      <c r="G142" s="56">
        <v>0</v>
      </c>
      <c r="H142" s="56">
        <v>0</v>
      </c>
      <c r="I142" s="56">
        <v>0</v>
      </c>
      <c r="J142" s="9">
        <v>0</v>
      </c>
      <c r="M142" s="9">
        <v>10</v>
      </c>
      <c r="N142" s="9">
        <v>10</v>
      </c>
      <c r="O142" s="9">
        <v>10</v>
      </c>
      <c r="P142" s="9">
        <v>10</v>
      </c>
      <c r="Q142" s="9">
        <v>10</v>
      </c>
      <c r="R142" s="9">
        <v>100</v>
      </c>
      <c r="T142" s="9">
        <v>200</v>
      </c>
      <c r="U142" s="9">
        <v>10</v>
      </c>
      <c r="V142" s="9">
        <v>0</v>
      </c>
      <c r="W142" s="9">
        <v>20</v>
      </c>
      <c r="X142" s="9">
        <v>30</v>
      </c>
      <c r="Y142" s="9">
        <v>20</v>
      </c>
      <c r="Z142" s="9">
        <v>0</v>
      </c>
      <c r="AA142" s="9">
        <v>0</v>
      </c>
      <c r="AB142" s="9">
        <v>0</v>
      </c>
    </row>
    <row r="143" spans="1:28" ht="16.5" x14ac:dyDescent="0.35">
      <c r="A143" s="288"/>
      <c r="B143" s="85" t="s">
        <v>567</v>
      </c>
      <c r="C143" s="100" t="s">
        <v>574</v>
      </c>
      <c r="D143" s="70">
        <v>40601</v>
      </c>
      <c r="E143" s="9">
        <v>25</v>
      </c>
      <c r="F143" s="9">
        <v>12000</v>
      </c>
      <c r="G143" s="56">
        <v>0</v>
      </c>
      <c r="H143" s="63" t="s">
        <v>4576</v>
      </c>
      <c r="I143" s="56">
        <v>0</v>
      </c>
      <c r="J143" s="9">
        <v>300</v>
      </c>
      <c r="L143" s="9">
        <v>10</v>
      </c>
      <c r="M143" s="9">
        <v>10</v>
      </c>
      <c r="N143" s="9">
        <v>10</v>
      </c>
      <c r="O143" s="9">
        <v>10</v>
      </c>
      <c r="P143" s="9">
        <v>10</v>
      </c>
      <c r="Q143" s="9">
        <v>10</v>
      </c>
      <c r="R143" s="9">
        <v>100</v>
      </c>
      <c r="S143" s="9">
        <v>10</v>
      </c>
      <c r="T143" s="9">
        <v>200</v>
      </c>
      <c r="U143" s="9">
        <v>10</v>
      </c>
      <c r="V143" s="9">
        <v>0</v>
      </c>
      <c r="W143" s="9">
        <v>20</v>
      </c>
      <c r="X143" s="9">
        <v>30</v>
      </c>
      <c r="Y143" s="9">
        <v>20</v>
      </c>
      <c r="Z143" s="9">
        <v>0</v>
      </c>
      <c r="AA143" s="9">
        <v>0</v>
      </c>
      <c r="AB143" s="9">
        <v>0</v>
      </c>
    </row>
    <row r="144" spans="1:28" ht="16.5" x14ac:dyDescent="0.35">
      <c r="A144" s="288"/>
      <c r="B144" s="85" t="s">
        <v>569</v>
      </c>
      <c r="C144" s="100" t="s">
        <v>574</v>
      </c>
      <c r="D144" s="70">
        <v>40611</v>
      </c>
      <c r="E144" s="9">
        <v>25</v>
      </c>
      <c r="F144" s="9">
        <v>15000</v>
      </c>
      <c r="G144" s="56">
        <v>0</v>
      </c>
      <c r="H144" s="63" t="s">
        <v>4575</v>
      </c>
      <c r="I144" s="56">
        <v>0</v>
      </c>
      <c r="J144" s="9">
        <v>300</v>
      </c>
      <c r="L144" s="9">
        <v>10</v>
      </c>
      <c r="M144" s="9">
        <v>10</v>
      </c>
      <c r="N144" s="9">
        <v>10</v>
      </c>
      <c r="O144" s="9">
        <v>10</v>
      </c>
      <c r="P144" s="9">
        <v>10</v>
      </c>
      <c r="Q144" s="9">
        <v>10</v>
      </c>
      <c r="R144" s="9">
        <v>100</v>
      </c>
      <c r="S144" s="9">
        <v>10</v>
      </c>
      <c r="T144" s="9">
        <v>200</v>
      </c>
      <c r="U144" s="9">
        <v>10</v>
      </c>
      <c r="V144" s="9">
        <v>0</v>
      </c>
      <c r="W144" s="9">
        <v>20</v>
      </c>
      <c r="X144" s="9">
        <v>30</v>
      </c>
      <c r="Y144" s="9">
        <v>20</v>
      </c>
      <c r="Z144" s="9">
        <v>0</v>
      </c>
      <c r="AA144" s="9">
        <v>0</v>
      </c>
      <c r="AB144" s="9">
        <v>0</v>
      </c>
    </row>
    <row r="145" spans="1:28" ht="16.5" x14ac:dyDescent="0.35">
      <c r="A145" s="288"/>
      <c r="B145" s="87" t="s">
        <v>337</v>
      </c>
      <c r="C145" s="100" t="s">
        <v>576</v>
      </c>
      <c r="D145" s="70">
        <v>40701</v>
      </c>
      <c r="E145" s="9">
        <v>30</v>
      </c>
      <c r="F145" s="9">
        <v>18000</v>
      </c>
      <c r="G145" s="56">
        <v>0</v>
      </c>
      <c r="H145" s="63" t="s">
        <v>4574</v>
      </c>
      <c r="I145" s="56">
        <v>0</v>
      </c>
      <c r="J145" s="9">
        <v>750</v>
      </c>
      <c r="L145" s="9">
        <v>10</v>
      </c>
      <c r="M145" s="9">
        <v>20</v>
      </c>
      <c r="N145" s="9">
        <v>10</v>
      </c>
      <c r="O145" s="9">
        <v>10</v>
      </c>
      <c r="P145" s="9">
        <v>10</v>
      </c>
      <c r="Q145" s="9">
        <v>10</v>
      </c>
      <c r="R145" s="9">
        <v>100</v>
      </c>
      <c r="S145" s="9">
        <v>10</v>
      </c>
      <c r="T145" s="9">
        <v>200</v>
      </c>
      <c r="U145" s="9">
        <v>10</v>
      </c>
      <c r="V145" s="9">
        <v>0</v>
      </c>
      <c r="W145" s="9">
        <v>20</v>
      </c>
      <c r="X145" s="9">
        <v>30</v>
      </c>
      <c r="Y145" s="9">
        <v>20</v>
      </c>
      <c r="Z145" s="9">
        <v>0</v>
      </c>
      <c r="AA145" s="9">
        <v>0</v>
      </c>
      <c r="AB145" s="9">
        <v>0</v>
      </c>
    </row>
    <row r="146" spans="1:28" ht="16.5" x14ac:dyDescent="0.35">
      <c r="A146" s="296"/>
      <c r="B146" s="95" t="s">
        <v>578</v>
      </c>
      <c r="C146" s="102" t="s">
        <v>576</v>
      </c>
      <c r="D146" s="70">
        <v>40711</v>
      </c>
      <c r="E146" s="9">
        <v>30</v>
      </c>
      <c r="F146" s="9">
        <v>20000</v>
      </c>
      <c r="G146" s="56">
        <v>0</v>
      </c>
      <c r="H146" s="63" t="s">
        <v>737</v>
      </c>
      <c r="I146" s="56">
        <v>0</v>
      </c>
      <c r="J146" s="9">
        <v>750</v>
      </c>
      <c r="L146" s="9">
        <v>10</v>
      </c>
      <c r="M146" s="9">
        <v>20</v>
      </c>
      <c r="N146" s="9">
        <v>20</v>
      </c>
      <c r="O146" s="9">
        <v>20</v>
      </c>
      <c r="P146" s="9">
        <v>20</v>
      </c>
      <c r="Q146" s="9">
        <v>20</v>
      </c>
      <c r="R146" s="9">
        <v>100</v>
      </c>
      <c r="S146" s="9">
        <v>10</v>
      </c>
      <c r="T146" s="9">
        <v>200</v>
      </c>
      <c r="U146" s="9">
        <v>10</v>
      </c>
      <c r="V146" s="9">
        <v>0</v>
      </c>
      <c r="W146" s="9">
        <v>20</v>
      </c>
      <c r="X146" s="9">
        <v>30</v>
      </c>
      <c r="Y146" s="9">
        <v>20</v>
      </c>
      <c r="Z146" s="9">
        <v>0</v>
      </c>
      <c r="AA146" s="9">
        <v>0</v>
      </c>
      <c r="AB146" s="9">
        <v>0</v>
      </c>
    </row>
    <row r="147" spans="1:28" ht="16.5" x14ac:dyDescent="0.35">
      <c r="A147" s="289" t="s">
        <v>580</v>
      </c>
      <c r="B147" s="103" t="s">
        <v>581</v>
      </c>
      <c r="C147" s="104" t="s">
        <v>480</v>
      </c>
      <c r="D147" s="70">
        <v>41101</v>
      </c>
      <c r="E147" s="9">
        <v>10</v>
      </c>
      <c r="F147" s="9">
        <v>100</v>
      </c>
      <c r="G147" s="56">
        <v>0</v>
      </c>
      <c r="H147" s="56">
        <v>0</v>
      </c>
      <c r="I147" s="56">
        <v>0</v>
      </c>
      <c r="J147" s="9">
        <v>0</v>
      </c>
      <c r="L147" s="9">
        <v>10</v>
      </c>
      <c r="M147" s="9">
        <v>10</v>
      </c>
      <c r="N147" s="9">
        <v>10</v>
      </c>
      <c r="O147" s="9">
        <v>10</v>
      </c>
      <c r="P147" s="9">
        <v>10</v>
      </c>
      <c r="Q147" s="9">
        <v>10</v>
      </c>
      <c r="R147" s="9">
        <v>100</v>
      </c>
      <c r="T147" s="9">
        <v>200</v>
      </c>
      <c r="U147" s="9">
        <v>10</v>
      </c>
      <c r="V147" s="9">
        <v>0</v>
      </c>
      <c r="W147" s="9">
        <v>20</v>
      </c>
      <c r="X147" s="9">
        <v>30</v>
      </c>
      <c r="Y147" s="9">
        <v>20</v>
      </c>
      <c r="Z147" s="9">
        <v>0</v>
      </c>
      <c r="AA147" s="9">
        <v>0</v>
      </c>
      <c r="AB147" s="9">
        <v>0</v>
      </c>
    </row>
    <row r="148" spans="1:28" ht="16.5" x14ac:dyDescent="0.35">
      <c r="A148" s="290"/>
      <c r="B148" s="103" t="s">
        <v>581</v>
      </c>
      <c r="C148" s="105" t="s">
        <v>480</v>
      </c>
      <c r="D148" s="70">
        <v>41111</v>
      </c>
      <c r="E148" s="9">
        <v>10</v>
      </c>
      <c r="F148" s="9">
        <v>100</v>
      </c>
      <c r="G148" s="56">
        <v>0</v>
      </c>
      <c r="H148" s="63" t="s">
        <v>4216</v>
      </c>
      <c r="I148" s="56">
        <v>0</v>
      </c>
      <c r="J148" s="9">
        <v>0</v>
      </c>
      <c r="L148" s="9">
        <v>10</v>
      </c>
      <c r="M148" s="9">
        <v>10</v>
      </c>
      <c r="N148" s="9">
        <v>10</v>
      </c>
      <c r="O148" s="9">
        <v>10</v>
      </c>
      <c r="P148" s="9">
        <v>10</v>
      </c>
      <c r="Q148" s="9">
        <v>10</v>
      </c>
      <c r="R148" s="9">
        <v>100</v>
      </c>
      <c r="S148" s="9">
        <v>10</v>
      </c>
      <c r="T148" s="9">
        <v>200</v>
      </c>
      <c r="U148" s="9">
        <v>10</v>
      </c>
      <c r="V148" s="9">
        <v>0</v>
      </c>
      <c r="W148" s="9">
        <v>20</v>
      </c>
      <c r="X148" s="9">
        <v>30</v>
      </c>
      <c r="Y148" s="9">
        <v>20</v>
      </c>
      <c r="Z148" s="9">
        <v>0</v>
      </c>
      <c r="AA148" s="9">
        <v>0</v>
      </c>
      <c r="AB148" s="9">
        <v>0</v>
      </c>
    </row>
    <row r="149" spans="1:28" ht="16.5" x14ac:dyDescent="0.35">
      <c r="A149" s="290"/>
      <c r="B149" s="106" t="s">
        <v>582</v>
      </c>
      <c r="C149" s="105" t="s">
        <v>574</v>
      </c>
      <c r="D149" s="70">
        <v>41601</v>
      </c>
      <c r="E149" s="9">
        <v>20</v>
      </c>
      <c r="F149" s="9">
        <v>5000</v>
      </c>
      <c r="G149" s="56">
        <v>0</v>
      </c>
      <c r="H149" s="63" t="s">
        <v>4217</v>
      </c>
      <c r="I149" s="56">
        <v>0</v>
      </c>
      <c r="J149" s="9">
        <v>300</v>
      </c>
      <c r="L149" s="9">
        <v>10</v>
      </c>
      <c r="M149" s="9">
        <v>10</v>
      </c>
      <c r="N149" s="9">
        <v>10</v>
      </c>
      <c r="O149" s="9">
        <v>10</v>
      </c>
      <c r="P149" s="9">
        <v>10</v>
      </c>
      <c r="Q149" s="9">
        <v>10</v>
      </c>
      <c r="R149" s="9">
        <v>100</v>
      </c>
      <c r="S149" s="9">
        <v>10</v>
      </c>
      <c r="T149" s="9">
        <v>200</v>
      </c>
      <c r="U149" s="9">
        <v>10</v>
      </c>
      <c r="V149" s="9">
        <v>0</v>
      </c>
      <c r="W149" s="9">
        <v>20</v>
      </c>
      <c r="X149" s="9">
        <v>30</v>
      </c>
      <c r="Y149" s="9">
        <v>20</v>
      </c>
      <c r="Z149" s="9">
        <v>0</v>
      </c>
      <c r="AA149" s="9">
        <v>0</v>
      </c>
      <c r="AB149" s="9">
        <v>0</v>
      </c>
    </row>
    <row r="150" spans="1:28" ht="16.5" x14ac:dyDescent="0.35">
      <c r="A150" s="290"/>
      <c r="B150" s="106" t="s">
        <v>582</v>
      </c>
      <c r="C150" s="105" t="s">
        <v>574</v>
      </c>
      <c r="D150" s="70">
        <v>41611</v>
      </c>
      <c r="E150" s="9">
        <v>20</v>
      </c>
      <c r="F150" s="9">
        <v>5000</v>
      </c>
      <c r="G150" s="56">
        <v>0</v>
      </c>
      <c r="H150" s="63" t="s">
        <v>4217</v>
      </c>
      <c r="I150" s="56">
        <v>0</v>
      </c>
      <c r="J150" s="9">
        <v>300</v>
      </c>
      <c r="L150" s="9">
        <v>10</v>
      </c>
      <c r="M150" s="9">
        <v>10</v>
      </c>
      <c r="N150" s="9">
        <v>10</v>
      </c>
      <c r="O150" s="9">
        <v>10</v>
      </c>
      <c r="P150" s="9">
        <v>10</v>
      </c>
      <c r="Q150" s="9">
        <v>10</v>
      </c>
      <c r="R150" s="9">
        <v>100</v>
      </c>
      <c r="S150" s="9">
        <v>10</v>
      </c>
      <c r="T150" s="9">
        <v>200</v>
      </c>
      <c r="U150" s="9">
        <v>10</v>
      </c>
      <c r="V150" s="9">
        <v>0</v>
      </c>
      <c r="W150" s="9">
        <v>20</v>
      </c>
      <c r="X150" s="9">
        <v>30</v>
      </c>
      <c r="Y150" s="9">
        <v>20</v>
      </c>
      <c r="Z150" s="9">
        <v>0</v>
      </c>
      <c r="AA150" s="9">
        <v>0</v>
      </c>
      <c r="AB150" s="9">
        <v>0</v>
      </c>
    </row>
    <row r="151" spans="1:28" ht="16.5" x14ac:dyDescent="0.35">
      <c r="A151" s="291"/>
      <c r="B151" s="107" t="s">
        <v>583</v>
      </c>
      <c r="C151" s="108" t="s">
        <v>576</v>
      </c>
      <c r="D151" s="70">
        <v>41701</v>
      </c>
      <c r="E151" s="9">
        <v>30</v>
      </c>
      <c r="F151" s="9">
        <v>20000</v>
      </c>
      <c r="G151" s="56">
        <v>0</v>
      </c>
      <c r="H151" s="63" t="s">
        <v>4218</v>
      </c>
      <c r="I151" s="56">
        <v>0</v>
      </c>
      <c r="J151" s="9">
        <v>750</v>
      </c>
      <c r="L151" s="9">
        <v>10</v>
      </c>
      <c r="M151" s="9">
        <v>20</v>
      </c>
      <c r="N151" s="9">
        <v>20</v>
      </c>
      <c r="O151" s="9">
        <v>20</v>
      </c>
      <c r="P151" s="9">
        <v>20</v>
      </c>
      <c r="Q151" s="9">
        <v>20</v>
      </c>
      <c r="R151" s="9">
        <v>100</v>
      </c>
      <c r="S151" s="9">
        <v>10</v>
      </c>
      <c r="T151" s="9">
        <v>200</v>
      </c>
      <c r="U151" s="9">
        <v>10</v>
      </c>
      <c r="V151" s="9">
        <v>0</v>
      </c>
      <c r="W151" s="9">
        <v>20</v>
      </c>
      <c r="X151" s="9">
        <v>30</v>
      </c>
      <c r="Y151" s="9">
        <v>20</v>
      </c>
      <c r="Z151" s="9">
        <v>0</v>
      </c>
      <c r="AA151" s="9">
        <v>0</v>
      </c>
      <c r="AB151" s="9">
        <v>0</v>
      </c>
    </row>
    <row r="152" spans="1:28" ht="17.25" customHeight="1" x14ac:dyDescent="0.35">
      <c r="A152" s="109"/>
      <c r="B152" s="110" t="s">
        <v>738</v>
      </c>
      <c r="C152" s="69"/>
      <c r="D152" s="70">
        <v>110011</v>
      </c>
      <c r="E152" s="9">
        <v>5</v>
      </c>
      <c r="F152" s="9">
        <v>50</v>
      </c>
      <c r="G152" s="56">
        <v>0</v>
      </c>
      <c r="H152" s="56">
        <v>0</v>
      </c>
      <c r="I152" s="56">
        <v>0</v>
      </c>
      <c r="J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100</v>
      </c>
      <c r="S152" s="9">
        <v>5</v>
      </c>
      <c r="T152" s="9">
        <v>200</v>
      </c>
      <c r="U152" s="9">
        <v>10</v>
      </c>
      <c r="W152" s="9">
        <v>20</v>
      </c>
      <c r="X152" s="9">
        <v>30</v>
      </c>
      <c r="Y152" s="9">
        <v>20</v>
      </c>
      <c r="Z152" s="9">
        <v>0</v>
      </c>
      <c r="AA152" s="9">
        <v>0</v>
      </c>
      <c r="AB152" s="9">
        <v>0</v>
      </c>
    </row>
    <row r="153" spans="1:28" ht="16.5" x14ac:dyDescent="0.35">
      <c r="A153" s="109"/>
      <c r="B153" s="110" t="s">
        <v>739</v>
      </c>
      <c r="C153" s="69"/>
      <c r="D153" s="70">
        <v>110021</v>
      </c>
      <c r="E153" s="9">
        <v>6</v>
      </c>
      <c r="F153" s="9">
        <v>50</v>
      </c>
      <c r="G153" s="56">
        <v>0</v>
      </c>
      <c r="H153" s="56">
        <v>0</v>
      </c>
      <c r="I153" s="56">
        <v>0</v>
      </c>
      <c r="J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100</v>
      </c>
      <c r="S153" s="9">
        <v>5</v>
      </c>
      <c r="T153" s="9">
        <v>200</v>
      </c>
      <c r="U153" s="9">
        <v>10</v>
      </c>
      <c r="W153" s="9">
        <v>20</v>
      </c>
      <c r="X153" s="9">
        <v>30</v>
      </c>
      <c r="Y153" s="9">
        <v>20</v>
      </c>
      <c r="Z153" s="9">
        <v>0</v>
      </c>
      <c r="AA153" s="9">
        <v>0</v>
      </c>
      <c r="AB153" s="9">
        <v>0</v>
      </c>
    </row>
    <row r="154" spans="1:28" ht="16.5" x14ac:dyDescent="0.35">
      <c r="A154" s="109"/>
      <c r="B154" s="110" t="s">
        <v>740</v>
      </c>
      <c r="C154" s="69"/>
      <c r="D154" s="70">
        <v>110022</v>
      </c>
      <c r="E154" s="9">
        <v>8</v>
      </c>
      <c r="F154" s="9">
        <v>300</v>
      </c>
      <c r="G154" s="56">
        <v>0</v>
      </c>
      <c r="H154" s="56">
        <v>0</v>
      </c>
      <c r="I154" s="56">
        <v>0</v>
      </c>
      <c r="J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100</v>
      </c>
      <c r="S154" s="9">
        <v>5</v>
      </c>
      <c r="T154" s="9">
        <v>200</v>
      </c>
      <c r="U154" s="9">
        <v>10</v>
      </c>
      <c r="W154" s="9">
        <v>20</v>
      </c>
      <c r="X154" s="9">
        <v>30</v>
      </c>
      <c r="Y154" s="9">
        <v>20</v>
      </c>
      <c r="Z154" s="9">
        <v>0</v>
      </c>
      <c r="AA154" s="9">
        <v>0</v>
      </c>
      <c r="AB154" s="9">
        <v>0</v>
      </c>
    </row>
    <row r="155" spans="1:28" ht="16.5" x14ac:dyDescent="0.35">
      <c r="A155" s="109"/>
      <c r="B155" s="110" t="s">
        <v>741</v>
      </c>
      <c r="C155" s="69"/>
      <c r="D155" s="70">
        <v>110031</v>
      </c>
      <c r="E155" s="9">
        <v>7</v>
      </c>
      <c r="F155" s="9">
        <v>60</v>
      </c>
      <c r="G155" s="56">
        <v>0</v>
      </c>
      <c r="H155" s="56">
        <v>0</v>
      </c>
      <c r="I155" s="56">
        <v>0</v>
      </c>
      <c r="J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100</v>
      </c>
      <c r="S155" s="9">
        <v>5</v>
      </c>
      <c r="T155" s="9">
        <v>200</v>
      </c>
      <c r="U155" s="9">
        <v>10</v>
      </c>
      <c r="W155" s="9">
        <v>20</v>
      </c>
      <c r="X155" s="9">
        <v>30</v>
      </c>
      <c r="Y155" s="9">
        <v>20</v>
      </c>
      <c r="Z155" s="9">
        <v>0</v>
      </c>
      <c r="AA155" s="9">
        <v>0</v>
      </c>
      <c r="AB155" s="9">
        <v>0</v>
      </c>
    </row>
    <row r="156" spans="1:28" ht="16.5" x14ac:dyDescent="0.35">
      <c r="A156" s="109"/>
      <c r="B156" s="111" t="s">
        <v>742</v>
      </c>
      <c r="C156" s="69"/>
      <c r="D156" s="70">
        <v>110032</v>
      </c>
      <c r="E156" s="9">
        <v>15</v>
      </c>
      <c r="F156" s="9">
        <v>1500</v>
      </c>
      <c r="G156" s="56">
        <v>0</v>
      </c>
      <c r="H156" s="56">
        <v>500</v>
      </c>
      <c r="I156" s="56">
        <v>0</v>
      </c>
      <c r="J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150</v>
      </c>
      <c r="S156" s="9">
        <v>15</v>
      </c>
      <c r="T156" s="9">
        <v>200</v>
      </c>
      <c r="U156" s="9">
        <v>10</v>
      </c>
      <c r="W156" s="9">
        <v>20</v>
      </c>
      <c r="X156" s="9">
        <v>30</v>
      </c>
      <c r="Y156" s="9">
        <v>20</v>
      </c>
      <c r="Z156" s="9">
        <v>0</v>
      </c>
      <c r="AA156" s="9">
        <v>0</v>
      </c>
      <c r="AB156" s="9">
        <v>0</v>
      </c>
    </row>
    <row r="157" spans="1:28" ht="16.5" x14ac:dyDescent="0.35">
      <c r="A157" s="109"/>
      <c r="B157" s="104" t="s">
        <v>743</v>
      </c>
      <c r="C157" s="69"/>
      <c r="D157" s="70">
        <v>110041</v>
      </c>
      <c r="E157" s="9">
        <v>8</v>
      </c>
      <c r="F157" s="9">
        <v>60</v>
      </c>
      <c r="G157" s="56">
        <v>0</v>
      </c>
      <c r="H157" s="56">
        <v>0</v>
      </c>
      <c r="I157" s="56">
        <v>0</v>
      </c>
      <c r="J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100</v>
      </c>
      <c r="S157" s="9">
        <v>5</v>
      </c>
      <c r="T157" s="9">
        <v>200</v>
      </c>
      <c r="U157" s="9">
        <v>10</v>
      </c>
      <c r="W157" s="9">
        <v>20</v>
      </c>
      <c r="X157" s="9">
        <v>30</v>
      </c>
      <c r="Y157" s="9">
        <v>20</v>
      </c>
      <c r="Z157" s="9">
        <v>0</v>
      </c>
      <c r="AA157" s="9">
        <v>0</v>
      </c>
      <c r="AB157" s="9">
        <v>0</v>
      </c>
    </row>
    <row r="158" spans="1:28" ht="16.5" x14ac:dyDescent="0.35">
      <c r="A158" s="109"/>
      <c r="B158" s="104" t="s">
        <v>744</v>
      </c>
      <c r="C158" s="69"/>
      <c r="D158" s="70">
        <v>110042</v>
      </c>
      <c r="E158" s="9">
        <v>10</v>
      </c>
      <c r="F158" s="9">
        <v>50</v>
      </c>
      <c r="G158" s="56">
        <v>0</v>
      </c>
      <c r="H158" s="56">
        <v>0</v>
      </c>
      <c r="I158" s="56">
        <v>0</v>
      </c>
      <c r="J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100</v>
      </c>
      <c r="S158" s="9">
        <v>10</v>
      </c>
      <c r="T158" s="9">
        <v>200</v>
      </c>
      <c r="U158" s="9">
        <v>10</v>
      </c>
      <c r="W158" s="9">
        <v>20</v>
      </c>
      <c r="X158" s="9">
        <v>30</v>
      </c>
      <c r="Y158" s="9">
        <v>20</v>
      </c>
      <c r="Z158" s="9">
        <v>0</v>
      </c>
      <c r="AA158" s="9">
        <v>0</v>
      </c>
      <c r="AB158" s="9">
        <v>0</v>
      </c>
    </row>
    <row r="159" spans="1:28" ht="16.5" x14ac:dyDescent="0.35">
      <c r="A159" s="109"/>
      <c r="B159" s="104" t="s">
        <v>745</v>
      </c>
      <c r="C159" s="69"/>
      <c r="D159" s="70">
        <v>110051</v>
      </c>
      <c r="E159" s="9">
        <v>9</v>
      </c>
      <c r="F159" s="9">
        <v>75</v>
      </c>
      <c r="G159" s="56">
        <v>0</v>
      </c>
      <c r="H159" s="56">
        <v>0</v>
      </c>
      <c r="I159" s="56">
        <v>0</v>
      </c>
      <c r="J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100</v>
      </c>
      <c r="S159" s="9">
        <v>5</v>
      </c>
      <c r="T159" s="9">
        <v>200</v>
      </c>
      <c r="U159" s="9">
        <v>10</v>
      </c>
      <c r="W159" s="9">
        <v>20</v>
      </c>
      <c r="X159" s="9">
        <v>30</v>
      </c>
      <c r="Y159" s="9">
        <v>20</v>
      </c>
      <c r="Z159" s="9">
        <v>0</v>
      </c>
      <c r="AA159" s="9">
        <v>0</v>
      </c>
      <c r="AB159" s="9">
        <v>0</v>
      </c>
    </row>
    <row r="160" spans="1:28" ht="16.5" x14ac:dyDescent="0.35">
      <c r="A160" s="109"/>
      <c r="B160" s="104" t="s">
        <v>746</v>
      </c>
      <c r="C160" s="69"/>
      <c r="D160" s="70">
        <v>110052</v>
      </c>
      <c r="E160" s="9">
        <v>12</v>
      </c>
      <c r="F160" s="9">
        <v>60</v>
      </c>
      <c r="G160" s="56">
        <v>0</v>
      </c>
      <c r="H160" s="56">
        <v>0</v>
      </c>
      <c r="I160" s="56">
        <v>0</v>
      </c>
      <c r="J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100</v>
      </c>
      <c r="S160" s="9">
        <v>10</v>
      </c>
      <c r="T160" s="9">
        <v>200</v>
      </c>
      <c r="U160" s="9">
        <v>10</v>
      </c>
      <c r="W160" s="9">
        <v>20</v>
      </c>
      <c r="X160" s="9">
        <v>30</v>
      </c>
      <c r="Y160" s="9">
        <v>20</v>
      </c>
      <c r="Z160" s="9">
        <v>0</v>
      </c>
      <c r="AA160" s="9">
        <v>0</v>
      </c>
      <c r="AB160" s="9">
        <v>0</v>
      </c>
    </row>
    <row r="161" spans="1:28" ht="16.5" x14ac:dyDescent="0.35">
      <c r="A161" s="109"/>
      <c r="B161" s="112" t="s">
        <v>747</v>
      </c>
      <c r="C161" s="69"/>
      <c r="D161" s="70">
        <v>110053</v>
      </c>
      <c r="E161" s="9">
        <v>15</v>
      </c>
      <c r="F161" s="9">
        <v>3000</v>
      </c>
      <c r="G161" s="56">
        <v>0</v>
      </c>
      <c r="H161" s="56">
        <v>0</v>
      </c>
      <c r="I161" s="56">
        <v>0</v>
      </c>
      <c r="J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150</v>
      </c>
      <c r="S161" s="9">
        <v>15</v>
      </c>
      <c r="T161" s="9">
        <v>200</v>
      </c>
      <c r="U161" s="9">
        <v>10</v>
      </c>
      <c r="W161" s="9">
        <v>20</v>
      </c>
      <c r="X161" s="9">
        <v>30</v>
      </c>
      <c r="Y161" s="9">
        <v>20</v>
      </c>
      <c r="Z161" s="9">
        <v>0</v>
      </c>
      <c r="AA161" s="9">
        <v>0</v>
      </c>
      <c r="AB161" s="9">
        <v>0</v>
      </c>
    </row>
    <row r="162" spans="1:28" ht="16.5" x14ac:dyDescent="0.35">
      <c r="A162" s="109"/>
      <c r="B162" s="104" t="s">
        <v>748</v>
      </c>
      <c r="C162" s="69"/>
      <c r="D162" s="70">
        <v>110061</v>
      </c>
      <c r="E162" s="9">
        <v>12</v>
      </c>
      <c r="F162" s="9">
        <v>80</v>
      </c>
      <c r="G162" s="56">
        <v>0</v>
      </c>
      <c r="H162" s="56">
        <v>0</v>
      </c>
      <c r="I162" s="56">
        <v>0</v>
      </c>
      <c r="J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100</v>
      </c>
      <c r="S162" s="9">
        <v>5</v>
      </c>
      <c r="T162" s="9">
        <v>200</v>
      </c>
      <c r="U162" s="9">
        <v>10</v>
      </c>
      <c r="W162" s="9">
        <v>20</v>
      </c>
      <c r="X162" s="9">
        <v>30</v>
      </c>
      <c r="Y162" s="9">
        <v>20</v>
      </c>
      <c r="Z162" s="9">
        <v>0</v>
      </c>
      <c r="AA162" s="9">
        <v>0</v>
      </c>
      <c r="AB162" s="9">
        <v>0</v>
      </c>
    </row>
    <row r="163" spans="1:28" ht="16.5" x14ac:dyDescent="0.35">
      <c r="A163" s="109"/>
      <c r="B163" s="104" t="s">
        <v>749</v>
      </c>
      <c r="C163" s="69"/>
      <c r="D163" s="70">
        <v>110062</v>
      </c>
      <c r="E163" s="9">
        <v>15</v>
      </c>
      <c r="F163" s="9">
        <v>60</v>
      </c>
      <c r="G163" s="56">
        <v>0</v>
      </c>
      <c r="H163" s="56">
        <v>0</v>
      </c>
      <c r="I163" s="56">
        <v>0</v>
      </c>
      <c r="J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100</v>
      </c>
      <c r="S163" s="9">
        <v>10</v>
      </c>
      <c r="T163" s="9">
        <v>200</v>
      </c>
      <c r="U163" s="9">
        <v>10</v>
      </c>
      <c r="W163" s="9">
        <v>20</v>
      </c>
      <c r="X163" s="9">
        <v>30</v>
      </c>
      <c r="Y163" s="9">
        <v>20</v>
      </c>
      <c r="Z163" s="9">
        <v>0</v>
      </c>
      <c r="AA163" s="9">
        <v>0</v>
      </c>
      <c r="AB163" s="9">
        <v>0</v>
      </c>
    </row>
    <row r="164" spans="1:28" ht="16.5" x14ac:dyDescent="0.35">
      <c r="A164" s="109"/>
      <c r="B164" s="104" t="s">
        <v>750</v>
      </c>
      <c r="C164" s="69"/>
      <c r="D164" s="70">
        <v>110071</v>
      </c>
      <c r="E164" s="9">
        <v>15</v>
      </c>
      <c r="F164" s="9">
        <v>500</v>
      </c>
      <c r="G164" s="56">
        <v>0</v>
      </c>
      <c r="H164" s="56">
        <v>0</v>
      </c>
      <c r="I164" s="56">
        <v>0</v>
      </c>
      <c r="J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100</v>
      </c>
      <c r="S164" s="9">
        <v>5</v>
      </c>
      <c r="T164" s="9">
        <v>200</v>
      </c>
      <c r="U164" s="9">
        <v>10</v>
      </c>
      <c r="W164" s="9">
        <v>20</v>
      </c>
      <c r="X164" s="9">
        <v>30</v>
      </c>
      <c r="Y164" s="9">
        <v>20</v>
      </c>
      <c r="Z164" s="9">
        <v>0</v>
      </c>
      <c r="AA164" s="9">
        <v>0</v>
      </c>
      <c r="AB164" s="9">
        <v>0</v>
      </c>
    </row>
    <row r="165" spans="1:28" ht="16.5" x14ac:dyDescent="0.35">
      <c r="A165" s="109"/>
      <c r="B165" s="104" t="s">
        <v>751</v>
      </c>
      <c r="C165" s="69"/>
      <c r="D165" s="70">
        <v>110081</v>
      </c>
      <c r="E165" s="9">
        <v>13</v>
      </c>
      <c r="F165" s="9">
        <v>60</v>
      </c>
      <c r="G165" s="56">
        <v>0</v>
      </c>
      <c r="H165" s="56">
        <v>0</v>
      </c>
      <c r="I165" s="56">
        <v>0</v>
      </c>
      <c r="J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100</v>
      </c>
      <c r="S165" s="9">
        <v>5</v>
      </c>
      <c r="T165" s="9">
        <v>200</v>
      </c>
      <c r="U165" s="9">
        <v>10</v>
      </c>
      <c r="W165" s="9">
        <v>20</v>
      </c>
      <c r="X165" s="9">
        <v>30</v>
      </c>
      <c r="Y165" s="9">
        <v>20</v>
      </c>
      <c r="Z165" s="9">
        <v>0</v>
      </c>
      <c r="AA165" s="9">
        <v>0</v>
      </c>
      <c r="AB165" s="9">
        <v>0</v>
      </c>
    </row>
    <row r="166" spans="1:28" ht="16.5" x14ac:dyDescent="0.35">
      <c r="A166" s="109"/>
      <c r="B166" s="104" t="s">
        <v>752</v>
      </c>
      <c r="C166" s="69"/>
      <c r="D166" s="70">
        <v>110082</v>
      </c>
      <c r="E166" s="9">
        <v>15</v>
      </c>
      <c r="F166" s="9">
        <v>500</v>
      </c>
      <c r="G166" s="56">
        <v>0</v>
      </c>
      <c r="H166" s="56">
        <v>0</v>
      </c>
      <c r="I166" s="56">
        <v>0</v>
      </c>
      <c r="J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100</v>
      </c>
      <c r="S166" s="9">
        <v>5</v>
      </c>
      <c r="T166" s="9">
        <v>200</v>
      </c>
      <c r="U166" s="9">
        <v>10</v>
      </c>
      <c r="W166" s="9">
        <v>20</v>
      </c>
      <c r="X166" s="9">
        <v>30</v>
      </c>
      <c r="Y166" s="9">
        <v>20</v>
      </c>
      <c r="Z166" s="9">
        <v>0</v>
      </c>
      <c r="AA166" s="9">
        <v>0</v>
      </c>
      <c r="AB166" s="9">
        <v>0</v>
      </c>
    </row>
    <row r="167" spans="1:28" ht="16.5" x14ac:dyDescent="0.35">
      <c r="A167" s="109"/>
      <c r="B167" s="111" t="s">
        <v>753</v>
      </c>
      <c r="C167" s="69"/>
      <c r="D167" s="70">
        <v>110083</v>
      </c>
      <c r="E167" s="9">
        <v>30</v>
      </c>
      <c r="F167" s="9">
        <v>5000</v>
      </c>
      <c r="G167" s="56">
        <v>0</v>
      </c>
      <c r="H167" s="56">
        <v>1000</v>
      </c>
      <c r="I167" s="56">
        <v>0</v>
      </c>
      <c r="J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150</v>
      </c>
      <c r="S167" s="9">
        <v>15</v>
      </c>
      <c r="T167" s="9">
        <v>200</v>
      </c>
      <c r="U167" s="9">
        <v>10</v>
      </c>
      <c r="W167" s="9">
        <v>20</v>
      </c>
      <c r="X167" s="9">
        <v>30</v>
      </c>
      <c r="Y167" s="9">
        <v>20</v>
      </c>
      <c r="Z167" s="9">
        <v>0</v>
      </c>
      <c r="AA167" s="9">
        <v>0</v>
      </c>
      <c r="AB167" s="9">
        <v>0</v>
      </c>
    </row>
    <row r="168" spans="1:28" ht="16.5" x14ac:dyDescent="0.35">
      <c r="A168" s="109"/>
      <c r="B168" s="110" t="s">
        <v>754</v>
      </c>
      <c r="C168" s="69"/>
      <c r="D168" s="70">
        <v>110091</v>
      </c>
      <c r="E168" s="9">
        <v>17</v>
      </c>
      <c r="F168" s="9">
        <v>100</v>
      </c>
      <c r="G168" s="56">
        <v>0</v>
      </c>
      <c r="H168" s="56">
        <v>0</v>
      </c>
      <c r="I168" s="56">
        <v>0</v>
      </c>
      <c r="J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100</v>
      </c>
      <c r="S168" s="9">
        <v>5</v>
      </c>
      <c r="T168" s="9">
        <v>200</v>
      </c>
      <c r="U168" s="9">
        <v>10</v>
      </c>
      <c r="W168" s="9">
        <v>20</v>
      </c>
      <c r="X168" s="9">
        <v>30</v>
      </c>
      <c r="Y168" s="9">
        <v>20</v>
      </c>
      <c r="Z168" s="9">
        <v>0</v>
      </c>
      <c r="AA168" s="9">
        <v>0</v>
      </c>
      <c r="AB168" s="9">
        <v>0</v>
      </c>
    </row>
    <row r="169" spans="1:28" ht="16.5" x14ac:dyDescent="0.35">
      <c r="A169" s="109"/>
      <c r="B169" s="110" t="s">
        <v>755</v>
      </c>
      <c r="C169" s="69"/>
      <c r="D169" s="70">
        <v>110092</v>
      </c>
      <c r="E169" s="9">
        <v>20</v>
      </c>
      <c r="F169" s="9">
        <v>120</v>
      </c>
      <c r="G169" s="56">
        <v>0</v>
      </c>
      <c r="H169" s="56">
        <v>0</v>
      </c>
      <c r="I169" s="56">
        <v>0</v>
      </c>
      <c r="J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100</v>
      </c>
      <c r="S169" s="9">
        <v>15</v>
      </c>
      <c r="T169" s="9">
        <v>200</v>
      </c>
      <c r="U169" s="9">
        <v>10</v>
      </c>
      <c r="W169" s="9">
        <v>20</v>
      </c>
      <c r="X169" s="9">
        <v>30</v>
      </c>
      <c r="Y169" s="9">
        <v>20</v>
      </c>
      <c r="Z169" s="9">
        <v>0</v>
      </c>
      <c r="AA169" s="9">
        <v>0</v>
      </c>
      <c r="AB169" s="9">
        <v>0</v>
      </c>
    </row>
    <row r="170" spans="1:28" ht="16.5" x14ac:dyDescent="0.35">
      <c r="A170" s="109"/>
      <c r="B170" s="110" t="s">
        <v>756</v>
      </c>
      <c r="C170" s="69"/>
      <c r="D170" s="70">
        <v>110101</v>
      </c>
      <c r="E170" s="9">
        <v>18</v>
      </c>
      <c r="F170" s="9">
        <v>120</v>
      </c>
      <c r="G170" s="56">
        <v>0</v>
      </c>
      <c r="H170" s="56">
        <v>0</v>
      </c>
      <c r="I170" s="56">
        <v>0</v>
      </c>
      <c r="J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100</v>
      </c>
      <c r="S170" s="9">
        <v>5</v>
      </c>
      <c r="T170" s="9">
        <v>200</v>
      </c>
      <c r="U170" s="9">
        <v>10</v>
      </c>
      <c r="W170" s="9">
        <v>20</v>
      </c>
      <c r="X170" s="9">
        <v>30</v>
      </c>
      <c r="Y170" s="9">
        <v>20</v>
      </c>
      <c r="Z170" s="9">
        <v>0</v>
      </c>
      <c r="AA170" s="9">
        <v>0</v>
      </c>
      <c r="AB170" s="9">
        <v>0</v>
      </c>
    </row>
    <row r="171" spans="1:28" ht="16.5" x14ac:dyDescent="0.35">
      <c r="A171" s="109"/>
      <c r="B171" s="110" t="s">
        <v>757</v>
      </c>
      <c r="C171" s="69"/>
      <c r="D171" s="70">
        <v>110102</v>
      </c>
      <c r="E171" s="9">
        <v>20</v>
      </c>
      <c r="F171" s="9">
        <v>150</v>
      </c>
      <c r="G171" s="56">
        <v>0</v>
      </c>
      <c r="H171" s="56">
        <v>0</v>
      </c>
      <c r="I171" s="56">
        <v>0</v>
      </c>
      <c r="J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100</v>
      </c>
      <c r="S171" s="9">
        <v>15</v>
      </c>
      <c r="T171" s="9">
        <v>200</v>
      </c>
      <c r="U171" s="9">
        <v>10</v>
      </c>
      <c r="W171" s="9">
        <v>20</v>
      </c>
      <c r="X171" s="9">
        <v>30</v>
      </c>
      <c r="Y171" s="9">
        <v>20</v>
      </c>
      <c r="Z171" s="9">
        <v>0</v>
      </c>
      <c r="AA171" s="9">
        <v>0</v>
      </c>
      <c r="AB171" s="9">
        <v>0</v>
      </c>
    </row>
    <row r="172" spans="1:28" ht="16.5" x14ac:dyDescent="0.35">
      <c r="A172" s="109"/>
      <c r="B172" s="112" t="s">
        <v>758</v>
      </c>
      <c r="C172" s="69"/>
      <c r="D172" s="70">
        <v>110103</v>
      </c>
      <c r="E172" s="9">
        <v>35</v>
      </c>
      <c r="F172" s="9">
        <v>7500</v>
      </c>
      <c r="G172" s="56">
        <v>0</v>
      </c>
      <c r="H172" s="56">
        <v>0</v>
      </c>
      <c r="I172" s="56">
        <v>0</v>
      </c>
      <c r="J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200</v>
      </c>
      <c r="S172" s="9">
        <v>20</v>
      </c>
      <c r="T172" s="9">
        <v>200</v>
      </c>
      <c r="U172" s="9">
        <v>10</v>
      </c>
      <c r="W172" s="9">
        <v>20</v>
      </c>
      <c r="X172" s="9">
        <v>30</v>
      </c>
      <c r="Y172" s="9">
        <v>20</v>
      </c>
      <c r="Z172" s="9">
        <v>0</v>
      </c>
      <c r="AA172" s="9">
        <v>0</v>
      </c>
      <c r="AB172" s="9">
        <v>0</v>
      </c>
    </row>
    <row r="173" spans="1:28" ht="16.5" x14ac:dyDescent="0.35">
      <c r="A173" s="109"/>
      <c r="B173" s="110" t="s">
        <v>759</v>
      </c>
      <c r="C173" s="69"/>
      <c r="D173" s="70">
        <v>110111</v>
      </c>
      <c r="E173" s="9">
        <v>16</v>
      </c>
      <c r="F173" s="9">
        <v>100</v>
      </c>
      <c r="G173" s="56">
        <v>0</v>
      </c>
      <c r="H173" s="56">
        <v>0</v>
      </c>
      <c r="I173" s="56">
        <v>0</v>
      </c>
      <c r="J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100</v>
      </c>
      <c r="S173" s="9">
        <v>5</v>
      </c>
      <c r="T173" s="9">
        <v>200</v>
      </c>
      <c r="U173" s="9">
        <v>10</v>
      </c>
      <c r="W173" s="9">
        <v>20</v>
      </c>
      <c r="X173" s="9">
        <v>30</v>
      </c>
      <c r="Y173" s="9">
        <v>20</v>
      </c>
      <c r="Z173" s="9">
        <v>0</v>
      </c>
      <c r="AA173" s="9">
        <v>0</v>
      </c>
      <c r="AB173" s="9">
        <v>0</v>
      </c>
    </row>
    <row r="174" spans="1:28" ht="16.5" x14ac:dyDescent="0.35">
      <c r="A174" s="109"/>
      <c r="B174" s="110" t="s">
        <v>760</v>
      </c>
      <c r="C174" s="69"/>
      <c r="D174" s="70">
        <v>110112</v>
      </c>
      <c r="E174" s="9">
        <v>18</v>
      </c>
      <c r="F174" s="9">
        <v>100</v>
      </c>
      <c r="G174" s="56">
        <v>0</v>
      </c>
      <c r="H174" s="56">
        <v>0</v>
      </c>
      <c r="I174" s="56">
        <v>0</v>
      </c>
      <c r="J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100</v>
      </c>
      <c r="S174" s="9">
        <v>5</v>
      </c>
      <c r="T174" s="9">
        <v>200</v>
      </c>
      <c r="U174" s="9">
        <v>10</v>
      </c>
      <c r="W174" s="9">
        <v>20</v>
      </c>
      <c r="X174" s="9">
        <v>30</v>
      </c>
      <c r="Y174" s="9">
        <v>20</v>
      </c>
      <c r="Z174" s="9">
        <v>0</v>
      </c>
      <c r="AA174" s="9">
        <v>0</v>
      </c>
      <c r="AB174" s="9">
        <v>0</v>
      </c>
    </row>
    <row r="175" spans="1:28" ht="16.5" x14ac:dyDescent="0.35">
      <c r="A175" s="109"/>
      <c r="B175" s="110" t="s">
        <v>761</v>
      </c>
      <c r="C175" s="69"/>
      <c r="D175" s="70">
        <v>110121</v>
      </c>
      <c r="E175" s="9">
        <v>20</v>
      </c>
      <c r="F175" s="9">
        <v>600</v>
      </c>
      <c r="G175" s="56">
        <v>0</v>
      </c>
      <c r="H175" s="56">
        <v>0</v>
      </c>
      <c r="I175" s="56">
        <v>0</v>
      </c>
      <c r="J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100</v>
      </c>
      <c r="S175" s="9">
        <v>5</v>
      </c>
      <c r="T175" s="9">
        <v>200</v>
      </c>
      <c r="U175" s="9">
        <v>10</v>
      </c>
      <c r="W175" s="9">
        <v>20</v>
      </c>
      <c r="X175" s="9">
        <v>30</v>
      </c>
      <c r="Y175" s="9">
        <v>20</v>
      </c>
      <c r="Z175" s="9">
        <v>0</v>
      </c>
      <c r="AA175" s="9">
        <v>0</v>
      </c>
      <c r="AB175" s="9">
        <v>0</v>
      </c>
    </row>
    <row r="176" spans="1:28" ht="16.5" x14ac:dyDescent="0.35">
      <c r="A176" s="109"/>
      <c r="B176" s="110" t="s">
        <v>762</v>
      </c>
      <c r="C176" s="69"/>
      <c r="D176" s="70">
        <v>110122</v>
      </c>
      <c r="E176" s="9">
        <v>20</v>
      </c>
      <c r="F176" s="9">
        <v>150</v>
      </c>
      <c r="G176" s="56">
        <v>0</v>
      </c>
      <c r="H176" s="56">
        <v>0</v>
      </c>
      <c r="I176" s="56">
        <v>0</v>
      </c>
      <c r="J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100</v>
      </c>
      <c r="S176" s="9">
        <v>5</v>
      </c>
      <c r="T176" s="9">
        <v>200</v>
      </c>
      <c r="U176" s="9">
        <v>10</v>
      </c>
      <c r="W176" s="9">
        <v>20</v>
      </c>
      <c r="X176" s="9">
        <v>30</v>
      </c>
      <c r="Y176" s="9">
        <v>20</v>
      </c>
      <c r="Z176" s="9">
        <v>0</v>
      </c>
      <c r="AA176" s="9">
        <v>0</v>
      </c>
      <c r="AB176" s="9">
        <v>0</v>
      </c>
    </row>
    <row r="177" spans="1:28" ht="16.5" x14ac:dyDescent="0.35">
      <c r="A177" s="109"/>
      <c r="B177" s="110" t="s">
        <v>763</v>
      </c>
      <c r="C177" s="69"/>
      <c r="D177" s="70">
        <v>110131</v>
      </c>
      <c r="E177" s="9">
        <v>17</v>
      </c>
      <c r="F177" s="9">
        <v>130</v>
      </c>
      <c r="G177" s="56">
        <v>0</v>
      </c>
      <c r="H177" s="56">
        <v>0</v>
      </c>
      <c r="I177" s="56">
        <v>0</v>
      </c>
      <c r="J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100</v>
      </c>
      <c r="S177" s="9">
        <v>5</v>
      </c>
      <c r="T177" s="9">
        <v>200</v>
      </c>
      <c r="U177" s="9">
        <v>10</v>
      </c>
      <c r="W177" s="9">
        <v>20</v>
      </c>
      <c r="X177" s="9">
        <v>30</v>
      </c>
      <c r="Y177" s="9">
        <v>20</v>
      </c>
      <c r="Z177" s="9">
        <v>0</v>
      </c>
      <c r="AA177" s="9">
        <v>0</v>
      </c>
      <c r="AB177" s="9">
        <v>0</v>
      </c>
    </row>
    <row r="178" spans="1:28" ht="16.5" x14ac:dyDescent="0.35">
      <c r="A178" s="109"/>
      <c r="B178" s="110" t="s">
        <v>764</v>
      </c>
      <c r="C178" s="69"/>
      <c r="D178" s="70">
        <v>110132</v>
      </c>
      <c r="E178" s="9">
        <v>19</v>
      </c>
      <c r="F178" s="9">
        <v>100</v>
      </c>
      <c r="G178" s="56">
        <v>0</v>
      </c>
      <c r="H178" s="56">
        <v>0</v>
      </c>
      <c r="I178" s="56">
        <v>0</v>
      </c>
      <c r="J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100</v>
      </c>
      <c r="S178" s="9">
        <v>5</v>
      </c>
      <c r="T178" s="9">
        <v>200</v>
      </c>
      <c r="U178" s="9">
        <v>10</v>
      </c>
      <c r="W178" s="9">
        <v>20</v>
      </c>
      <c r="X178" s="9">
        <v>30</v>
      </c>
      <c r="Y178" s="9">
        <v>20</v>
      </c>
      <c r="Z178" s="9">
        <v>0</v>
      </c>
      <c r="AA178" s="9">
        <v>0</v>
      </c>
      <c r="AB178" s="9">
        <v>0</v>
      </c>
    </row>
    <row r="179" spans="1:28" ht="16.5" x14ac:dyDescent="0.35">
      <c r="A179" s="109"/>
      <c r="B179" s="113" t="s">
        <v>765</v>
      </c>
      <c r="C179" s="69"/>
      <c r="D179" s="70">
        <v>110133</v>
      </c>
      <c r="E179" s="9">
        <v>40</v>
      </c>
      <c r="F179" s="9">
        <v>8000</v>
      </c>
      <c r="G179" s="56">
        <v>0</v>
      </c>
      <c r="H179" s="56">
        <v>2000</v>
      </c>
      <c r="I179" s="56">
        <v>0</v>
      </c>
      <c r="J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200</v>
      </c>
      <c r="S179" s="9">
        <v>20</v>
      </c>
      <c r="T179" s="9">
        <v>200</v>
      </c>
      <c r="U179" s="9">
        <v>10</v>
      </c>
      <c r="W179" s="9">
        <v>20</v>
      </c>
      <c r="X179" s="9">
        <v>30</v>
      </c>
      <c r="Y179" s="9">
        <v>20</v>
      </c>
      <c r="Z179" s="9">
        <v>0</v>
      </c>
      <c r="AA179" s="9">
        <v>0</v>
      </c>
      <c r="AB179" s="9">
        <v>0</v>
      </c>
    </row>
    <row r="180" spans="1:28" ht="16.5" x14ac:dyDescent="0.35">
      <c r="A180" s="109"/>
      <c r="B180" s="110" t="s">
        <v>766</v>
      </c>
      <c r="C180" s="69"/>
      <c r="D180" s="70">
        <v>110141</v>
      </c>
      <c r="E180" s="9">
        <v>19</v>
      </c>
      <c r="F180" s="9">
        <v>150</v>
      </c>
      <c r="G180" s="56">
        <v>0</v>
      </c>
      <c r="H180" s="56">
        <v>0</v>
      </c>
      <c r="I180" s="56">
        <v>0</v>
      </c>
      <c r="J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100</v>
      </c>
      <c r="S180" s="9">
        <v>5</v>
      </c>
      <c r="T180" s="9">
        <v>200</v>
      </c>
      <c r="U180" s="9">
        <v>10</v>
      </c>
      <c r="W180" s="9">
        <v>20</v>
      </c>
      <c r="X180" s="9">
        <v>30</v>
      </c>
      <c r="Y180" s="9">
        <v>20</v>
      </c>
      <c r="Z180" s="9">
        <v>0</v>
      </c>
      <c r="AA180" s="9">
        <v>0</v>
      </c>
      <c r="AB180" s="9">
        <v>0</v>
      </c>
    </row>
    <row r="181" spans="1:28" ht="16.5" x14ac:dyDescent="0.35">
      <c r="A181" s="109"/>
      <c r="B181" s="110" t="s">
        <v>767</v>
      </c>
      <c r="C181" s="69"/>
      <c r="D181" s="70">
        <v>110142</v>
      </c>
      <c r="E181" s="9">
        <v>22</v>
      </c>
      <c r="F181" s="9">
        <v>170</v>
      </c>
      <c r="G181" s="56">
        <v>0</v>
      </c>
      <c r="H181" s="56">
        <v>0</v>
      </c>
      <c r="I181" s="56">
        <v>0</v>
      </c>
      <c r="J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100</v>
      </c>
      <c r="S181" s="9">
        <v>5</v>
      </c>
      <c r="T181" s="9">
        <v>200</v>
      </c>
      <c r="U181" s="9">
        <v>10</v>
      </c>
      <c r="W181" s="9">
        <v>20</v>
      </c>
      <c r="X181" s="9">
        <v>30</v>
      </c>
      <c r="Y181" s="9">
        <v>20</v>
      </c>
      <c r="Z181" s="9">
        <v>0</v>
      </c>
      <c r="AA181" s="9">
        <v>0</v>
      </c>
      <c r="AB181" s="9">
        <v>0</v>
      </c>
    </row>
    <row r="182" spans="1:28" ht="16.5" x14ac:dyDescent="0.35">
      <c r="A182" s="109"/>
      <c r="B182" s="104" t="s">
        <v>768</v>
      </c>
      <c r="C182" s="69"/>
      <c r="D182" s="70">
        <v>110143</v>
      </c>
      <c r="E182" s="9">
        <v>22</v>
      </c>
      <c r="F182" s="9">
        <v>150</v>
      </c>
      <c r="G182" s="56">
        <v>0</v>
      </c>
      <c r="H182" s="56">
        <v>0</v>
      </c>
      <c r="I182" s="56">
        <v>0</v>
      </c>
      <c r="J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100</v>
      </c>
      <c r="S182" s="9">
        <v>5</v>
      </c>
      <c r="T182" s="9">
        <v>200</v>
      </c>
      <c r="U182" s="9">
        <v>10</v>
      </c>
      <c r="W182" s="9">
        <v>20</v>
      </c>
      <c r="X182" s="9">
        <v>30</v>
      </c>
      <c r="Y182" s="9">
        <v>20</v>
      </c>
      <c r="Z182" s="9">
        <v>0</v>
      </c>
      <c r="AA182" s="9">
        <v>0</v>
      </c>
      <c r="AB182" s="9">
        <v>0</v>
      </c>
    </row>
    <row r="183" spans="1:28" ht="16.5" x14ac:dyDescent="0.35">
      <c r="A183" s="109"/>
      <c r="B183" s="110" t="s">
        <v>769</v>
      </c>
      <c r="C183" s="69"/>
      <c r="D183" s="70">
        <v>110151</v>
      </c>
      <c r="E183" s="9">
        <v>20</v>
      </c>
      <c r="F183" s="9">
        <v>170</v>
      </c>
      <c r="G183" s="56">
        <v>0</v>
      </c>
      <c r="H183" s="56">
        <v>0</v>
      </c>
      <c r="I183" s="56">
        <v>0</v>
      </c>
      <c r="J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100</v>
      </c>
      <c r="S183" s="9">
        <v>5</v>
      </c>
      <c r="T183" s="9">
        <v>200</v>
      </c>
      <c r="U183" s="9">
        <v>10</v>
      </c>
      <c r="W183" s="9">
        <v>20</v>
      </c>
      <c r="X183" s="9">
        <v>30</v>
      </c>
      <c r="Y183" s="9">
        <v>20</v>
      </c>
      <c r="Z183" s="9">
        <v>0</v>
      </c>
      <c r="AA183" s="9">
        <v>0</v>
      </c>
      <c r="AB183" s="9">
        <v>0</v>
      </c>
    </row>
    <row r="184" spans="1:28" ht="16.5" x14ac:dyDescent="0.35">
      <c r="A184" s="109"/>
      <c r="B184" s="104" t="s">
        <v>770</v>
      </c>
      <c r="C184" s="69"/>
      <c r="D184" s="70">
        <v>110152</v>
      </c>
      <c r="E184" s="9">
        <v>25</v>
      </c>
      <c r="F184" s="9">
        <v>160</v>
      </c>
      <c r="G184" s="56">
        <v>0</v>
      </c>
      <c r="H184" s="56">
        <v>0</v>
      </c>
      <c r="I184" s="56">
        <v>0</v>
      </c>
      <c r="J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100</v>
      </c>
      <c r="S184" s="9">
        <v>5</v>
      </c>
      <c r="T184" s="9">
        <v>200</v>
      </c>
      <c r="U184" s="9">
        <v>10</v>
      </c>
      <c r="W184" s="9">
        <v>20</v>
      </c>
      <c r="X184" s="9">
        <v>30</v>
      </c>
      <c r="Y184" s="9">
        <v>20</v>
      </c>
      <c r="Z184" s="9">
        <v>0</v>
      </c>
      <c r="AA184" s="9">
        <v>0</v>
      </c>
      <c r="AB184" s="9">
        <v>0</v>
      </c>
    </row>
    <row r="185" spans="1:28" ht="16.5" x14ac:dyDescent="0.35">
      <c r="A185" s="109"/>
      <c r="B185" s="112" t="s">
        <v>771</v>
      </c>
      <c r="C185" s="69"/>
      <c r="D185" s="70">
        <v>110153</v>
      </c>
      <c r="E185" s="9">
        <v>45</v>
      </c>
      <c r="F185" s="9">
        <v>15000</v>
      </c>
      <c r="G185" s="56">
        <v>0</v>
      </c>
      <c r="H185" s="63" t="s">
        <v>728</v>
      </c>
      <c r="I185" s="56">
        <v>0</v>
      </c>
      <c r="J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200</v>
      </c>
      <c r="S185" s="9">
        <v>20</v>
      </c>
      <c r="T185" s="9">
        <v>200</v>
      </c>
      <c r="U185" s="9">
        <v>10</v>
      </c>
      <c r="W185" s="9">
        <v>20</v>
      </c>
      <c r="X185" s="9">
        <v>30</v>
      </c>
      <c r="Y185" s="9">
        <v>20</v>
      </c>
      <c r="Z185" s="9">
        <v>0</v>
      </c>
      <c r="AA185" s="9">
        <v>0</v>
      </c>
      <c r="AB185" s="9">
        <v>0</v>
      </c>
    </row>
    <row r="186" spans="1:28" ht="16.5" x14ac:dyDescent="0.35">
      <c r="A186" s="109"/>
      <c r="B186" s="110" t="s">
        <v>772</v>
      </c>
      <c r="C186" s="69"/>
      <c r="D186" s="70">
        <v>110161</v>
      </c>
      <c r="E186" s="9">
        <v>20</v>
      </c>
      <c r="F186" s="9">
        <v>180</v>
      </c>
      <c r="G186" s="56">
        <v>0</v>
      </c>
      <c r="H186" s="56">
        <v>0</v>
      </c>
      <c r="I186" s="56">
        <v>0</v>
      </c>
      <c r="J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100</v>
      </c>
      <c r="S186" s="9">
        <v>5</v>
      </c>
      <c r="T186" s="9">
        <v>200</v>
      </c>
      <c r="U186" s="9">
        <v>10</v>
      </c>
      <c r="W186" s="9">
        <v>20</v>
      </c>
      <c r="X186" s="9">
        <v>30</v>
      </c>
      <c r="Y186" s="9">
        <v>20</v>
      </c>
      <c r="Z186" s="9">
        <v>0</v>
      </c>
      <c r="AA186" s="9">
        <v>0</v>
      </c>
      <c r="AB186" s="9">
        <v>0</v>
      </c>
    </row>
    <row r="187" spans="1:28" ht="16.5" x14ac:dyDescent="0.35">
      <c r="A187" s="109"/>
      <c r="B187" s="110" t="s">
        <v>773</v>
      </c>
      <c r="C187" s="69"/>
      <c r="D187" s="70">
        <v>110162</v>
      </c>
      <c r="E187" s="9">
        <v>25</v>
      </c>
      <c r="F187" s="9">
        <v>150</v>
      </c>
      <c r="G187" s="56">
        <v>0</v>
      </c>
      <c r="H187" s="56">
        <v>0</v>
      </c>
      <c r="I187" s="56">
        <v>0</v>
      </c>
      <c r="J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100</v>
      </c>
      <c r="S187" s="9">
        <v>5</v>
      </c>
      <c r="T187" s="9">
        <v>200</v>
      </c>
      <c r="U187" s="9">
        <v>10</v>
      </c>
      <c r="W187" s="9">
        <v>20</v>
      </c>
      <c r="X187" s="9">
        <v>30</v>
      </c>
      <c r="Y187" s="9">
        <v>20</v>
      </c>
      <c r="Z187" s="9">
        <v>0</v>
      </c>
      <c r="AA187" s="9">
        <v>0</v>
      </c>
      <c r="AB187" s="9">
        <v>0</v>
      </c>
    </row>
    <row r="188" spans="1:28" ht="16.5" x14ac:dyDescent="0.35">
      <c r="A188" s="109"/>
      <c r="B188" s="110" t="s">
        <v>774</v>
      </c>
      <c r="C188" s="69"/>
      <c r="D188" s="70">
        <v>110171</v>
      </c>
      <c r="E188" s="9">
        <v>22</v>
      </c>
      <c r="F188" s="9">
        <v>200</v>
      </c>
      <c r="G188" s="56">
        <v>0</v>
      </c>
      <c r="H188" s="56">
        <v>0</v>
      </c>
      <c r="I188" s="56">
        <v>0</v>
      </c>
      <c r="J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100</v>
      </c>
      <c r="S188" s="9">
        <v>5</v>
      </c>
      <c r="T188" s="9">
        <v>200</v>
      </c>
      <c r="U188" s="9">
        <v>10</v>
      </c>
      <c r="W188" s="9">
        <v>20</v>
      </c>
      <c r="X188" s="9">
        <v>30</v>
      </c>
      <c r="Y188" s="9">
        <v>20</v>
      </c>
      <c r="Z188" s="9">
        <v>0</v>
      </c>
      <c r="AA188" s="9">
        <v>0</v>
      </c>
      <c r="AB188" s="9">
        <v>0</v>
      </c>
    </row>
    <row r="189" spans="1:28" ht="16.5" x14ac:dyDescent="0.35">
      <c r="A189" s="109"/>
      <c r="B189" s="110" t="s">
        <v>775</v>
      </c>
      <c r="C189" s="69"/>
      <c r="D189" s="70">
        <v>110172</v>
      </c>
      <c r="E189" s="9">
        <v>26</v>
      </c>
      <c r="F189" s="9">
        <v>170</v>
      </c>
      <c r="G189" s="56">
        <v>0</v>
      </c>
      <c r="H189" s="56">
        <v>0</v>
      </c>
      <c r="I189" s="56">
        <v>0</v>
      </c>
      <c r="J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100</v>
      </c>
      <c r="S189" s="9">
        <v>5</v>
      </c>
      <c r="T189" s="9">
        <v>200</v>
      </c>
      <c r="U189" s="9">
        <v>10</v>
      </c>
      <c r="W189" s="9">
        <v>20</v>
      </c>
      <c r="X189" s="9">
        <v>30</v>
      </c>
      <c r="Y189" s="9">
        <v>20</v>
      </c>
      <c r="Z189" s="9">
        <v>0</v>
      </c>
      <c r="AA189" s="9">
        <v>0</v>
      </c>
      <c r="AB189" s="9">
        <v>0</v>
      </c>
    </row>
    <row r="190" spans="1:28" ht="16.5" x14ac:dyDescent="0.35">
      <c r="A190" s="109"/>
      <c r="B190" s="110" t="s">
        <v>776</v>
      </c>
      <c r="C190" s="69"/>
      <c r="D190" s="70">
        <v>110173</v>
      </c>
      <c r="E190" s="9">
        <v>22</v>
      </c>
      <c r="F190" s="9">
        <v>750</v>
      </c>
      <c r="G190" s="56">
        <v>0</v>
      </c>
      <c r="H190" s="56">
        <v>0</v>
      </c>
      <c r="I190" s="56">
        <v>0</v>
      </c>
      <c r="J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100</v>
      </c>
      <c r="S190" s="9">
        <v>5</v>
      </c>
      <c r="T190" s="9">
        <v>200</v>
      </c>
      <c r="U190" s="9">
        <v>10</v>
      </c>
      <c r="W190" s="9">
        <v>20</v>
      </c>
      <c r="X190" s="9">
        <v>30</v>
      </c>
      <c r="Y190" s="9">
        <v>20</v>
      </c>
      <c r="Z190" s="9">
        <v>0</v>
      </c>
      <c r="AA190" s="9">
        <v>0</v>
      </c>
      <c r="AB190" s="9">
        <v>0</v>
      </c>
    </row>
    <row r="191" spans="1:28" ht="16.5" x14ac:dyDescent="0.35">
      <c r="A191" s="109"/>
      <c r="B191" s="110" t="s">
        <v>777</v>
      </c>
      <c r="C191" s="69"/>
      <c r="D191" s="70">
        <v>110174</v>
      </c>
      <c r="E191" s="9">
        <v>26</v>
      </c>
      <c r="F191" s="9">
        <v>700</v>
      </c>
      <c r="G191" s="56">
        <v>0</v>
      </c>
      <c r="H191" s="56">
        <v>0</v>
      </c>
      <c r="I191" s="56">
        <v>0</v>
      </c>
      <c r="J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100</v>
      </c>
      <c r="S191" s="9">
        <v>5</v>
      </c>
      <c r="T191" s="9">
        <v>200</v>
      </c>
      <c r="U191" s="9">
        <v>10</v>
      </c>
      <c r="W191" s="9">
        <v>20</v>
      </c>
      <c r="X191" s="9">
        <v>30</v>
      </c>
      <c r="Y191" s="9">
        <v>20</v>
      </c>
      <c r="Z191" s="9">
        <v>0</v>
      </c>
      <c r="AA191" s="9">
        <v>0</v>
      </c>
      <c r="AB191" s="9">
        <v>0</v>
      </c>
    </row>
    <row r="192" spans="1:28" ht="16.5" x14ac:dyDescent="0.35">
      <c r="A192" s="109"/>
      <c r="B192" s="110" t="s">
        <v>778</v>
      </c>
      <c r="C192" s="69"/>
      <c r="D192" s="70">
        <v>110181</v>
      </c>
      <c r="E192" s="9">
        <v>25</v>
      </c>
      <c r="F192" s="9">
        <v>220</v>
      </c>
      <c r="G192" s="56">
        <v>0</v>
      </c>
      <c r="H192" s="56">
        <v>0</v>
      </c>
      <c r="I192" s="56">
        <v>0</v>
      </c>
      <c r="J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100</v>
      </c>
      <c r="S192" s="9">
        <v>5</v>
      </c>
      <c r="T192" s="9">
        <v>200</v>
      </c>
      <c r="U192" s="9">
        <v>10</v>
      </c>
      <c r="W192" s="9">
        <v>20</v>
      </c>
      <c r="X192" s="9">
        <v>30</v>
      </c>
      <c r="Y192" s="9">
        <v>20</v>
      </c>
      <c r="Z192" s="9">
        <v>0</v>
      </c>
      <c r="AA192" s="9">
        <v>0</v>
      </c>
      <c r="AB192" s="9">
        <v>0</v>
      </c>
    </row>
    <row r="193" spans="1:28" ht="16.5" x14ac:dyDescent="0.35">
      <c r="A193" s="109"/>
      <c r="B193" s="110" t="s">
        <v>779</v>
      </c>
      <c r="C193" s="69"/>
      <c r="D193" s="70">
        <v>110182</v>
      </c>
      <c r="E193" s="9">
        <v>25</v>
      </c>
      <c r="F193" s="9">
        <v>220</v>
      </c>
      <c r="G193" s="56">
        <v>0</v>
      </c>
      <c r="H193" s="56">
        <v>0</v>
      </c>
      <c r="I193" s="56">
        <v>0</v>
      </c>
      <c r="J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100</v>
      </c>
      <c r="S193" s="9">
        <v>5</v>
      </c>
      <c r="T193" s="9">
        <v>200</v>
      </c>
      <c r="U193" s="9">
        <v>10</v>
      </c>
      <c r="W193" s="9">
        <v>20</v>
      </c>
      <c r="X193" s="9">
        <v>30</v>
      </c>
      <c r="Y193" s="9">
        <v>20</v>
      </c>
      <c r="Z193" s="9">
        <v>0</v>
      </c>
      <c r="AA193" s="9">
        <v>0</v>
      </c>
      <c r="AB193" s="9">
        <v>0</v>
      </c>
    </row>
    <row r="194" spans="1:28" ht="16.5" x14ac:dyDescent="0.35">
      <c r="A194" s="109"/>
      <c r="B194" s="110" t="s">
        <v>780</v>
      </c>
      <c r="C194" s="69"/>
      <c r="D194" s="70">
        <v>110191</v>
      </c>
      <c r="E194" s="9">
        <v>25</v>
      </c>
      <c r="F194" s="9">
        <v>250</v>
      </c>
      <c r="G194" s="56">
        <v>0</v>
      </c>
      <c r="H194" s="56">
        <v>0</v>
      </c>
      <c r="I194" s="56">
        <v>0</v>
      </c>
      <c r="J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100</v>
      </c>
      <c r="S194" s="9">
        <v>5</v>
      </c>
      <c r="T194" s="9">
        <v>200</v>
      </c>
      <c r="U194" s="9">
        <v>10</v>
      </c>
      <c r="W194" s="9">
        <v>20</v>
      </c>
      <c r="X194" s="9">
        <v>30</v>
      </c>
      <c r="Y194" s="9">
        <v>20</v>
      </c>
      <c r="Z194" s="9">
        <v>0</v>
      </c>
      <c r="AA194" s="9">
        <v>0</v>
      </c>
      <c r="AB194" s="9">
        <v>0</v>
      </c>
    </row>
    <row r="195" spans="1:28" ht="16.5" x14ac:dyDescent="0.35">
      <c r="A195" s="109"/>
      <c r="B195" s="112" t="s">
        <v>781</v>
      </c>
      <c r="C195" s="69"/>
      <c r="D195" s="70">
        <v>110201</v>
      </c>
      <c r="E195" s="9">
        <v>60</v>
      </c>
      <c r="F195" s="9">
        <v>30000</v>
      </c>
      <c r="G195" s="56">
        <v>0</v>
      </c>
      <c r="H195" s="63" t="s">
        <v>782</v>
      </c>
      <c r="I195" s="56">
        <v>0</v>
      </c>
      <c r="J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200</v>
      </c>
      <c r="S195" s="9">
        <v>25</v>
      </c>
      <c r="T195" s="9">
        <v>200</v>
      </c>
      <c r="U195" s="9">
        <v>10</v>
      </c>
      <c r="W195" s="9">
        <v>20</v>
      </c>
      <c r="X195" s="9">
        <v>30</v>
      </c>
      <c r="Y195" s="9">
        <v>20</v>
      </c>
      <c r="Z195" s="9">
        <v>0</v>
      </c>
      <c r="AA195" s="9">
        <v>0</v>
      </c>
      <c r="AB195" s="9">
        <v>0</v>
      </c>
    </row>
    <row r="196" spans="1:28" ht="16.5" x14ac:dyDescent="0.35">
      <c r="A196" s="109"/>
      <c r="B196" s="114" t="s">
        <v>362</v>
      </c>
      <c r="C196"/>
      <c r="D196" s="115">
        <v>10901</v>
      </c>
      <c r="E196" s="9">
        <v>20</v>
      </c>
      <c r="F196" s="9">
        <v>200</v>
      </c>
      <c r="G196" s="63">
        <v>0</v>
      </c>
      <c r="H196" s="63">
        <v>0</v>
      </c>
      <c r="I196" s="63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9">
        <v>200</v>
      </c>
      <c r="S196" s="9">
        <v>25</v>
      </c>
      <c r="T196" s="9">
        <v>200</v>
      </c>
      <c r="U196" s="9">
        <v>10</v>
      </c>
      <c r="W196" s="9">
        <v>20</v>
      </c>
      <c r="X196" s="9">
        <v>30</v>
      </c>
      <c r="Y196" s="9">
        <v>20</v>
      </c>
      <c r="Z196" s="9">
        <v>0</v>
      </c>
      <c r="AA196" s="9">
        <v>0</v>
      </c>
      <c r="AB196" s="9">
        <v>0</v>
      </c>
    </row>
    <row r="197" spans="1:28" ht="16.5" x14ac:dyDescent="0.35">
      <c r="A197" s="109"/>
      <c r="B197" s="114" t="s">
        <v>364</v>
      </c>
      <c r="C197"/>
      <c r="D197" s="115">
        <v>10902</v>
      </c>
      <c r="E197" s="9">
        <v>30</v>
      </c>
      <c r="F197" s="9">
        <v>1500</v>
      </c>
      <c r="G197" s="56">
        <v>0</v>
      </c>
      <c r="H197" s="56">
        <v>0</v>
      </c>
      <c r="I197" s="56">
        <v>0</v>
      </c>
      <c r="J197" s="9">
        <v>0</v>
      </c>
      <c r="K197" s="21"/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200</v>
      </c>
      <c r="S197" s="9">
        <v>25</v>
      </c>
      <c r="T197" s="9">
        <v>200</v>
      </c>
      <c r="U197" s="9">
        <v>10</v>
      </c>
      <c r="W197" s="9">
        <v>20</v>
      </c>
      <c r="X197" s="9">
        <v>30</v>
      </c>
      <c r="Y197" s="9">
        <v>20</v>
      </c>
      <c r="Z197" s="9">
        <v>0</v>
      </c>
      <c r="AA197" s="9">
        <v>0</v>
      </c>
      <c r="AB197" s="9">
        <v>0</v>
      </c>
    </row>
    <row r="198" spans="1:28" ht="16.5" x14ac:dyDescent="0.35">
      <c r="A198" s="109"/>
      <c r="B198" s="114" t="s">
        <v>367</v>
      </c>
      <c r="C198"/>
      <c r="D198" s="115">
        <v>10903</v>
      </c>
      <c r="E198" s="9">
        <v>20</v>
      </c>
      <c r="F198" s="9">
        <v>300</v>
      </c>
      <c r="G198" s="63">
        <v>0</v>
      </c>
      <c r="H198" s="63">
        <v>0</v>
      </c>
      <c r="I198" s="63">
        <v>0</v>
      </c>
      <c r="J198" s="21">
        <v>0</v>
      </c>
      <c r="K198" s="21"/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9">
        <v>200</v>
      </c>
      <c r="S198" s="9">
        <v>25</v>
      </c>
      <c r="T198" s="9">
        <v>200</v>
      </c>
      <c r="U198" s="9">
        <v>10</v>
      </c>
      <c r="W198" s="9">
        <v>20</v>
      </c>
      <c r="X198" s="9">
        <v>30</v>
      </c>
      <c r="Y198" s="9">
        <v>20</v>
      </c>
      <c r="Z198" s="9">
        <v>0</v>
      </c>
      <c r="AA198" s="9">
        <v>0</v>
      </c>
      <c r="AB198" s="9">
        <v>0</v>
      </c>
    </row>
    <row r="199" spans="1:28" ht="16.5" x14ac:dyDescent="0.35">
      <c r="A199" s="109"/>
      <c r="B199" s="114" t="s">
        <v>370</v>
      </c>
      <c r="C199"/>
      <c r="D199" s="115">
        <v>10904</v>
      </c>
      <c r="E199" s="9">
        <v>30</v>
      </c>
      <c r="F199" s="9">
        <v>800</v>
      </c>
      <c r="G199" s="56">
        <v>0</v>
      </c>
      <c r="H199" s="56">
        <v>0</v>
      </c>
      <c r="I199" s="56">
        <v>0</v>
      </c>
      <c r="J199" s="9">
        <v>0</v>
      </c>
      <c r="K199" s="21"/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200</v>
      </c>
      <c r="S199" s="9">
        <v>25</v>
      </c>
      <c r="T199" s="9">
        <v>200</v>
      </c>
      <c r="U199" s="9">
        <v>10</v>
      </c>
      <c r="W199" s="9">
        <v>20</v>
      </c>
      <c r="X199" s="9">
        <v>30</v>
      </c>
      <c r="Y199" s="9">
        <v>20</v>
      </c>
      <c r="Z199" s="9">
        <v>0</v>
      </c>
      <c r="AA199" s="9">
        <v>0</v>
      </c>
      <c r="AB199" s="9">
        <v>0</v>
      </c>
    </row>
    <row r="200" spans="1:28" ht="16.5" x14ac:dyDescent="0.35">
      <c r="A200" s="109"/>
      <c r="B200" s="114" t="s">
        <v>371</v>
      </c>
      <c r="C200"/>
      <c r="D200" s="115">
        <v>10911</v>
      </c>
      <c r="E200" s="9">
        <v>30</v>
      </c>
      <c r="F200" s="9">
        <v>3000</v>
      </c>
      <c r="G200" s="63">
        <v>0</v>
      </c>
      <c r="H200" s="63">
        <v>0</v>
      </c>
      <c r="I200" s="63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9">
        <v>200</v>
      </c>
      <c r="S200" s="9">
        <v>25</v>
      </c>
      <c r="T200" s="9">
        <v>200</v>
      </c>
      <c r="U200" s="9">
        <v>10</v>
      </c>
      <c r="W200" s="9">
        <v>20</v>
      </c>
      <c r="X200" s="9">
        <v>30</v>
      </c>
      <c r="Y200" s="9">
        <v>20</v>
      </c>
      <c r="Z200" s="9">
        <v>0</v>
      </c>
      <c r="AA200" s="9">
        <v>0</v>
      </c>
      <c r="AB200" s="9">
        <v>0</v>
      </c>
    </row>
    <row r="201" spans="1:28" ht="16.5" x14ac:dyDescent="0.35">
      <c r="A201" s="109"/>
      <c r="B201" s="114" t="s">
        <v>372</v>
      </c>
      <c r="C201"/>
      <c r="D201" s="115">
        <v>10921</v>
      </c>
      <c r="E201" s="9">
        <v>40</v>
      </c>
      <c r="F201" s="9">
        <v>15000</v>
      </c>
      <c r="G201" s="63">
        <v>0</v>
      </c>
      <c r="H201" s="63">
        <v>0</v>
      </c>
      <c r="I201" s="63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9">
        <v>200</v>
      </c>
      <c r="S201" s="9">
        <v>25</v>
      </c>
      <c r="T201" s="9">
        <v>200</v>
      </c>
      <c r="U201" s="9">
        <v>10</v>
      </c>
      <c r="W201" s="9">
        <v>20</v>
      </c>
      <c r="X201" s="9">
        <v>30</v>
      </c>
      <c r="Y201" s="9">
        <v>20</v>
      </c>
      <c r="Z201" s="9">
        <v>0</v>
      </c>
      <c r="AA201" s="9">
        <v>0</v>
      </c>
      <c r="AB201" s="9">
        <v>0</v>
      </c>
    </row>
    <row r="202" spans="1:28" ht="16.5" x14ac:dyDescent="0.35">
      <c r="B202" s="9" t="s">
        <v>616</v>
      </c>
      <c r="D202" s="115">
        <v>20013</v>
      </c>
      <c r="E202" s="9">
        <v>0</v>
      </c>
      <c r="F202" s="9">
        <v>1000</v>
      </c>
      <c r="G202" s="56">
        <v>0</v>
      </c>
      <c r="H202" s="56">
        <v>0</v>
      </c>
      <c r="I202" s="56">
        <v>0</v>
      </c>
      <c r="J202" s="9">
        <v>0</v>
      </c>
      <c r="K202" s="21"/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100</v>
      </c>
      <c r="S202" s="9">
        <v>0</v>
      </c>
      <c r="T202" s="9">
        <v>150</v>
      </c>
      <c r="U202" s="9">
        <v>10</v>
      </c>
      <c r="W202" s="9">
        <v>20</v>
      </c>
      <c r="X202" s="9">
        <v>30</v>
      </c>
      <c r="Y202" s="9">
        <v>20</v>
      </c>
      <c r="Z202" s="9">
        <v>0</v>
      </c>
      <c r="AA202" s="9">
        <v>0</v>
      </c>
      <c r="AB202" s="9">
        <v>0</v>
      </c>
    </row>
    <row r="203" spans="1:28" ht="16.5" x14ac:dyDescent="0.35">
      <c r="B203" s="9" t="s">
        <v>617</v>
      </c>
      <c r="D203" s="115">
        <v>20014</v>
      </c>
      <c r="E203" s="9">
        <v>0</v>
      </c>
      <c r="F203" s="9">
        <v>1000</v>
      </c>
      <c r="G203" s="56">
        <v>0</v>
      </c>
      <c r="H203" s="56">
        <v>0</v>
      </c>
      <c r="I203" s="56">
        <v>0</v>
      </c>
      <c r="J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100</v>
      </c>
      <c r="S203" s="9">
        <v>0</v>
      </c>
      <c r="T203" s="9">
        <v>150</v>
      </c>
      <c r="U203" s="9">
        <v>10</v>
      </c>
      <c r="W203" s="9">
        <v>20</v>
      </c>
      <c r="X203" s="9">
        <v>30</v>
      </c>
      <c r="Y203" s="9">
        <v>20</v>
      </c>
      <c r="Z203" s="9">
        <v>0</v>
      </c>
      <c r="AA203" s="9">
        <v>0</v>
      </c>
      <c r="AB203" s="9">
        <v>0</v>
      </c>
    </row>
    <row r="204" spans="1:28" x14ac:dyDescent="0.2">
      <c r="B204" s="9" t="s">
        <v>618</v>
      </c>
      <c r="D204" s="9">
        <v>20015</v>
      </c>
      <c r="E204" s="9">
        <v>0</v>
      </c>
      <c r="F204" s="9">
        <v>1000</v>
      </c>
      <c r="G204" s="56">
        <v>0</v>
      </c>
      <c r="H204" s="56">
        <v>0</v>
      </c>
      <c r="I204" s="56">
        <v>0</v>
      </c>
      <c r="J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100</v>
      </c>
      <c r="S204" s="9">
        <v>0</v>
      </c>
      <c r="T204" s="9">
        <v>150</v>
      </c>
      <c r="U204" s="9">
        <v>10</v>
      </c>
      <c r="W204" s="9">
        <v>20</v>
      </c>
      <c r="X204" s="9">
        <v>30</v>
      </c>
      <c r="Y204" s="9">
        <v>20</v>
      </c>
      <c r="Z204" s="9">
        <v>0</v>
      </c>
      <c r="AA204" s="9">
        <v>0</v>
      </c>
      <c r="AB204" s="9">
        <v>0</v>
      </c>
    </row>
    <row r="205" spans="1:28" x14ac:dyDescent="0.2">
      <c r="B205" s="21" t="s">
        <v>5044</v>
      </c>
      <c r="D205" s="9">
        <v>300010</v>
      </c>
      <c r="E205" s="9">
        <v>1</v>
      </c>
      <c r="F205" s="9">
        <v>20</v>
      </c>
      <c r="G205" s="56">
        <v>0</v>
      </c>
      <c r="H205" s="56">
        <v>0</v>
      </c>
      <c r="I205" s="56">
        <v>0</v>
      </c>
      <c r="J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100</v>
      </c>
      <c r="S205" s="9">
        <v>0</v>
      </c>
      <c r="T205" s="9">
        <v>150</v>
      </c>
      <c r="U205" s="9">
        <v>10</v>
      </c>
      <c r="W205" s="9">
        <v>20</v>
      </c>
      <c r="X205" s="9">
        <v>30</v>
      </c>
      <c r="Y205" s="9">
        <v>20</v>
      </c>
      <c r="Z205" s="9">
        <v>0</v>
      </c>
      <c r="AA205" s="9">
        <v>0</v>
      </c>
      <c r="AB205" s="9">
        <v>0</v>
      </c>
    </row>
    <row r="206" spans="1:28" x14ac:dyDescent="0.2">
      <c r="B206" s="21" t="s">
        <v>5045</v>
      </c>
      <c r="D206" s="9">
        <v>300011</v>
      </c>
      <c r="E206" s="9">
        <v>1</v>
      </c>
      <c r="F206" s="9">
        <v>24</v>
      </c>
      <c r="G206" s="56">
        <v>0</v>
      </c>
      <c r="H206" s="56">
        <v>0</v>
      </c>
      <c r="I206" s="56">
        <v>0</v>
      </c>
      <c r="J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100</v>
      </c>
      <c r="S206" s="9">
        <v>0</v>
      </c>
      <c r="T206" s="9">
        <v>150</v>
      </c>
      <c r="U206" s="9">
        <v>10</v>
      </c>
      <c r="W206" s="9">
        <v>20</v>
      </c>
      <c r="X206" s="9">
        <v>30</v>
      </c>
      <c r="Y206" s="9">
        <v>20</v>
      </c>
      <c r="Z206" s="9">
        <v>20</v>
      </c>
      <c r="AA206" s="9">
        <v>20</v>
      </c>
      <c r="AB206" s="9">
        <v>10</v>
      </c>
    </row>
    <row r="207" spans="1:28" x14ac:dyDescent="0.2">
      <c r="B207" s="21" t="s">
        <v>5046</v>
      </c>
      <c r="D207" s="9">
        <v>300012</v>
      </c>
      <c r="E207" s="9">
        <v>1</v>
      </c>
      <c r="F207" s="9">
        <v>29</v>
      </c>
      <c r="G207" s="56">
        <v>0</v>
      </c>
      <c r="H207" s="56">
        <v>0</v>
      </c>
      <c r="I207" s="56">
        <v>0</v>
      </c>
      <c r="J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100</v>
      </c>
      <c r="S207" s="9">
        <v>0</v>
      </c>
      <c r="T207" s="9">
        <v>150</v>
      </c>
      <c r="U207" s="9">
        <v>10</v>
      </c>
      <c r="W207" s="9">
        <v>20</v>
      </c>
      <c r="X207" s="9">
        <v>30</v>
      </c>
      <c r="Y207" s="9">
        <v>20</v>
      </c>
      <c r="Z207" s="9">
        <v>40</v>
      </c>
      <c r="AA207" s="9">
        <v>40</v>
      </c>
      <c r="AB207" s="9">
        <v>20</v>
      </c>
    </row>
    <row r="208" spans="1:28" x14ac:dyDescent="0.2">
      <c r="B208" s="21" t="s">
        <v>5047</v>
      </c>
      <c r="D208" s="9">
        <v>300013</v>
      </c>
      <c r="E208" s="9">
        <v>1</v>
      </c>
      <c r="F208" s="9">
        <v>35</v>
      </c>
      <c r="G208" s="56">
        <v>0</v>
      </c>
      <c r="H208" s="56">
        <v>0</v>
      </c>
      <c r="I208" s="56">
        <v>0</v>
      </c>
      <c r="J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100</v>
      </c>
      <c r="S208" s="9">
        <v>0</v>
      </c>
      <c r="T208" s="9">
        <v>150</v>
      </c>
      <c r="U208" s="9">
        <v>10</v>
      </c>
      <c r="W208" s="9">
        <v>20</v>
      </c>
      <c r="X208" s="9">
        <v>30</v>
      </c>
      <c r="Y208" s="9">
        <v>20</v>
      </c>
      <c r="Z208" s="9">
        <v>60</v>
      </c>
      <c r="AA208" s="9">
        <v>60</v>
      </c>
      <c r="AB208" s="9">
        <v>30</v>
      </c>
    </row>
    <row r="209" spans="2:28" x14ac:dyDescent="0.2">
      <c r="B209" s="21" t="s">
        <v>5048</v>
      </c>
      <c r="D209" s="9">
        <v>300014</v>
      </c>
      <c r="E209" s="9">
        <v>1</v>
      </c>
      <c r="F209" s="9">
        <v>42</v>
      </c>
      <c r="G209" s="56">
        <v>0</v>
      </c>
      <c r="H209" s="56">
        <v>0</v>
      </c>
      <c r="I209" s="56">
        <v>0</v>
      </c>
      <c r="J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100</v>
      </c>
      <c r="S209" s="9">
        <v>0</v>
      </c>
      <c r="T209" s="9">
        <v>150</v>
      </c>
      <c r="U209" s="9">
        <v>10</v>
      </c>
      <c r="W209" s="9">
        <v>20</v>
      </c>
      <c r="X209" s="9">
        <v>30</v>
      </c>
      <c r="Y209" s="9">
        <v>20</v>
      </c>
      <c r="Z209" s="9">
        <v>80</v>
      </c>
      <c r="AA209" s="9">
        <v>80</v>
      </c>
      <c r="AB209" s="9">
        <v>40</v>
      </c>
    </row>
    <row r="210" spans="2:28" x14ac:dyDescent="0.2">
      <c r="B210" s="21" t="s">
        <v>5049</v>
      </c>
      <c r="D210" s="9">
        <v>300015</v>
      </c>
      <c r="E210" s="9">
        <v>1</v>
      </c>
      <c r="F210" s="9">
        <v>50</v>
      </c>
      <c r="G210" s="56">
        <v>0</v>
      </c>
      <c r="H210" s="56">
        <v>0</v>
      </c>
      <c r="I210" s="56">
        <v>0</v>
      </c>
      <c r="J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100</v>
      </c>
      <c r="S210" s="9">
        <v>0</v>
      </c>
      <c r="T210" s="9">
        <v>150</v>
      </c>
      <c r="U210" s="9">
        <v>10</v>
      </c>
      <c r="W210" s="9">
        <v>20</v>
      </c>
      <c r="X210" s="9">
        <v>30</v>
      </c>
      <c r="Y210" s="9">
        <v>20</v>
      </c>
      <c r="Z210" s="9">
        <v>100</v>
      </c>
      <c r="AA210" s="9">
        <v>100</v>
      </c>
      <c r="AB210" s="9">
        <v>50</v>
      </c>
    </row>
    <row r="211" spans="2:28" x14ac:dyDescent="0.2">
      <c r="B211" s="21" t="s">
        <v>5050</v>
      </c>
      <c r="D211" s="9">
        <v>300016</v>
      </c>
      <c r="E211" s="9">
        <v>1</v>
      </c>
      <c r="F211" s="9">
        <v>60</v>
      </c>
      <c r="G211" s="56">
        <v>0</v>
      </c>
      <c r="H211" s="56">
        <v>0</v>
      </c>
      <c r="I211" s="56">
        <v>0</v>
      </c>
      <c r="J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100</v>
      </c>
      <c r="S211" s="9">
        <v>0</v>
      </c>
      <c r="T211" s="9">
        <v>150</v>
      </c>
      <c r="U211" s="9">
        <v>10</v>
      </c>
      <c r="W211" s="9">
        <v>20</v>
      </c>
      <c r="X211" s="9">
        <v>30</v>
      </c>
      <c r="Y211" s="9">
        <v>20</v>
      </c>
      <c r="Z211" s="9">
        <v>120</v>
      </c>
      <c r="AA211" s="9">
        <v>120</v>
      </c>
      <c r="AB211" s="9">
        <v>60</v>
      </c>
    </row>
    <row r="212" spans="2:28" x14ac:dyDescent="0.2">
      <c r="B212" s="21" t="s">
        <v>5051</v>
      </c>
      <c r="D212" s="9">
        <v>300017</v>
      </c>
      <c r="E212" s="9">
        <v>1</v>
      </c>
      <c r="F212" s="9">
        <v>72</v>
      </c>
      <c r="G212" s="56">
        <v>0</v>
      </c>
      <c r="H212" s="56">
        <v>0</v>
      </c>
      <c r="I212" s="56">
        <v>0</v>
      </c>
      <c r="J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100</v>
      </c>
      <c r="S212" s="9">
        <v>0</v>
      </c>
      <c r="T212" s="9">
        <v>150</v>
      </c>
      <c r="U212" s="9">
        <v>10</v>
      </c>
      <c r="W212" s="9">
        <v>20</v>
      </c>
      <c r="X212" s="9">
        <v>30</v>
      </c>
      <c r="Y212" s="9">
        <v>20</v>
      </c>
      <c r="Z212" s="9">
        <v>140</v>
      </c>
      <c r="AA212" s="9">
        <v>140</v>
      </c>
      <c r="AB212" s="9">
        <v>70</v>
      </c>
    </row>
    <row r="213" spans="2:28" x14ac:dyDescent="0.2">
      <c r="B213" s="21" t="s">
        <v>5052</v>
      </c>
      <c r="D213" s="9">
        <v>300018</v>
      </c>
      <c r="E213" s="9">
        <v>1</v>
      </c>
      <c r="F213" s="9">
        <v>86</v>
      </c>
      <c r="G213" s="56">
        <v>0</v>
      </c>
      <c r="H213" s="56">
        <v>0</v>
      </c>
      <c r="I213" s="56">
        <v>0</v>
      </c>
      <c r="J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100</v>
      </c>
      <c r="S213" s="9">
        <v>0</v>
      </c>
      <c r="T213" s="9">
        <v>150</v>
      </c>
      <c r="U213" s="9">
        <v>10</v>
      </c>
      <c r="W213" s="9">
        <v>20</v>
      </c>
      <c r="X213" s="9">
        <v>30</v>
      </c>
      <c r="Y213" s="9">
        <v>20</v>
      </c>
      <c r="Z213" s="9">
        <v>160</v>
      </c>
      <c r="AA213" s="9">
        <v>160</v>
      </c>
      <c r="AB213" s="9">
        <v>80</v>
      </c>
    </row>
    <row r="214" spans="2:28" x14ac:dyDescent="0.2">
      <c r="B214" s="21" t="s">
        <v>5053</v>
      </c>
      <c r="D214" s="9">
        <v>300019</v>
      </c>
      <c r="E214" s="9">
        <v>1</v>
      </c>
      <c r="F214" s="9">
        <v>103</v>
      </c>
      <c r="G214" s="56">
        <v>0</v>
      </c>
      <c r="H214" s="56">
        <v>0</v>
      </c>
      <c r="I214" s="56">
        <v>0</v>
      </c>
      <c r="J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100</v>
      </c>
      <c r="S214" s="9">
        <v>0</v>
      </c>
      <c r="T214" s="9">
        <v>150</v>
      </c>
      <c r="U214" s="9">
        <v>10</v>
      </c>
      <c r="W214" s="9">
        <v>20</v>
      </c>
      <c r="X214" s="9">
        <v>30</v>
      </c>
      <c r="Y214" s="9">
        <v>20</v>
      </c>
      <c r="Z214" s="9">
        <v>200</v>
      </c>
      <c r="AA214" s="9">
        <v>200</v>
      </c>
      <c r="AB214" s="9">
        <v>100</v>
      </c>
    </row>
    <row r="215" spans="2:28" x14ac:dyDescent="0.2">
      <c r="B215" s="21" t="s">
        <v>783</v>
      </c>
      <c r="D215" s="9">
        <v>300020</v>
      </c>
      <c r="E215" s="9">
        <v>90</v>
      </c>
      <c r="F215" s="9">
        <v>100</v>
      </c>
      <c r="G215" s="56">
        <v>0</v>
      </c>
      <c r="H215" s="56">
        <v>0</v>
      </c>
      <c r="I215" s="56">
        <v>0</v>
      </c>
      <c r="J215" s="9">
        <v>500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105</v>
      </c>
      <c r="S215" s="9">
        <v>5</v>
      </c>
      <c r="T215" s="9">
        <v>200</v>
      </c>
      <c r="U215" s="9">
        <v>10</v>
      </c>
      <c r="W215" s="9">
        <v>20</v>
      </c>
      <c r="X215" s="9">
        <v>30</v>
      </c>
      <c r="Y215" s="9">
        <v>20</v>
      </c>
      <c r="Z215" s="9">
        <v>0</v>
      </c>
      <c r="AA215" s="9">
        <v>0</v>
      </c>
      <c r="AB215" s="9">
        <v>0</v>
      </c>
    </row>
    <row r="216" spans="2:28" x14ac:dyDescent="0.2">
      <c r="B216" s="21" t="s">
        <v>784</v>
      </c>
      <c r="D216" s="9">
        <v>300021</v>
      </c>
      <c r="E216" s="9">
        <v>108</v>
      </c>
      <c r="F216" s="9">
        <v>150</v>
      </c>
      <c r="G216" s="56">
        <v>0</v>
      </c>
      <c r="H216" s="56">
        <v>0</v>
      </c>
      <c r="I216" s="56">
        <v>0</v>
      </c>
      <c r="J216" s="9">
        <v>600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105</v>
      </c>
      <c r="S216" s="9">
        <v>5</v>
      </c>
      <c r="T216" s="9">
        <v>200</v>
      </c>
      <c r="U216" s="9">
        <v>10</v>
      </c>
      <c r="W216" s="9">
        <v>20</v>
      </c>
      <c r="X216" s="9">
        <v>30</v>
      </c>
      <c r="Y216" s="9">
        <v>20</v>
      </c>
      <c r="Z216" s="9">
        <v>20</v>
      </c>
      <c r="AA216" s="9">
        <v>20</v>
      </c>
      <c r="AB216" s="9">
        <v>10</v>
      </c>
    </row>
    <row r="217" spans="2:28" x14ac:dyDescent="0.2">
      <c r="B217" s="21" t="s">
        <v>785</v>
      </c>
      <c r="D217" s="9">
        <v>300022</v>
      </c>
      <c r="E217" s="9">
        <v>120</v>
      </c>
      <c r="F217" s="9">
        <v>200</v>
      </c>
      <c r="G217" s="56">
        <v>0</v>
      </c>
      <c r="H217" s="56">
        <v>0</v>
      </c>
      <c r="I217" s="56">
        <v>0</v>
      </c>
      <c r="J217" s="9">
        <v>700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105</v>
      </c>
      <c r="S217" s="9">
        <v>5</v>
      </c>
      <c r="T217" s="9">
        <v>200</v>
      </c>
      <c r="U217" s="9">
        <v>10</v>
      </c>
      <c r="W217" s="9">
        <v>20</v>
      </c>
      <c r="X217" s="9">
        <v>30</v>
      </c>
      <c r="Y217" s="9">
        <v>20</v>
      </c>
      <c r="Z217" s="9">
        <v>40</v>
      </c>
      <c r="AA217" s="9">
        <v>40</v>
      </c>
      <c r="AB217" s="9">
        <v>20</v>
      </c>
    </row>
    <row r="218" spans="2:28" x14ac:dyDescent="0.2">
      <c r="B218" s="21" t="s">
        <v>786</v>
      </c>
      <c r="D218" s="9">
        <v>300023</v>
      </c>
      <c r="E218" s="9">
        <v>150</v>
      </c>
      <c r="F218" s="9">
        <v>300</v>
      </c>
      <c r="G218" s="56">
        <v>0</v>
      </c>
      <c r="H218" s="56">
        <v>0</v>
      </c>
      <c r="I218" s="56">
        <v>0</v>
      </c>
      <c r="J218" s="9">
        <v>800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105</v>
      </c>
      <c r="S218" s="9">
        <v>5</v>
      </c>
      <c r="T218" s="9">
        <v>200</v>
      </c>
      <c r="U218" s="9">
        <v>10</v>
      </c>
      <c r="W218" s="9">
        <v>20</v>
      </c>
      <c r="X218" s="9">
        <v>30</v>
      </c>
      <c r="Y218" s="9">
        <v>20</v>
      </c>
      <c r="Z218" s="9">
        <v>60</v>
      </c>
      <c r="AA218" s="9">
        <v>60</v>
      </c>
      <c r="AB218" s="9">
        <v>30</v>
      </c>
    </row>
    <row r="219" spans="2:28" x14ac:dyDescent="0.2">
      <c r="B219" s="21" t="s">
        <v>787</v>
      </c>
      <c r="D219" s="9">
        <v>300024</v>
      </c>
      <c r="E219" s="9">
        <v>180</v>
      </c>
      <c r="F219" s="9">
        <v>400</v>
      </c>
      <c r="G219" s="56">
        <v>0</v>
      </c>
      <c r="H219" s="56">
        <v>0</v>
      </c>
      <c r="I219" s="56">
        <v>0</v>
      </c>
      <c r="J219" s="9">
        <v>1000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105</v>
      </c>
      <c r="S219" s="9">
        <v>5</v>
      </c>
      <c r="T219" s="9">
        <v>200</v>
      </c>
      <c r="U219" s="9">
        <v>10</v>
      </c>
      <c r="W219" s="9">
        <v>20</v>
      </c>
      <c r="X219" s="9">
        <v>30</v>
      </c>
      <c r="Y219" s="9">
        <v>20</v>
      </c>
      <c r="Z219" s="9">
        <v>80</v>
      </c>
      <c r="AA219" s="9">
        <v>80</v>
      </c>
      <c r="AB219" s="9">
        <v>40</v>
      </c>
    </row>
    <row r="220" spans="2:28" x14ac:dyDescent="0.2">
      <c r="B220" s="21" t="s">
        <v>788</v>
      </c>
      <c r="D220" s="9">
        <v>300025</v>
      </c>
      <c r="E220" s="9">
        <v>198</v>
      </c>
      <c r="F220" s="9">
        <v>500</v>
      </c>
      <c r="G220" s="56">
        <v>0</v>
      </c>
      <c r="H220" s="56">
        <v>0</v>
      </c>
      <c r="I220" s="56">
        <v>0</v>
      </c>
      <c r="J220" s="9">
        <v>1200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105</v>
      </c>
      <c r="S220" s="9">
        <v>5</v>
      </c>
      <c r="T220" s="9">
        <v>200</v>
      </c>
      <c r="U220" s="9">
        <v>10</v>
      </c>
      <c r="W220" s="9">
        <v>20</v>
      </c>
      <c r="X220" s="9">
        <v>30</v>
      </c>
      <c r="Y220" s="9">
        <v>20</v>
      </c>
      <c r="Z220" s="9">
        <v>100</v>
      </c>
      <c r="AA220" s="9">
        <v>100</v>
      </c>
      <c r="AB220" s="9">
        <v>50</v>
      </c>
    </row>
    <row r="221" spans="2:28" x14ac:dyDescent="0.2">
      <c r="B221" s="21" t="s">
        <v>789</v>
      </c>
      <c r="D221" s="9">
        <v>300026</v>
      </c>
      <c r="E221" s="9">
        <v>210</v>
      </c>
      <c r="F221" s="9">
        <v>600</v>
      </c>
      <c r="G221" s="56">
        <v>0</v>
      </c>
      <c r="H221" s="56">
        <v>0</v>
      </c>
      <c r="I221" s="56">
        <v>0</v>
      </c>
      <c r="J221" s="9">
        <v>1400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105</v>
      </c>
      <c r="S221" s="9">
        <v>5</v>
      </c>
      <c r="T221" s="9">
        <v>200</v>
      </c>
      <c r="U221" s="9">
        <v>10</v>
      </c>
      <c r="W221" s="9">
        <v>20</v>
      </c>
      <c r="X221" s="9">
        <v>30</v>
      </c>
      <c r="Y221" s="9">
        <v>20</v>
      </c>
      <c r="Z221" s="9">
        <v>120</v>
      </c>
      <c r="AA221" s="9">
        <v>120</v>
      </c>
      <c r="AB221" s="9">
        <v>60</v>
      </c>
    </row>
    <row r="222" spans="2:28" x14ac:dyDescent="0.2">
      <c r="B222" s="21" t="s">
        <v>790</v>
      </c>
      <c r="D222" s="9">
        <v>300027</v>
      </c>
      <c r="E222" s="9">
        <v>240</v>
      </c>
      <c r="F222" s="9">
        <v>700</v>
      </c>
      <c r="G222" s="56">
        <v>0</v>
      </c>
      <c r="H222" s="56">
        <v>0</v>
      </c>
      <c r="I222" s="56">
        <v>0</v>
      </c>
      <c r="J222" s="9">
        <v>1600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105</v>
      </c>
      <c r="S222" s="9">
        <v>5</v>
      </c>
      <c r="T222" s="9">
        <v>200</v>
      </c>
      <c r="U222" s="9">
        <v>10</v>
      </c>
      <c r="W222" s="9">
        <v>20</v>
      </c>
      <c r="X222" s="9">
        <v>30</v>
      </c>
      <c r="Y222" s="9">
        <v>20</v>
      </c>
      <c r="Z222" s="9">
        <v>140</v>
      </c>
      <c r="AA222" s="9">
        <v>140</v>
      </c>
      <c r="AB222" s="9">
        <v>70</v>
      </c>
    </row>
    <row r="223" spans="2:28" x14ac:dyDescent="0.2">
      <c r="B223" s="21" t="s">
        <v>791</v>
      </c>
      <c r="D223" s="9">
        <v>300028</v>
      </c>
      <c r="E223" s="9">
        <v>270</v>
      </c>
      <c r="F223" s="9">
        <v>800</v>
      </c>
      <c r="G223" s="56">
        <v>0</v>
      </c>
      <c r="H223" s="56">
        <v>0</v>
      </c>
      <c r="I223" s="56">
        <v>0</v>
      </c>
      <c r="J223" s="9">
        <v>1800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105</v>
      </c>
      <c r="S223" s="9">
        <v>5</v>
      </c>
      <c r="T223" s="9">
        <v>200</v>
      </c>
      <c r="U223" s="9">
        <v>10</v>
      </c>
      <c r="W223" s="9">
        <v>20</v>
      </c>
      <c r="X223" s="9">
        <v>30</v>
      </c>
      <c r="Y223" s="9">
        <v>20</v>
      </c>
      <c r="Z223" s="9">
        <v>160</v>
      </c>
      <c r="AA223" s="9">
        <v>160</v>
      </c>
      <c r="AB223" s="9">
        <v>80</v>
      </c>
    </row>
    <row r="224" spans="2:28" x14ac:dyDescent="0.2">
      <c r="B224" s="21" t="s">
        <v>792</v>
      </c>
      <c r="D224" s="9">
        <v>300029</v>
      </c>
      <c r="E224" s="9">
        <v>300</v>
      </c>
      <c r="F224" s="9">
        <v>1000</v>
      </c>
      <c r="G224" s="56">
        <v>0</v>
      </c>
      <c r="H224" s="56">
        <v>0</v>
      </c>
      <c r="I224" s="56">
        <v>0</v>
      </c>
      <c r="J224" s="9">
        <v>2000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105</v>
      </c>
      <c r="S224" s="9">
        <v>5</v>
      </c>
      <c r="T224" s="9">
        <v>200</v>
      </c>
      <c r="U224" s="9">
        <v>10</v>
      </c>
      <c r="W224" s="9">
        <v>20</v>
      </c>
      <c r="X224" s="9">
        <v>30</v>
      </c>
      <c r="Y224" s="9">
        <v>20</v>
      </c>
      <c r="Z224" s="9">
        <v>200</v>
      </c>
      <c r="AA224" s="9">
        <v>200</v>
      </c>
      <c r="AB224" s="9">
        <v>100</v>
      </c>
    </row>
    <row r="225" spans="2:28" x14ac:dyDescent="0.2">
      <c r="B225" s="21" t="s">
        <v>793</v>
      </c>
      <c r="D225" s="9">
        <v>300030</v>
      </c>
      <c r="E225" s="9">
        <v>90</v>
      </c>
      <c r="F225" s="9">
        <v>75</v>
      </c>
      <c r="G225" s="56">
        <v>0</v>
      </c>
      <c r="H225" s="56">
        <v>0</v>
      </c>
      <c r="I225" s="56">
        <v>0</v>
      </c>
      <c r="J225" s="9">
        <v>100</v>
      </c>
      <c r="L225" s="9">
        <v>0</v>
      </c>
      <c r="M225" s="9">
        <v>0</v>
      </c>
      <c r="N225" s="9">
        <v>15</v>
      </c>
      <c r="O225" s="9">
        <v>15</v>
      </c>
      <c r="P225" s="9">
        <v>15</v>
      </c>
      <c r="Q225" s="9">
        <v>15</v>
      </c>
      <c r="R225" s="9">
        <v>110</v>
      </c>
      <c r="S225" s="9">
        <v>10</v>
      </c>
      <c r="T225" s="9">
        <v>200</v>
      </c>
      <c r="U225" s="9">
        <v>10</v>
      </c>
      <c r="W225" s="9">
        <v>20</v>
      </c>
      <c r="X225" s="9">
        <v>30</v>
      </c>
      <c r="Y225" s="9">
        <v>20</v>
      </c>
      <c r="Z225" s="9">
        <v>0</v>
      </c>
      <c r="AA225" s="9">
        <v>0</v>
      </c>
      <c r="AB225" s="9">
        <v>0</v>
      </c>
    </row>
    <row r="226" spans="2:28" x14ac:dyDescent="0.2">
      <c r="B226" s="21" t="s">
        <v>794</v>
      </c>
      <c r="D226" s="9">
        <v>300031</v>
      </c>
      <c r="E226" s="9">
        <v>108</v>
      </c>
      <c r="F226" s="9">
        <v>125</v>
      </c>
      <c r="G226" s="56">
        <v>0</v>
      </c>
      <c r="H226" s="56">
        <v>0</v>
      </c>
      <c r="I226" s="56">
        <v>0</v>
      </c>
      <c r="J226" s="9">
        <v>200</v>
      </c>
      <c r="L226" s="9">
        <v>0</v>
      </c>
      <c r="M226" s="9">
        <v>0</v>
      </c>
      <c r="N226" s="9">
        <v>15</v>
      </c>
      <c r="O226" s="9">
        <v>15</v>
      </c>
      <c r="P226" s="9">
        <v>15</v>
      </c>
      <c r="Q226" s="9">
        <v>15</v>
      </c>
      <c r="R226" s="9">
        <v>110</v>
      </c>
      <c r="S226" s="9">
        <v>10</v>
      </c>
      <c r="T226" s="9">
        <v>200</v>
      </c>
      <c r="U226" s="9">
        <v>10</v>
      </c>
      <c r="W226" s="9">
        <v>20</v>
      </c>
      <c r="X226" s="9">
        <v>30</v>
      </c>
      <c r="Y226" s="9">
        <v>20</v>
      </c>
      <c r="Z226" s="9">
        <v>20</v>
      </c>
      <c r="AA226" s="9">
        <v>20</v>
      </c>
      <c r="AB226" s="9">
        <v>10</v>
      </c>
    </row>
    <row r="227" spans="2:28" x14ac:dyDescent="0.2">
      <c r="B227" s="21" t="s">
        <v>795</v>
      </c>
      <c r="D227" s="9">
        <v>300032</v>
      </c>
      <c r="E227" s="9">
        <v>120</v>
      </c>
      <c r="F227" s="9">
        <v>175</v>
      </c>
      <c r="G227" s="56">
        <v>0</v>
      </c>
      <c r="H227" s="56">
        <v>0</v>
      </c>
      <c r="I227" s="56">
        <v>0</v>
      </c>
      <c r="J227" s="9">
        <v>300</v>
      </c>
      <c r="L227" s="9">
        <v>0</v>
      </c>
      <c r="M227" s="9">
        <v>0</v>
      </c>
      <c r="N227" s="9">
        <v>15</v>
      </c>
      <c r="O227" s="9">
        <v>15</v>
      </c>
      <c r="P227" s="9">
        <v>15</v>
      </c>
      <c r="Q227" s="9">
        <v>15</v>
      </c>
      <c r="R227" s="9">
        <v>110</v>
      </c>
      <c r="S227" s="9">
        <v>10</v>
      </c>
      <c r="T227" s="9">
        <v>200</v>
      </c>
      <c r="U227" s="9">
        <v>10</v>
      </c>
      <c r="W227" s="9">
        <v>20</v>
      </c>
      <c r="X227" s="9">
        <v>30</v>
      </c>
      <c r="Y227" s="9">
        <v>20</v>
      </c>
      <c r="Z227" s="9">
        <v>40</v>
      </c>
      <c r="AA227" s="9">
        <v>40</v>
      </c>
      <c r="AB227" s="9">
        <v>20</v>
      </c>
    </row>
    <row r="228" spans="2:28" x14ac:dyDescent="0.2">
      <c r="B228" s="21" t="s">
        <v>796</v>
      </c>
      <c r="D228" s="9">
        <v>300033</v>
      </c>
      <c r="E228" s="9">
        <v>150</v>
      </c>
      <c r="F228" s="9">
        <v>225</v>
      </c>
      <c r="G228" s="56">
        <v>0</v>
      </c>
      <c r="H228" s="56">
        <v>0</v>
      </c>
      <c r="I228" s="56">
        <v>0</v>
      </c>
      <c r="J228" s="9">
        <v>400</v>
      </c>
      <c r="L228" s="9">
        <v>0</v>
      </c>
      <c r="M228" s="9">
        <v>0</v>
      </c>
      <c r="N228" s="9">
        <v>15</v>
      </c>
      <c r="O228" s="9">
        <v>15</v>
      </c>
      <c r="P228" s="9">
        <v>15</v>
      </c>
      <c r="Q228" s="9">
        <v>15</v>
      </c>
      <c r="R228" s="9">
        <v>110</v>
      </c>
      <c r="S228" s="9">
        <v>10</v>
      </c>
      <c r="T228" s="9">
        <v>200</v>
      </c>
      <c r="U228" s="9">
        <v>10</v>
      </c>
      <c r="W228" s="9">
        <v>20</v>
      </c>
      <c r="X228" s="9">
        <v>30</v>
      </c>
      <c r="Y228" s="9">
        <v>20</v>
      </c>
      <c r="Z228" s="9">
        <v>60</v>
      </c>
      <c r="AA228" s="9">
        <v>60</v>
      </c>
      <c r="AB228" s="9">
        <v>30</v>
      </c>
    </row>
    <row r="229" spans="2:28" x14ac:dyDescent="0.2">
      <c r="B229" s="21" t="s">
        <v>797</v>
      </c>
      <c r="D229" s="9">
        <v>300034</v>
      </c>
      <c r="E229" s="9">
        <v>180</v>
      </c>
      <c r="F229" s="9">
        <v>275</v>
      </c>
      <c r="G229" s="56">
        <v>0</v>
      </c>
      <c r="H229" s="56">
        <v>0</v>
      </c>
      <c r="I229" s="56">
        <v>0</v>
      </c>
      <c r="J229" s="9">
        <v>500</v>
      </c>
      <c r="L229" s="9">
        <v>0</v>
      </c>
      <c r="M229" s="9">
        <v>0</v>
      </c>
      <c r="N229" s="9">
        <v>15</v>
      </c>
      <c r="O229" s="9">
        <v>15</v>
      </c>
      <c r="P229" s="9">
        <v>15</v>
      </c>
      <c r="Q229" s="9">
        <v>15</v>
      </c>
      <c r="R229" s="9">
        <v>110</v>
      </c>
      <c r="S229" s="9">
        <v>10</v>
      </c>
      <c r="T229" s="9">
        <v>200</v>
      </c>
      <c r="U229" s="9">
        <v>10</v>
      </c>
      <c r="W229" s="9">
        <v>20</v>
      </c>
      <c r="X229" s="9">
        <v>30</v>
      </c>
      <c r="Y229" s="9">
        <v>20</v>
      </c>
      <c r="Z229" s="9">
        <v>80</v>
      </c>
      <c r="AA229" s="9">
        <v>80</v>
      </c>
      <c r="AB229" s="9">
        <v>40</v>
      </c>
    </row>
    <row r="230" spans="2:28" x14ac:dyDescent="0.2">
      <c r="B230" s="21" t="s">
        <v>798</v>
      </c>
      <c r="D230" s="9">
        <v>300035</v>
      </c>
      <c r="E230" s="9">
        <v>198</v>
      </c>
      <c r="F230" s="9">
        <v>325</v>
      </c>
      <c r="G230" s="63" t="s">
        <v>229</v>
      </c>
      <c r="H230" s="56">
        <v>0</v>
      </c>
      <c r="I230" s="56">
        <v>0</v>
      </c>
      <c r="J230" s="9">
        <v>600</v>
      </c>
      <c r="L230" s="9">
        <v>0</v>
      </c>
      <c r="M230" s="9">
        <v>0</v>
      </c>
      <c r="N230" s="9">
        <v>20</v>
      </c>
      <c r="O230" s="9">
        <v>20</v>
      </c>
      <c r="P230" s="9">
        <v>20</v>
      </c>
      <c r="Q230" s="9">
        <v>20</v>
      </c>
      <c r="R230" s="9">
        <v>110</v>
      </c>
      <c r="S230" s="9">
        <v>10</v>
      </c>
      <c r="T230" s="9">
        <v>200</v>
      </c>
      <c r="U230" s="9">
        <v>10</v>
      </c>
      <c r="W230" s="9">
        <v>20</v>
      </c>
      <c r="X230" s="9">
        <v>30</v>
      </c>
      <c r="Y230" s="9">
        <v>20</v>
      </c>
      <c r="Z230" s="9">
        <v>100</v>
      </c>
      <c r="AA230" s="9">
        <v>100</v>
      </c>
      <c r="AB230" s="9">
        <v>50</v>
      </c>
    </row>
    <row r="231" spans="2:28" x14ac:dyDescent="0.2">
      <c r="B231" s="21" t="s">
        <v>799</v>
      </c>
      <c r="D231" s="9">
        <v>300036</v>
      </c>
      <c r="E231" s="9">
        <v>210</v>
      </c>
      <c r="F231" s="9">
        <v>375</v>
      </c>
      <c r="G231" s="56">
        <v>0</v>
      </c>
      <c r="H231" s="56">
        <v>0</v>
      </c>
      <c r="I231" s="56">
        <v>0</v>
      </c>
      <c r="J231" s="9">
        <v>700</v>
      </c>
      <c r="L231" s="9">
        <v>0</v>
      </c>
      <c r="M231" s="9">
        <v>0</v>
      </c>
      <c r="N231" s="9">
        <v>20</v>
      </c>
      <c r="O231" s="9">
        <v>20</v>
      </c>
      <c r="P231" s="9">
        <v>20</v>
      </c>
      <c r="Q231" s="9">
        <v>20</v>
      </c>
      <c r="R231" s="9">
        <v>110</v>
      </c>
      <c r="S231" s="9">
        <v>10</v>
      </c>
      <c r="T231" s="9">
        <v>200</v>
      </c>
      <c r="U231" s="9">
        <v>10</v>
      </c>
      <c r="W231" s="9">
        <v>20</v>
      </c>
      <c r="X231" s="9">
        <v>30</v>
      </c>
      <c r="Y231" s="9">
        <v>20</v>
      </c>
      <c r="Z231" s="9">
        <v>120</v>
      </c>
      <c r="AA231" s="9">
        <v>120</v>
      </c>
      <c r="AB231" s="9">
        <v>60</v>
      </c>
    </row>
    <row r="232" spans="2:28" x14ac:dyDescent="0.2">
      <c r="B232" s="21" t="s">
        <v>800</v>
      </c>
      <c r="D232" s="9">
        <v>300037</v>
      </c>
      <c r="E232" s="9">
        <v>240</v>
      </c>
      <c r="F232" s="9">
        <v>425</v>
      </c>
      <c r="G232" s="56">
        <v>0</v>
      </c>
      <c r="H232" s="56">
        <v>0</v>
      </c>
      <c r="I232" s="56">
        <v>0</v>
      </c>
      <c r="J232" s="9">
        <v>800</v>
      </c>
      <c r="L232" s="9">
        <v>0</v>
      </c>
      <c r="M232" s="9">
        <v>0</v>
      </c>
      <c r="N232" s="9">
        <v>20</v>
      </c>
      <c r="O232" s="9">
        <v>20</v>
      </c>
      <c r="P232" s="9">
        <v>20</v>
      </c>
      <c r="Q232" s="9">
        <v>20</v>
      </c>
      <c r="R232" s="9">
        <v>110</v>
      </c>
      <c r="S232" s="9">
        <v>10</v>
      </c>
      <c r="T232" s="9">
        <v>200</v>
      </c>
      <c r="U232" s="9">
        <v>10</v>
      </c>
      <c r="W232" s="9">
        <v>20</v>
      </c>
      <c r="X232" s="9">
        <v>30</v>
      </c>
      <c r="Y232" s="9">
        <v>20</v>
      </c>
      <c r="Z232" s="9">
        <v>140</v>
      </c>
      <c r="AA232" s="9">
        <v>140</v>
      </c>
      <c r="AB232" s="9">
        <v>70</v>
      </c>
    </row>
    <row r="233" spans="2:28" x14ac:dyDescent="0.2">
      <c r="B233" s="21" t="s">
        <v>801</v>
      </c>
      <c r="D233" s="9">
        <v>300038</v>
      </c>
      <c r="E233" s="9">
        <v>270</v>
      </c>
      <c r="F233" s="9">
        <v>475</v>
      </c>
      <c r="G233" s="56">
        <v>0</v>
      </c>
      <c r="H233" s="56">
        <v>0</v>
      </c>
      <c r="I233" s="56">
        <v>0</v>
      </c>
      <c r="J233" s="9">
        <v>900</v>
      </c>
      <c r="L233" s="9">
        <v>0</v>
      </c>
      <c r="M233" s="9">
        <v>0</v>
      </c>
      <c r="N233" s="9">
        <v>20</v>
      </c>
      <c r="O233" s="9">
        <v>20</v>
      </c>
      <c r="P233" s="9">
        <v>20</v>
      </c>
      <c r="Q233" s="9">
        <v>20</v>
      </c>
      <c r="R233" s="9">
        <v>110</v>
      </c>
      <c r="S233" s="9">
        <v>10</v>
      </c>
      <c r="T233" s="9">
        <v>200</v>
      </c>
      <c r="U233" s="9">
        <v>10</v>
      </c>
      <c r="W233" s="9">
        <v>20</v>
      </c>
      <c r="X233" s="9">
        <v>30</v>
      </c>
      <c r="Y233" s="9">
        <v>20</v>
      </c>
      <c r="Z233" s="9">
        <v>160</v>
      </c>
      <c r="AA233" s="9">
        <v>160</v>
      </c>
      <c r="AB233" s="9">
        <v>80</v>
      </c>
    </row>
    <row r="234" spans="2:28" x14ac:dyDescent="0.2">
      <c r="B234" s="21" t="s">
        <v>802</v>
      </c>
      <c r="D234" s="9">
        <v>300039</v>
      </c>
      <c r="E234" s="9">
        <v>300</v>
      </c>
      <c r="F234" s="9">
        <v>525</v>
      </c>
      <c r="G234" s="56">
        <v>0</v>
      </c>
      <c r="H234" s="56">
        <v>0</v>
      </c>
      <c r="I234" s="56">
        <v>0</v>
      </c>
      <c r="J234" s="9">
        <v>1000</v>
      </c>
      <c r="L234" s="9">
        <v>0</v>
      </c>
      <c r="M234" s="9">
        <v>0</v>
      </c>
      <c r="N234" s="9">
        <v>20</v>
      </c>
      <c r="O234" s="9">
        <v>20</v>
      </c>
      <c r="P234" s="9">
        <v>20</v>
      </c>
      <c r="Q234" s="9">
        <v>20</v>
      </c>
      <c r="R234" s="9">
        <v>110</v>
      </c>
      <c r="S234" s="9">
        <v>10</v>
      </c>
      <c r="T234" s="9">
        <v>200</v>
      </c>
      <c r="U234" s="9">
        <v>10</v>
      </c>
      <c r="W234" s="9">
        <v>20</v>
      </c>
      <c r="X234" s="9">
        <v>30</v>
      </c>
      <c r="Y234" s="9">
        <v>20</v>
      </c>
      <c r="Z234" s="9">
        <v>200</v>
      </c>
      <c r="AA234" s="9">
        <v>200</v>
      </c>
      <c r="AB234" s="9">
        <v>100</v>
      </c>
    </row>
    <row r="235" spans="2:28" x14ac:dyDescent="0.2">
      <c r="B235" s="21" t="s">
        <v>803</v>
      </c>
      <c r="D235" s="9">
        <v>300040</v>
      </c>
      <c r="E235" s="9">
        <v>90</v>
      </c>
      <c r="F235" s="9">
        <v>75</v>
      </c>
      <c r="G235" s="56">
        <v>0</v>
      </c>
      <c r="H235" s="56">
        <v>0</v>
      </c>
      <c r="I235" s="56">
        <v>0</v>
      </c>
      <c r="J235" s="9">
        <v>100</v>
      </c>
      <c r="L235" s="9">
        <v>15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110</v>
      </c>
      <c r="S235" s="9">
        <v>10</v>
      </c>
      <c r="T235" s="9">
        <v>200</v>
      </c>
      <c r="U235" s="9">
        <v>10</v>
      </c>
      <c r="V235" s="9">
        <v>20</v>
      </c>
      <c r="W235" s="9">
        <v>20</v>
      </c>
      <c r="X235" s="9">
        <v>30</v>
      </c>
      <c r="Y235" s="9">
        <v>20</v>
      </c>
      <c r="Z235" s="9">
        <v>0</v>
      </c>
      <c r="AA235" s="9">
        <v>0</v>
      </c>
      <c r="AB235" s="9">
        <v>0</v>
      </c>
    </row>
    <row r="236" spans="2:28" x14ac:dyDescent="0.2">
      <c r="B236" s="21" t="s">
        <v>804</v>
      </c>
      <c r="D236" s="9">
        <v>300041</v>
      </c>
      <c r="E236" s="9">
        <v>108</v>
      </c>
      <c r="F236" s="9">
        <v>125</v>
      </c>
      <c r="G236" s="56">
        <v>0</v>
      </c>
      <c r="H236" s="56">
        <v>0</v>
      </c>
      <c r="I236" s="56">
        <v>0</v>
      </c>
      <c r="J236" s="9">
        <v>200</v>
      </c>
      <c r="L236" s="9">
        <v>15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110</v>
      </c>
      <c r="S236" s="9">
        <v>10</v>
      </c>
      <c r="T236" s="9">
        <v>200</v>
      </c>
      <c r="U236" s="9">
        <v>10</v>
      </c>
      <c r="V236" s="9">
        <v>20</v>
      </c>
      <c r="W236" s="9">
        <v>20</v>
      </c>
      <c r="X236" s="9">
        <v>30</v>
      </c>
      <c r="Y236" s="9">
        <v>20</v>
      </c>
      <c r="Z236" s="9">
        <v>20</v>
      </c>
      <c r="AA236" s="9">
        <v>20</v>
      </c>
      <c r="AB236" s="9">
        <v>10</v>
      </c>
    </row>
    <row r="237" spans="2:28" x14ac:dyDescent="0.2">
      <c r="B237" s="21" t="s">
        <v>805</v>
      </c>
      <c r="D237" s="9">
        <v>300042</v>
      </c>
      <c r="E237" s="9">
        <v>120</v>
      </c>
      <c r="F237" s="9">
        <v>175</v>
      </c>
      <c r="G237" s="56">
        <v>0</v>
      </c>
      <c r="H237" s="56">
        <v>0</v>
      </c>
      <c r="I237" s="56">
        <v>0</v>
      </c>
      <c r="J237" s="9">
        <v>300</v>
      </c>
      <c r="L237" s="9">
        <v>15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110</v>
      </c>
      <c r="S237" s="9">
        <v>10</v>
      </c>
      <c r="T237" s="9">
        <v>200</v>
      </c>
      <c r="U237" s="9">
        <v>10</v>
      </c>
      <c r="V237" s="9">
        <v>20</v>
      </c>
      <c r="W237" s="9">
        <v>20</v>
      </c>
      <c r="X237" s="9">
        <v>30</v>
      </c>
      <c r="Y237" s="9">
        <v>20</v>
      </c>
      <c r="Z237" s="9">
        <v>40</v>
      </c>
      <c r="AA237" s="9">
        <v>40</v>
      </c>
      <c r="AB237" s="9">
        <v>20</v>
      </c>
    </row>
    <row r="238" spans="2:28" x14ac:dyDescent="0.2">
      <c r="B238" s="21" t="s">
        <v>806</v>
      </c>
      <c r="D238" s="9">
        <v>300043</v>
      </c>
      <c r="E238" s="9">
        <v>150</v>
      </c>
      <c r="F238" s="9">
        <v>225</v>
      </c>
      <c r="G238" s="56">
        <v>0</v>
      </c>
      <c r="H238" s="56">
        <v>0</v>
      </c>
      <c r="I238" s="56">
        <v>0</v>
      </c>
      <c r="J238" s="9">
        <v>400</v>
      </c>
      <c r="L238" s="9">
        <v>15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110</v>
      </c>
      <c r="S238" s="9">
        <v>10</v>
      </c>
      <c r="T238" s="9">
        <v>200</v>
      </c>
      <c r="U238" s="9">
        <v>10</v>
      </c>
      <c r="V238" s="9">
        <v>20</v>
      </c>
      <c r="W238" s="9">
        <v>20</v>
      </c>
      <c r="X238" s="9">
        <v>30</v>
      </c>
      <c r="Y238" s="9">
        <v>20</v>
      </c>
      <c r="Z238" s="9">
        <v>60</v>
      </c>
      <c r="AA238" s="9">
        <v>60</v>
      </c>
      <c r="AB238" s="9">
        <v>30</v>
      </c>
    </row>
    <row r="239" spans="2:28" x14ac:dyDescent="0.2">
      <c r="B239" s="21" t="s">
        <v>807</v>
      </c>
      <c r="D239" s="9">
        <v>300044</v>
      </c>
      <c r="E239" s="9">
        <v>180</v>
      </c>
      <c r="F239" s="9">
        <v>275</v>
      </c>
      <c r="G239" s="56">
        <v>0</v>
      </c>
      <c r="H239" s="56">
        <v>0</v>
      </c>
      <c r="I239" s="56">
        <v>0</v>
      </c>
      <c r="J239" s="9">
        <v>500</v>
      </c>
      <c r="L239" s="9">
        <v>15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110</v>
      </c>
      <c r="S239" s="9">
        <v>10</v>
      </c>
      <c r="T239" s="9">
        <v>200</v>
      </c>
      <c r="U239" s="9">
        <v>10</v>
      </c>
      <c r="V239" s="9">
        <v>20</v>
      </c>
      <c r="W239" s="9">
        <v>20</v>
      </c>
      <c r="X239" s="9">
        <v>30</v>
      </c>
      <c r="Y239" s="9">
        <v>20</v>
      </c>
      <c r="Z239" s="9">
        <v>80</v>
      </c>
      <c r="AA239" s="9">
        <v>80</v>
      </c>
      <c r="AB239" s="9">
        <v>40</v>
      </c>
    </row>
    <row r="240" spans="2:28" x14ac:dyDescent="0.2">
      <c r="B240" s="21" t="s">
        <v>808</v>
      </c>
      <c r="D240" s="9">
        <v>300045</v>
      </c>
      <c r="E240" s="9">
        <v>198</v>
      </c>
      <c r="F240" s="9">
        <v>325</v>
      </c>
      <c r="G240" s="56">
        <v>0</v>
      </c>
      <c r="H240" s="56">
        <v>0</v>
      </c>
      <c r="I240" s="56">
        <v>0</v>
      </c>
      <c r="J240" s="9">
        <v>600</v>
      </c>
      <c r="L240" s="9">
        <v>15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110</v>
      </c>
      <c r="S240" s="9">
        <v>10</v>
      </c>
      <c r="T240" s="9">
        <v>200</v>
      </c>
      <c r="U240" s="9">
        <v>10</v>
      </c>
      <c r="V240" s="9">
        <v>20</v>
      </c>
      <c r="W240" s="9">
        <v>20</v>
      </c>
      <c r="X240" s="9">
        <v>30</v>
      </c>
      <c r="Y240" s="9">
        <v>20</v>
      </c>
      <c r="Z240" s="9">
        <v>100</v>
      </c>
      <c r="AA240" s="9">
        <v>100</v>
      </c>
      <c r="AB240" s="9">
        <v>50</v>
      </c>
    </row>
    <row r="241" spans="2:28" x14ac:dyDescent="0.2">
      <c r="B241" s="21" t="s">
        <v>809</v>
      </c>
      <c r="D241" s="9">
        <v>300046</v>
      </c>
      <c r="E241" s="9">
        <v>210</v>
      </c>
      <c r="F241" s="9">
        <v>375</v>
      </c>
      <c r="G241" s="56">
        <v>0</v>
      </c>
      <c r="H241" s="56">
        <v>0</v>
      </c>
      <c r="I241" s="56">
        <v>0</v>
      </c>
      <c r="J241" s="9">
        <v>700</v>
      </c>
      <c r="L241" s="9">
        <v>15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110</v>
      </c>
      <c r="S241" s="9">
        <v>10</v>
      </c>
      <c r="T241" s="9">
        <v>200</v>
      </c>
      <c r="U241" s="9">
        <v>10</v>
      </c>
      <c r="V241" s="9">
        <v>20</v>
      </c>
      <c r="W241" s="9">
        <v>20</v>
      </c>
      <c r="X241" s="9">
        <v>30</v>
      </c>
      <c r="Y241" s="9">
        <v>20</v>
      </c>
      <c r="Z241" s="9">
        <v>120</v>
      </c>
      <c r="AA241" s="9">
        <v>120</v>
      </c>
      <c r="AB241" s="9">
        <v>60</v>
      </c>
    </row>
    <row r="242" spans="2:28" x14ac:dyDescent="0.2">
      <c r="B242" s="21" t="s">
        <v>810</v>
      </c>
      <c r="D242" s="9">
        <v>300047</v>
      </c>
      <c r="E242" s="9">
        <v>240</v>
      </c>
      <c r="F242" s="9">
        <v>425</v>
      </c>
      <c r="G242" s="56">
        <v>0</v>
      </c>
      <c r="H242" s="56">
        <v>0</v>
      </c>
      <c r="I242" s="56">
        <v>0</v>
      </c>
      <c r="J242" s="9">
        <v>800</v>
      </c>
      <c r="L242" s="9">
        <v>15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110</v>
      </c>
      <c r="S242" s="9">
        <v>10</v>
      </c>
      <c r="T242" s="9">
        <v>200</v>
      </c>
      <c r="U242" s="9">
        <v>10</v>
      </c>
      <c r="V242" s="9">
        <v>20</v>
      </c>
      <c r="W242" s="9">
        <v>20</v>
      </c>
      <c r="X242" s="9">
        <v>30</v>
      </c>
      <c r="Y242" s="9">
        <v>20</v>
      </c>
      <c r="Z242" s="9">
        <v>140</v>
      </c>
      <c r="AA242" s="9">
        <v>140</v>
      </c>
      <c r="AB242" s="9">
        <v>70</v>
      </c>
    </row>
    <row r="243" spans="2:28" x14ac:dyDescent="0.2">
      <c r="B243" s="21" t="s">
        <v>811</v>
      </c>
      <c r="D243" s="9">
        <v>300048</v>
      </c>
      <c r="E243" s="9">
        <v>270</v>
      </c>
      <c r="F243" s="9">
        <v>475</v>
      </c>
      <c r="G243" s="56">
        <v>0</v>
      </c>
      <c r="H243" s="56">
        <v>0</v>
      </c>
      <c r="I243" s="56">
        <v>0</v>
      </c>
      <c r="J243" s="9">
        <v>900</v>
      </c>
      <c r="L243" s="9">
        <v>15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110</v>
      </c>
      <c r="S243" s="9">
        <v>10</v>
      </c>
      <c r="T243" s="9">
        <v>200</v>
      </c>
      <c r="U243" s="9">
        <v>10</v>
      </c>
      <c r="V243" s="9">
        <v>20</v>
      </c>
      <c r="W243" s="9">
        <v>20</v>
      </c>
      <c r="X243" s="9">
        <v>30</v>
      </c>
      <c r="Y243" s="9">
        <v>20</v>
      </c>
      <c r="Z243" s="9">
        <v>160</v>
      </c>
      <c r="AA243" s="9">
        <v>160</v>
      </c>
      <c r="AB243" s="9">
        <v>80</v>
      </c>
    </row>
    <row r="244" spans="2:28" x14ac:dyDescent="0.2">
      <c r="B244" s="21" t="s">
        <v>812</v>
      </c>
      <c r="D244" s="9">
        <v>300049</v>
      </c>
      <c r="E244" s="9">
        <v>300</v>
      </c>
      <c r="F244" s="9">
        <v>525</v>
      </c>
      <c r="G244" s="56">
        <v>0</v>
      </c>
      <c r="H244" s="56">
        <v>0</v>
      </c>
      <c r="I244" s="56">
        <v>0</v>
      </c>
      <c r="J244" s="9">
        <v>1000</v>
      </c>
      <c r="L244" s="9">
        <v>15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110</v>
      </c>
      <c r="S244" s="9">
        <v>10</v>
      </c>
      <c r="T244" s="9">
        <v>200</v>
      </c>
      <c r="U244" s="9">
        <v>10</v>
      </c>
      <c r="V244" s="9">
        <v>20</v>
      </c>
      <c r="W244" s="9">
        <v>20</v>
      </c>
      <c r="X244" s="9">
        <v>30</v>
      </c>
      <c r="Y244" s="9">
        <v>20</v>
      </c>
      <c r="Z244" s="9">
        <v>200</v>
      </c>
      <c r="AA244" s="9">
        <v>200</v>
      </c>
      <c r="AB244" s="9">
        <v>100</v>
      </c>
    </row>
    <row r="245" spans="2:28" x14ac:dyDescent="0.2">
      <c r="B245" s="21" t="s">
        <v>813</v>
      </c>
      <c r="D245" s="9">
        <v>300050</v>
      </c>
      <c r="E245" s="9">
        <v>110</v>
      </c>
      <c r="F245" s="9">
        <v>300</v>
      </c>
      <c r="G245" s="56" t="s">
        <v>814</v>
      </c>
      <c r="H245" s="56">
        <v>0</v>
      </c>
      <c r="I245" s="56">
        <v>0</v>
      </c>
      <c r="J245" s="9">
        <v>2000</v>
      </c>
      <c r="L245" s="9">
        <v>0</v>
      </c>
      <c r="M245" s="9">
        <v>0</v>
      </c>
      <c r="N245" s="9">
        <v>25</v>
      </c>
      <c r="O245" s="9">
        <v>25</v>
      </c>
      <c r="P245" s="9">
        <v>25</v>
      </c>
      <c r="Q245" s="9">
        <v>25</v>
      </c>
      <c r="R245" s="9">
        <v>100</v>
      </c>
      <c r="S245" s="9">
        <v>0</v>
      </c>
      <c r="T245" s="9">
        <v>150</v>
      </c>
      <c r="U245" s="9">
        <v>10</v>
      </c>
      <c r="W245" s="9">
        <v>20</v>
      </c>
      <c r="X245" s="9">
        <v>30</v>
      </c>
      <c r="Y245" s="9">
        <v>20</v>
      </c>
      <c r="Z245" s="9">
        <v>0</v>
      </c>
      <c r="AA245" s="9">
        <v>0</v>
      </c>
      <c r="AB245" s="9">
        <v>0</v>
      </c>
    </row>
    <row r="246" spans="2:28" x14ac:dyDescent="0.2">
      <c r="B246" s="21" t="s">
        <v>815</v>
      </c>
      <c r="D246" s="9">
        <v>300051</v>
      </c>
      <c r="E246" s="9">
        <v>132</v>
      </c>
      <c r="F246" s="9">
        <v>375</v>
      </c>
      <c r="G246" s="56" t="s">
        <v>814</v>
      </c>
      <c r="H246" s="56">
        <v>0</v>
      </c>
      <c r="I246" s="56">
        <v>0</v>
      </c>
      <c r="J246" s="9">
        <v>2000</v>
      </c>
      <c r="L246" s="9">
        <v>0</v>
      </c>
      <c r="M246" s="9">
        <v>0</v>
      </c>
      <c r="N246" s="9">
        <v>25</v>
      </c>
      <c r="O246" s="9">
        <v>25</v>
      </c>
      <c r="P246" s="9">
        <v>25</v>
      </c>
      <c r="Q246" s="9">
        <v>25</v>
      </c>
      <c r="R246" s="9">
        <v>100</v>
      </c>
      <c r="S246" s="9">
        <v>0</v>
      </c>
      <c r="T246" s="9">
        <v>150</v>
      </c>
      <c r="U246" s="9">
        <v>10</v>
      </c>
      <c r="W246" s="9">
        <v>20</v>
      </c>
      <c r="X246" s="9">
        <v>30</v>
      </c>
      <c r="Y246" s="9">
        <v>20</v>
      </c>
      <c r="Z246" s="9">
        <v>20</v>
      </c>
      <c r="AA246" s="9">
        <v>20</v>
      </c>
      <c r="AB246" s="9">
        <v>10</v>
      </c>
    </row>
    <row r="247" spans="2:28" x14ac:dyDescent="0.2">
      <c r="B247" s="21" t="s">
        <v>816</v>
      </c>
      <c r="D247" s="9">
        <v>300052</v>
      </c>
      <c r="E247" s="9">
        <v>158</v>
      </c>
      <c r="F247" s="9">
        <v>469</v>
      </c>
      <c r="G247" s="56" t="s">
        <v>814</v>
      </c>
      <c r="H247" s="56">
        <v>0</v>
      </c>
      <c r="I247" s="56">
        <v>0</v>
      </c>
      <c r="J247" s="9">
        <v>2000</v>
      </c>
      <c r="L247" s="9">
        <v>0</v>
      </c>
      <c r="M247" s="9">
        <v>0</v>
      </c>
      <c r="N247" s="9">
        <v>25</v>
      </c>
      <c r="O247" s="9">
        <v>25</v>
      </c>
      <c r="P247" s="9">
        <v>25</v>
      </c>
      <c r="Q247" s="9">
        <v>25</v>
      </c>
      <c r="R247" s="9">
        <v>100</v>
      </c>
      <c r="S247" s="9">
        <v>0</v>
      </c>
      <c r="T247" s="9">
        <v>150</v>
      </c>
      <c r="U247" s="9">
        <v>10</v>
      </c>
      <c r="W247" s="9">
        <v>20</v>
      </c>
      <c r="X247" s="9">
        <v>30</v>
      </c>
      <c r="Y247" s="9">
        <v>20</v>
      </c>
      <c r="Z247" s="9">
        <v>40</v>
      </c>
      <c r="AA247" s="9">
        <v>40</v>
      </c>
      <c r="AB247" s="9">
        <v>20</v>
      </c>
    </row>
    <row r="248" spans="2:28" x14ac:dyDescent="0.2">
      <c r="B248" s="21" t="s">
        <v>817</v>
      </c>
      <c r="D248" s="9">
        <v>300053</v>
      </c>
      <c r="E248" s="9">
        <v>190</v>
      </c>
      <c r="F248" s="9">
        <v>586</v>
      </c>
      <c r="G248" s="56" t="s">
        <v>814</v>
      </c>
      <c r="H248" s="56">
        <v>0</v>
      </c>
      <c r="I248" s="56">
        <v>0</v>
      </c>
      <c r="J248" s="9">
        <v>2000</v>
      </c>
      <c r="L248" s="9">
        <v>0</v>
      </c>
      <c r="M248" s="9">
        <v>0</v>
      </c>
      <c r="N248" s="9">
        <v>25</v>
      </c>
      <c r="O248" s="9">
        <v>25</v>
      </c>
      <c r="P248" s="9">
        <v>25</v>
      </c>
      <c r="Q248" s="9">
        <v>25</v>
      </c>
      <c r="R248" s="9">
        <v>100</v>
      </c>
      <c r="S248" s="9">
        <v>0</v>
      </c>
      <c r="T248" s="9">
        <v>150</v>
      </c>
      <c r="U248" s="9">
        <v>10</v>
      </c>
      <c r="W248" s="9">
        <v>20</v>
      </c>
      <c r="X248" s="9">
        <v>30</v>
      </c>
      <c r="Y248" s="9">
        <v>20</v>
      </c>
      <c r="Z248" s="9">
        <v>60</v>
      </c>
      <c r="AA248" s="9">
        <v>60</v>
      </c>
      <c r="AB248" s="9">
        <v>30</v>
      </c>
    </row>
    <row r="249" spans="2:28" x14ac:dyDescent="0.2">
      <c r="B249" s="21" t="s">
        <v>818</v>
      </c>
      <c r="D249" s="9">
        <v>300054</v>
      </c>
      <c r="E249" s="9">
        <v>228</v>
      </c>
      <c r="F249" s="9">
        <v>733</v>
      </c>
      <c r="G249" s="56" t="s">
        <v>814</v>
      </c>
      <c r="H249" s="56">
        <v>0</v>
      </c>
      <c r="I249" s="56">
        <v>0</v>
      </c>
      <c r="J249" s="9">
        <v>2000</v>
      </c>
      <c r="L249" s="9">
        <v>0</v>
      </c>
      <c r="M249" s="9">
        <v>0</v>
      </c>
      <c r="N249" s="9">
        <v>25</v>
      </c>
      <c r="O249" s="9">
        <v>25</v>
      </c>
      <c r="P249" s="9">
        <v>25</v>
      </c>
      <c r="Q249" s="9">
        <v>25</v>
      </c>
      <c r="R249" s="9">
        <v>100</v>
      </c>
      <c r="S249" s="9">
        <v>0</v>
      </c>
      <c r="T249" s="9">
        <v>150</v>
      </c>
      <c r="U249" s="9">
        <v>10</v>
      </c>
      <c r="W249" s="9">
        <v>20</v>
      </c>
      <c r="X249" s="9">
        <v>30</v>
      </c>
      <c r="Y249" s="9">
        <v>20</v>
      </c>
      <c r="Z249" s="9">
        <v>80</v>
      </c>
      <c r="AA249" s="9">
        <v>80</v>
      </c>
      <c r="AB249" s="9">
        <v>40</v>
      </c>
    </row>
    <row r="250" spans="2:28" x14ac:dyDescent="0.2">
      <c r="B250" s="21" t="s">
        <v>819</v>
      </c>
      <c r="D250" s="9">
        <v>300055</v>
      </c>
      <c r="E250" s="9">
        <v>274</v>
      </c>
      <c r="F250" s="9">
        <v>916</v>
      </c>
      <c r="G250" s="56" t="s">
        <v>814</v>
      </c>
      <c r="H250" s="56">
        <v>0</v>
      </c>
      <c r="I250" s="56">
        <v>0</v>
      </c>
      <c r="J250" s="9">
        <v>3000</v>
      </c>
      <c r="L250" s="9">
        <v>0</v>
      </c>
      <c r="M250" s="9">
        <v>0</v>
      </c>
      <c r="N250" s="9">
        <v>25</v>
      </c>
      <c r="O250" s="9">
        <v>25</v>
      </c>
      <c r="P250" s="9">
        <v>25</v>
      </c>
      <c r="Q250" s="9">
        <v>25</v>
      </c>
      <c r="R250" s="9">
        <v>100</v>
      </c>
      <c r="S250" s="9">
        <v>0</v>
      </c>
      <c r="T250" s="9">
        <v>150</v>
      </c>
      <c r="U250" s="9">
        <v>10</v>
      </c>
      <c r="W250" s="9">
        <v>20</v>
      </c>
      <c r="X250" s="9">
        <v>30</v>
      </c>
      <c r="Y250" s="9">
        <v>20</v>
      </c>
      <c r="Z250" s="9">
        <v>100</v>
      </c>
      <c r="AA250" s="9">
        <v>100</v>
      </c>
      <c r="AB250" s="9">
        <v>50</v>
      </c>
    </row>
    <row r="251" spans="2:28" x14ac:dyDescent="0.2">
      <c r="B251" s="21" t="s">
        <v>820</v>
      </c>
      <c r="D251" s="9">
        <v>300056</v>
      </c>
      <c r="E251" s="9">
        <v>328</v>
      </c>
      <c r="F251" s="9">
        <v>1145</v>
      </c>
      <c r="G251" s="56" t="s">
        <v>814</v>
      </c>
      <c r="H251" s="56">
        <v>0</v>
      </c>
      <c r="I251" s="56">
        <v>0</v>
      </c>
      <c r="J251" s="9">
        <v>3000</v>
      </c>
      <c r="L251" s="9">
        <v>0</v>
      </c>
      <c r="M251" s="9">
        <v>0</v>
      </c>
      <c r="N251" s="9">
        <v>25</v>
      </c>
      <c r="O251" s="9">
        <v>25</v>
      </c>
      <c r="P251" s="9">
        <v>25</v>
      </c>
      <c r="Q251" s="9">
        <v>25</v>
      </c>
      <c r="R251" s="9">
        <v>100</v>
      </c>
      <c r="S251" s="9">
        <v>0</v>
      </c>
      <c r="T251" s="9">
        <v>150</v>
      </c>
      <c r="U251" s="9">
        <v>10</v>
      </c>
      <c r="W251" s="9">
        <v>20</v>
      </c>
      <c r="X251" s="9">
        <v>30</v>
      </c>
      <c r="Y251" s="9">
        <v>20</v>
      </c>
      <c r="Z251" s="9">
        <v>120</v>
      </c>
      <c r="AA251" s="9">
        <v>120</v>
      </c>
      <c r="AB251" s="9">
        <v>60</v>
      </c>
    </row>
    <row r="252" spans="2:28" x14ac:dyDescent="0.2">
      <c r="B252" s="21" t="s">
        <v>821</v>
      </c>
      <c r="D252" s="9">
        <v>300057</v>
      </c>
      <c r="E252" s="9">
        <v>394</v>
      </c>
      <c r="F252" s="9">
        <v>1431</v>
      </c>
      <c r="G252" s="56" t="s">
        <v>814</v>
      </c>
      <c r="H252" s="56">
        <v>0</v>
      </c>
      <c r="I252" s="56">
        <v>0</v>
      </c>
      <c r="J252" s="9">
        <v>3000</v>
      </c>
      <c r="L252" s="9">
        <v>0</v>
      </c>
      <c r="M252" s="9">
        <v>0</v>
      </c>
      <c r="N252" s="9">
        <v>25</v>
      </c>
      <c r="O252" s="9">
        <v>25</v>
      </c>
      <c r="P252" s="9">
        <v>25</v>
      </c>
      <c r="Q252" s="9">
        <v>25</v>
      </c>
      <c r="R252" s="9">
        <v>100</v>
      </c>
      <c r="S252" s="9">
        <v>0</v>
      </c>
      <c r="T252" s="9">
        <v>150</v>
      </c>
      <c r="U252" s="9">
        <v>10</v>
      </c>
      <c r="W252" s="9">
        <v>20</v>
      </c>
      <c r="X252" s="9">
        <v>30</v>
      </c>
      <c r="Y252" s="9">
        <v>20</v>
      </c>
      <c r="Z252" s="9">
        <v>140</v>
      </c>
      <c r="AA252" s="9">
        <v>140</v>
      </c>
      <c r="AB252" s="9">
        <v>70</v>
      </c>
    </row>
    <row r="253" spans="2:28" x14ac:dyDescent="0.2">
      <c r="B253" s="21" t="s">
        <v>822</v>
      </c>
      <c r="D253" s="9">
        <v>300058</v>
      </c>
      <c r="E253" s="9">
        <v>472</v>
      </c>
      <c r="F253" s="9">
        <v>1789</v>
      </c>
      <c r="G253" s="56" t="s">
        <v>814</v>
      </c>
      <c r="H253" s="56">
        <v>0</v>
      </c>
      <c r="I253" s="56">
        <v>0</v>
      </c>
      <c r="J253" s="9">
        <v>3000</v>
      </c>
      <c r="L253" s="9">
        <v>0</v>
      </c>
      <c r="M253" s="9">
        <v>0</v>
      </c>
      <c r="N253" s="9">
        <v>25</v>
      </c>
      <c r="O253" s="9">
        <v>25</v>
      </c>
      <c r="P253" s="9">
        <v>25</v>
      </c>
      <c r="Q253" s="9">
        <v>25</v>
      </c>
      <c r="R253" s="9">
        <v>100</v>
      </c>
      <c r="S253" s="9">
        <v>0</v>
      </c>
      <c r="T253" s="9">
        <v>150</v>
      </c>
      <c r="U253" s="9">
        <v>10</v>
      </c>
      <c r="W253" s="9">
        <v>20</v>
      </c>
      <c r="X253" s="9">
        <v>30</v>
      </c>
      <c r="Y253" s="9">
        <v>20</v>
      </c>
      <c r="Z253" s="9">
        <v>160</v>
      </c>
      <c r="AA253" s="9">
        <v>160</v>
      </c>
      <c r="AB253" s="9">
        <v>80</v>
      </c>
    </row>
    <row r="254" spans="2:28" x14ac:dyDescent="0.2">
      <c r="B254" s="21" t="s">
        <v>823</v>
      </c>
      <c r="D254" s="9">
        <v>300059</v>
      </c>
      <c r="E254" s="9">
        <v>566</v>
      </c>
      <c r="F254" s="9">
        <v>2236</v>
      </c>
      <c r="G254" s="56" t="s">
        <v>814</v>
      </c>
      <c r="H254" s="56">
        <v>0</v>
      </c>
      <c r="I254" s="56">
        <v>0</v>
      </c>
      <c r="J254" s="9">
        <v>3000</v>
      </c>
      <c r="L254" s="9">
        <v>0</v>
      </c>
      <c r="M254" s="9">
        <v>0</v>
      </c>
      <c r="N254" s="9">
        <v>25</v>
      </c>
      <c r="O254" s="9">
        <v>25</v>
      </c>
      <c r="P254" s="9">
        <v>25</v>
      </c>
      <c r="Q254" s="9">
        <v>25</v>
      </c>
      <c r="R254" s="9">
        <v>100</v>
      </c>
      <c r="S254" s="9">
        <v>0</v>
      </c>
      <c r="T254" s="9">
        <v>150</v>
      </c>
      <c r="U254" s="9">
        <v>10</v>
      </c>
      <c r="W254" s="9">
        <v>20</v>
      </c>
      <c r="X254" s="9">
        <v>30</v>
      </c>
      <c r="Y254" s="9">
        <v>20</v>
      </c>
      <c r="Z254" s="9">
        <v>200</v>
      </c>
      <c r="AA254" s="9">
        <v>200</v>
      </c>
      <c r="AB254" s="9">
        <v>100</v>
      </c>
    </row>
    <row r="255" spans="2:28" x14ac:dyDescent="0.2">
      <c r="B255" s="21" t="s">
        <v>824</v>
      </c>
      <c r="D255" s="9">
        <v>300060</v>
      </c>
      <c r="E255" s="9">
        <v>150</v>
      </c>
      <c r="F255" s="9">
        <v>200</v>
      </c>
      <c r="G255" s="56">
        <v>0</v>
      </c>
      <c r="H255" s="56">
        <v>0</v>
      </c>
      <c r="I255" s="56">
        <v>0</v>
      </c>
      <c r="J255" s="9">
        <v>1000</v>
      </c>
      <c r="L255" s="9">
        <v>0</v>
      </c>
      <c r="M255" s="9">
        <v>0</v>
      </c>
      <c r="N255" s="9">
        <v>0</v>
      </c>
      <c r="O255" s="9">
        <v>50</v>
      </c>
      <c r="P255" s="9">
        <v>0</v>
      </c>
      <c r="Q255" s="9">
        <v>0</v>
      </c>
      <c r="R255" s="9">
        <v>100</v>
      </c>
      <c r="S255" s="9">
        <v>5</v>
      </c>
      <c r="T255" s="9">
        <v>150</v>
      </c>
      <c r="U255" s="9">
        <v>10</v>
      </c>
      <c r="W255" s="9">
        <v>20</v>
      </c>
      <c r="X255" s="9">
        <v>40</v>
      </c>
      <c r="Y255" s="9">
        <v>20</v>
      </c>
      <c r="Z255" s="9">
        <v>0</v>
      </c>
      <c r="AA255" s="9">
        <v>0</v>
      </c>
      <c r="AB255" s="9">
        <v>0</v>
      </c>
    </row>
    <row r="256" spans="2:28" x14ac:dyDescent="0.2">
      <c r="B256" s="21" t="s">
        <v>825</v>
      </c>
      <c r="D256" s="9">
        <v>300061</v>
      </c>
      <c r="E256" s="9">
        <v>180</v>
      </c>
      <c r="F256" s="9">
        <v>250</v>
      </c>
      <c r="G256" s="56">
        <v>0</v>
      </c>
      <c r="H256" s="56">
        <v>0</v>
      </c>
      <c r="I256" s="56">
        <v>0</v>
      </c>
      <c r="J256" s="9">
        <v>1000</v>
      </c>
      <c r="L256" s="9">
        <v>0</v>
      </c>
      <c r="M256" s="9">
        <v>0</v>
      </c>
      <c r="N256" s="9">
        <v>0</v>
      </c>
      <c r="O256" s="9">
        <v>50</v>
      </c>
      <c r="P256" s="9">
        <v>0</v>
      </c>
      <c r="Q256" s="9">
        <v>0</v>
      </c>
      <c r="R256" s="9">
        <v>100</v>
      </c>
      <c r="S256" s="9">
        <v>5</v>
      </c>
      <c r="T256" s="9">
        <v>150</v>
      </c>
      <c r="U256" s="9">
        <v>10</v>
      </c>
      <c r="W256" s="9">
        <v>20</v>
      </c>
      <c r="X256" s="9">
        <v>40</v>
      </c>
      <c r="Y256" s="9">
        <v>20</v>
      </c>
      <c r="Z256" s="9">
        <v>20</v>
      </c>
      <c r="AA256" s="9">
        <v>20</v>
      </c>
      <c r="AB256" s="9">
        <v>10</v>
      </c>
    </row>
    <row r="257" spans="2:28" x14ac:dyDescent="0.2">
      <c r="B257" s="21" t="s">
        <v>826</v>
      </c>
      <c r="D257" s="9">
        <v>300062</v>
      </c>
      <c r="E257" s="9">
        <v>216</v>
      </c>
      <c r="F257" s="9">
        <v>313</v>
      </c>
      <c r="G257" s="56">
        <v>0</v>
      </c>
      <c r="H257" s="56">
        <v>0</v>
      </c>
      <c r="I257" s="56">
        <v>0</v>
      </c>
      <c r="J257" s="9">
        <v>1000</v>
      </c>
      <c r="L257" s="9">
        <v>0</v>
      </c>
      <c r="M257" s="9">
        <v>0</v>
      </c>
      <c r="N257" s="9">
        <v>0</v>
      </c>
      <c r="O257" s="9">
        <v>50</v>
      </c>
      <c r="P257" s="9">
        <v>0</v>
      </c>
      <c r="Q257" s="9">
        <v>0</v>
      </c>
      <c r="R257" s="9">
        <v>100</v>
      </c>
      <c r="S257" s="9">
        <v>5</v>
      </c>
      <c r="T257" s="9">
        <v>150</v>
      </c>
      <c r="U257" s="9">
        <v>10</v>
      </c>
      <c r="W257" s="9">
        <v>20</v>
      </c>
      <c r="X257" s="9">
        <v>40</v>
      </c>
      <c r="Y257" s="9">
        <v>20</v>
      </c>
      <c r="Z257" s="9">
        <v>40</v>
      </c>
      <c r="AA257" s="9">
        <v>40</v>
      </c>
      <c r="AB257" s="9">
        <v>20</v>
      </c>
    </row>
    <row r="258" spans="2:28" x14ac:dyDescent="0.2">
      <c r="B258" s="21" t="s">
        <v>827</v>
      </c>
      <c r="D258" s="9">
        <v>300063</v>
      </c>
      <c r="E258" s="9">
        <v>260</v>
      </c>
      <c r="F258" s="9">
        <v>391</v>
      </c>
      <c r="G258" s="56">
        <v>0</v>
      </c>
      <c r="H258" s="56">
        <v>0</v>
      </c>
      <c r="I258" s="56">
        <v>0</v>
      </c>
      <c r="J258" s="9">
        <v>1000</v>
      </c>
      <c r="L258" s="9">
        <v>0</v>
      </c>
      <c r="M258" s="9">
        <v>0</v>
      </c>
      <c r="N258" s="9">
        <v>0</v>
      </c>
      <c r="O258" s="9">
        <v>50</v>
      </c>
      <c r="P258" s="9">
        <v>0</v>
      </c>
      <c r="Q258" s="9">
        <v>0</v>
      </c>
      <c r="R258" s="9">
        <v>100</v>
      </c>
      <c r="S258" s="9">
        <v>5</v>
      </c>
      <c r="T258" s="9">
        <v>150</v>
      </c>
      <c r="U258" s="9">
        <v>10</v>
      </c>
      <c r="W258" s="9">
        <v>20</v>
      </c>
      <c r="X258" s="9">
        <v>40</v>
      </c>
      <c r="Y258" s="9">
        <v>20</v>
      </c>
      <c r="Z258" s="9">
        <v>60</v>
      </c>
      <c r="AA258" s="9">
        <v>60</v>
      </c>
      <c r="AB258" s="9">
        <v>30</v>
      </c>
    </row>
    <row r="259" spans="2:28" x14ac:dyDescent="0.2">
      <c r="B259" s="21" t="s">
        <v>828</v>
      </c>
      <c r="D259" s="9">
        <v>300064</v>
      </c>
      <c r="E259" s="9">
        <v>312</v>
      </c>
      <c r="F259" s="9">
        <v>489</v>
      </c>
      <c r="G259" s="56">
        <v>0</v>
      </c>
      <c r="H259" s="56">
        <v>0</v>
      </c>
      <c r="I259" s="56">
        <v>0</v>
      </c>
      <c r="J259" s="9">
        <v>1000</v>
      </c>
      <c r="L259" s="9">
        <v>0</v>
      </c>
      <c r="M259" s="9">
        <v>0</v>
      </c>
      <c r="N259" s="9">
        <v>0</v>
      </c>
      <c r="O259" s="9">
        <v>75</v>
      </c>
      <c r="P259" s="9">
        <v>0</v>
      </c>
      <c r="Q259" s="9">
        <v>0</v>
      </c>
      <c r="R259" s="9">
        <v>100</v>
      </c>
      <c r="S259" s="9">
        <v>5</v>
      </c>
      <c r="T259" s="9">
        <v>150</v>
      </c>
      <c r="U259" s="9">
        <v>10</v>
      </c>
      <c r="W259" s="9">
        <v>20</v>
      </c>
      <c r="X259" s="9">
        <v>40</v>
      </c>
      <c r="Y259" s="9">
        <v>20</v>
      </c>
      <c r="Z259" s="9">
        <v>80</v>
      </c>
      <c r="AA259" s="9">
        <v>80</v>
      </c>
      <c r="AB259" s="9">
        <v>40</v>
      </c>
    </row>
    <row r="260" spans="2:28" x14ac:dyDescent="0.2">
      <c r="B260" s="21" t="s">
        <v>829</v>
      </c>
      <c r="D260" s="9">
        <v>300065</v>
      </c>
      <c r="E260" s="9">
        <v>374</v>
      </c>
      <c r="F260" s="9">
        <v>611</v>
      </c>
      <c r="G260" s="56">
        <v>0</v>
      </c>
      <c r="H260" s="56">
        <v>0</v>
      </c>
      <c r="I260" s="56">
        <v>0</v>
      </c>
      <c r="J260" s="9">
        <v>1500</v>
      </c>
      <c r="L260" s="9">
        <v>0</v>
      </c>
      <c r="M260" s="9">
        <v>0</v>
      </c>
      <c r="N260" s="9">
        <v>0</v>
      </c>
      <c r="O260" s="9">
        <v>75</v>
      </c>
      <c r="P260" s="9">
        <v>0</v>
      </c>
      <c r="Q260" s="9">
        <v>0</v>
      </c>
      <c r="R260" s="9">
        <v>100</v>
      </c>
      <c r="S260" s="9">
        <v>5</v>
      </c>
      <c r="T260" s="9">
        <v>150</v>
      </c>
      <c r="U260" s="9">
        <v>10</v>
      </c>
      <c r="W260" s="9">
        <v>20</v>
      </c>
      <c r="X260" s="9">
        <v>40</v>
      </c>
      <c r="Y260" s="9">
        <v>20</v>
      </c>
      <c r="Z260" s="9">
        <v>100</v>
      </c>
      <c r="AA260" s="9">
        <v>100</v>
      </c>
      <c r="AB260" s="9">
        <v>50</v>
      </c>
    </row>
    <row r="261" spans="2:28" x14ac:dyDescent="0.2">
      <c r="B261" s="21" t="s">
        <v>830</v>
      </c>
      <c r="D261" s="9">
        <v>300066</v>
      </c>
      <c r="E261" s="9">
        <v>448</v>
      </c>
      <c r="F261" s="9">
        <v>764</v>
      </c>
      <c r="G261" s="56">
        <v>0</v>
      </c>
      <c r="H261" s="56">
        <v>0</v>
      </c>
      <c r="I261" s="56">
        <v>0</v>
      </c>
      <c r="J261" s="9">
        <v>1500</v>
      </c>
      <c r="L261" s="9">
        <v>0</v>
      </c>
      <c r="M261" s="9">
        <v>0</v>
      </c>
      <c r="N261" s="9">
        <v>0</v>
      </c>
      <c r="O261" s="9">
        <v>75</v>
      </c>
      <c r="P261" s="9">
        <v>0</v>
      </c>
      <c r="Q261" s="9">
        <v>0</v>
      </c>
      <c r="R261" s="9">
        <v>100</v>
      </c>
      <c r="S261" s="9">
        <v>5</v>
      </c>
      <c r="T261" s="9">
        <v>150</v>
      </c>
      <c r="U261" s="9">
        <v>10</v>
      </c>
      <c r="W261" s="9">
        <v>20</v>
      </c>
      <c r="X261" s="9">
        <v>40</v>
      </c>
      <c r="Y261" s="9">
        <v>20</v>
      </c>
      <c r="Z261" s="9">
        <v>120</v>
      </c>
      <c r="AA261" s="9">
        <v>120</v>
      </c>
      <c r="AB261" s="9">
        <v>60</v>
      </c>
    </row>
    <row r="262" spans="2:28" x14ac:dyDescent="0.2">
      <c r="B262" s="21" t="s">
        <v>831</v>
      </c>
      <c r="D262" s="9">
        <v>300067</v>
      </c>
      <c r="E262" s="9">
        <v>538</v>
      </c>
      <c r="F262" s="9">
        <v>955</v>
      </c>
      <c r="G262" s="56">
        <v>0</v>
      </c>
      <c r="H262" s="56">
        <v>0</v>
      </c>
      <c r="I262" s="56">
        <v>0</v>
      </c>
      <c r="J262" s="9">
        <v>1500</v>
      </c>
      <c r="L262" s="9">
        <v>0</v>
      </c>
      <c r="M262" s="9">
        <v>0</v>
      </c>
      <c r="N262" s="9">
        <v>0</v>
      </c>
      <c r="O262" s="9">
        <v>75</v>
      </c>
      <c r="P262" s="9">
        <v>0</v>
      </c>
      <c r="Q262" s="9">
        <v>0</v>
      </c>
      <c r="R262" s="9">
        <v>100</v>
      </c>
      <c r="S262" s="9">
        <v>5</v>
      </c>
      <c r="T262" s="9">
        <v>150</v>
      </c>
      <c r="U262" s="9">
        <v>10</v>
      </c>
      <c r="W262" s="9">
        <v>20</v>
      </c>
      <c r="X262" s="9">
        <v>40</v>
      </c>
      <c r="Y262" s="9">
        <v>20</v>
      </c>
      <c r="Z262" s="9">
        <v>140</v>
      </c>
      <c r="AA262" s="9">
        <v>140</v>
      </c>
      <c r="AB262" s="9">
        <v>70</v>
      </c>
    </row>
    <row r="263" spans="2:28" x14ac:dyDescent="0.2">
      <c r="B263" s="21" t="s">
        <v>832</v>
      </c>
      <c r="D263" s="9">
        <v>300068</v>
      </c>
      <c r="E263" s="9">
        <v>646</v>
      </c>
      <c r="F263" s="9">
        <v>1194</v>
      </c>
      <c r="G263" s="56">
        <v>0</v>
      </c>
      <c r="H263" s="56">
        <v>0</v>
      </c>
      <c r="I263" s="56">
        <v>0</v>
      </c>
      <c r="J263" s="9">
        <v>1500</v>
      </c>
      <c r="L263" s="9">
        <v>0</v>
      </c>
      <c r="M263" s="9">
        <v>0</v>
      </c>
      <c r="N263" s="9">
        <v>0</v>
      </c>
      <c r="O263" s="9">
        <v>75</v>
      </c>
      <c r="P263" s="9">
        <v>0</v>
      </c>
      <c r="Q263" s="9">
        <v>0</v>
      </c>
      <c r="R263" s="9">
        <v>100</v>
      </c>
      <c r="S263" s="9">
        <v>5</v>
      </c>
      <c r="T263" s="9">
        <v>150</v>
      </c>
      <c r="U263" s="9">
        <v>10</v>
      </c>
      <c r="W263" s="9">
        <v>20</v>
      </c>
      <c r="X263" s="9">
        <v>40</v>
      </c>
      <c r="Y263" s="9">
        <v>20</v>
      </c>
      <c r="Z263" s="9">
        <v>160</v>
      </c>
      <c r="AA263" s="9">
        <v>160</v>
      </c>
      <c r="AB263" s="9">
        <v>80</v>
      </c>
    </row>
    <row r="264" spans="2:28" x14ac:dyDescent="0.2">
      <c r="B264" s="21" t="s">
        <v>833</v>
      </c>
      <c r="D264" s="9">
        <v>300069</v>
      </c>
      <c r="E264" s="9">
        <v>776</v>
      </c>
      <c r="F264" s="9">
        <v>1493</v>
      </c>
      <c r="G264" s="56">
        <v>0</v>
      </c>
      <c r="H264" s="56">
        <v>0</v>
      </c>
      <c r="I264" s="56">
        <v>0</v>
      </c>
      <c r="J264" s="9">
        <v>1500</v>
      </c>
      <c r="L264" s="9">
        <v>0</v>
      </c>
      <c r="M264" s="9">
        <v>0</v>
      </c>
      <c r="N264" s="9">
        <v>0</v>
      </c>
      <c r="O264" s="9">
        <v>75</v>
      </c>
      <c r="P264" s="9">
        <v>0</v>
      </c>
      <c r="Q264" s="9">
        <v>0</v>
      </c>
      <c r="R264" s="9">
        <v>100</v>
      </c>
      <c r="S264" s="9">
        <v>5</v>
      </c>
      <c r="T264" s="9">
        <v>150</v>
      </c>
      <c r="U264" s="9">
        <v>10</v>
      </c>
      <c r="W264" s="9">
        <v>20</v>
      </c>
      <c r="X264" s="9">
        <v>40</v>
      </c>
      <c r="Y264" s="9">
        <v>20</v>
      </c>
      <c r="Z264" s="9">
        <v>200</v>
      </c>
      <c r="AA264" s="9">
        <v>200</v>
      </c>
      <c r="AB264" s="9">
        <v>100</v>
      </c>
    </row>
    <row r="265" spans="2:28" x14ac:dyDescent="0.2">
      <c r="B265" s="21" t="s">
        <v>834</v>
      </c>
      <c r="D265" s="9">
        <v>300070</v>
      </c>
      <c r="E265" s="9">
        <v>110</v>
      </c>
      <c r="F265" s="9">
        <v>300</v>
      </c>
      <c r="G265" s="56">
        <v>0</v>
      </c>
      <c r="H265" s="56">
        <v>0</v>
      </c>
      <c r="I265" s="56">
        <v>0</v>
      </c>
      <c r="J265" s="9">
        <v>1000</v>
      </c>
      <c r="L265" s="9">
        <v>0</v>
      </c>
      <c r="M265" s="9">
        <v>0</v>
      </c>
      <c r="N265" s="9">
        <v>50</v>
      </c>
      <c r="O265" s="9">
        <v>0</v>
      </c>
      <c r="P265" s="9">
        <v>0</v>
      </c>
      <c r="Q265" s="9">
        <v>0</v>
      </c>
      <c r="R265" s="9">
        <v>100</v>
      </c>
      <c r="S265" s="9">
        <v>0</v>
      </c>
      <c r="T265" s="9">
        <v>150</v>
      </c>
      <c r="U265" s="9">
        <v>10</v>
      </c>
      <c r="W265" s="9">
        <v>20</v>
      </c>
      <c r="X265" s="9">
        <v>30</v>
      </c>
      <c r="Y265" s="9">
        <v>20</v>
      </c>
      <c r="Z265" s="9">
        <v>0</v>
      </c>
      <c r="AA265" s="9">
        <v>0</v>
      </c>
      <c r="AB265" s="9">
        <v>0</v>
      </c>
    </row>
    <row r="266" spans="2:28" x14ac:dyDescent="0.2">
      <c r="B266" s="21" t="s">
        <v>835</v>
      </c>
      <c r="D266" s="9">
        <v>300071</v>
      </c>
      <c r="E266" s="9">
        <v>132</v>
      </c>
      <c r="F266" s="9">
        <v>375</v>
      </c>
      <c r="G266" s="56">
        <v>0</v>
      </c>
      <c r="H266" s="56">
        <v>0</v>
      </c>
      <c r="I266" s="56">
        <v>0</v>
      </c>
      <c r="J266" s="9">
        <v>1000</v>
      </c>
      <c r="L266" s="9">
        <v>0</v>
      </c>
      <c r="M266" s="9">
        <v>0</v>
      </c>
      <c r="N266" s="9">
        <v>50</v>
      </c>
      <c r="O266" s="9">
        <v>0</v>
      </c>
      <c r="P266" s="9">
        <v>0</v>
      </c>
      <c r="Q266" s="9">
        <v>0</v>
      </c>
      <c r="R266" s="9">
        <v>100</v>
      </c>
      <c r="S266" s="9">
        <v>0</v>
      </c>
      <c r="T266" s="9">
        <v>150</v>
      </c>
      <c r="U266" s="9">
        <v>10</v>
      </c>
      <c r="W266" s="9">
        <v>20</v>
      </c>
      <c r="X266" s="9">
        <v>30</v>
      </c>
      <c r="Y266" s="9">
        <v>20</v>
      </c>
      <c r="Z266" s="9">
        <v>20</v>
      </c>
      <c r="AA266" s="9">
        <v>20</v>
      </c>
      <c r="AB266" s="9">
        <v>10</v>
      </c>
    </row>
    <row r="267" spans="2:28" x14ac:dyDescent="0.2">
      <c r="B267" s="21" t="s">
        <v>836</v>
      </c>
      <c r="D267" s="9">
        <v>300072</v>
      </c>
      <c r="E267" s="9">
        <v>158</v>
      </c>
      <c r="F267" s="9">
        <v>469</v>
      </c>
      <c r="G267" s="56">
        <v>0</v>
      </c>
      <c r="H267" s="56">
        <v>0</v>
      </c>
      <c r="I267" s="56">
        <v>0</v>
      </c>
      <c r="J267" s="9">
        <v>1000</v>
      </c>
      <c r="L267" s="9">
        <v>0</v>
      </c>
      <c r="M267" s="9">
        <v>0</v>
      </c>
      <c r="N267" s="9">
        <v>50</v>
      </c>
      <c r="O267" s="9">
        <v>0</v>
      </c>
      <c r="P267" s="9">
        <v>0</v>
      </c>
      <c r="Q267" s="9">
        <v>0</v>
      </c>
      <c r="R267" s="9">
        <v>100</v>
      </c>
      <c r="S267" s="9">
        <v>0</v>
      </c>
      <c r="T267" s="9">
        <v>150</v>
      </c>
      <c r="U267" s="9">
        <v>10</v>
      </c>
      <c r="W267" s="9">
        <v>20</v>
      </c>
      <c r="X267" s="9">
        <v>30</v>
      </c>
      <c r="Y267" s="9">
        <v>20</v>
      </c>
      <c r="Z267" s="9">
        <v>40</v>
      </c>
      <c r="AA267" s="9">
        <v>40</v>
      </c>
      <c r="AB267" s="9">
        <v>20</v>
      </c>
    </row>
    <row r="268" spans="2:28" x14ac:dyDescent="0.2">
      <c r="B268" s="21" t="s">
        <v>837</v>
      </c>
      <c r="D268" s="9">
        <v>300073</v>
      </c>
      <c r="E268" s="9">
        <v>190</v>
      </c>
      <c r="F268" s="9">
        <v>586</v>
      </c>
      <c r="G268" s="56">
        <v>0</v>
      </c>
      <c r="H268" s="56">
        <v>0</v>
      </c>
      <c r="I268" s="56">
        <v>0</v>
      </c>
      <c r="J268" s="9">
        <v>1000</v>
      </c>
      <c r="L268" s="9">
        <v>0</v>
      </c>
      <c r="M268" s="9">
        <v>0</v>
      </c>
      <c r="N268" s="9">
        <v>50</v>
      </c>
      <c r="O268" s="9">
        <v>0</v>
      </c>
      <c r="P268" s="9">
        <v>0</v>
      </c>
      <c r="Q268" s="9">
        <v>0</v>
      </c>
      <c r="R268" s="9">
        <v>100</v>
      </c>
      <c r="S268" s="9">
        <v>0</v>
      </c>
      <c r="T268" s="9">
        <v>150</v>
      </c>
      <c r="U268" s="9">
        <v>10</v>
      </c>
      <c r="W268" s="9">
        <v>20</v>
      </c>
      <c r="X268" s="9">
        <v>30</v>
      </c>
      <c r="Y268" s="9">
        <v>20</v>
      </c>
      <c r="Z268" s="9">
        <v>60</v>
      </c>
      <c r="AA268" s="9">
        <v>60</v>
      </c>
      <c r="AB268" s="9">
        <v>30</v>
      </c>
    </row>
    <row r="269" spans="2:28" x14ac:dyDescent="0.2">
      <c r="B269" s="21" t="s">
        <v>838</v>
      </c>
      <c r="D269" s="9">
        <v>300074</v>
      </c>
      <c r="E269" s="9">
        <v>228</v>
      </c>
      <c r="F269" s="9">
        <v>733</v>
      </c>
      <c r="G269" s="56">
        <v>0</v>
      </c>
      <c r="H269" s="56">
        <v>0</v>
      </c>
      <c r="I269" s="56">
        <v>0</v>
      </c>
      <c r="J269" s="9">
        <v>1000</v>
      </c>
      <c r="L269" s="9">
        <v>0</v>
      </c>
      <c r="M269" s="9">
        <v>0</v>
      </c>
      <c r="N269" s="9">
        <v>75</v>
      </c>
      <c r="O269" s="9">
        <v>0</v>
      </c>
      <c r="P269" s="9">
        <v>0</v>
      </c>
      <c r="Q269" s="9">
        <v>0</v>
      </c>
      <c r="R269" s="9">
        <v>100</v>
      </c>
      <c r="S269" s="9">
        <v>0</v>
      </c>
      <c r="T269" s="9">
        <v>150</v>
      </c>
      <c r="U269" s="9">
        <v>10</v>
      </c>
      <c r="W269" s="9">
        <v>20</v>
      </c>
      <c r="X269" s="9">
        <v>30</v>
      </c>
      <c r="Y269" s="9">
        <v>20</v>
      </c>
      <c r="Z269" s="9">
        <v>80</v>
      </c>
      <c r="AA269" s="9">
        <v>80</v>
      </c>
      <c r="AB269" s="9">
        <v>40</v>
      </c>
    </row>
    <row r="270" spans="2:28" x14ac:dyDescent="0.2">
      <c r="B270" s="21" t="s">
        <v>839</v>
      </c>
      <c r="D270" s="9">
        <v>300075</v>
      </c>
      <c r="E270" s="9">
        <v>274</v>
      </c>
      <c r="F270" s="9">
        <v>916</v>
      </c>
      <c r="G270" s="56">
        <v>0</v>
      </c>
      <c r="H270" s="56">
        <v>0</v>
      </c>
      <c r="I270" s="56">
        <v>0</v>
      </c>
      <c r="J270" s="9">
        <v>1500</v>
      </c>
      <c r="L270" s="9">
        <v>0</v>
      </c>
      <c r="M270" s="9">
        <v>0</v>
      </c>
      <c r="N270" s="9">
        <v>75</v>
      </c>
      <c r="O270" s="9">
        <v>0</v>
      </c>
      <c r="P270" s="9">
        <v>0</v>
      </c>
      <c r="Q270" s="9">
        <v>0</v>
      </c>
      <c r="R270" s="9">
        <v>100</v>
      </c>
      <c r="S270" s="9">
        <v>0</v>
      </c>
      <c r="T270" s="9">
        <v>150</v>
      </c>
      <c r="U270" s="9">
        <v>10</v>
      </c>
      <c r="W270" s="9">
        <v>20</v>
      </c>
      <c r="X270" s="9">
        <v>30</v>
      </c>
      <c r="Y270" s="9">
        <v>20</v>
      </c>
      <c r="Z270" s="9">
        <v>100</v>
      </c>
      <c r="AA270" s="9">
        <v>100</v>
      </c>
      <c r="AB270" s="9">
        <v>50</v>
      </c>
    </row>
    <row r="271" spans="2:28" x14ac:dyDescent="0.2">
      <c r="B271" s="21" t="s">
        <v>840</v>
      </c>
      <c r="D271" s="9">
        <v>300076</v>
      </c>
      <c r="E271" s="9">
        <v>328</v>
      </c>
      <c r="F271" s="9">
        <v>1145</v>
      </c>
      <c r="G271" s="56">
        <v>0</v>
      </c>
      <c r="H271" s="56">
        <v>0</v>
      </c>
      <c r="I271" s="56">
        <v>0</v>
      </c>
      <c r="J271" s="9">
        <v>1500</v>
      </c>
      <c r="L271" s="9">
        <v>0</v>
      </c>
      <c r="M271" s="9">
        <v>0</v>
      </c>
      <c r="N271" s="9">
        <v>75</v>
      </c>
      <c r="O271" s="9">
        <v>0</v>
      </c>
      <c r="P271" s="9">
        <v>0</v>
      </c>
      <c r="Q271" s="9">
        <v>0</v>
      </c>
      <c r="R271" s="9">
        <v>100</v>
      </c>
      <c r="S271" s="9">
        <v>0</v>
      </c>
      <c r="T271" s="9">
        <v>150</v>
      </c>
      <c r="U271" s="9">
        <v>10</v>
      </c>
      <c r="W271" s="9">
        <v>20</v>
      </c>
      <c r="X271" s="9">
        <v>30</v>
      </c>
      <c r="Y271" s="9">
        <v>20</v>
      </c>
      <c r="Z271" s="9">
        <v>120</v>
      </c>
      <c r="AA271" s="9">
        <v>120</v>
      </c>
      <c r="AB271" s="9">
        <v>60</v>
      </c>
    </row>
    <row r="272" spans="2:28" x14ac:dyDescent="0.2">
      <c r="B272" s="21" t="s">
        <v>841</v>
      </c>
      <c r="D272" s="9">
        <v>300077</v>
      </c>
      <c r="E272" s="9">
        <v>394</v>
      </c>
      <c r="F272" s="9">
        <v>1431</v>
      </c>
      <c r="G272" s="56">
        <v>0</v>
      </c>
      <c r="H272" s="56">
        <v>0</v>
      </c>
      <c r="I272" s="56">
        <v>0</v>
      </c>
      <c r="J272" s="9">
        <v>1500</v>
      </c>
      <c r="L272" s="9">
        <v>0</v>
      </c>
      <c r="M272" s="9">
        <v>0</v>
      </c>
      <c r="N272" s="9">
        <v>75</v>
      </c>
      <c r="O272" s="9">
        <v>0</v>
      </c>
      <c r="P272" s="9">
        <v>0</v>
      </c>
      <c r="Q272" s="9">
        <v>0</v>
      </c>
      <c r="R272" s="9">
        <v>100</v>
      </c>
      <c r="S272" s="9">
        <v>0</v>
      </c>
      <c r="T272" s="9">
        <v>150</v>
      </c>
      <c r="U272" s="9">
        <v>10</v>
      </c>
      <c r="W272" s="9">
        <v>20</v>
      </c>
      <c r="X272" s="9">
        <v>30</v>
      </c>
      <c r="Y272" s="9">
        <v>20</v>
      </c>
      <c r="Z272" s="9">
        <v>140</v>
      </c>
      <c r="AA272" s="9">
        <v>140</v>
      </c>
      <c r="AB272" s="9">
        <v>70</v>
      </c>
    </row>
    <row r="273" spans="2:28" x14ac:dyDescent="0.2">
      <c r="B273" s="21" t="s">
        <v>842</v>
      </c>
      <c r="D273" s="9">
        <v>300078</v>
      </c>
      <c r="E273" s="9">
        <v>472</v>
      </c>
      <c r="F273" s="9">
        <v>1789</v>
      </c>
      <c r="G273" s="56">
        <v>0</v>
      </c>
      <c r="H273" s="56">
        <v>0</v>
      </c>
      <c r="I273" s="56">
        <v>0</v>
      </c>
      <c r="J273" s="9">
        <v>1500</v>
      </c>
      <c r="L273" s="9">
        <v>0</v>
      </c>
      <c r="M273" s="9">
        <v>0</v>
      </c>
      <c r="N273" s="9">
        <v>75</v>
      </c>
      <c r="O273" s="9">
        <v>0</v>
      </c>
      <c r="P273" s="9">
        <v>0</v>
      </c>
      <c r="Q273" s="9">
        <v>0</v>
      </c>
      <c r="R273" s="9">
        <v>100</v>
      </c>
      <c r="S273" s="9">
        <v>0</v>
      </c>
      <c r="T273" s="9">
        <v>150</v>
      </c>
      <c r="U273" s="9">
        <v>10</v>
      </c>
      <c r="W273" s="9">
        <v>20</v>
      </c>
      <c r="X273" s="9">
        <v>30</v>
      </c>
      <c r="Y273" s="9">
        <v>20</v>
      </c>
      <c r="Z273" s="9">
        <v>160</v>
      </c>
      <c r="AA273" s="9">
        <v>160</v>
      </c>
      <c r="AB273" s="9">
        <v>80</v>
      </c>
    </row>
    <row r="274" spans="2:28" x14ac:dyDescent="0.2">
      <c r="B274" s="21" t="s">
        <v>843</v>
      </c>
      <c r="D274" s="9">
        <v>300079</v>
      </c>
      <c r="E274" s="9">
        <v>566</v>
      </c>
      <c r="F274" s="9">
        <v>2236</v>
      </c>
      <c r="G274" s="56">
        <v>0</v>
      </c>
      <c r="H274" s="56">
        <v>0</v>
      </c>
      <c r="I274" s="56">
        <v>0</v>
      </c>
      <c r="J274" s="9">
        <v>1500</v>
      </c>
      <c r="L274" s="9">
        <v>0</v>
      </c>
      <c r="M274" s="9">
        <v>0</v>
      </c>
      <c r="N274" s="9">
        <v>75</v>
      </c>
      <c r="O274" s="9">
        <v>0</v>
      </c>
      <c r="P274" s="9">
        <v>0</v>
      </c>
      <c r="Q274" s="9">
        <v>0</v>
      </c>
      <c r="R274" s="9">
        <v>100</v>
      </c>
      <c r="S274" s="9">
        <v>0</v>
      </c>
      <c r="T274" s="9">
        <v>150</v>
      </c>
      <c r="U274" s="9">
        <v>10</v>
      </c>
      <c r="W274" s="9">
        <v>20</v>
      </c>
      <c r="X274" s="9">
        <v>30</v>
      </c>
      <c r="Y274" s="9">
        <v>20</v>
      </c>
      <c r="Z274" s="9">
        <v>200</v>
      </c>
      <c r="AA274" s="9">
        <v>200</v>
      </c>
      <c r="AB274" s="9">
        <v>100</v>
      </c>
    </row>
    <row r="275" spans="2:28" x14ac:dyDescent="0.2">
      <c r="B275" s="21" t="s">
        <v>844</v>
      </c>
      <c r="D275" s="9">
        <v>300080</v>
      </c>
      <c r="E275" s="9">
        <v>110</v>
      </c>
      <c r="F275" s="9">
        <v>200</v>
      </c>
      <c r="G275" s="56">
        <v>0</v>
      </c>
      <c r="H275" s="56">
        <v>0</v>
      </c>
      <c r="I275" s="56">
        <v>0</v>
      </c>
      <c r="J275" s="9">
        <v>1000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50</v>
      </c>
      <c r="R275" s="9">
        <v>100</v>
      </c>
      <c r="S275" s="9">
        <v>0</v>
      </c>
      <c r="T275" s="9">
        <v>150</v>
      </c>
      <c r="U275" s="9">
        <v>10</v>
      </c>
      <c r="W275" s="9">
        <v>20</v>
      </c>
      <c r="X275" s="9">
        <v>30</v>
      </c>
      <c r="Y275" s="9">
        <v>40</v>
      </c>
      <c r="Z275" s="9">
        <v>0</v>
      </c>
      <c r="AA275" s="9">
        <v>0</v>
      </c>
      <c r="AB275" s="9">
        <v>0</v>
      </c>
    </row>
    <row r="276" spans="2:28" x14ac:dyDescent="0.2">
      <c r="B276" s="21" t="s">
        <v>845</v>
      </c>
      <c r="D276" s="9">
        <v>300081</v>
      </c>
      <c r="E276" s="9">
        <v>132</v>
      </c>
      <c r="F276" s="9">
        <v>250</v>
      </c>
      <c r="G276" s="56">
        <v>0</v>
      </c>
      <c r="H276" s="56">
        <v>0</v>
      </c>
      <c r="I276" s="56">
        <v>0</v>
      </c>
      <c r="J276" s="9">
        <v>1000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50</v>
      </c>
      <c r="R276" s="9">
        <v>100</v>
      </c>
      <c r="S276" s="9">
        <v>0</v>
      </c>
      <c r="T276" s="9">
        <v>150</v>
      </c>
      <c r="U276" s="9">
        <v>10</v>
      </c>
      <c r="W276" s="9">
        <v>20</v>
      </c>
      <c r="X276" s="9">
        <v>30</v>
      </c>
      <c r="Y276" s="9">
        <v>40</v>
      </c>
      <c r="Z276" s="9">
        <v>20</v>
      </c>
      <c r="AA276" s="9">
        <v>20</v>
      </c>
      <c r="AB276" s="9">
        <v>10</v>
      </c>
    </row>
    <row r="277" spans="2:28" x14ac:dyDescent="0.2">
      <c r="B277" s="21" t="s">
        <v>846</v>
      </c>
      <c r="D277" s="9">
        <v>300082</v>
      </c>
      <c r="E277" s="9">
        <v>158</v>
      </c>
      <c r="F277" s="9">
        <v>313</v>
      </c>
      <c r="G277" s="56">
        <v>0</v>
      </c>
      <c r="H277" s="56">
        <v>0</v>
      </c>
      <c r="I277" s="56">
        <v>0</v>
      </c>
      <c r="J277" s="9">
        <v>1000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50</v>
      </c>
      <c r="R277" s="9">
        <v>100</v>
      </c>
      <c r="S277" s="9">
        <v>0</v>
      </c>
      <c r="T277" s="9">
        <v>150</v>
      </c>
      <c r="U277" s="9">
        <v>10</v>
      </c>
      <c r="W277" s="9">
        <v>20</v>
      </c>
      <c r="X277" s="9">
        <v>30</v>
      </c>
      <c r="Y277" s="9">
        <v>40</v>
      </c>
      <c r="Z277" s="9">
        <v>40</v>
      </c>
      <c r="AA277" s="9">
        <v>40</v>
      </c>
      <c r="AB277" s="9">
        <v>20</v>
      </c>
    </row>
    <row r="278" spans="2:28" x14ac:dyDescent="0.2">
      <c r="B278" s="21" t="s">
        <v>847</v>
      </c>
      <c r="D278" s="9">
        <v>300083</v>
      </c>
      <c r="E278" s="9">
        <v>190</v>
      </c>
      <c r="F278" s="9">
        <v>391</v>
      </c>
      <c r="G278" s="56">
        <v>0</v>
      </c>
      <c r="H278" s="56">
        <v>0</v>
      </c>
      <c r="I278" s="56">
        <v>0</v>
      </c>
      <c r="J278" s="9">
        <v>1000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50</v>
      </c>
      <c r="R278" s="9">
        <v>100</v>
      </c>
      <c r="S278" s="9">
        <v>0</v>
      </c>
      <c r="T278" s="9">
        <v>150</v>
      </c>
      <c r="U278" s="9">
        <v>10</v>
      </c>
      <c r="W278" s="9">
        <v>20</v>
      </c>
      <c r="X278" s="9">
        <v>30</v>
      </c>
      <c r="Y278" s="9">
        <v>40</v>
      </c>
      <c r="Z278" s="9">
        <v>60</v>
      </c>
      <c r="AA278" s="9">
        <v>60</v>
      </c>
      <c r="AB278" s="9">
        <v>30</v>
      </c>
    </row>
    <row r="279" spans="2:28" x14ac:dyDescent="0.2">
      <c r="B279" s="21" t="s">
        <v>848</v>
      </c>
      <c r="D279" s="9">
        <v>300084</v>
      </c>
      <c r="E279" s="9">
        <v>228</v>
      </c>
      <c r="F279" s="9">
        <v>489</v>
      </c>
      <c r="G279" s="56">
        <v>0</v>
      </c>
      <c r="H279" s="56">
        <v>0</v>
      </c>
      <c r="I279" s="56">
        <v>0</v>
      </c>
      <c r="J279" s="9">
        <v>1000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75</v>
      </c>
      <c r="R279" s="9">
        <v>100</v>
      </c>
      <c r="S279" s="9">
        <v>0</v>
      </c>
      <c r="T279" s="9">
        <v>150</v>
      </c>
      <c r="U279" s="9">
        <v>10</v>
      </c>
      <c r="W279" s="9">
        <v>20</v>
      </c>
      <c r="X279" s="9">
        <v>30</v>
      </c>
      <c r="Y279" s="9">
        <v>40</v>
      </c>
      <c r="Z279" s="9">
        <v>80</v>
      </c>
      <c r="AA279" s="9">
        <v>80</v>
      </c>
      <c r="AB279" s="9">
        <v>40</v>
      </c>
    </row>
    <row r="280" spans="2:28" x14ac:dyDescent="0.2">
      <c r="B280" s="21" t="s">
        <v>849</v>
      </c>
      <c r="D280" s="9">
        <v>300085</v>
      </c>
      <c r="E280" s="9">
        <v>274</v>
      </c>
      <c r="F280" s="9">
        <v>611</v>
      </c>
      <c r="G280" s="56">
        <v>0</v>
      </c>
      <c r="H280" s="56">
        <v>0</v>
      </c>
      <c r="I280" s="56">
        <v>0</v>
      </c>
      <c r="J280" s="9">
        <v>1500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75</v>
      </c>
      <c r="R280" s="9">
        <v>100</v>
      </c>
      <c r="S280" s="9">
        <v>0</v>
      </c>
      <c r="T280" s="9">
        <v>150</v>
      </c>
      <c r="U280" s="9">
        <v>10</v>
      </c>
      <c r="W280" s="9">
        <v>20</v>
      </c>
      <c r="X280" s="9">
        <v>30</v>
      </c>
      <c r="Y280" s="9">
        <v>40</v>
      </c>
      <c r="Z280" s="9">
        <v>100</v>
      </c>
      <c r="AA280" s="9">
        <v>100</v>
      </c>
      <c r="AB280" s="9">
        <v>50</v>
      </c>
    </row>
    <row r="281" spans="2:28" x14ac:dyDescent="0.2">
      <c r="B281" s="21" t="s">
        <v>850</v>
      </c>
      <c r="D281" s="9">
        <v>300086</v>
      </c>
      <c r="E281" s="9">
        <v>328</v>
      </c>
      <c r="F281" s="9">
        <v>764</v>
      </c>
      <c r="G281" s="56">
        <v>0</v>
      </c>
      <c r="H281" s="56">
        <v>0</v>
      </c>
      <c r="I281" s="56">
        <v>0</v>
      </c>
      <c r="J281" s="9">
        <v>1500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75</v>
      </c>
      <c r="R281" s="9">
        <v>100</v>
      </c>
      <c r="S281" s="9">
        <v>0</v>
      </c>
      <c r="T281" s="9">
        <v>150</v>
      </c>
      <c r="U281" s="9">
        <v>10</v>
      </c>
      <c r="W281" s="9">
        <v>20</v>
      </c>
      <c r="X281" s="9">
        <v>30</v>
      </c>
      <c r="Y281" s="9">
        <v>40</v>
      </c>
      <c r="Z281" s="9">
        <v>120</v>
      </c>
      <c r="AA281" s="9">
        <v>120</v>
      </c>
      <c r="AB281" s="9">
        <v>60</v>
      </c>
    </row>
    <row r="282" spans="2:28" x14ac:dyDescent="0.2">
      <c r="B282" s="21" t="s">
        <v>851</v>
      </c>
      <c r="D282" s="9">
        <v>300087</v>
      </c>
      <c r="E282" s="9">
        <v>394</v>
      </c>
      <c r="F282" s="9">
        <v>955</v>
      </c>
      <c r="G282" s="56">
        <v>0</v>
      </c>
      <c r="H282" s="56">
        <v>0</v>
      </c>
      <c r="I282" s="56">
        <v>0</v>
      </c>
      <c r="J282" s="9">
        <v>1500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75</v>
      </c>
      <c r="R282" s="9">
        <v>100</v>
      </c>
      <c r="S282" s="9">
        <v>0</v>
      </c>
      <c r="T282" s="9">
        <v>150</v>
      </c>
      <c r="U282" s="9">
        <v>10</v>
      </c>
      <c r="W282" s="9">
        <v>20</v>
      </c>
      <c r="X282" s="9">
        <v>30</v>
      </c>
      <c r="Y282" s="9">
        <v>40</v>
      </c>
      <c r="Z282" s="9">
        <v>140</v>
      </c>
      <c r="AA282" s="9">
        <v>140</v>
      </c>
      <c r="AB282" s="9">
        <v>70</v>
      </c>
    </row>
    <row r="283" spans="2:28" x14ac:dyDescent="0.2">
      <c r="B283" s="21" t="s">
        <v>852</v>
      </c>
      <c r="D283" s="9">
        <v>300088</v>
      </c>
      <c r="E283" s="9">
        <v>472</v>
      </c>
      <c r="F283" s="9">
        <v>1194</v>
      </c>
      <c r="G283" s="56">
        <v>0</v>
      </c>
      <c r="H283" s="56">
        <v>0</v>
      </c>
      <c r="I283" s="56">
        <v>0</v>
      </c>
      <c r="J283" s="9">
        <v>1500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75</v>
      </c>
      <c r="R283" s="9">
        <v>100</v>
      </c>
      <c r="S283" s="9">
        <v>0</v>
      </c>
      <c r="T283" s="9">
        <v>150</v>
      </c>
      <c r="U283" s="9">
        <v>10</v>
      </c>
      <c r="W283" s="9">
        <v>20</v>
      </c>
      <c r="X283" s="9">
        <v>30</v>
      </c>
      <c r="Y283" s="9">
        <v>40</v>
      </c>
      <c r="Z283" s="9">
        <v>160</v>
      </c>
      <c r="AA283" s="9">
        <v>160</v>
      </c>
      <c r="AB283" s="9">
        <v>80</v>
      </c>
    </row>
    <row r="284" spans="2:28" x14ac:dyDescent="0.2">
      <c r="B284" s="21" t="s">
        <v>853</v>
      </c>
      <c r="D284" s="9">
        <v>300089</v>
      </c>
      <c r="E284" s="9">
        <v>566</v>
      </c>
      <c r="F284" s="9">
        <v>1493</v>
      </c>
      <c r="G284" s="56">
        <v>0</v>
      </c>
      <c r="H284" s="56">
        <v>0</v>
      </c>
      <c r="I284" s="56">
        <v>0</v>
      </c>
      <c r="J284" s="9">
        <v>1500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75</v>
      </c>
      <c r="R284" s="9">
        <v>100</v>
      </c>
      <c r="S284" s="9">
        <v>0</v>
      </c>
      <c r="T284" s="9">
        <v>150</v>
      </c>
      <c r="U284" s="9">
        <v>10</v>
      </c>
      <c r="W284" s="9">
        <v>20</v>
      </c>
      <c r="X284" s="9">
        <v>30</v>
      </c>
      <c r="Y284" s="9">
        <v>40</v>
      </c>
      <c r="Z284" s="9">
        <v>200</v>
      </c>
      <c r="AA284" s="9">
        <v>200</v>
      </c>
      <c r="AB284" s="9">
        <v>100</v>
      </c>
    </row>
    <row r="285" spans="2:28" x14ac:dyDescent="0.2">
      <c r="B285" s="21" t="s">
        <v>854</v>
      </c>
      <c r="D285" s="9">
        <v>300090</v>
      </c>
      <c r="E285" s="9">
        <v>138</v>
      </c>
      <c r="F285" s="9">
        <v>150</v>
      </c>
      <c r="G285" s="56">
        <v>0</v>
      </c>
      <c r="H285" s="56">
        <v>0</v>
      </c>
      <c r="I285" s="56">
        <v>0</v>
      </c>
      <c r="J285" s="9">
        <v>1000</v>
      </c>
      <c r="L285" s="9">
        <v>0</v>
      </c>
      <c r="M285" s="9">
        <v>0</v>
      </c>
      <c r="N285" s="9">
        <v>0</v>
      </c>
      <c r="O285" s="9">
        <v>0</v>
      </c>
      <c r="P285" s="9">
        <v>50</v>
      </c>
      <c r="Q285" s="9">
        <v>0</v>
      </c>
      <c r="R285" s="9">
        <v>100</v>
      </c>
      <c r="S285" s="9">
        <v>5</v>
      </c>
      <c r="T285" s="9">
        <v>200</v>
      </c>
      <c r="U285" s="9">
        <v>10</v>
      </c>
      <c r="W285" s="9">
        <v>20</v>
      </c>
      <c r="X285" s="9">
        <v>30</v>
      </c>
      <c r="Y285" s="9">
        <v>20</v>
      </c>
      <c r="Z285" s="9">
        <v>0</v>
      </c>
      <c r="AA285" s="9">
        <v>0</v>
      </c>
      <c r="AB285" s="9">
        <v>0</v>
      </c>
    </row>
    <row r="286" spans="2:28" x14ac:dyDescent="0.2">
      <c r="B286" s="21" t="s">
        <v>855</v>
      </c>
      <c r="D286" s="9">
        <v>300091</v>
      </c>
      <c r="E286" s="9">
        <v>166</v>
      </c>
      <c r="F286" s="9">
        <v>188</v>
      </c>
      <c r="G286" s="56">
        <v>0</v>
      </c>
      <c r="H286" s="56">
        <v>0</v>
      </c>
      <c r="I286" s="56">
        <v>0</v>
      </c>
      <c r="J286" s="9">
        <v>1000</v>
      </c>
      <c r="L286" s="9">
        <v>0</v>
      </c>
      <c r="M286" s="9">
        <v>0</v>
      </c>
      <c r="N286" s="9">
        <v>0</v>
      </c>
      <c r="O286" s="9">
        <v>0</v>
      </c>
      <c r="P286" s="9">
        <v>50</v>
      </c>
      <c r="Q286" s="9">
        <v>0</v>
      </c>
      <c r="R286" s="9">
        <v>100</v>
      </c>
      <c r="S286" s="9">
        <v>5</v>
      </c>
      <c r="T286" s="9">
        <v>200</v>
      </c>
      <c r="U286" s="9">
        <v>10</v>
      </c>
      <c r="W286" s="9">
        <v>20</v>
      </c>
      <c r="X286" s="9">
        <v>30</v>
      </c>
      <c r="Y286" s="9">
        <v>20</v>
      </c>
      <c r="Z286" s="9">
        <v>20</v>
      </c>
      <c r="AA286" s="9">
        <v>20</v>
      </c>
      <c r="AB286" s="9">
        <v>10</v>
      </c>
    </row>
    <row r="287" spans="2:28" x14ac:dyDescent="0.2">
      <c r="B287" s="21" t="s">
        <v>856</v>
      </c>
      <c r="D287" s="9">
        <v>300092</v>
      </c>
      <c r="E287" s="9">
        <v>200</v>
      </c>
      <c r="F287" s="9">
        <v>235</v>
      </c>
      <c r="G287" s="56">
        <v>0</v>
      </c>
      <c r="H287" s="56">
        <v>0</v>
      </c>
      <c r="I287" s="56">
        <v>0</v>
      </c>
      <c r="J287" s="9">
        <v>1000</v>
      </c>
      <c r="L287" s="9">
        <v>0</v>
      </c>
      <c r="M287" s="9">
        <v>0</v>
      </c>
      <c r="N287" s="9">
        <v>0</v>
      </c>
      <c r="O287" s="9">
        <v>0</v>
      </c>
      <c r="P287" s="9">
        <v>50</v>
      </c>
      <c r="Q287" s="9">
        <v>0</v>
      </c>
      <c r="R287" s="9">
        <v>100</v>
      </c>
      <c r="S287" s="9">
        <v>5</v>
      </c>
      <c r="T287" s="9">
        <v>200</v>
      </c>
      <c r="U287" s="9">
        <v>10</v>
      </c>
      <c r="W287" s="9">
        <v>20</v>
      </c>
      <c r="X287" s="9">
        <v>30</v>
      </c>
      <c r="Y287" s="9">
        <v>20</v>
      </c>
      <c r="Z287" s="9">
        <v>40</v>
      </c>
      <c r="AA287" s="9">
        <v>40</v>
      </c>
      <c r="AB287" s="9">
        <v>20</v>
      </c>
    </row>
    <row r="288" spans="2:28" x14ac:dyDescent="0.2">
      <c r="B288" s="21" t="s">
        <v>857</v>
      </c>
      <c r="D288" s="9">
        <v>300093</v>
      </c>
      <c r="E288" s="9">
        <v>240</v>
      </c>
      <c r="F288" s="9">
        <v>294</v>
      </c>
      <c r="G288" s="56">
        <v>0</v>
      </c>
      <c r="H288" s="56">
        <v>0</v>
      </c>
      <c r="I288" s="56">
        <v>0</v>
      </c>
      <c r="J288" s="9">
        <v>1000</v>
      </c>
      <c r="L288" s="9">
        <v>0</v>
      </c>
      <c r="M288" s="9">
        <v>0</v>
      </c>
      <c r="N288" s="9">
        <v>0</v>
      </c>
      <c r="O288" s="9">
        <v>0</v>
      </c>
      <c r="P288" s="9">
        <v>50</v>
      </c>
      <c r="Q288" s="9">
        <v>0</v>
      </c>
      <c r="R288" s="9">
        <v>100</v>
      </c>
      <c r="S288" s="9">
        <v>5</v>
      </c>
      <c r="T288" s="9">
        <v>200</v>
      </c>
      <c r="U288" s="9">
        <v>10</v>
      </c>
      <c r="W288" s="9">
        <v>20</v>
      </c>
      <c r="X288" s="9">
        <v>30</v>
      </c>
      <c r="Y288" s="9">
        <v>20</v>
      </c>
      <c r="Z288" s="9">
        <v>60</v>
      </c>
      <c r="AA288" s="9">
        <v>60</v>
      </c>
      <c r="AB288" s="9">
        <v>30</v>
      </c>
    </row>
    <row r="289" spans="2:28" x14ac:dyDescent="0.2">
      <c r="B289" s="21" t="s">
        <v>858</v>
      </c>
      <c r="D289" s="9">
        <v>300094</v>
      </c>
      <c r="E289" s="9">
        <v>288</v>
      </c>
      <c r="F289" s="9">
        <v>368</v>
      </c>
      <c r="G289" s="56">
        <v>0</v>
      </c>
      <c r="H289" s="56">
        <v>0</v>
      </c>
      <c r="I289" s="56">
        <v>0</v>
      </c>
      <c r="J289" s="9">
        <v>1000</v>
      </c>
      <c r="L289" s="9">
        <v>0</v>
      </c>
      <c r="M289" s="9">
        <v>0</v>
      </c>
      <c r="N289" s="9">
        <v>0</v>
      </c>
      <c r="O289" s="9">
        <v>0</v>
      </c>
      <c r="P289" s="9">
        <v>75</v>
      </c>
      <c r="Q289" s="9">
        <v>0</v>
      </c>
      <c r="R289" s="9">
        <v>100</v>
      </c>
      <c r="S289" s="9">
        <v>10</v>
      </c>
      <c r="T289" s="9">
        <v>200</v>
      </c>
      <c r="U289" s="9">
        <v>10</v>
      </c>
      <c r="W289" s="9">
        <v>20</v>
      </c>
      <c r="X289" s="9">
        <v>30</v>
      </c>
      <c r="Y289" s="9">
        <v>20</v>
      </c>
      <c r="Z289" s="9">
        <v>80</v>
      </c>
      <c r="AA289" s="9">
        <v>80</v>
      </c>
      <c r="AB289" s="9">
        <v>40</v>
      </c>
    </row>
    <row r="290" spans="2:28" x14ac:dyDescent="0.2">
      <c r="B290" s="21" t="s">
        <v>859</v>
      </c>
      <c r="D290" s="9">
        <v>300095</v>
      </c>
      <c r="E290" s="9">
        <v>346</v>
      </c>
      <c r="F290" s="9">
        <v>460</v>
      </c>
      <c r="G290" s="56">
        <v>0</v>
      </c>
      <c r="H290" s="56">
        <v>0</v>
      </c>
      <c r="I290" s="56">
        <v>0</v>
      </c>
      <c r="J290" s="9">
        <v>1500</v>
      </c>
      <c r="L290" s="9">
        <v>0</v>
      </c>
      <c r="M290" s="9">
        <v>0</v>
      </c>
      <c r="N290" s="9">
        <v>0</v>
      </c>
      <c r="O290" s="9">
        <v>0</v>
      </c>
      <c r="P290" s="9">
        <v>75</v>
      </c>
      <c r="Q290" s="9">
        <v>0</v>
      </c>
      <c r="R290" s="9">
        <v>100</v>
      </c>
      <c r="S290" s="9">
        <v>10</v>
      </c>
      <c r="T290" s="9">
        <v>200</v>
      </c>
      <c r="U290" s="9">
        <v>10</v>
      </c>
      <c r="W290" s="9">
        <v>20</v>
      </c>
      <c r="X290" s="9">
        <v>30</v>
      </c>
      <c r="Y290" s="9">
        <v>20</v>
      </c>
      <c r="Z290" s="9">
        <v>100</v>
      </c>
      <c r="AA290" s="9">
        <v>100</v>
      </c>
      <c r="AB290" s="9">
        <v>50</v>
      </c>
    </row>
    <row r="291" spans="2:28" x14ac:dyDescent="0.2">
      <c r="B291" s="21" t="s">
        <v>860</v>
      </c>
      <c r="D291" s="9">
        <v>300096</v>
      </c>
      <c r="E291" s="9">
        <v>416</v>
      </c>
      <c r="F291" s="9">
        <v>575</v>
      </c>
      <c r="G291" s="56">
        <v>0</v>
      </c>
      <c r="H291" s="56">
        <v>0</v>
      </c>
      <c r="I291" s="56">
        <v>0</v>
      </c>
      <c r="J291" s="9">
        <v>1500</v>
      </c>
      <c r="L291" s="9">
        <v>0</v>
      </c>
      <c r="M291" s="9">
        <v>0</v>
      </c>
      <c r="N291" s="9">
        <v>0</v>
      </c>
      <c r="O291" s="9">
        <v>0</v>
      </c>
      <c r="P291" s="9">
        <v>75</v>
      </c>
      <c r="Q291" s="9">
        <v>0</v>
      </c>
      <c r="R291" s="9">
        <v>100</v>
      </c>
      <c r="S291" s="9">
        <v>10</v>
      </c>
      <c r="T291" s="9">
        <v>200</v>
      </c>
      <c r="U291" s="9">
        <v>10</v>
      </c>
      <c r="W291" s="9">
        <v>20</v>
      </c>
      <c r="X291" s="9">
        <v>30</v>
      </c>
      <c r="Y291" s="9">
        <v>20</v>
      </c>
      <c r="Z291" s="9">
        <v>120</v>
      </c>
      <c r="AA291" s="9">
        <v>120</v>
      </c>
      <c r="AB291" s="9">
        <v>60</v>
      </c>
    </row>
    <row r="292" spans="2:28" x14ac:dyDescent="0.2">
      <c r="B292" s="21" t="s">
        <v>861</v>
      </c>
      <c r="D292" s="9">
        <v>300097</v>
      </c>
      <c r="E292" s="9">
        <v>500</v>
      </c>
      <c r="F292" s="9">
        <v>719</v>
      </c>
      <c r="G292" s="56">
        <v>0</v>
      </c>
      <c r="H292" s="56">
        <v>0</v>
      </c>
      <c r="I292" s="56">
        <v>0</v>
      </c>
      <c r="J292" s="9">
        <v>1500</v>
      </c>
      <c r="L292" s="9">
        <v>0</v>
      </c>
      <c r="M292" s="9">
        <v>0</v>
      </c>
      <c r="N292" s="9">
        <v>0</v>
      </c>
      <c r="O292" s="9">
        <v>0</v>
      </c>
      <c r="P292" s="9">
        <v>75</v>
      </c>
      <c r="Q292" s="9">
        <v>0</v>
      </c>
      <c r="R292" s="9">
        <v>100</v>
      </c>
      <c r="S292" s="9">
        <v>10</v>
      </c>
      <c r="T292" s="9">
        <v>200</v>
      </c>
      <c r="U292" s="9">
        <v>10</v>
      </c>
      <c r="W292" s="9">
        <v>20</v>
      </c>
      <c r="X292" s="9">
        <v>30</v>
      </c>
      <c r="Y292" s="9">
        <v>20</v>
      </c>
      <c r="Z292" s="9">
        <v>140</v>
      </c>
      <c r="AA292" s="9">
        <v>140</v>
      </c>
      <c r="AB292" s="9">
        <v>70</v>
      </c>
    </row>
    <row r="293" spans="2:28" x14ac:dyDescent="0.2">
      <c r="B293" s="21" t="s">
        <v>862</v>
      </c>
      <c r="D293" s="9">
        <v>300098</v>
      </c>
      <c r="E293" s="9">
        <v>600</v>
      </c>
      <c r="F293" s="9">
        <v>899</v>
      </c>
      <c r="G293" s="56">
        <v>0</v>
      </c>
      <c r="H293" s="56">
        <v>0</v>
      </c>
      <c r="I293" s="56">
        <v>0</v>
      </c>
      <c r="J293" s="9">
        <v>1500</v>
      </c>
      <c r="L293" s="9">
        <v>0</v>
      </c>
      <c r="M293" s="9">
        <v>0</v>
      </c>
      <c r="N293" s="9">
        <v>0</v>
      </c>
      <c r="O293" s="9">
        <v>0</v>
      </c>
      <c r="P293" s="9">
        <v>75</v>
      </c>
      <c r="Q293" s="9">
        <v>0</v>
      </c>
      <c r="R293" s="9">
        <v>100</v>
      </c>
      <c r="S293" s="9">
        <v>10</v>
      </c>
      <c r="T293" s="9">
        <v>200</v>
      </c>
      <c r="U293" s="9">
        <v>10</v>
      </c>
      <c r="W293" s="9">
        <v>20</v>
      </c>
      <c r="X293" s="9">
        <v>30</v>
      </c>
      <c r="Y293" s="9">
        <v>20</v>
      </c>
      <c r="Z293" s="9">
        <v>160</v>
      </c>
      <c r="AA293" s="9">
        <v>160</v>
      </c>
      <c r="AB293" s="9">
        <v>80</v>
      </c>
    </row>
    <row r="294" spans="2:28" x14ac:dyDescent="0.2">
      <c r="B294" s="21" t="s">
        <v>863</v>
      </c>
      <c r="D294" s="9">
        <v>300099</v>
      </c>
      <c r="E294" s="9">
        <v>720</v>
      </c>
      <c r="F294" s="9">
        <v>1124</v>
      </c>
      <c r="G294" s="56">
        <v>0</v>
      </c>
      <c r="H294" s="56">
        <v>0</v>
      </c>
      <c r="I294" s="56">
        <v>0</v>
      </c>
      <c r="J294" s="9">
        <v>1500</v>
      </c>
      <c r="L294" s="9">
        <v>0</v>
      </c>
      <c r="M294" s="9">
        <v>0</v>
      </c>
      <c r="N294" s="9">
        <v>0</v>
      </c>
      <c r="O294" s="9">
        <v>0</v>
      </c>
      <c r="P294" s="9">
        <v>75</v>
      </c>
      <c r="Q294" s="9">
        <v>0</v>
      </c>
      <c r="R294" s="9">
        <v>100</v>
      </c>
      <c r="S294" s="9">
        <v>10</v>
      </c>
      <c r="T294" s="9">
        <v>250</v>
      </c>
      <c r="U294" s="9">
        <v>10</v>
      </c>
      <c r="W294" s="9">
        <v>20</v>
      </c>
      <c r="X294" s="9">
        <v>30</v>
      </c>
      <c r="Y294" s="9">
        <v>20</v>
      </c>
      <c r="Z294" s="9">
        <v>200</v>
      </c>
      <c r="AA294" s="9">
        <v>200</v>
      </c>
      <c r="AB294" s="9">
        <v>100</v>
      </c>
    </row>
    <row r="295" spans="2:28" x14ac:dyDescent="0.2">
      <c r="B295" s="21" t="s">
        <v>884</v>
      </c>
      <c r="D295" s="9">
        <v>300100</v>
      </c>
      <c r="E295" s="9">
        <v>1</v>
      </c>
      <c r="F295" s="9">
        <v>100</v>
      </c>
      <c r="G295" s="56">
        <v>0</v>
      </c>
      <c r="H295" s="56">
        <v>0</v>
      </c>
      <c r="I295" s="56">
        <v>0</v>
      </c>
      <c r="J295" s="9">
        <v>3000</v>
      </c>
      <c r="L295" s="9">
        <v>0</v>
      </c>
      <c r="M295" s="9">
        <v>0</v>
      </c>
      <c r="N295" s="9">
        <v>0</v>
      </c>
      <c r="O295" s="9">
        <v>-50</v>
      </c>
      <c r="P295" s="9">
        <v>0</v>
      </c>
      <c r="Q295" s="9">
        <v>0</v>
      </c>
      <c r="R295" s="9">
        <v>100</v>
      </c>
      <c r="S295" s="9">
        <v>5</v>
      </c>
      <c r="T295" s="9">
        <v>150</v>
      </c>
      <c r="U295" s="9">
        <v>10</v>
      </c>
      <c r="W295" s="9">
        <v>20</v>
      </c>
      <c r="X295" s="9">
        <v>30</v>
      </c>
      <c r="Y295" s="9">
        <v>20</v>
      </c>
      <c r="Z295" s="9">
        <v>0</v>
      </c>
      <c r="AA295" s="9">
        <v>0</v>
      </c>
      <c r="AB295" s="9">
        <v>0</v>
      </c>
    </row>
    <row r="296" spans="2:28" x14ac:dyDescent="0.2">
      <c r="B296" s="21" t="s">
        <v>885</v>
      </c>
      <c r="D296" s="9">
        <v>300101</v>
      </c>
      <c r="E296" s="9">
        <v>1</v>
      </c>
      <c r="F296" s="9">
        <v>150</v>
      </c>
      <c r="G296" s="56">
        <v>0</v>
      </c>
      <c r="H296" s="56">
        <v>0</v>
      </c>
      <c r="I296" s="56">
        <v>0</v>
      </c>
      <c r="J296" s="9">
        <v>3000</v>
      </c>
      <c r="L296" s="9">
        <v>0</v>
      </c>
      <c r="M296" s="9">
        <v>0</v>
      </c>
      <c r="N296" s="9">
        <v>0</v>
      </c>
      <c r="O296" s="9">
        <v>-50</v>
      </c>
      <c r="P296" s="9">
        <v>0</v>
      </c>
      <c r="Q296" s="9">
        <v>0</v>
      </c>
      <c r="R296" s="9">
        <v>100</v>
      </c>
      <c r="S296" s="9">
        <v>5</v>
      </c>
      <c r="T296" s="9">
        <v>150</v>
      </c>
      <c r="U296" s="9">
        <v>10</v>
      </c>
      <c r="W296" s="9">
        <v>20</v>
      </c>
      <c r="X296" s="9">
        <v>30</v>
      </c>
      <c r="Y296" s="9">
        <v>20</v>
      </c>
      <c r="Z296" s="9">
        <v>20</v>
      </c>
      <c r="AA296" s="9">
        <v>20</v>
      </c>
      <c r="AB296" s="9">
        <v>10</v>
      </c>
    </row>
    <row r="297" spans="2:28" x14ac:dyDescent="0.2">
      <c r="B297" s="21" t="s">
        <v>886</v>
      </c>
      <c r="D297" s="9">
        <v>300102</v>
      </c>
      <c r="E297" s="9">
        <v>1</v>
      </c>
      <c r="F297" s="9">
        <v>200</v>
      </c>
      <c r="G297" s="56">
        <v>0</v>
      </c>
      <c r="H297" s="56">
        <v>0</v>
      </c>
      <c r="I297" s="56">
        <v>0</v>
      </c>
      <c r="J297" s="9">
        <v>3000</v>
      </c>
      <c r="L297" s="9">
        <v>0</v>
      </c>
      <c r="M297" s="9">
        <v>0</v>
      </c>
      <c r="N297" s="9">
        <v>0</v>
      </c>
      <c r="O297" s="9">
        <v>-50</v>
      </c>
      <c r="P297" s="9">
        <v>0</v>
      </c>
      <c r="Q297" s="9">
        <v>0</v>
      </c>
      <c r="R297" s="9">
        <v>100</v>
      </c>
      <c r="S297" s="9">
        <v>5</v>
      </c>
      <c r="T297" s="9">
        <v>150</v>
      </c>
      <c r="U297" s="9">
        <v>10</v>
      </c>
      <c r="W297" s="9">
        <v>20</v>
      </c>
      <c r="X297" s="9">
        <v>30</v>
      </c>
      <c r="Y297" s="9">
        <v>20</v>
      </c>
      <c r="Z297" s="9">
        <v>40</v>
      </c>
      <c r="AA297" s="9">
        <v>40</v>
      </c>
      <c r="AB297" s="9">
        <v>20</v>
      </c>
    </row>
    <row r="298" spans="2:28" x14ac:dyDescent="0.2">
      <c r="B298" s="21" t="s">
        <v>887</v>
      </c>
      <c r="D298" s="9">
        <v>300103</v>
      </c>
      <c r="E298" s="9">
        <v>1</v>
      </c>
      <c r="F298" s="9">
        <v>250</v>
      </c>
      <c r="G298" s="56">
        <v>0</v>
      </c>
      <c r="H298" s="56">
        <v>0</v>
      </c>
      <c r="I298" s="56">
        <v>0</v>
      </c>
      <c r="J298" s="9">
        <v>3000</v>
      </c>
      <c r="L298" s="9">
        <v>0</v>
      </c>
      <c r="M298" s="9">
        <v>0</v>
      </c>
      <c r="N298" s="9">
        <v>0</v>
      </c>
      <c r="O298" s="9">
        <v>-50</v>
      </c>
      <c r="P298" s="9">
        <v>0</v>
      </c>
      <c r="Q298" s="9">
        <v>0</v>
      </c>
      <c r="R298" s="9">
        <v>100</v>
      </c>
      <c r="S298" s="9">
        <v>5</v>
      </c>
      <c r="T298" s="9">
        <v>150</v>
      </c>
      <c r="U298" s="9">
        <v>10</v>
      </c>
      <c r="W298" s="9">
        <v>20</v>
      </c>
      <c r="X298" s="9">
        <v>30</v>
      </c>
      <c r="Y298" s="9">
        <v>20</v>
      </c>
      <c r="Z298" s="9">
        <v>60</v>
      </c>
      <c r="AA298" s="9">
        <v>60</v>
      </c>
      <c r="AB298" s="9">
        <v>30</v>
      </c>
    </row>
    <row r="299" spans="2:28" x14ac:dyDescent="0.2">
      <c r="B299" s="21" t="s">
        <v>888</v>
      </c>
      <c r="D299" s="9">
        <v>300104</v>
      </c>
      <c r="E299" s="9">
        <v>1</v>
      </c>
      <c r="F299" s="9">
        <v>300</v>
      </c>
      <c r="G299" s="56">
        <v>0</v>
      </c>
      <c r="H299" s="56">
        <v>0</v>
      </c>
      <c r="I299" s="56">
        <v>0</v>
      </c>
      <c r="J299" s="9">
        <v>3000</v>
      </c>
      <c r="L299" s="9">
        <v>0</v>
      </c>
      <c r="M299" s="9">
        <v>0</v>
      </c>
      <c r="N299" s="9">
        <v>0</v>
      </c>
      <c r="O299" s="9">
        <v>-50</v>
      </c>
      <c r="P299" s="9">
        <v>0</v>
      </c>
      <c r="Q299" s="9">
        <v>0</v>
      </c>
      <c r="R299" s="9">
        <v>100</v>
      </c>
      <c r="S299" s="9">
        <v>5</v>
      </c>
      <c r="T299" s="9">
        <v>150</v>
      </c>
      <c r="U299" s="9">
        <v>10</v>
      </c>
      <c r="W299" s="9">
        <v>20</v>
      </c>
      <c r="X299" s="9">
        <v>30</v>
      </c>
      <c r="Y299" s="9">
        <v>20</v>
      </c>
      <c r="Z299" s="9">
        <v>80</v>
      </c>
      <c r="AA299" s="9">
        <v>80</v>
      </c>
      <c r="AB299" s="9">
        <v>40</v>
      </c>
    </row>
    <row r="300" spans="2:28" x14ac:dyDescent="0.2">
      <c r="B300" s="21" t="s">
        <v>889</v>
      </c>
      <c r="D300" s="9">
        <v>300105</v>
      </c>
      <c r="E300" s="9">
        <v>1</v>
      </c>
      <c r="F300" s="9">
        <v>350</v>
      </c>
      <c r="G300" s="56">
        <v>0</v>
      </c>
      <c r="H300" s="56">
        <v>0</v>
      </c>
      <c r="I300" s="56">
        <v>0</v>
      </c>
      <c r="J300" s="9">
        <v>3000</v>
      </c>
      <c r="L300" s="9">
        <v>0</v>
      </c>
      <c r="M300" s="9">
        <v>0</v>
      </c>
      <c r="N300" s="9">
        <v>0</v>
      </c>
      <c r="O300" s="9">
        <v>-50</v>
      </c>
      <c r="P300" s="9">
        <v>0</v>
      </c>
      <c r="Q300" s="9">
        <v>0</v>
      </c>
      <c r="R300" s="9">
        <v>100</v>
      </c>
      <c r="S300" s="9">
        <v>5</v>
      </c>
      <c r="T300" s="9">
        <v>150</v>
      </c>
      <c r="U300" s="9">
        <v>10</v>
      </c>
      <c r="W300" s="9">
        <v>20</v>
      </c>
      <c r="X300" s="9">
        <v>30</v>
      </c>
      <c r="Y300" s="9">
        <v>20</v>
      </c>
      <c r="Z300" s="9">
        <v>100</v>
      </c>
      <c r="AA300" s="9">
        <v>100</v>
      </c>
      <c r="AB300" s="9">
        <v>50</v>
      </c>
    </row>
    <row r="301" spans="2:28" x14ac:dyDescent="0.2">
      <c r="B301" s="21" t="s">
        <v>890</v>
      </c>
      <c r="D301" s="9">
        <v>300106</v>
      </c>
      <c r="E301" s="9">
        <v>1</v>
      </c>
      <c r="F301" s="9">
        <v>400</v>
      </c>
      <c r="G301" s="56">
        <v>0</v>
      </c>
      <c r="H301" s="56">
        <v>0</v>
      </c>
      <c r="I301" s="56">
        <v>0</v>
      </c>
      <c r="J301" s="9">
        <v>3000</v>
      </c>
      <c r="L301" s="9">
        <v>0</v>
      </c>
      <c r="M301" s="9">
        <v>0</v>
      </c>
      <c r="N301" s="9">
        <v>0</v>
      </c>
      <c r="O301" s="9">
        <v>-50</v>
      </c>
      <c r="P301" s="9">
        <v>0</v>
      </c>
      <c r="Q301" s="9">
        <v>0</v>
      </c>
      <c r="R301" s="9">
        <v>100</v>
      </c>
      <c r="S301" s="9">
        <v>5</v>
      </c>
      <c r="T301" s="9">
        <v>150</v>
      </c>
      <c r="U301" s="9">
        <v>10</v>
      </c>
      <c r="W301" s="9">
        <v>20</v>
      </c>
      <c r="X301" s="9">
        <v>30</v>
      </c>
      <c r="Y301" s="9">
        <v>20</v>
      </c>
      <c r="Z301" s="9">
        <v>120</v>
      </c>
      <c r="AA301" s="9">
        <v>120</v>
      </c>
      <c r="AB301" s="9">
        <v>60</v>
      </c>
    </row>
    <row r="302" spans="2:28" x14ac:dyDescent="0.2">
      <c r="B302" s="21" t="s">
        <v>891</v>
      </c>
      <c r="D302" s="9">
        <v>300107</v>
      </c>
      <c r="E302" s="9">
        <v>1</v>
      </c>
      <c r="F302" s="9">
        <v>450</v>
      </c>
      <c r="G302" s="56">
        <v>0</v>
      </c>
      <c r="H302" s="56">
        <v>0</v>
      </c>
      <c r="I302" s="56">
        <v>0</v>
      </c>
      <c r="J302" s="9">
        <v>3000</v>
      </c>
      <c r="L302" s="9">
        <v>0</v>
      </c>
      <c r="M302" s="9">
        <v>0</v>
      </c>
      <c r="N302" s="9">
        <v>0</v>
      </c>
      <c r="O302" s="9">
        <v>-50</v>
      </c>
      <c r="P302" s="9">
        <v>0</v>
      </c>
      <c r="Q302" s="9">
        <v>0</v>
      </c>
      <c r="R302" s="9">
        <v>100</v>
      </c>
      <c r="S302" s="9">
        <v>5</v>
      </c>
      <c r="T302" s="9">
        <v>150</v>
      </c>
      <c r="U302" s="9">
        <v>10</v>
      </c>
      <c r="W302" s="9">
        <v>20</v>
      </c>
      <c r="X302" s="9">
        <v>30</v>
      </c>
      <c r="Y302" s="9">
        <v>20</v>
      </c>
      <c r="Z302" s="9">
        <v>140</v>
      </c>
      <c r="AA302" s="9">
        <v>140</v>
      </c>
      <c r="AB302" s="9">
        <v>70</v>
      </c>
    </row>
    <row r="303" spans="2:28" x14ac:dyDescent="0.2">
      <c r="B303" s="21" t="s">
        <v>892</v>
      </c>
      <c r="D303" s="9">
        <v>300108</v>
      </c>
      <c r="E303" s="9">
        <v>1</v>
      </c>
      <c r="F303" s="9">
        <v>500</v>
      </c>
      <c r="G303" s="56">
        <v>0</v>
      </c>
      <c r="H303" s="56">
        <v>0</v>
      </c>
      <c r="I303" s="56">
        <v>0</v>
      </c>
      <c r="J303" s="9">
        <v>3000</v>
      </c>
      <c r="L303" s="9">
        <v>0</v>
      </c>
      <c r="M303" s="9">
        <v>0</v>
      </c>
      <c r="N303" s="9">
        <v>0</v>
      </c>
      <c r="O303" s="9">
        <v>-50</v>
      </c>
      <c r="P303" s="9">
        <v>0</v>
      </c>
      <c r="Q303" s="9">
        <v>0</v>
      </c>
      <c r="R303" s="9">
        <v>100</v>
      </c>
      <c r="S303" s="9">
        <v>5</v>
      </c>
      <c r="T303" s="9">
        <v>150</v>
      </c>
      <c r="U303" s="9">
        <v>10</v>
      </c>
      <c r="W303" s="9">
        <v>20</v>
      </c>
      <c r="X303" s="9">
        <v>30</v>
      </c>
      <c r="Y303" s="9">
        <v>20</v>
      </c>
      <c r="Z303" s="9">
        <v>160</v>
      </c>
      <c r="AA303" s="9">
        <v>160</v>
      </c>
      <c r="AB303" s="9">
        <v>80</v>
      </c>
    </row>
    <row r="304" spans="2:28" x14ac:dyDescent="0.2">
      <c r="B304" s="21" t="s">
        <v>893</v>
      </c>
      <c r="D304" s="9">
        <v>300109</v>
      </c>
      <c r="E304" s="9">
        <v>1</v>
      </c>
      <c r="F304" s="9">
        <v>600</v>
      </c>
      <c r="G304" s="56">
        <v>0</v>
      </c>
      <c r="H304" s="56">
        <v>0</v>
      </c>
      <c r="I304" s="56">
        <v>0</v>
      </c>
      <c r="J304" s="9">
        <v>3000</v>
      </c>
      <c r="L304" s="9">
        <v>0</v>
      </c>
      <c r="M304" s="9">
        <v>0</v>
      </c>
      <c r="N304" s="9">
        <v>0</v>
      </c>
      <c r="O304" s="9">
        <v>-50</v>
      </c>
      <c r="P304" s="9">
        <v>0</v>
      </c>
      <c r="Q304" s="9">
        <v>0</v>
      </c>
      <c r="R304" s="9">
        <v>100</v>
      </c>
      <c r="S304" s="9">
        <v>5</v>
      </c>
      <c r="T304" s="9">
        <v>150</v>
      </c>
      <c r="U304" s="9">
        <v>10</v>
      </c>
      <c r="W304" s="9">
        <v>20</v>
      </c>
      <c r="X304" s="9">
        <v>30</v>
      </c>
      <c r="Y304" s="9">
        <v>20</v>
      </c>
      <c r="Z304" s="9">
        <v>200</v>
      </c>
      <c r="AA304" s="9">
        <v>200</v>
      </c>
      <c r="AB304" s="9">
        <v>100</v>
      </c>
    </row>
    <row r="305" spans="2:28" x14ac:dyDescent="0.2">
      <c r="B305" s="21" t="s">
        <v>5064</v>
      </c>
      <c r="D305" s="9">
        <v>300110</v>
      </c>
      <c r="E305" s="9">
        <v>1</v>
      </c>
      <c r="F305" s="9">
        <v>20</v>
      </c>
      <c r="G305" s="56">
        <v>0</v>
      </c>
      <c r="H305" s="56">
        <v>0</v>
      </c>
      <c r="I305" s="56">
        <v>0</v>
      </c>
      <c r="J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100</v>
      </c>
      <c r="S305" s="9">
        <v>0</v>
      </c>
      <c r="T305" s="9">
        <v>150</v>
      </c>
      <c r="U305" s="9">
        <v>10</v>
      </c>
      <c r="W305" s="9">
        <v>20</v>
      </c>
      <c r="X305" s="9">
        <v>30</v>
      </c>
      <c r="Y305" s="9">
        <v>20</v>
      </c>
      <c r="Z305" s="9">
        <v>0</v>
      </c>
      <c r="AA305" s="9">
        <v>0</v>
      </c>
      <c r="AB305" s="9">
        <v>0</v>
      </c>
    </row>
    <row r="306" spans="2:28" x14ac:dyDescent="0.2">
      <c r="B306" s="21" t="s">
        <v>5065</v>
      </c>
      <c r="D306" s="9">
        <v>300111</v>
      </c>
      <c r="E306" s="9">
        <v>1</v>
      </c>
      <c r="F306" s="9">
        <v>24</v>
      </c>
      <c r="G306" s="56">
        <v>0</v>
      </c>
      <c r="H306" s="56">
        <v>0</v>
      </c>
      <c r="I306" s="56">
        <v>0</v>
      </c>
      <c r="J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100</v>
      </c>
      <c r="S306" s="9">
        <v>0</v>
      </c>
      <c r="T306" s="9">
        <v>150</v>
      </c>
      <c r="U306" s="9">
        <v>10</v>
      </c>
      <c r="W306" s="9">
        <v>20</v>
      </c>
      <c r="X306" s="9">
        <v>30</v>
      </c>
      <c r="Y306" s="9">
        <v>20</v>
      </c>
      <c r="Z306" s="9">
        <v>20</v>
      </c>
      <c r="AA306" s="9">
        <v>20</v>
      </c>
      <c r="AB306" s="9">
        <v>10</v>
      </c>
    </row>
    <row r="307" spans="2:28" x14ac:dyDescent="0.2">
      <c r="B307" s="21" t="s">
        <v>5066</v>
      </c>
      <c r="D307" s="9">
        <v>300112</v>
      </c>
      <c r="E307" s="9">
        <v>1</v>
      </c>
      <c r="F307" s="9">
        <v>29</v>
      </c>
      <c r="G307" s="56">
        <v>0</v>
      </c>
      <c r="H307" s="56">
        <v>0</v>
      </c>
      <c r="I307" s="56">
        <v>0</v>
      </c>
      <c r="J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100</v>
      </c>
      <c r="S307" s="9">
        <v>0</v>
      </c>
      <c r="T307" s="9">
        <v>150</v>
      </c>
      <c r="U307" s="9">
        <v>10</v>
      </c>
      <c r="W307" s="9">
        <v>20</v>
      </c>
      <c r="X307" s="9">
        <v>30</v>
      </c>
      <c r="Y307" s="9">
        <v>20</v>
      </c>
      <c r="Z307" s="9">
        <v>40</v>
      </c>
      <c r="AA307" s="9">
        <v>40</v>
      </c>
      <c r="AB307" s="9">
        <v>20</v>
      </c>
    </row>
    <row r="308" spans="2:28" x14ac:dyDescent="0.2">
      <c r="B308" s="21" t="s">
        <v>5067</v>
      </c>
      <c r="D308" s="9">
        <v>300113</v>
      </c>
      <c r="E308" s="9">
        <v>1</v>
      </c>
      <c r="F308" s="9">
        <v>35</v>
      </c>
      <c r="G308" s="56">
        <v>0</v>
      </c>
      <c r="H308" s="56">
        <v>0</v>
      </c>
      <c r="I308" s="56">
        <v>0</v>
      </c>
      <c r="J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100</v>
      </c>
      <c r="S308" s="9">
        <v>0</v>
      </c>
      <c r="T308" s="9">
        <v>150</v>
      </c>
      <c r="U308" s="9">
        <v>10</v>
      </c>
      <c r="W308" s="9">
        <v>20</v>
      </c>
      <c r="X308" s="9">
        <v>30</v>
      </c>
      <c r="Y308" s="9">
        <v>20</v>
      </c>
      <c r="Z308" s="9">
        <v>60</v>
      </c>
      <c r="AA308" s="9">
        <v>60</v>
      </c>
      <c r="AB308" s="9">
        <v>30</v>
      </c>
    </row>
    <row r="309" spans="2:28" x14ac:dyDescent="0.2">
      <c r="B309" s="21" t="s">
        <v>5068</v>
      </c>
      <c r="D309" s="9">
        <v>300114</v>
      </c>
      <c r="E309" s="9">
        <v>1</v>
      </c>
      <c r="F309" s="9">
        <v>42</v>
      </c>
      <c r="G309" s="56">
        <v>0</v>
      </c>
      <c r="H309" s="56">
        <v>0</v>
      </c>
      <c r="I309" s="56">
        <v>0</v>
      </c>
      <c r="J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100</v>
      </c>
      <c r="S309" s="9">
        <v>0</v>
      </c>
      <c r="T309" s="9">
        <v>150</v>
      </c>
      <c r="U309" s="9">
        <v>10</v>
      </c>
      <c r="W309" s="9">
        <v>20</v>
      </c>
      <c r="X309" s="9">
        <v>30</v>
      </c>
      <c r="Y309" s="9">
        <v>20</v>
      </c>
      <c r="Z309" s="9">
        <v>80</v>
      </c>
      <c r="AA309" s="9">
        <v>80</v>
      </c>
      <c r="AB309" s="9">
        <v>40</v>
      </c>
    </row>
    <row r="310" spans="2:28" x14ac:dyDescent="0.2">
      <c r="B310" s="21" t="s">
        <v>5069</v>
      </c>
      <c r="D310" s="9">
        <v>300115</v>
      </c>
      <c r="E310" s="9">
        <v>1</v>
      </c>
      <c r="F310" s="9">
        <v>50</v>
      </c>
      <c r="G310" s="56">
        <v>0</v>
      </c>
      <c r="H310" s="56">
        <v>0</v>
      </c>
      <c r="I310" s="56">
        <v>0</v>
      </c>
      <c r="J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100</v>
      </c>
      <c r="S310" s="9">
        <v>0</v>
      </c>
      <c r="T310" s="9">
        <v>150</v>
      </c>
      <c r="U310" s="9">
        <v>10</v>
      </c>
      <c r="W310" s="9">
        <v>20</v>
      </c>
      <c r="X310" s="9">
        <v>30</v>
      </c>
      <c r="Y310" s="9">
        <v>20</v>
      </c>
      <c r="Z310" s="9">
        <v>100</v>
      </c>
      <c r="AA310" s="9">
        <v>100</v>
      </c>
      <c r="AB310" s="9">
        <v>50</v>
      </c>
    </row>
    <row r="311" spans="2:28" x14ac:dyDescent="0.2">
      <c r="B311" s="21" t="s">
        <v>5070</v>
      </c>
      <c r="D311" s="9">
        <v>300116</v>
      </c>
      <c r="E311" s="9">
        <v>1</v>
      </c>
      <c r="F311" s="9">
        <v>60</v>
      </c>
      <c r="G311" s="56">
        <v>0</v>
      </c>
      <c r="H311" s="56">
        <v>0</v>
      </c>
      <c r="I311" s="56">
        <v>0</v>
      </c>
      <c r="J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100</v>
      </c>
      <c r="S311" s="9">
        <v>0</v>
      </c>
      <c r="T311" s="9">
        <v>150</v>
      </c>
      <c r="U311" s="9">
        <v>10</v>
      </c>
      <c r="W311" s="9">
        <v>20</v>
      </c>
      <c r="X311" s="9">
        <v>30</v>
      </c>
      <c r="Y311" s="9">
        <v>20</v>
      </c>
      <c r="Z311" s="9">
        <v>120</v>
      </c>
      <c r="AA311" s="9">
        <v>120</v>
      </c>
      <c r="AB311" s="9">
        <v>60</v>
      </c>
    </row>
    <row r="312" spans="2:28" x14ac:dyDescent="0.2">
      <c r="B312" s="21" t="s">
        <v>5071</v>
      </c>
      <c r="D312" s="9">
        <v>300117</v>
      </c>
      <c r="E312" s="9">
        <v>1</v>
      </c>
      <c r="F312" s="9">
        <v>72</v>
      </c>
      <c r="G312" s="56">
        <v>0</v>
      </c>
      <c r="H312" s="56">
        <v>0</v>
      </c>
      <c r="I312" s="56">
        <v>0</v>
      </c>
      <c r="J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100</v>
      </c>
      <c r="S312" s="9">
        <v>0</v>
      </c>
      <c r="T312" s="9">
        <v>150</v>
      </c>
      <c r="U312" s="9">
        <v>10</v>
      </c>
      <c r="W312" s="9">
        <v>20</v>
      </c>
      <c r="X312" s="9">
        <v>30</v>
      </c>
      <c r="Y312" s="9">
        <v>20</v>
      </c>
      <c r="Z312" s="9">
        <v>140</v>
      </c>
      <c r="AA312" s="9">
        <v>140</v>
      </c>
      <c r="AB312" s="9">
        <v>70</v>
      </c>
    </row>
    <row r="313" spans="2:28" x14ac:dyDescent="0.2">
      <c r="B313" s="21" t="s">
        <v>5072</v>
      </c>
      <c r="D313" s="9">
        <v>300118</v>
      </c>
      <c r="E313" s="9">
        <v>1</v>
      </c>
      <c r="F313" s="9">
        <v>86</v>
      </c>
      <c r="G313" s="56">
        <v>0</v>
      </c>
      <c r="H313" s="56">
        <v>0</v>
      </c>
      <c r="I313" s="56">
        <v>0</v>
      </c>
      <c r="J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100</v>
      </c>
      <c r="S313" s="9">
        <v>0</v>
      </c>
      <c r="T313" s="9">
        <v>150</v>
      </c>
      <c r="U313" s="9">
        <v>10</v>
      </c>
      <c r="W313" s="9">
        <v>20</v>
      </c>
      <c r="X313" s="9">
        <v>30</v>
      </c>
      <c r="Y313" s="9">
        <v>20</v>
      </c>
      <c r="Z313" s="9">
        <v>160</v>
      </c>
      <c r="AA313" s="9">
        <v>160</v>
      </c>
      <c r="AB313" s="9">
        <v>80</v>
      </c>
    </row>
    <row r="314" spans="2:28" x14ac:dyDescent="0.2">
      <c r="B314" s="21" t="s">
        <v>5073</v>
      </c>
      <c r="D314" s="9">
        <v>300119</v>
      </c>
      <c r="E314" s="9">
        <v>1</v>
      </c>
      <c r="F314" s="9">
        <v>103</v>
      </c>
      <c r="G314" s="56">
        <v>0</v>
      </c>
      <c r="H314" s="56">
        <v>0</v>
      </c>
      <c r="I314" s="56">
        <v>0</v>
      </c>
      <c r="J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100</v>
      </c>
      <c r="S314" s="9">
        <v>0</v>
      </c>
      <c r="T314" s="9">
        <v>150</v>
      </c>
      <c r="U314" s="9">
        <v>10</v>
      </c>
      <c r="W314" s="9">
        <v>20</v>
      </c>
      <c r="X314" s="9">
        <v>30</v>
      </c>
      <c r="Y314" s="9">
        <v>20</v>
      </c>
      <c r="Z314" s="9">
        <v>200</v>
      </c>
      <c r="AA314" s="9">
        <v>200</v>
      </c>
      <c r="AB314" s="9">
        <v>100</v>
      </c>
    </row>
    <row r="315" spans="2:28" x14ac:dyDescent="0.2">
      <c r="B315" s="21" t="s">
        <v>5075</v>
      </c>
      <c r="D315" s="9">
        <v>300120</v>
      </c>
      <c r="E315" s="9">
        <v>1</v>
      </c>
      <c r="F315" s="9">
        <v>20</v>
      </c>
      <c r="G315" s="56">
        <v>0</v>
      </c>
      <c r="H315" s="56">
        <v>0</v>
      </c>
      <c r="I315" s="56">
        <v>0</v>
      </c>
      <c r="J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100</v>
      </c>
      <c r="S315" s="9">
        <v>0</v>
      </c>
      <c r="T315" s="9">
        <v>150</v>
      </c>
      <c r="U315" s="9">
        <v>10</v>
      </c>
      <c r="W315" s="9">
        <v>20</v>
      </c>
      <c r="X315" s="9">
        <v>30</v>
      </c>
      <c r="Y315" s="9">
        <v>20</v>
      </c>
      <c r="Z315" s="9">
        <v>0</v>
      </c>
      <c r="AA315" s="9">
        <v>0</v>
      </c>
      <c r="AB315" s="9">
        <v>0</v>
      </c>
    </row>
    <row r="316" spans="2:28" x14ac:dyDescent="0.2">
      <c r="B316" s="21" t="s">
        <v>5076</v>
      </c>
      <c r="D316" s="9">
        <v>300121</v>
      </c>
      <c r="E316" s="9">
        <v>1</v>
      </c>
      <c r="F316" s="9">
        <v>24</v>
      </c>
      <c r="G316" s="56">
        <v>0</v>
      </c>
      <c r="H316" s="56">
        <v>0</v>
      </c>
      <c r="I316" s="56">
        <v>0</v>
      </c>
      <c r="J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100</v>
      </c>
      <c r="S316" s="9">
        <v>0</v>
      </c>
      <c r="T316" s="9">
        <v>150</v>
      </c>
      <c r="U316" s="9">
        <v>10</v>
      </c>
      <c r="W316" s="9">
        <v>20</v>
      </c>
      <c r="X316" s="9">
        <v>30</v>
      </c>
      <c r="Y316" s="9">
        <v>20</v>
      </c>
      <c r="Z316" s="9">
        <v>20</v>
      </c>
      <c r="AA316" s="9">
        <v>20</v>
      </c>
      <c r="AB316" s="9">
        <v>10</v>
      </c>
    </row>
    <row r="317" spans="2:28" x14ac:dyDescent="0.2">
      <c r="B317" s="21" t="s">
        <v>5077</v>
      </c>
      <c r="D317" s="9">
        <v>300122</v>
      </c>
      <c r="E317" s="9">
        <v>1</v>
      </c>
      <c r="F317" s="9">
        <v>29</v>
      </c>
      <c r="G317" s="56">
        <v>0</v>
      </c>
      <c r="H317" s="56">
        <v>0</v>
      </c>
      <c r="I317" s="56">
        <v>0</v>
      </c>
      <c r="J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100</v>
      </c>
      <c r="S317" s="9">
        <v>0</v>
      </c>
      <c r="T317" s="9">
        <v>150</v>
      </c>
      <c r="U317" s="9">
        <v>10</v>
      </c>
      <c r="W317" s="9">
        <v>20</v>
      </c>
      <c r="X317" s="9">
        <v>30</v>
      </c>
      <c r="Y317" s="9">
        <v>20</v>
      </c>
      <c r="Z317" s="9">
        <v>40</v>
      </c>
      <c r="AA317" s="9">
        <v>40</v>
      </c>
      <c r="AB317" s="9">
        <v>20</v>
      </c>
    </row>
    <row r="318" spans="2:28" x14ac:dyDescent="0.2">
      <c r="B318" s="21" t="s">
        <v>5078</v>
      </c>
      <c r="D318" s="9">
        <v>300123</v>
      </c>
      <c r="E318" s="9">
        <v>1</v>
      </c>
      <c r="F318" s="9">
        <v>35</v>
      </c>
      <c r="G318" s="56">
        <v>0</v>
      </c>
      <c r="H318" s="56">
        <v>0</v>
      </c>
      <c r="I318" s="56">
        <v>0</v>
      </c>
      <c r="J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100</v>
      </c>
      <c r="S318" s="9">
        <v>0</v>
      </c>
      <c r="T318" s="9">
        <v>150</v>
      </c>
      <c r="U318" s="9">
        <v>10</v>
      </c>
      <c r="W318" s="9">
        <v>20</v>
      </c>
      <c r="X318" s="9">
        <v>30</v>
      </c>
      <c r="Y318" s="9">
        <v>20</v>
      </c>
      <c r="Z318" s="9">
        <v>60</v>
      </c>
      <c r="AA318" s="9">
        <v>60</v>
      </c>
      <c r="AB318" s="9">
        <v>30</v>
      </c>
    </row>
    <row r="319" spans="2:28" x14ac:dyDescent="0.2">
      <c r="B319" s="21" t="s">
        <v>5079</v>
      </c>
      <c r="D319" s="9">
        <v>300124</v>
      </c>
      <c r="E319" s="9">
        <v>1</v>
      </c>
      <c r="F319" s="9">
        <v>42</v>
      </c>
      <c r="G319" s="56">
        <v>0</v>
      </c>
      <c r="H319" s="56">
        <v>0</v>
      </c>
      <c r="I319" s="56">
        <v>0</v>
      </c>
      <c r="J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100</v>
      </c>
      <c r="S319" s="9">
        <v>0</v>
      </c>
      <c r="T319" s="9">
        <v>150</v>
      </c>
      <c r="U319" s="9">
        <v>10</v>
      </c>
      <c r="W319" s="9">
        <v>20</v>
      </c>
      <c r="X319" s="9">
        <v>30</v>
      </c>
      <c r="Y319" s="9">
        <v>20</v>
      </c>
      <c r="Z319" s="9">
        <v>80</v>
      </c>
      <c r="AA319" s="9">
        <v>80</v>
      </c>
      <c r="AB319" s="9">
        <v>40</v>
      </c>
    </row>
    <row r="320" spans="2:28" x14ac:dyDescent="0.2">
      <c r="B320" s="21" t="s">
        <v>5080</v>
      </c>
      <c r="D320" s="9">
        <v>300125</v>
      </c>
      <c r="E320" s="9">
        <v>1</v>
      </c>
      <c r="F320" s="9">
        <v>50</v>
      </c>
      <c r="G320" s="56">
        <v>0</v>
      </c>
      <c r="H320" s="56">
        <v>0</v>
      </c>
      <c r="I320" s="56">
        <v>0</v>
      </c>
      <c r="J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100</v>
      </c>
      <c r="S320" s="9">
        <v>0</v>
      </c>
      <c r="T320" s="9">
        <v>150</v>
      </c>
      <c r="U320" s="9">
        <v>10</v>
      </c>
      <c r="W320" s="9">
        <v>20</v>
      </c>
      <c r="X320" s="9">
        <v>30</v>
      </c>
      <c r="Y320" s="9">
        <v>20</v>
      </c>
      <c r="Z320" s="9">
        <v>100</v>
      </c>
      <c r="AA320" s="9">
        <v>100</v>
      </c>
      <c r="AB320" s="9">
        <v>50</v>
      </c>
    </row>
    <row r="321" spans="2:28" x14ac:dyDescent="0.2">
      <c r="B321" s="21" t="s">
        <v>5081</v>
      </c>
      <c r="D321" s="9">
        <v>300126</v>
      </c>
      <c r="E321" s="9">
        <v>1</v>
      </c>
      <c r="F321" s="9">
        <v>60</v>
      </c>
      <c r="G321" s="56">
        <v>0</v>
      </c>
      <c r="H321" s="56">
        <v>0</v>
      </c>
      <c r="I321" s="56">
        <v>0</v>
      </c>
      <c r="J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100</v>
      </c>
      <c r="S321" s="9">
        <v>0</v>
      </c>
      <c r="T321" s="9">
        <v>150</v>
      </c>
      <c r="U321" s="9">
        <v>10</v>
      </c>
      <c r="W321" s="9">
        <v>20</v>
      </c>
      <c r="X321" s="9">
        <v>30</v>
      </c>
      <c r="Y321" s="9">
        <v>20</v>
      </c>
      <c r="Z321" s="9">
        <v>120</v>
      </c>
      <c r="AA321" s="9">
        <v>120</v>
      </c>
      <c r="AB321" s="9">
        <v>60</v>
      </c>
    </row>
    <row r="322" spans="2:28" x14ac:dyDescent="0.2">
      <c r="B322" s="21" t="s">
        <v>5082</v>
      </c>
      <c r="D322" s="9">
        <v>300127</v>
      </c>
      <c r="E322" s="9">
        <v>1</v>
      </c>
      <c r="F322" s="9">
        <v>72</v>
      </c>
      <c r="G322" s="56">
        <v>0</v>
      </c>
      <c r="H322" s="56">
        <v>0</v>
      </c>
      <c r="I322" s="56">
        <v>0</v>
      </c>
      <c r="J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100</v>
      </c>
      <c r="S322" s="9">
        <v>0</v>
      </c>
      <c r="T322" s="9">
        <v>150</v>
      </c>
      <c r="U322" s="9">
        <v>10</v>
      </c>
      <c r="W322" s="9">
        <v>20</v>
      </c>
      <c r="X322" s="9">
        <v>30</v>
      </c>
      <c r="Y322" s="9">
        <v>20</v>
      </c>
      <c r="Z322" s="9">
        <v>140</v>
      </c>
      <c r="AA322" s="9">
        <v>140</v>
      </c>
      <c r="AB322" s="9">
        <v>70</v>
      </c>
    </row>
    <row r="323" spans="2:28" x14ac:dyDescent="0.2">
      <c r="B323" s="21" t="s">
        <v>5083</v>
      </c>
      <c r="D323" s="9">
        <v>300128</v>
      </c>
      <c r="E323" s="9">
        <v>1</v>
      </c>
      <c r="F323" s="9">
        <v>86</v>
      </c>
      <c r="G323" s="56">
        <v>0</v>
      </c>
      <c r="H323" s="56">
        <v>0</v>
      </c>
      <c r="I323" s="56">
        <v>0</v>
      </c>
      <c r="J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100</v>
      </c>
      <c r="S323" s="9">
        <v>0</v>
      </c>
      <c r="T323" s="9">
        <v>150</v>
      </c>
      <c r="U323" s="9">
        <v>10</v>
      </c>
      <c r="W323" s="9">
        <v>20</v>
      </c>
      <c r="X323" s="9">
        <v>30</v>
      </c>
      <c r="Y323" s="9">
        <v>20</v>
      </c>
      <c r="Z323" s="9">
        <v>160</v>
      </c>
      <c r="AA323" s="9">
        <v>160</v>
      </c>
      <c r="AB323" s="9">
        <v>80</v>
      </c>
    </row>
    <row r="324" spans="2:28" x14ac:dyDescent="0.2">
      <c r="B324" s="21" t="s">
        <v>5084</v>
      </c>
      <c r="D324" s="9">
        <v>300129</v>
      </c>
      <c r="E324" s="9">
        <v>1</v>
      </c>
      <c r="F324" s="9">
        <v>103</v>
      </c>
      <c r="G324" s="56">
        <v>0</v>
      </c>
      <c r="H324" s="56">
        <v>0</v>
      </c>
      <c r="I324" s="56">
        <v>0</v>
      </c>
      <c r="J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100</v>
      </c>
      <c r="S324" s="9">
        <v>0</v>
      </c>
      <c r="T324" s="9">
        <v>150</v>
      </c>
      <c r="U324" s="9">
        <v>10</v>
      </c>
      <c r="W324" s="9">
        <v>20</v>
      </c>
      <c r="X324" s="9">
        <v>30</v>
      </c>
      <c r="Y324" s="9">
        <v>20</v>
      </c>
      <c r="Z324" s="9">
        <v>200</v>
      </c>
      <c r="AA324" s="9">
        <v>200</v>
      </c>
      <c r="AB324" s="9">
        <v>100</v>
      </c>
    </row>
    <row r="325" spans="2:28" x14ac:dyDescent="0.2">
      <c r="B325" s="21" t="s">
        <v>5086</v>
      </c>
      <c r="D325" s="9">
        <v>300130</v>
      </c>
      <c r="E325" s="9">
        <v>1</v>
      </c>
      <c r="F325" s="9">
        <v>20</v>
      </c>
      <c r="G325" s="56">
        <v>0</v>
      </c>
      <c r="H325" s="56">
        <v>0</v>
      </c>
      <c r="I325" s="56">
        <v>0</v>
      </c>
      <c r="J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100</v>
      </c>
      <c r="S325" s="9">
        <v>0</v>
      </c>
      <c r="T325" s="9">
        <v>150</v>
      </c>
      <c r="U325" s="9">
        <v>10</v>
      </c>
      <c r="W325" s="9">
        <v>20</v>
      </c>
      <c r="X325" s="9">
        <v>40</v>
      </c>
      <c r="Y325" s="9">
        <v>20</v>
      </c>
      <c r="Z325" s="9">
        <v>0</v>
      </c>
      <c r="AA325" s="9">
        <v>0</v>
      </c>
      <c r="AB325" s="9">
        <v>0</v>
      </c>
    </row>
    <row r="326" spans="2:28" x14ac:dyDescent="0.2">
      <c r="B326" s="21" t="s">
        <v>5087</v>
      </c>
      <c r="D326" s="9">
        <v>300131</v>
      </c>
      <c r="E326" s="9">
        <v>1</v>
      </c>
      <c r="F326" s="9">
        <v>24</v>
      </c>
      <c r="G326" s="56">
        <v>0</v>
      </c>
      <c r="H326" s="56">
        <v>0</v>
      </c>
      <c r="I326" s="56">
        <v>0</v>
      </c>
      <c r="J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100</v>
      </c>
      <c r="S326" s="9">
        <v>0</v>
      </c>
      <c r="T326" s="9">
        <v>150</v>
      </c>
      <c r="U326" s="9">
        <v>10</v>
      </c>
      <c r="W326" s="9">
        <v>20</v>
      </c>
      <c r="X326" s="9">
        <v>40</v>
      </c>
      <c r="Y326" s="9">
        <v>20</v>
      </c>
      <c r="Z326" s="9">
        <v>20</v>
      </c>
      <c r="AA326" s="9">
        <v>20</v>
      </c>
      <c r="AB326" s="9">
        <v>10</v>
      </c>
    </row>
    <row r="327" spans="2:28" x14ac:dyDescent="0.2">
      <c r="B327" s="21" t="s">
        <v>5088</v>
      </c>
      <c r="D327" s="9">
        <v>300132</v>
      </c>
      <c r="E327" s="9">
        <v>1</v>
      </c>
      <c r="F327" s="9">
        <v>29</v>
      </c>
      <c r="G327" s="56">
        <v>0</v>
      </c>
      <c r="H327" s="56">
        <v>0</v>
      </c>
      <c r="I327" s="56">
        <v>0</v>
      </c>
      <c r="J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100</v>
      </c>
      <c r="S327" s="9">
        <v>0</v>
      </c>
      <c r="T327" s="9">
        <v>150</v>
      </c>
      <c r="U327" s="9">
        <v>10</v>
      </c>
      <c r="W327" s="9">
        <v>20</v>
      </c>
      <c r="X327" s="9">
        <v>40</v>
      </c>
      <c r="Y327" s="9">
        <v>20</v>
      </c>
      <c r="Z327" s="9">
        <v>40</v>
      </c>
      <c r="AA327" s="9">
        <v>40</v>
      </c>
      <c r="AB327" s="9">
        <v>20</v>
      </c>
    </row>
    <row r="328" spans="2:28" x14ac:dyDescent="0.2">
      <c r="B328" s="21" t="s">
        <v>5089</v>
      </c>
      <c r="D328" s="9">
        <v>300133</v>
      </c>
      <c r="E328" s="9">
        <v>1</v>
      </c>
      <c r="F328" s="9">
        <v>35</v>
      </c>
      <c r="G328" s="56">
        <v>0</v>
      </c>
      <c r="H328" s="56">
        <v>0</v>
      </c>
      <c r="I328" s="56">
        <v>0</v>
      </c>
      <c r="J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100</v>
      </c>
      <c r="S328" s="9">
        <v>0</v>
      </c>
      <c r="T328" s="9">
        <v>150</v>
      </c>
      <c r="U328" s="9">
        <v>10</v>
      </c>
      <c r="W328" s="9">
        <v>20</v>
      </c>
      <c r="X328" s="9">
        <v>40</v>
      </c>
      <c r="Y328" s="9">
        <v>20</v>
      </c>
      <c r="Z328" s="9">
        <v>60</v>
      </c>
      <c r="AA328" s="9">
        <v>60</v>
      </c>
      <c r="AB328" s="9">
        <v>30</v>
      </c>
    </row>
    <row r="329" spans="2:28" x14ac:dyDescent="0.2">
      <c r="B329" s="21" t="s">
        <v>5090</v>
      </c>
      <c r="D329" s="9">
        <v>300134</v>
      </c>
      <c r="E329" s="9">
        <v>1</v>
      </c>
      <c r="F329" s="9">
        <v>42</v>
      </c>
      <c r="G329" s="56">
        <v>0</v>
      </c>
      <c r="H329" s="56">
        <v>0</v>
      </c>
      <c r="I329" s="56">
        <v>0</v>
      </c>
      <c r="J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100</v>
      </c>
      <c r="S329" s="9">
        <v>0</v>
      </c>
      <c r="T329" s="9">
        <v>150</v>
      </c>
      <c r="U329" s="9">
        <v>10</v>
      </c>
      <c r="W329" s="9">
        <v>20</v>
      </c>
      <c r="X329" s="9">
        <v>40</v>
      </c>
      <c r="Y329" s="9">
        <v>20</v>
      </c>
      <c r="Z329" s="9">
        <v>80</v>
      </c>
      <c r="AA329" s="9">
        <v>80</v>
      </c>
      <c r="AB329" s="9">
        <v>40</v>
      </c>
    </row>
    <row r="330" spans="2:28" x14ac:dyDescent="0.2">
      <c r="B330" s="21" t="s">
        <v>5091</v>
      </c>
      <c r="D330" s="9">
        <v>300135</v>
      </c>
      <c r="E330" s="9">
        <v>1</v>
      </c>
      <c r="F330" s="9">
        <v>50</v>
      </c>
      <c r="G330" s="56">
        <v>0</v>
      </c>
      <c r="H330" s="56">
        <v>0</v>
      </c>
      <c r="I330" s="56">
        <v>0</v>
      </c>
      <c r="J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100</v>
      </c>
      <c r="S330" s="9">
        <v>0</v>
      </c>
      <c r="T330" s="9">
        <v>150</v>
      </c>
      <c r="U330" s="9">
        <v>10</v>
      </c>
      <c r="W330" s="9">
        <v>20</v>
      </c>
      <c r="X330" s="9">
        <v>40</v>
      </c>
      <c r="Y330" s="9">
        <v>20</v>
      </c>
      <c r="Z330" s="9">
        <v>100</v>
      </c>
      <c r="AA330" s="9">
        <v>100</v>
      </c>
      <c r="AB330" s="9">
        <v>50</v>
      </c>
    </row>
    <row r="331" spans="2:28" x14ac:dyDescent="0.2">
      <c r="B331" s="21" t="s">
        <v>5092</v>
      </c>
      <c r="D331" s="9">
        <v>300136</v>
      </c>
      <c r="E331" s="9">
        <v>1</v>
      </c>
      <c r="F331" s="9">
        <v>60</v>
      </c>
      <c r="G331" s="56">
        <v>0</v>
      </c>
      <c r="H331" s="56">
        <v>0</v>
      </c>
      <c r="I331" s="56">
        <v>0</v>
      </c>
      <c r="J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100</v>
      </c>
      <c r="S331" s="9">
        <v>0</v>
      </c>
      <c r="T331" s="9">
        <v>150</v>
      </c>
      <c r="U331" s="9">
        <v>10</v>
      </c>
      <c r="W331" s="9">
        <v>20</v>
      </c>
      <c r="X331" s="9">
        <v>40</v>
      </c>
      <c r="Y331" s="9">
        <v>20</v>
      </c>
      <c r="Z331" s="9">
        <v>120</v>
      </c>
      <c r="AA331" s="9">
        <v>120</v>
      </c>
      <c r="AB331" s="9">
        <v>60</v>
      </c>
    </row>
    <row r="332" spans="2:28" x14ac:dyDescent="0.2">
      <c r="B332" s="21" t="s">
        <v>5093</v>
      </c>
      <c r="D332" s="9">
        <v>300137</v>
      </c>
      <c r="E332" s="9">
        <v>1</v>
      </c>
      <c r="F332" s="9">
        <v>72</v>
      </c>
      <c r="G332" s="56">
        <v>0</v>
      </c>
      <c r="H332" s="56">
        <v>0</v>
      </c>
      <c r="I332" s="56">
        <v>0</v>
      </c>
      <c r="J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100</v>
      </c>
      <c r="S332" s="9">
        <v>0</v>
      </c>
      <c r="T332" s="9">
        <v>150</v>
      </c>
      <c r="U332" s="9">
        <v>10</v>
      </c>
      <c r="W332" s="9">
        <v>20</v>
      </c>
      <c r="X332" s="9">
        <v>40</v>
      </c>
      <c r="Y332" s="9">
        <v>20</v>
      </c>
      <c r="Z332" s="9">
        <v>140</v>
      </c>
      <c r="AA332" s="9">
        <v>140</v>
      </c>
      <c r="AB332" s="9">
        <v>70</v>
      </c>
    </row>
    <row r="333" spans="2:28" x14ac:dyDescent="0.2">
      <c r="B333" s="21" t="s">
        <v>5094</v>
      </c>
      <c r="D333" s="9">
        <v>300138</v>
      </c>
      <c r="E333" s="9">
        <v>1</v>
      </c>
      <c r="F333" s="9">
        <v>86</v>
      </c>
      <c r="G333" s="56">
        <v>0</v>
      </c>
      <c r="H333" s="56">
        <v>0</v>
      </c>
      <c r="I333" s="56">
        <v>0</v>
      </c>
      <c r="J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100</v>
      </c>
      <c r="S333" s="9">
        <v>0</v>
      </c>
      <c r="T333" s="9">
        <v>150</v>
      </c>
      <c r="U333" s="9">
        <v>10</v>
      </c>
      <c r="W333" s="9">
        <v>20</v>
      </c>
      <c r="X333" s="9">
        <v>40</v>
      </c>
      <c r="Y333" s="9">
        <v>20</v>
      </c>
      <c r="Z333" s="9">
        <v>160</v>
      </c>
      <c r="AA333" s="9">
        <v>160</v>
      </c>
      <c r="AB333" s="9">
        <v>80</v>
      </c>
    </row>
    <row r="334" spans="2:28" x14ac:dyDescent="0.2">
      <c r="B334" s="21" t="s">
        <v>5095</v>
      </c>
      <c r="D334" s="9">
        <v>300139</v>
      </c>
      <c r="E334" s="9">
        <v>1</v>
      </c>
      <c r="F334" s="9">
        <v>103</v>
      </c>
      <c r="G334" s="56">
        <v>0</v>
      </c>
      <c r="H334" s="56">
        <v>0</v>
      </c>
      <c r="I334" s="56">
        <v>0</v>
      </c>
      <c r="J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100</v>
      </c>
      <c r="S334" s="9">
        <v>0</v>
      </c>
      <c r="T334" s="9">
        <v>150</v>
      </c>
      <c r="U334" s="9">
        <v>10</v>
      </c>
      <c r="W334" s="9">
        <v>20</v>
      </c>
      <c r="X334" s="9">
        <v>40</v>
      </c>
      <c r="Y334" s="9">
        <v>20</v>
      </c>
      <c r="Z334" s="9">
        <v>200</v>
      </c>
      <c r="AA334" s="9">
        <v>200</v>
      </c>
      <c r="AB334" s="9">
        <v>100</v>
      </c>
    </row>
    <row r="335" spans="2:28" x14ac:dyDescent="0.2">
      <c r="B335" s="21" t="s">
        <v>5097</v>
      </c>
      <c r="D335" s="9">
        <v>300140</v>
      </c>
      <c r="E335" s="9">
        <v>1</v>
      </c>
      <c r="F335" s="9">
        <v>20</v>
      </c>
      <c r="G335" s="56">
        <v>0</v>
      </c>
      <c r="H335" s="56">
        <v>0</v>
      </c>
      <c r="I335" s="56">
        <v>0</v>
      </c>
      <c r="J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100</v>
      </c>
      <c r="S335" s="9">
        <v>0</v>
      </c>
      <c r="T335" s="9">
        <v>150</v>
      </c>
      <c r="U335" s="9">
        <v>10</v>
      </c>
      <c r="W335" s="9">
        <v>20</v>
      </c>
      <c r="X335" s="9">
        <v>30</v>
      </c>
      <c r="Y335" s="9">
        <v>20</v>
      </c>
      <c r="Z335" s="9">
        <v>0</v>
      </c>
      <c r="AA335" s="9">
        <v>0</v>
      </c>
      <c r="AB335" s="9">
        <v>0</v>
      </c>
    </row>
    <row r="336" spans="2:28" x14ac:dyDescent="0.2">
      <c r="B336" s="21" t="s">
        <v>5098</v>
      </c>
      <c r="D336" s="9">
        <v>300141</v>
      </c>
      <c r="E336" s="9">
        <v>1</v>
      </c>
      <c r="F336" s="9">
        <v>24</v>
      </c>
      <c r="G336" s="56">
        <v>0</v>
      </c>
      <c r="H336" s="56">
        <v>0</v>
      </c>
      <c r="I336" s="56">
        <v>0</v>
      </c>
      <c r="J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100</v>
      </c>
      <c r="S336" s="9">
        <v>0</v>
      </c>
      <c r="T336" s="9">
        <v>150</v>
      </c>
      <c r="U336" s="9">
        <v>10</v>
      </c>
      <c r="W336" s="9">
        <v>20</v>
      </c>
      <c r="X336" s="9">
        <v>30</v>
      </c>
      <c r="Y336" s="9">
        <v>20</v>
      </c>
      <c r="Z336" s="9">
        <v>20</v>
      </c>
      <c r="AA336" s="9">
        <v>20</v>
      </c>
      <c r="AB336" s="9">
        <v>10</v>
      </c>
    </row>
    <row r="337" spans="2:28" x14ac:dyDescent="0.2">
      <c r="B337" s="21" t="s">
        <v>5099</v>
      </c>
      <c r="D337" s="9">
        <v>300142</v>
      </c>
      <c r="E337" s="9">
        <v>1</v>
      </c>
      <c r="F337" s="9">
        <v>29</v>
      </c>
      <c r="G337" s="56">
        <v>0</v>
      </c>
      <c r="H337" s="56">
        <v>0</v>
      </c>
      <c r="I337" s="56">
        <v>0</v>
      </c>
      <c r="J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100</v>
      </c>
      <c r="S337" s="9">
        <v>0</v>
      </c>
      <c r="T337" s="9">
        <v>150</v>
      </c>
      <c r="U337" s="9">
        <v>10</v>
      </c>
      <c r="W337" s="9">
        <v>20</v>
      </c>
      <c r="X337" s="9">
        <v>30</v>
      </c>
      <c r="Y337" s="9">
        <v>20</v>
      </c>
      <c r="Z337" s="9">
        <v>40</v>
      </c>
      <c r="AA337" s="9">
        <v>40</v>
      </c>
      <c r="AB337" s="9">
        <v>20</v>
      </c>
    </row>
    <row r="338" spans="2:28" x14ac:dyDescent="0.2">
      <c r="B338" s="21" t="s">
        <v>5100</v>
      </c>
      <c r="D338" s="9">
        <v>300143</v>
      </c>
      <c r="E338" s="9">
        <v>1</v>
      </c>
      <c r="F338" s="9">
        <v>35</v>
      </c>
      <c r="G338" s="56">
        <v>0</v>
      </c>
      <c r="H338" s="56">
        <v>0</v>
      </c>
      <c r="I338" s="56">
        <v>0</v>
      </c>
      <c r="J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100</v>
      </c>
      <c r="S338" s="9">
        <v>0</v>
      </c>
      <c r="T338" s="9">
        <v>150</v>
      </c>
      <c r="U338" s="9">
        <v>10</v>
      </c>
      <c r="W338" s="9">
        <v>20</v>
      </c>
      <c r="X338" s="9">
        <v>30</v>
      </c>
      <c r="Y338" s="9">
        <v>20</v>
      </c>
      <c r="Z338" s="9">
        <v>60</v>
      </c>
      <c r="AA338" s="9">
        <v>60</v>
      </c>
      <c r="AB338" s="9">
        <v>30</v>
      </c>
    </row>
    <row r="339" spans="2:28" x14ac:dyDescent="0.2">
      <c r="B339" s="21" t="s">
        <v>5101</v>
      </c>
      <c r="D339" s="9">
        <v>300144</v>
      </c>
      <c r="E339" s="9">
        <v>1</v>
      </c>
      <c r="F339" s="9">
        <v>42</v>
      </c>
      <c r="G339" s="56">
        <v>0</v>
      </c>
      <c r="H339" s="56">
        <v>0</v>
      </c>
      <c r="I339" s="56">
        <v>0</v>
      </c>
      <c r="J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100</v>
      </c>
      <c r="S339" s="9">
        <v>0</v>
      </c>
      <c r="T339" s="9">
        <v>150</v>
      </c>
      <c r="U339" s="9">
        <v>10</v>
      </c>
      <c r="W339" s="9">
        <v>20</v>
      </c>
      <c r="X339" s="9">
        <v>30</v>
      </c>
      <c r="Y339" s="9">
        <v>20</v>
      </c>
      <c r="Z339" s="9">
        <v>80</v>
      </c>
      <c r="AA339" s="9">
        <v>80</v>
      </c>
      <c r="AB339" s="9">
        <v>40</v>
      </c>
    </row>
    <row r="340" spans="2:28" x14ac:dyDescent="0.2">
      <c r="B340" s="21" t="s">
        <v>5102</v>
      </c>
      <c r="D340" s="9">
        <v>300145</v>
      </c>
      <c r="E340" s="9">
        <v>1</v>
      </c>
      <c r="F340" s="9">
        <v>50</v>
      </c>
      <c r="G340" s="56">
        <v>0</v>
      </c>
      <c r="H340" s="56">
        <v>0</v>
      </c>
      <c r="I340" s="56">
        <v>0</v>
      </c>
      <c r="J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100</v>
      </c>
      <c r="S340" s="9">
        <v>0</v>
      </c>
      <c r="T340" s="9">
        <v>150</v>
      </c>
      <c r="U340" s="9">
        <v>10</v>
      </c>
      <c r="W340" s="9">
        <v>20</v>
      </c>
      <c r="X340" s="9">
        <v>30</v>
      </c>
      <c r="Y340" s="9">
        <v>20</v>
      </c>
      <c r="Z340" s="9">
        <v>100</v>
      </c>
      <c r="AA340" s="9">
        <v>100</v>
      </c>
      <c r="AB340" s="9">
        <v>50</v>
      </c>
    </row>
    <row r="341" spans="2:28" x14ac:dyDescent="0.2">
      <c r="B341" s="21" t="s">
        <v>5103</v>
      </c>
      <c r="D341" s="9">
        <v>300146</v>
      </c>
      <c r="E341" s="9">
        <v>1</v>
      </c>
      <c r="F341" s="9">
        <v>60</v>
      </c>
      <c r="G341" s="56">
        <v>0</v>
      </c>
      <c r="H341" s="56">
        <v>0</v>
      </c>
      <c r="I341" s="56">
        <v>0</v>
      </c>
      <c r="J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100</v>
      </c>
      <c r="S341" s="9">
        <v>0</v>
      </c>
      <c r="T341" s="9">
        <v>150</v>
      </c>
      <c r="U341" s="9">
        <v>10</v>
      </c>
      <c r="W341" s="9">
        <v>20</v>
      </c>
      <c r="X341" s="9">
        <v>30</v>
      </c>
      <c r="Y341" s="9">
        <v>20</v>
      </c>
      <c r="Z341" s="9">
        <v>120</v>
      </c>
      <c r="AA341" s="9">
        <v>120</v>
      </c>
      <c r="AB341" s="9">
        <v>60</v>
      </c>
    </row>
    <row r="342" spans="2:28" x14ac:dyDescent="0.2">
      <c r="B342" s="21" t="s">
        <v>5104</v>
      </c>
      <c r="D342" s="9">
        <v>300147</v>
      </c>
      <c r="E342" s="9">
        <v>1</v>
      </c>
      <c r="F342" s="9">
        <v>72</v>
      </c>
      <c r="G342" s="56">
        <v>0</v>
      </c>
      <c r="H342" s="56">
        <v>0</v>
      </c>
      <c r="I342" s="56">
        <v>0</v>
      </c>
      <c r="J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100</v>
      </c>
      <c r="S342" s="9">
        <v>0</v>
      </c>
      <c r="T342" s="9">
        <v>150</v>
      </c>
      <c r="U342" s="9">
        <v>10</v>
      </c>
      <c r="W342" s="9">
        <v>20</v>
      </c>
      <c r="X342" s="9">
        <v>30</v>
      </c>
      <c r="Y342" s="9">
        <v>20</v>
      </c>
      <c r="Z342" s="9">
        <v>140</v>
      </c>
      <c r="AA342" s="9">
        <v>140</v>
      </c>
      <c r="AB342" s="9">
        <v>70</v>
      </c>
    </row>
    <row r="343" spans="2:28" x14ac:dyDescent="0.2">
      <c r="B343" s="21" t="s">
        <v>5105</v>
      </c>
      <c r="D343" s="9">
        <v>300148</v>
      </c>
      <c r="E343" s="9">
        <v>1</v>
      </c>
      <c r="F343" s="9">
        <v>86</v>
      </c>
      <c r="G343" s="56">
        <v>0</v>
      </c>
      <c r="H343" s="56">
        <v>0</v>
      </c>
      <c r="I343" s="56">
        <v>0</v>
      </c>
      <c r="J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100</v>
      </c>
      <c r="S343" s="9">
        <v>0</v>
      </c>
      <c r="T343" s="9">
        <v>150</v>
      </c>
      <c r="U343" s="9">
        <v>10</v>
      </c>
      <c r="W343" s="9">
        <v>20</v>
      </c>
      <c r="X343" s="9">
        <v>30</v>
      </c>
      <c r="Y343" s="9">
        <v>20</v>
      </c>
      <c r="Z343" s="9">
        <v>160</v>
      </c>
      <c r="AA343" s="9">
        <v>160</v>
      </c>
      <c r="AB343" s="9">
        <v>80</v>
      </c>
    </row>
    <row r="344" spans="2:28" x14ac:dyDescent="0.2">
      <c r="B344" s="21" t="s">
        <v>5106</v>
      </c>
      <c r="D344" s="9">
        <v>300149</v>
      </c>
      <c r="E344" s="9">
        <v>1</v>
      </c>
      <c r="F344" s="9">
        <v>103</v>
      </c>
      <c r="G344" s="56">
        <v>0</v>
      </c>
      <c r="H344" s="56">
        <v>0</v>
      </c>
      <c r="I344" s="56">
        <v>0</v>
      </c>
      <c r="J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100</v>
      </c>
      <c r="S344" s="9">
        <v>0</v>
      </c>
      <c r="T344" s="9">
        <v>150</v>
      </c>
      <c r="U344" s="9">
        <v>10</v>
      </c>
      <c r="W344" s="9">
        <v>20</v>
      </c>
      <c r="X344" s="9">
        <v>30</v>
      </c>
      <c r="Y344" s="9">
        <v>20</v>
      </c>
      <c r="Z344" s="9">
        <v>200</v>
      </c>
      <c r="AA344" s="9">
        <v>200</v>
      </c>
      <c r="AB344" s="9">
        <v>100</v>
      </c>
    </row>
    <row r="345" spans="2:28" x14ac:dyDescent="0.2">
      <c r="B345" s="21" t="s">
        <v>5112</v>
      </c>
      <c r="D345" s="9">
        <v>300150</v>
      </c>
      <c r="E345" s="9" t="s">
        <v>3255</v>
      </c>
      <c r="F345" s="9">
        <v>225</v>
      </c>
      <c r="G345" s="56">
        <v>0</v>
      </c>
      <c r="H345" s="56">
        <v>0</v>
      </c>
      <c r="I345" s="56">
        <v>0</v>
      </c>
      <c r="J345" s="9">
        <v>1000</v>
      </c>
      <c r="K345" s="9">
        <v>10</v>
      </c>
      <c r="L345" s="9">
        <v>0</v>
      </c>
      <c r="M345" s="9">
        <v>0</v>
      </c>
      <c r="N345" s="9">
        <v>10</v>
      </c>
      <c r="O345" s="9">
        <v>10</v>
      </c>
      <c r="P345" s="9">
        <v>10</v>
      </c>
      <c r="Q345" s="9">
        <v>10</v>
      </c>
      <c r="R345" s="9">
        <v>100</v>
      </c>
      <c r="S345" s="9">
        <v>10</v>
      </c>
      <c r="T345" s="9">
        <v>200</v>
      </c>
      <c r="U345" s="9">
        <v>10</v>
      </c>
      <c r="W345" s="9">
        <v>20</v>
      </c>
      <c r="X345" s="9">
        <v>30</v>
      </c>
      <c r="Y345" s="9">
        <v>20</v>
      </c>
      <c r="Z345" s="9">
        <v>0</v>
      </c>
      <c r="AA345" s="9">
        <v>0</v>
      </c>
      <c r="AB345" s="9">
        <v>0</v>
      </c>
    </row>
    <row r="346" spans="2:28" x14ac:dyDescent="0.2">
      <c r="B346" s="21" t="s">
        <v>5113</v>
      </c>
      <c r="D346" s="9">
        <v>300151</v>
      </c>
      <c r="E346" s="9" t="s">
        <v>3516</v>
      </c>
      <c r="F346" s="9">
        <v>304</v>
      </c>
      <c r="G346" s="56">
        <v>0</v>
      </c>
      <c r="H346" s="56">
        <v>0</v>
      </c>
      <c r="I346" s="56">
        <v>0</v>
      </c>
      <c r="J346" s="9">
        <v>1100</v>
      </c>
      <c r="K346" s="9">
        <v>10</v>
      </c>
      <c r="L346" s="9">
        <v>0</v>
      </c>
      <c r="M346" s="9">
        <v>0</v>
      </c>
      <c r="N346" s="9">
        <v>10</v>
      </c>
      <c r="O346" s="9">
        <v>10</v>
      </c>
      <c r="P346" s="9">
        <v>10</v>
      </c>
      <c r="Q346" s="9">
        <v>10</v>
      </c>
      <c r="R346" s="9">
        <v>100</v>
      </c>
      <c r="S346" s="9">
        <v>10</v>
      </c>
      <c r="T346" s="9">
        <v>200</v>
      </c>
      <c r="U346" s="9">
        <v>10</v>
      </c>
      <c r="W346" s="9">
        <v>20</v>
      </c>
      <c r="X346" s="9">
        <v>30</v>
      </c>
      <c r="Y346" s="9">
        <v>20</v>
      </c>
      <c r="Z346" s="9">
        <v>20</v>
      </c>
      <c r="AA346" s="9">
        <v>20</v>
      </c>
      <c r="AB346" s="9">
        <v>10</v>
      </c>
    </row>
    <row r="347" spans="2:28" x14ac:dyDescent="0.2">
      <c r="B347" s="21" t="s">
        <v>5114</v>
      </c>
      <c r="D347" s="9">
        <v>300152</v>
      </c>
      <c r="E347" s="9" t="s">
        <v>5129</v>
      </c>
      <c r="F347" s="9">
        <v>411</v>
      </c>
      <c r="G347" s="56">
        <v>0</v>
      </c>
      <c r="H347" s="56">
        <v>0</v>
      </c>
      <c r="I347" s="56">
        <v>0</v>
      </c>
      <c r="J347" s="9">
        <v>1200</v>
      </c>
      <c r="K347" s="9">
        <v>10</v>
      </c>
      <c r="L347" s="9">
        <v>0</v>
      </c>
      <c r="M347" s="9">
        <v>0</v>
      </c>
      <c r="N347" s="9">
        <v>10</v>
      </c>
      <c r="O347" s="9">
        <v>10</v>
      </c>
      <c r="P347" s="9">
        <v>10</v>
      </c>
      <c r="Q347" s="9">
        <v>10</v>
      </c>
      <c r="R347" s="9">
        <v>100</v>
      </c>
      <c r="S347" s="9">
        <v>10</v>
      </c>
      <c r="T347" s="9">
        <v>200</v>
      </c>
      <c r="U347" s="9">
        <v>10</v>
      </c>
      <c r="W347" s="9">
        <v>20</v>
      </c>
      <c r="X347" s="9">
        <v>30</v>
      </c>
      <c r="Y347" s="9">
        <v>20</v>
      </c>
      <c r="Z347" s="9">
        <v>40</v>
      </c>
      <c r="AA347" s="9">
        <v>40</v>
      </c>
      <c r="AB347" s="9">
        <v>20</v>
      </c>
    </row>
    <row r="348" spans="2:28" x14ac:dyDescent="0.2">
      <c r="B348" s="21" t="s">
        <v>5115</v>
      </c>
      <c r="D348" s="9">
        <v>300153</v>
      </c>
      <c r="E348" s="9" t="s">
        <v>5123</v>
      </c>
      <c r="F348" s="9">
        <v>555</v>
      </c>
      <c r="G348" s="56">
        <v>0</v>
      </c>
      <c r="H348" s="56">
        <v>0</v>
      </c>
      <c r="I348" s="56">
        <v>0</v>
      </c>
      <c r="J348" s="9">
        <v>1400</v>
      </c>
      <c r="K348" s="9">
        <v>10</v>
      </c>
      <c r="L348" s="9">
        <v>0</v>
      </c>
      <c r="M348" s="9">
        <v>0</v>
      </c>
      <c r="N348" s="9">
        <v>10</v>
      </c>
      <c r="O348" s="9">
        <v>10</v>
      </c>
      <c r="P348" s="9">
        <v>10</v>
      </c>
      <c r="Q348" s="9">
        <v>10</v>
      </c>
      <c r="R348" s="9">
        <v>100</v>
      </c>
      <c r="S348" s="9">
        <v>10</v>
      </c>
      <c r="T348" s="9">
        <v>200</v>
      </c>
      <c r="U348" s="9">
        <v>10</v>
      </c>
      <c r="W348" s="9">
        <v>20</v>
      </c>
      <c r="X348" s="9">
        <v>30</v>
      </c>
      <c r="Y348" s="9">
        <v>20</v>
      </c>
      <c r="Z348" s="9">
        <v>60</v>
      </c>
      <c r="AA348" s="9">
        <v>60</v>
      </c>
      <c r="AB348" s="9">
        <v>30</v>
      </c>
    </row>
    <row r="349" spans="2:28" x14ac:dyDescent="0.2">
      <c r="B349" s="21" t="s">
        <v>5116</v>
      </c>
      <c r="D349" s="9">
        <v>300154</v>
      </c>
      <c r="E349" s="9" t="s">
        <v>5122</v>
      </c>
      <c r="F349" s="9">
        <v>750</v>
      </c>
      <c r="G349" s="56">
        <v>0</v>
      </c>
      <c r="H349" s="56">
        <v>0</v>
      </c>
      <c r="I349" s="56">
        <v>0</v>
      </c>
      <c r="J349" s="9">
        <v>1600</v>
      </c>
      <c r="K349" s="9">
        <v>10</v>
      </c>
      <c r="L349" s="9">
        <v>0</v>
      </c>
      <c r="M349" s="9">
        <v>0</v>
      </c>
      <c r="N349" s="9">
        <v>10</v>
      </c>
      <c r="O349" s="9">
        <v>10</v>
      </c>
      <c r="P349" s="9">
        <v>10</v>
      </c>
      <c r="Q349" s="9">
        <v>10</v>
      </c>
      <c r="R349" s="9">
        <v>100</v>
      </c>
      <c r="S349" s="9">
        <v>10</v>
      </c>
      <c r="T349" s="9">
        <v>200</v>
      </c>
      <c r="U349" s="9">
        <v>10</v>
      </c>
      <c r="W349" s="9">
        <v>20</v>
      </c>
      <c r="X349" s="9">
        <v>30</v>
      </c>
      <c r="Y349" s="9">
        <v>20</v>
      </c>
      <c r="Z349" s="9">
        <v>80</v>
      </c>
      <c r="AA349" s="9">
        <v>80</v>
      </c>
      <c r="AB349" s="9">
        <v>40</v>
      </c>
    </row>
    <row r="350" spans="2:28" x14ac:dyDescent="0.2">
      <c r="B350" s="21" t="s">
        <v>5117</v>
      </c>
      <c r="D350" s="9">
        <v>300155</v>
      </c>
      <c r="E350" s="9" t="s">
        <v>5124</v>
      </c>
      <c r="F350" s="9">
        <v>1012</v>
      </c>
      <c r="G350" s="56">
        <v>0</v>
      </c>
      <c r="H350" s="56">
        <v>0</v>
      </c>
      <c r="I350" s="56">
        <v>0</v>
      </c>
      <c r="J350" s="9">
        <v>1800</v>
      </c>
      <c r="K350" s="9">
        <v>10</v>
      </c>
      <c r="L350" s="9">
        <v>0</v>
      </c>
      <c r="M350" s="9">
        <v>0</v>
      </c>
      <c r="N350" s="9">
        <v>10</v>
      </c>
      <c r="O350" s="9">
        <v>10</v>
      </c>
      <c r="P350" s="9">
        <v>10</v>
      </c>
      <c r="Q350" s="9">
        <v>10</v>
      </c>
      <c r="R350" s="9">
        <v>100</v>
      </c>
      <c r="S350" s="9">
        <v>10</v>
      </c>
      <c r="T350" s="9">
        <v>200</v>
      </c>
      <c r="U350" s="9">
        <v>10</v>
      </c>
      <c r="W350" s="9">
        <v>20</v>
      </c>
      <c r="X350" s="9">
        <v>30</v>
      </c>
      <c r="Y350" s="9">
        <v>20</v>
      </c>
      <c r="Z350" s="9">
        <v>100</v>
      </c>
      <c r="AA350" s="9">
        <v>100</v>
      </c>
      <c r="AB350" s="9">
        <v>50</v>
      </c>
    </row>
    <row r="351" spans="2:28" x14ac:dyDescent="0.2">
      <c r="B351" s="21" t="s">
        <v>5118</v>
      </c>
      <c r="D351" s="9">
        <v>300156</v>
      </c>
      <c r="E351" s="9" t="s">
        <v>5125</v>
      </c>
      <c r="F351" s="9">
        <v>1366</v>
      </c>
      <c r="G351" s="56">
        <v>0</v>
      </c>
      <c r="H351" s="56">
        <v>0</v>
      </c>
      <c r="I351" s="56">
        <v>0</v>
      </c>
      <c r="J351" s="9">
        <v>2100</v>
      </c>
      <c r="K351" s="9">
        <v>10</v>
      </c>
      <c r="L351" s="9">
        <v>0</v>
      </c>
      <c r="M351" s="9">
        <v>0</v>
      </c>
      <c r="N351" s="9">
        <v>10</v>
      </c>
      <c r="O351" s="9">
        <v>10</v>
      </c>
      <c r="P351" s="9">
        <v>10</v>
      </c>
      <c r="Q351" s="9">
        <v>10</v>
      </c>
      <c r="R351" s="9">
        <v>100</v>
      </c>
      <c r="S351" s="9">
        <v>10</v>
      </c>
      <c r="T351" s="9">
        <v>200</v>
      </c>
      <c r="U351" s="9">
        <v>10</v>
      </c>
      <c r="W351" s="9">
        <v>20</v>
      </c>
      <c r="X351" s="9">
        <v>30</v>
      </c>
      <c r="Y351" s="9">
        <v>20</v>
      </c>
      <c r="Z351" s="9">
        <v>120</v>
      </c>
      <c r="AA351" s="9">
        <v>120</v>
      </c>
      <c r="AB351" s="9">
        <v>60</v>
      </c>
    </row>
    <row r="352" spans="2:28" x14ac:dyDescent="0.2">
      <c r="B352" s="21" t="s">
        <v>5119</v>
      </c>
      <c r="D352" s="9">
        <v>300157</v>
      </c>
      <c r="E352" s="9" t="s">
        <v>5126</v>
      </c>
      <c r="F352" s="9">
        <v>1845</v>
      </c>
      <c r="G352" s="56">
        <v>0</v>
      </c>
      <c r="H352" s="56">
        <v>0</v>
      </c>
      <c r="I352" s="56">
        <v>0</v>
      </c>
      <c r="J352" s="9">
        <v>2400</v>
      </c>
      <c r="K352" s="9">
        <v>10</v>
      </c>
      <c r="L352" s="9">
        <v>0</v>
      </c>
      <c r="M352" s="9">
        <v>0</v>
      </c>
      <c r="N352" s="9">
        <v>10</v>
      </c>
      <c r="O352" s="9">
        <v>10</v>
      </c>
      <c r="P352" s="9">
        <v>10</v>
      </c>
      <c r="Q352" s="9">
        <v>10</v>
      </c>
      <c r="R352" s="9">
        <v>100</v>
      </c>
      <c r="S352" s="9">
        <v>10</v>
      </c>
      <c r="T352" s="9">
        <v>200</v>
      </c>
      <c r="U352" s="9">
        <v>10</v>
      </c>
      <c r="W352" s="9">
        <v>20</v>
      </c>
      <c r="X352" s="9">
        <v>30</v>
      </c>
      <c r="Y352" s="9">
        <v>20</v>
      </c>
      <c r="Z352" s="9">
        <v>140</v>
      </c>
      <c r="AA352" s="9">
        <v>140</v>
      </c>
      <c r="AB352" s="9">
        <v>70</v>
      </c>
    </row>
    <row r="353" spans="2:28" x14ac:dyDescent="0.2">
      <c r="B353" s="21" t="s">
        <v>5120</v>
      </c>
      <c r="D353" s="9">
        <v>300158</v>
      </c>
      <c r="E353" s="9" t="s">
        <v>5127</v>
      </c>
      <c r="F353" s="9">
        <v>2491</v>
      </c>
      <c r="G353" s="56">
        <v>0</v>
      </c>
      <c r="H353" s="56">
        <v>0</v>
      </c>
      <c r="I353" s="56">
        <v>0</v>
      </c>
      <c r="J353" s="9">
        <v>2700</v>
      </c>
      <c r="K353" s="9">
        <v>10</v>
      </c>
      <c r="L353" s="9">
        <v>0</v>
      </c>
      <c r="M353" s="9">
        <v>0</v>
      </c>
      <c r="N353" s="9">
        <v>10</v>
      </c>
      <c r="O353" s="9">
        <v>10</v>
      </c>
      <c r="P353" s="9">
        <v>10</v>
      </c>
      <c r="Q353" s="9">
        <v>10</v>
      </c>
      <c r="R353" s="9">
        <v>100</v>
      </c>
      <c r="S353" s="9">
        <v>10</v>
      </c>
      <c r="T353" s="9">
        <v>200</v>
      </c>
      <c r="U353" s="9">
        <v>10</v>
      </c>
      <c r="W353" s="9">
        <v>20</v>
      </c>
      <c r="X353" s="9">
        <v>30</v>
      </c>
      <c r="Y353" s="9">
        <v>20</v>
      </c>
      <c r="Z353" s="9">
        <v>160</v>
      </c>
      <c r="AA353" s="9">
        <v>160</v>
      </c>
      <c r="AB353" s="9">
        <v>80</v>
      </c>
    </row>
    <row r="354" spans="2:28" x14ac:dyDescent="0.2">
      <c r="B354" s="21" t="s">
        <v>5121</v>
      </c>
      <c r="D354" s="9">
        <v>300159</v>
      </c>
      <c r="E354" s="9" t="s">
        <v>5128</v>
      </c>
      <c r="F354" s="9">
        <v>3363</v>
      </c>
      <c r="G354" s="56">
        <v>0</v>
      </c>
      <c r="H354" s="56">
        <v>0</v>
      </c>
      <c r="I354" s="56">
        <v>0</v>
      </c>
      <c r="J354" s="9">
        <v>3000</v>
      </c>
      <c r="K354" s="9">
        <v>10</v>
      </c>
      <c r="L354" s="9">
        <v>0</v>
      </c>
      <c r="M354" s="9">
        <v>0</v>
      </c>
      <c r="N354" s="9">
        <v>10</v>
      </c>
      <c r="O354" s="9">
        <v>10</v>
      </c>
      <c r="P354" s="9">
        <v>10</v>
      </c>
      <c r="Q354" s="9">
        <v>10</v>
      </c>
      <c r="R354" s="9">
        <v>100</v>
      </c>
      <c r="S354" s="9">
        <v>10</v>
      </c>
      <c r="T354" s="9">
        <v>200</v>
      </c>
      <c r="U354" s="9">
        <v>10</v>
      </c>
      <c r="W354" s="9">
        <v>20</v>
      </c>
      <c r="X354" s="9">
        <v>30</v>
      </c>
      <c r="Y354" s="9">
        <v>20</v>
      </c>
      <c r="Z354" s="9">
        <v>200</v>
      </c>
      <c r="AA354" s="9">
        <v>200</v>
      </c>
      <c r="AB354" s="9">
        <v>100</v>
      </c>
    </row>
    <row r="355" spans="2:28" x14ac:dyDescent="0.2">
      <c r="B355" s="21" t="s">
        <v>874</v>
      </c>
      <c r="D355" s="9">
        <v>300160</v>
      </c>
      <c r="E355" s="240">
        <v>82.5</v>
      </c>
      <c r="F355" s="9">
        <v>300</v>
      </c>
      <c r="G355" s="63" t="s">
        <v>814</v>
      </c>
      <c r="H355" s="56">
        <v>0</v>
      </c>
      <c r="I355" s="56">
        <v>0</v>
      </c>
      <c r="J355" s="9">
        <v>2500</v>
      </c>
      <c r="L355" s="9">
        <v>0</v>
      </c>
      <c r="M355" s="9">
        <v>0</v>
      </c>
      <c r="N355" s="9">
        <v>25</v>
      </c>
      <c r="O355" s="9">
        <v>25</v>
      </c>
      <c r="P355" s="9">
        <v>25</v>
      </c>
      <c r="Q355" s="9">
        <v>25</v>
      </c>
      <c r="R355" s="9">
        <v>100</v>
      </c>
      <c r="S355" s="9">
        <v>0</v>
      </c>
      <c r="T355" s="9">
        <v>150</v>
      </c>
      <c r="U355" s="9">
        <v>10</v>
      </c>
      <c r="W355" s="9">
        <v>30</v>
      </c>
      <c r="X355" s="9">
        <v>30</v>
      </c>
      <c r="Y355" s="9">
        <v>20</v>
      </c>
      <c r="Z355" s="9">
        <v>0</v>
      </c>
      <c r="AA355" s="9">
        <v>0</v>
      </c>
      <c r="AB355" s="9">
        <v>0</v>
      </c>
    </row>
    <row r="356" spans="2:28" x14ac:dyDescent="0.2">
      <c r="B356" s="21" t="s">
        <v>875</v>
      </c>
      <c r="D356" s="9">
        <v>300161</v>
      </c>
      <c r="E356" s="240">
        <v>103.5</v>
      </c>
      <c r="F356" s="9">
        <v>405</v>
      </c>
      <c r="G356" s="63" t="s">
        <v>814</v>
      </c>
      <c r="H356" s="56">
        <v>0</v>
      </c>
      <c r="I356" s="56">
        <v>0</v>
      </c>
      <c r="J356" s="9">
        <v>3000</v>
      </c>
      <c r="L356" s="9">
        <v>0</v>
      </c>
      <c r="M356" s="9">
        <v>0</v>
      </c>
      <c r="N356" s="9">
        <v>25</v>
      </c>
      <c r="O356" s="9">
        <v>25</v>
      </c>
      <c r="P356" s="9">
        <v>25</v>
      </c>
      <c r="Q356" s="9">
        <v>25</v>
      </c>
      <c r="R356" s="9">
        <v>100</v>
      </c>
      <c r="S356" s="9">
        <v>0</v>
      </c>
      <c r="T356" s="9">
        <v>150</v>
      </c>
      <c r="U356" s="9">
        <v>10</v>
      </c>
      <c r="W356" s="9">
        <v>30</v>
      </c>
      <c r="X356" s="9">
        <v>30</v>
      </c>
      <c r="Y356" s="9">
        <v>20</v>
      </c>
      <c r="Z356" s="9">
        <v>20</v>
      </c>
      <c r="AA356" s="9">
        <v>20</v>
      </c>
      <c r="AB356" s="9">
        <v>10</v>
      </c>
    </row>
    <row r="357" spans="2:28" x14ac:dyDescent="0.2">
      <c r="B357" s="21" t="s">
        <v>876</v>
      </c>
      <c r="D357" s="9">
        <v>300162</v>
      </c>
      <c r="E357" s="240">
        <v>129</v>
      </c>
      <c r="F357" s="9">
        <v>547</v>
      </c>
      <c r="G357" s="63" t="s">
        <v>814</v>
      </c>
      <c r="H357" s="56">
        <v>0</v>
      </c>
      <c r="I357" s="56">
        <v>0</v>
      </c>
      <c r="J357" s="9">
        <v>2400</v>
      </c>
      <c r="L357" s="9">
        <v>0</v>
      </c>
      <c r="M357" s="9">
        <v>0</v>
      </c>
      <c r="N357" s="9">
        <v>25</v>
      </c>
      <c r="O357" s="9">
        <v>25</v>
      </c>
      <c r="P357" s="9">
        <v>25</v>
      </c>
      <c r="Q357" s="9">
        <v>25</v>
      </c>
      <c r="R357" s="9">
        <v>100</v>
      </c>
      <c r="S357" s="9">
        <v>0</v>
      </c>
      <c r="T357" s="9">
        <v>150</v>
      </c>
      <c r="U357" s="9">
        <v>10</v>
      </c>
      <c r="W357" s="9">
        <v>30</v>
      </c>
      <c r="X357" s="9">
        <v>30</v>
      </c>
      <c r="Y357" s="9">
        <v>20</v>
      </c>
      <c r="Z357" s="9">
        <v>40</v>
      </c>
      <c r="AA357" s="9">
        <v>40</v>
      </c>
      <c r="AB357" s="9">
        <v>20</v>
      </c>
    </row>
    <row r="358" spans="2:28" x14ac:dyDescent="0.2">
      <c r="B358" s="21" t="s">
        <v>877</v>
      </c>
      <c r="D358" s="9">
        <v>300163</v>
      </c>
      <c r="E358" s="240">
        <v>162</v>
      </c>
      <c r="F358" s="9">
        <v>738</v>
      </c>
      <c r="G358" s="63" t="s">
        <v>814</v>
      </c>
      <c r="H358" s="56">
        <v>0</v>
      </c>
      <c r="I358" s="56">
        <v>0</v>
      </c>
      <c r="J358" s="9">
        <v>2600</v>
      </c>
      <c r="L358" s="9">
        <v>0</v>
      </c>
      <c r="M358" s="9">
        <v>0</v>
      </c>
      <c r="N358" s="9">
        <v>25</v>
      </c>
      <c r="O358" s="9">
        <v>25</v>
      </c>
      <c r="P358" s="9">
        <v>25</v>
      </c>
      <c r="Q358" s="9">
        <v>25</v>
      </c>
      <c r="R358" s="9">
        <v>100</v>
      </c>
      <c r="S358" s="9">
        <v>0</v>
      </c>
      <c r="T358" s="9">
        <v>150</v>
      </c>
      <c r="U358" s="9">
        <v>10</v>
      </c>
      <c r="W358" s="9">
        <v>30</v>
      </c>
      <c r="X358" s="9">
        <v>30</v>
      </c>
      <c r="Y358" s="9">
        <v>20</v>
      </c>
      <c r="Z358" s="9">
        <v>60</v>
      </c>
      <c r="AA358" s="9">
        <v>60</v>
      </c>
      <c r="AB358" s="9">
        <v>30</v>
      </c>
    </row>
    <row r="359" spans="2:28" x14ac:dyDescent="0.2">
      <c r="B359" s="21" t="s">
        <v>878</v>
      </c>
      <c r="D359" s="9">
        <v>300164</v>
      </c>
      <c r="E359" s="240">
        <v>202.5</v>
      </c>
      <c r="F359" s="9">
        <v>996</v>
      </c>
      <c r="G359" s="63" t="s">
        <v>814</v>
      </c>
      <c r="H359" s="56">
        <v>0</v>
      </c>
      <c r="I359" s="56">
        <v>0</v>
      </c>
      <c r="J359" s="9">
        <v>2800</v>
      </c>
      <c r="L359" s="9">
        <v>0</v>
      </c>
      <c r="M359" s="9">
        <v>0</v>
      </c>
      <c r="N359" s="9">
        <v>25</v>
      </c>
      <c r="O359" s="9">
        <v>25</v>
      </c>
      <c r="P359" s="9">
        <v>25</v>
      </c>
      <c r="Q359" s="9">
        <v>25</v>
      </c>
      <c r="R359" s="9">
        <v>100</v>
      </c>
      <c r="S359" s="9">
        <v>0</v>
      </c>
      <c r="T359" s="9">
        <v>150</v>
      </c>
      <c r="U359" s="9">
        <v>10</v>
      </c>
      <c r="W359" s="9">
        <v>30</v>
      </c>
      <c r="X359" s="9">
        <v>30</v>
      </c>
      <c r="Y359" s="9">
        <v>20</v>
      </c>
      <c r="Z359" s="9">
        <v>80</v>
      </c>
      <c r="AA359" s="9">
        <v>80</v>
      </c>
      <c r="AB359" s="9">
        <v>40</v>
      </c>
    </row>
    <row r="360" spans="2:28" x14ac:dyDescent="0.2">
      <c r="B360" s="21" t="s">
        <v>879</v>
      </c>
      <c r="D360" s="9">
        <v>300165</v>
      </c>
      <c r="E360" s="240">
        <v>253.5</v>
      </c>
      <c r="F360" s="9">
        <v>1345</v>
      </c>
      <c r="G360" s="63" t="s">
        <v>814</v>
      </c>
      <c r="H360" s="56">
        <v>0</v>
      </c>
      <c r="I360" s="56">
        <v>0</v>
      </c>
      <c r="J360" s="9">
        <v>3000</v>
      </c>
      <c r="L360" s="9">
        <v>0</v>
      </c>
      <c r="M360" s="9">
        <v>0</v>
      </c>
      <c r="N360" s="9">
        <v>25</v>
      </c>
      <c r="O360" s="9">
        <v>25</v>
      </c>
      <c r="P360" s="9">
        <v>25</v>
      </c>
      <c r="Q360" s="9">
        <v>25</v>
      </c>
      <c r="R360" s="9">
        <v>100</v>
      </c>
      <c r="S360" s="9">
        <v>0</v>
      </c>
      <c r="T360" s="9">
        <v>150</v>
      </c>
      <c r="U360" s="9">
        <v>10</v>
      </c>
      <c r="W360" s="9">
        <v>30</v>
      </c>
      <c r="X360" s="9">
        <v>30</v>
      </c>
      <c r="Y360" s="9">
        <v>20</v>
      </c>
      <c r="Z360" s="9">
        <v>100</v>
      </c>
      <c r="AA360" s="9">
        <v>100</v>
      </c>
      <c r="AB360" s="9">
        <v>50</v>
      </c>
    </row>
    <row r="361" spans="2:28" x14ac:dyDescent="0.2">
      <c r="B361" s="21" t="s">
        <v>880</v>
      </c>
      <c r="D361" s="9">
        <v>300166</v>
      </c>
      <c r="E361" s="240">
        <v>316.5</v>
      </c>
      <c r="F361" s="9">
        <v>1816</v>
      </c>
      <c r="G361" s="63" t="s">
        <v>814</v>
      </c>
      <c r="H361" s="56">
        <v>0</v>
      </c>
      <c r="I361" s="56">
        <v>0</v>
      </c>
      <c r="J361" s="9">
        <v>3200</v>
      </c>
      <c r="L361" s="9">
        <v>0</v>
      </c>
      <c r="M361" s="9">
        <v>0</v>
      </c>
      <c r="N361" s="9">
        <v>25</v>
      </c>
      <c r="O361" s="9">
        <v>25</v>
      </c>
      <c r="P361" s="9">
        <v>25</v>
      </c>
      <c r="Q361" s="9">
        <v>25</v>
      </c>
      <c r="R361" s="9">
        <v>100</v>
      </c>
      <c r="S361" s="9">
        <v>0</v>
      </c>
      <c r="T361" s="9">
        <v>150</v>
      </c>
      <c r="U361" s="9">
        <v>10</v>
      </c>
      <c r="W361" s="9">
        <v>30</v>
      </c>
      <c r="X361" s="9">
        <v>30</v>
      </c>
      <c r="Y361" s="9">
        <v>20</v>
      </c>
      <c r="Z361" s="9">
        <v>120</v>
      </c>
      <c r="AA361" s="9">
        <v>120</v>
      </c>
      <c r="AB361" s="9">
        <v>60</v>
      </c>
    </row>
    <row r="362" spans="2:28" x14ac:dyDescent="0.2">
      <c r="B362" s="21" t="s">
        <v>881</v>
      </c>
      <c r="D362" s="9">
        <v>300167</v>
      </c>
      <c r="E362" s="240">
        <v>396</v>
      </c>
      <c r="F362" s="9">
        <v>2452</v>
      </c>
      <c r="G362" s="63" t="s">
        <v>814</v>
      </c>
      <c r="H362" s="56">
        <v>0</v>
      </c>
      <c r="I362" s="56">
        <v>0</v>
      </c>
      <c r="J362" s="9">
        <v>3400</v>
      </c>
      <c r="L362" s="9">
        <v>0</v>
      </c>
      <c r="M362" s="9">
        <v>0</v>
      </c>
      <c r="N362" s="9">
        <v>25</v>
      </c>
      <c r="O362" s="9">
        <v>25</v>
      </c>
      <c r="P362" s="9">
        <v>25</v>
      </c>
      <c r="Q362" s="9">
        <v>25</v>
      </c>
      <c r="R362" s="9">
        <v>100</v>
      </c>
      <c r="S362" s="9">
        <v>0</v>
      </c>
      <c r="T362" s="9">
        <v>150</v>
      </c>
      <c r="U362" s="9">
        <v>10</v>
      </c>
      <c r="W362" s="9">
        <v>30</v>
      </c>
      <c r="X362" s="9">
        <v>30</v>
      </c>
      <c r="Y362" s="9">
        <v>20</v>
      </c>
      <c r="Z362" s="9">
        <v>140</v>
      </c>
      <c r="AA362" s="9">
        <v>140</v>
      </c>
      <c r="AB362" s="9">
        <v>70</v>
      </c>
    </row>
    <row r="363" spans="2:28" x14ac:dyDescent="0.2">
      <c r="B363" s="21" t="s">
        <v>882</v>
      </c>
      <c r="D363" s="9">
        <v>300168</v>
      </c>
      <c r="E363" s="240">
        <v>495</v>
      </c>
      <c r="F363" s="9">
        <v>3310</v>
      </c>
      <c r="G363" s="63" t="s">
        <v>814</v>
      </c>
      <c r="H363" s="56">
        <v>0</v>
      </c>
      <c r="I363" s="56">
        <v>0</v>
      </c>
      <c r="J363" s="9">
        <v>3600</v>
      </c>
      <c r="L363" s="9">
        <v>0</v>
      </c>
      <c r="M363" s="9">
        <v>0</v>
      </c>
      <c r="N363" s="9">
        <v>25</v>
      </c>
      <c r="O363" s="9">
        <v>25</v>
      </c>
      <c r="P363" s="9">
        <v>25</v>
      </c>
      <c r="Q363" s="9">
        <v>25</v>
      </c>
      <c r="R363" s="9">
        <v>100</v>
      </c>
      <c r="S363" s="9">
        <v>0</v>
      </c>
      <c r="T363" s="9">
        <v>150</v>
      </c>
      <c r="U363" s="9">
        <v>10</v>
      </c>
      <c r="W363" s="9">
        <v>30</v>
      </c>
      <c r="X363" s="9">
        <v>30</v>
      </c>
      <c r="Y363" s="9">
        <v>20</v>
      </c>
      <c r="Z363" s="9">
        <v>160</v>
      </c>
      <c r="AA363" s="9">
        <v>160</v>
      </c>
      <c r="AB363" s="9">
        <v>80</v>
      </c>
    </row>
    <row r="364" spans="2:28" x14ac:dyDescent="0.2">
      <c r="B364" s="21" t="s">
        <v>883</v>
      </c>
      <c r="D364" s="9">
        <v>300169</v>
      </c>
      <c r="E364" s="240">
        <v>619.5</v>
      </c>
      <c r="F364" s="9">
        <v>4469</v>
      </c>
      <c r="G364" s="63" t="s">
        <v>814</v>
      </c>
      <c r="H364" s="56">
        <v>0</v>
      </c>
      <c r="I364" s="56">
        <v>0</v>
      </c>
      <c r="J364" s="9">
        <v>4000</v>
      </c>
      <c r="L364" s="9">
        <v>0</v>
      </c>
      <c r="M364" s="9">
        <v>0</v>
      </c>
      <c r="N364" s="9">
        <v>25</v>
      </c>
      <c r="O364" s="9">
        <v>25</v>
      </c>
      <c r="P364" s="9">
        <v>25</v>
      </c>
      <c r="Q364" s="9">
        <v>25</v>
      </c>
      <c r="R364" s="9">
        <v>100</v>
      </c>
      <c r="S364" s="9">
        <v>0</v>
      </c>
      <c r="T364" s="9">
        <v>150</v>
      </c>
      <c r="U364" s="9">
        <v>10</v>
      </c>
      <c r="W364" s="9">
        <v>30</v>
      </c>
      <c r="X364" s="9">
        <v>30</v>
      </c>
      <c r="Y364" s="9">
        <v>20</v>
      </c>
      <c r="Z364" s="9">
        <v>200</v>
      </c>
      <c r="AA364" s="9">
        <v>200</v>
      </c>
      <c r="AB364" s="9">
        <v>100</v>
      </c>
    </row>
    <row r="365" spans="2:28" x14ac:dyDescent="0.2">
      <c r="B365" s="21" t="s">
        <v>864</v>
      </c>
      <c r="D365" s="9">
        <v>300170</v>
      </c>
      <c r="E365" s="240">
        <v>112.5</v>
      </c>
      <c r="F365" s="9">
        <v>150</v>
      </c>
      <c r="G365" s="56">
        <v>0</v>
      </c>
      <c r="H365" s="56">
        <v>0</v>
      </c>
      <c r="I365" s="56">
        <v>0</v>
      </c>
      <c r="J365" s="9">
        <v>500</v>
      </c>
      <c r="L365" s="9">
        <v>10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150</v>
      </c>
      <c r="S365" s="9">
        <v>10</v>
      </c>
      <c r="T365" s="9">
        <v>200</v>
      </c>
      <c r="U365" s="9">
        <v>10</v>
      </c>
      <c r="V365" s="9">
        <v>20</v>
      </c>
      <c r="W365" s="9">
        <v>20</v>
      </c>
      <c r="X365" s="9">
        <v>30</v>
      </c>
      <c r="Y365" s="9">
        <v>20</v>
      </c>
      <c r="Z365" s="9">
        <v>0</v>
      </c>
      <c r="AA365" s="9">
        <v>0</v>
      </c>
      <c r="AB365" s="9">
        <v>0</v>
      </c>
    </row>
    <row r="366" spans="2:28" x14ac:dyDescent="0.2">
      <c r="B366" s="21" t="s">
        <v>865</v>
      </c>
      <c r="D366" s="9">
        <v>300171</v>
      </c>
      <c r="E366" s="240">
        <v>141</v>
      </c>
      <c r="F366" s="9">
        <v>203</v>
      </c>
      <c r="G366" s="56">
        <v>0</v>
      </c>
      <c r="H366" s="56">
        <v>0</v>
      </c>
      <c r="I366" s="56">
        <v>0</v>
      </c>
      <c r="J366" s="9">
        <v>600</v>
      </c>
      <c r="L366" s="9">
        <v>10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150</v>
      </c>
      <c r="S366" s="9">
        <v>10</v>
      </c>
      <c r="T366" s="9">
        <v>200</v>
      </c>
      <c r="U366" s="9">
        <v>10</v>
      </c>
      <c r="V366" s="9">
        <v>20</v>
      </c>
      <c r="W366" s="9">
        <v>20</v>
      </c>
      <c r="X366" s="9">
        <v>30</v>
      </c>
      <c r="Y366" s="9">
        <v>20</v>
      </c>
      <c r="Z366" s="9">
        <v>20</v>
      </c>
      <c r="AA366" s="9">
        <v>20</v>
      </c>
      <c r="AB366" s="9">
        <v>10</v>
      </c>
    </row>
    <row r="367" spans="2:28" x14ac:dyDescent="0.2">
      <c r="B367" s="21" t="s">
        <v>866</v>
      </c>
      <c r="D367" s="9">
        <v>300172</v>
      </c>
      <c r="E367" s="240">
        <v>177</v>
      </c>
      <c r="F367" s="9">
        <v>274</v>
      </c>
      <c r="G367" s="56">
        <v>0</v>
      </c>
      <c r="H367" s="56">
        <v>0</v>
      </c>
      <c r="I367" s="56">
        <v>0</v>
      </c>
      <c r="J367" s="9">
        <v>700</v>
      </c>
      <c r="L367" s="9">
        <v>10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150</v>
      </c>
      <c r="S367" s="9">
        <v>10</v>
      </c>
      <c r="T367" s="9">
        <v>200</v>
      </c>
      <c r="U367" s="9">
        <v>10</v>
      </c>
      <c r="V367" s="9">
        <v>20</v>
      </c>
      <c r="W367" s="9">
        <v>20</v>
      </c>
      <c r="X367" s="9">
        <v>30</v>
      </c>
      <c r="Y367" s="9">
        <v>20</v>
      </c>
      <c r="Z367" s="9">
        <v>40</v>
      </c>
      <c r="AA367" s="9">
        <v>40</v>
      </c>
      <c r="AB367" s="9">
        <v>20</v>
      </c>
    </row>
    <row r="368" spans="2:28" x14ac:dyDescent="0.2">
      <c r="B368" s="21" t="s">
        <v>867</v>
      </c>
      <c r="D368" s="9">
        <v>300173</v>
      </c>
      <c r="E368" s="240">
        <v>222</v>
      </c>
      <c r="F368" s="9">
        <v>370</v>
      </c>
      <c r="G368" s="56">
        <v>0</v>
      </c>
      <c r="H368" s="56">
        <v>0</v>
      </c>
      <c r="I368" s="56">
        <v>0</v>
      </c>
      <c r="J368" s="9">
        <v>800</v>
      </c>
      <c r="L368" s="9">
        <v>10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150</v>
      </c>
      <c r="S368" s="9">
        <v>10</v>
      </c>
      <c r="T368" s="9">
        <v>200</v>
      </c>
      <c r="U368" s="9">
        <v>10</v>
      </c>
      <c r="V368" s="9">
        <v>20</v>
      </c>
      <c r="W368" s="9">
        <v>20</v>
      </c>
      <c r="X368" s="9">
        <v>30</v>
      </c>
      <c r="Y368" s="9">
        <v>20</v>
      </c>
      <c r="Z368" s="9">
        <v>60</v>
      </c>
      <c r="AA368" s="9">
        <v>60</v>
      </c>
      <c r="AB368" s="9">
        <v>30</v>
      </c>
    </row>
    <row r="369" spans="2:28" x14ac:dyDescent="0.2">
      <c r="B369" s="21" t="s">
        <v>868</v>
      </c>
      <c r="D369" s="9">
        <v>300174</v>
      </c>
      <c r="E369" s="240">
        <v>277.5</v>
      </c>
      <c r="F369" s="9">
        <v>500</v>
      </c>
      <c r="G369" s="56">
        <v>0</v>
      </c>
      <c r="H369" s="56">
        <v>0</v>
      </c>
      <c r="I369" s="56">
        <v>0</v>
      </c>
      <c r="J369" s="9">
        <v>1000</v>
      </c>
      <c r="L369" s="9">
        <v>10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150</v>
      </c>
      <c r="S369" s="9">
        <v>10</v>
      </c>
      <c r="T369" s="9">
        <v>200</v>
      </c>
      <c r="U369" s="9">
        <v>10</v>
      </c>
      <c r="V369" s="9">
        <v>20</v>
      </c>
      <c r="W369" s="9">
        <v>20</v>
      </c>
      <c r="X369" s="9">
        <v>30</v>
      </c>
      <c r="Y369" s="9">
        <v>20</v>
      </c>
      <c r="Z369" s="9">
        <v>80</v>
      </c>
      <c r="AA369" s="9">
        <v>80</v>
      </c>
      <c r="AB369" s="9">
        <v>40</v>
      </c>
    </row>
    <row r="370" spans="2:28" x14ac:dyDescent="0.2">
      <c r="B370" s="21" t="s">
        <v>869</v>
      </c>
      <c r="D370" s="9">
        <v>300175</v>
      </c>
      <c r="E370" s="240">
        <v>346.5</v>
      </c>
      <c r="F370" s="9">
        <v>675</v>
      </c>
      <c r="G370" s="56">
        <v>0</v>
      </c>
      <c r="H370" s="56">
        <v>0</v>
      </c>
      <c r="I370" s="56">
        <v>0</v>
      </c>
      <c r="J370" s="9">
        <v>1200</v>
      </c>
      <c r="L370" s="9">
        <v>10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150</v>
      </c>
      <c r="S370" s="9">
        <v>10</v>
      </c>
      <c r="T370" s="9">
        <v>200</v>
      </c>
      <c r="U370" s="9">
        <v>10</v>
      </c>
      <c r="V370" s="9">
        <v>20</v>
      </c>
      <c r="W370" s="9">
        <v>20</v>
      </c>
      <c r="X370" s="9">
        <v>30</v>
      </c>
      <c r="Y370" s="9">
        <v>20</v>
      </c>
      <c r="Z370" s="9">
        <v>100</v>
      </c>
      <c r="AA370" s="9">
        <v>100</v>
      </c>
      <c r="AB370" s="9">
        <v>50</v>
      </c>
    </row>
    <row r="371" spans="2:28" x14ac:dyDescent="0.2">
      <c r="B371" s="21" t="s">
        <v>870</v>
      </c>
      <c r="D371" s="9">
        <v>300176</v>
      </c>
      <c r="E371" s="240">
        <v>433.5</v>
      </c>
      <c r="F371" s="9">
        <v>911</v>
      </c>
      <c r="G371" s="56">
        <v>0</v>
      </c>
      <c r="H371" s="56">
        <v>0</v>
      </c>
      <c r="I371" s="56">
        <v>0</v>
      </c>
      <c r="J371" s="9">
        <v>1400</v>
      </c>
      <c r="L371" s="9">
        <v>10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150</v>
      </c>
      <c r="S371" s="9">
        <v>10</v>
      </c>
      <c r="T371" s="9">
        <v>200</v>
      </c>
      <c r="U371" s="9">
        <v>10</v>
      </c>
      <c r="V371" s="9">
        <v>20</v>
      </c>
      <c r="W371" s="9">
        <v>20</v>
      </c>
      <c r="X371" s="9">
        <v>30</v>
      </c>
      <c r="Y371" s="9">
        <v>20</v>
      </c>
      <c r="Z371" s="9">
        <v>120</v>
      </c>
      <c r="AA371" s="9">
        <v>120</v>
      </c>
      <c r="AB371" s="9">
        <v>60</v>
      </c>
    </row>
    <row r="372" spans="2:28" x14ac:dyDescent="0.2">
      <c r="B372" s="21" t="s">
        <v>871</v>
      </c>
      <c r="D372" s="9">
        <v>300177</v>
      </c>
      <c r="E372" s="240">
        <v>541.5</v>
      </c>
      <c r="F372" s="9">
        <v>1230</v>
      </c>
      <c r="G372" s="56">
        <v>0</v>
      </c>
      <c r="H372" s="56">
        <v>0</v>
      </c>
      <c r="I372" s="56">
        <v>0</v>
      </c>
      <c r="J372" s="9">
        <v>1600</v>
      </c>
      <c r="L372" s="9">
        <v>10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150</v>
      </c>
      <c r="S372" s="9">
        <v>10</v>
      </c>
      <c r="T372" s="9">
        <v>200</v>
      </c>
      <c r="U372" s="9">
        <v>10</v>
      </c>
      <c r="V372" s="9">
        <v>20</v>
      </c>
      <c r="W372" s="9">
        <v>20</v>
      </c>
      <c r="X372" s="9">
        <v>30</v>
      </c>
      <c r="Y372" s="9">
        <v>20</v>
      </c>
      <c r="Z372" s="9">
        <v>140</v>
      </c>
      <c r="AA372" s="9">
        <v>140</v>
      </c>
      <c r="AB372" s="9">
        <v>70</v>
      </c>
    </row>
    <row r="373" spans="2:28" x14ac:dyDescent="0.2">
      <c r="B373" s="21" t="s">
        <v>872</v>
      </c>
      <c r="D373" s="9">
        <v>300178</v>
      </c>
      <c r="E373" s="240">
        <v>676.5</v>
      </c>
      <c r="F373" s="9">
        <v>1661</v>
      </c>
      <c r="G373" s="56">
        <v>0</v>
      </c>
      <c r="H373" s="56">
        <v>0</v>
      </c>
      <c r="I373" s="56">
        <v>0</v>
      </c>
      <c r="J373" s="9">
        <v>1800</v>
      </c>
      <c r="L373" s="9">
        <v>10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150</v>
      </c>
      <c r="S373" s="9">
        <v>10</v>
      </c>
      <c r="T373" s="9">
        <v>200</v>
      </c>
      <c r="U373" s="9">
        <v>10</v>
      </c>
      <c r="V373" s="9">
        <v>20</v>
      </c>
      <c r="W373" s="9">
        <v>20</v>
      </c>
      <c r="X373" s="9">
        <v>30</v>
      </c>
      <c r="Y373" s="9">
        <v>20</v>
      </c>
      <c r="Z373" s="9">
        <v>160</v>
      </c>
      <c r="AA373" s="9">
        <v>160</v>
      </c>
      <c r="AB373" s="9">
        <v>80</v>
      </c>
    </row>
    <row r="374" spans="2:28" x14ac:dyDescent="0.2">
      <c r="B374" s="21" t="s">
        <v>873</v>
      </c>
      <c r="D374" s="9">
        <v>300179</v>
      </c>
      <c r="E374" s="240">
        <v>846</v>
      </c>
      <c r="F374" s="9">
        <v>2242</v>
      </c>
      <c r="G374" s="56">
        <v>0</v>
      </c>
      <c r="H374" s="56">
        <v>0</v>
      </c>
      <c r="I374" s="56">
        <v>0</v>
      </c>
      <c r="J374" s="9">
        <v>2000</v>
      </c>
      <c r="L374" s="9">
        <v>10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150</v>
      </c>
      <c r="S374" s="9">
        <v>10</v>
      </c>
      <c r="T374" s="9">
        <v>200</v>
      </c>
      <c r="U374" s="9">
        <v>10</v>
      </c>
      <c r="V374" s="9">
        <v>20</v>
      </c>
      <c r="W374" s="9">
        <v>20</v>
      </c>
      <c r="X374" s="9">
        <v>30</v>
      </c>
      <c r="Y374" s="9">
        <v>20</v>
      </c>
      <c r="Z374" s="9">
        <v>200</v>
      </c>
      <c r="AA374" s="9">
        <v>200</v>
      </c>
      <c r="AB374" s="9">
        <v>100</v>
      </c>
    </row>
    <row r="375" spans="2:28" x14ac:dyDescent="0.2">
      <c r="B375" s="21" t="s">
        <v>894</v>
      </c>
      <c r="D375" s="9">
        <v>300180</v>
      </c>
      <c r="E375" s="9">
        <v>50</v>
      </c>
      <c r="F375" s="9">
        <v>125</v>
      </c>
      <c r="G375" s="63" t="s">
        <v>4216</v>
      </c>
      <c r="H375" s="56">
        <v>0</v>
      </c>
      <c r="I375" s="56">
        <v>0</v>
      </c>
      <c r="J375" s="9">
        <v>500</v>
      </c>
      <c r="L375" s="9">
        <v>25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105</v>
      </c>
      <c r="S375" s="9">
        <v>5</v>
      </c>
      <c r="T375" s="9">
        <v>200</v>
      </c>
      <c r="U375" s="9">
        <v>10</v>
      </c>
      <c r="W375" s="9">
        <v>20</v>
      </c>
      <c r="X375" s="9">
        <v>30</v>
      </c>
      <c r="Y375" s="9">
        <v>20</v>
      </c>
      <c r="Z375" s="9">
        <v>0</v>
      </c>
      <c r="AA375" s="9">
        <v>0</v>
      </c>
      <c r="AB375" s="9">
        <v>0</v>
      </c>
    </row>
    <row r="376" spans="2:28" x14ac:dyDescent="0.2">
      <c r="B376" s="21" t="s">
        <v>895</v>
      </c>
      <c r="D376" s="9">
        <v>300181</v>
      </c>
      <c r="E376" s="9">
        <v>62</v>
      </c>
      <c r="F376" s="9">
        <v>156</v>
      </c>
      <c r="G376" s="56">
        <v>0</v>
      </c>
      <c r="H376" s="56">
        <v>0</v>
      </c>
      <c r="I376" s="56">
        <v>0</v>
      </c>
      <c r="J376" s="9">
        <v>500</v>
      </c>
      <c r="L376" s="9">
        <v>25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105</v>
      </c>
      <c r="S376" s="9">
        <v>5</v>
      </c>
      <c r="T376" s="9">
        <v>200</v>
      </c>
      <c r="U376" s="9">
        <v>10</v>
      </c>
      <c r="W376" s="9">
        <v>20</v>
      </c>
      <c r="X376" s="9">
        <v>30</v>
      </c>
      <c r="Y376" s="9">
        <v>20</v>
      </c>
      <c r="Z376" s="9">
        <v>20</v>
      </c>
      <c r="AA376" s="9">
        <v>20</v>
      </c>
      <c r="AB376" s="9">
        <v>10</v>
      </c>
    </row>
    <row r="377" spans="2:28" x14ac:dyDescent="0.2">
      <c r="B377" s="21" t="s">
        <v>896</v>
      </c>
      <c r="D377" s="9">
        <v>300182</v>
      </c>
      <c r="E377" s="9">
        <v>78</v>
      </c>
      <c r="F377" s="9">
        <v>195</v>
      </c>
      <c r="G377" s="56">
        <v>0</v>
      </c>
      <c r="H377" s="56">
        <v>0</v>
      </c>
      <c r="I377" s="56">
        <v>0</v>
      </c>
      <c r="J377" s="9">
        <v>500</v>
      </c>
      <c r="L377" s="9">
        <v>25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105</v>
      </c>
      <c r="S377" s="9">
        <v>5</v>
      </c>
      <c r="T377" s="9">
        <v>200</v>
      </c>
      <c r="U377" s="9">
        <v>10</v>
      </c>
      <c r="W377" s="9">
        <v>20</v>
      </c>
      <c r="X377" s="9">
        <v>30</v>
      </c>
      <c r="Y377" s="9">
        <v>20</v>
      </c>
      <c r="Z377" s="9">
        <v>40</v>
      </c>
      <c r="AA377" s="9">
        <v>40</v>
      </c>
      <c r="AB377" s="9">
        <v>20</v>
      </c>
    </row>
    <row r="378" spans="2:28" x14ac:dyDescent="0.2">
      <c r="B378" s="21" t="s">
        <v>897</v>
      </c>
      <c r="D378" s="9">
        <v>300183</v>
      </c>
      <c r="E378" s="9">
        <v>98</v>
      </c>
      <c r="F378" s="9">
        <v>244</v>
      </c>
      <c r="G378" s="56">
        <v>0</v>
      </c>
      <c r="H378" s="56">
        <v>0</v>
      </c>
      <c r="I378" s="56">
        <v>0</v>
      </c>
      <c r="J378" s="9">
        <v>500</v>
      </c>
      <c r="L378" s="9">
        <v>25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105</v>
      </c>
      <c r="S378" s="9">
        <v>5</v>
      </c>
      <c r="T378" s="9">
        <v>200</v>
      </c>
      <c r="U378" s="9">
        <v>10</v>
      </c>
      <c r="W378" s="9">
        <v>20</v>
      </c>
      <c r="X378" s="9">
        <v>30</v>
      </c>
      <c r="Y378" s="9">
        <v>20</v>
      </c>
      <c r="Z378" s="9">
        <v>60</v>
      </c>
      <c r="AA378" s="9">
        <v>60</v>
      </c>
      <c r="AB378" s="9">
        <v>30</v>
      </c>
    </row>
    <row r="379" spans="2:28" x14ac:dyDescent="0.2">
      <c r="B379" s="21" t="s">
        <v>898</v>
      </c>
      <c r="D379" s="9">
        <v>300184</v>
      </c>
      <c r="E379" s="9">
        <v>122</v>
      </c>
      <c r="F379" s="9">
        <v>305</v>
      </c>
      <c r="G379" s="56">
        <v>0</v>
      </c>
      <c r="H379" s="56">
        <v>0</v>
      </c>
      <c r="I379" s="56">
        <v>0</v>
      </c>
      <c r="J379" s="9">
        <v>500</v>
      </c>
      <c r="L379" s="9">
        <v>25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105</v>
      </c>
      <c r="S379" s="9">
        <v>5</v>
      </c>
      <c r="T379" s="9">
        <v>200</v>
      </c>
      <c r="U379" s="9">
        <v>10</v>
      </c>
      <c r="W379" s="9">
        <v>20</v>
      </c>
      <c r="X379" s="9">
        <v>30</v>
      </c>
      <c r="Y379" s="9">
        <v>20</v>
      </c>
      <c r="Z379" s="9">
        <v>80</v>
      </c>
      <c r="AA379" s="9">
        <v>80</v>
      </c>
      <c r="AB379" s="9">
        <v>40</v>
      </c>
    </row>
    <row r="380" spans="2:28" x14ac:dyDescent="0.2">
      <c r="B380" s="21" t="s">
        <v>899</v>
      </c>
      <c r="D380" s="9">
        <v>300185</v>
      </c>
      <c r="E380" s="9">
        <v>152</v>
      </c>
      <c r="F380" s="9">
        <v>381</v>
      </c>
      <c r="G380" s="56">
        <v>0</v>
      </c>
      <c r="H380" s="56">
        <v>0</v>
      </c>
      <c r="I380" s="56">
        <v>0</v>
      </c>
      <c r="J380" s="9">
        <v>500</v>
      </c>
      <c r="L380" s="9">
        <v>25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105</v>
      </c>
      <c r="S380" s="9">
        <v>5</v>
      </c>
      <c r="T380" s="9">
        <v>200</v>
      </c>
      <c r="U380" s="9">
        <v>10</v>
      </c>
      <c r="W380" s="9">
        <v>20</v>
      </c>
      <c r="X380" s="9">
        <v>30</v>
      </c>
      <c r="Y380" s="9">
        <v>20</v>
      </c>
      <c r="Z380" s="9">
        <v>100</v>
      </c>
      <c r="AA380" s="9">
        <v>100</v>
      </c>
      <c r="AB380" s="9">
        <v>50</v>
      </c>
    </row>
    <row r="381" spans="2:28" x14ac:dyDescent="0.2">
      <c r="B381" s="21" t="s">
        <v>900</v>
      </c>
      <c r="D381" s="9">
        <v>300186</v>
      </c>
      <c r="E381" s="9">
        <v>190</v>
      </c>
      <c r="F381" s="9">
        <v>476</v>
      </c>
      <c r="G381" s="56">
        <v>0</v>
      </c>
      <c r="H381" s="56">
        <v>0</v>
      </c>
      <c r="I381" s="56">
        <v>0</v>
      </c>
      <c r="J381" s="9">
        <v>500</v>
      </c>
      <c r="L381" s="9">
        <v>25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105</v>
      </c>
      <c r="S381" s="9">
        <v>5</v>
      </c>
      <c r="T381" s="9">
        <v>200</v>
      </c>
      <c r="U381" s="9">
        <v>10</v>
      </c>
      <c r="W381" s="9">
        <v>20</v>
      </c>
      <c r="X381" s="9">
        <v>30</v>
      </c>
      <c r="Y381" s="9">
        <v>20</v>
      </c>
      <c r="Z381" s="9">
        <v>120</v>
      </c>
      <c r="AA381" s="9">
        <v>120</v>
      </c>
      <c r="AB381" s="9">
        <v>60</v>
      </c>
    </row>
    <row r="382" spans="2:28" x14ac:dyDescent="0.2">
      <c r="B382" s="21" t="s">
        <v>901</v>
      </c>
      <c r="D382" s="9">
        <v>300187</v>
      </c>
      <c r="E382" s="9">
        <v>238</v>
      </c>
      <c r="F382" s="9">
        <v>595</v>
      </c>
      <c r="G382" s="56">
        <v>0</v>
      </c>
      <c r="H382" s="56">
        <v>0</v>
      </c>
      <c r="I382" s="56">
        <v>0</v>
      </c>
      <c r="J382" s="9">
        <v>500</v>
      </c>
      <c r="L382" s="9">
        <v>25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105</v>
      </c>
      <c r="S382" s="9">
        <v>5</v>
      </c>
      <c r="T382" s="9">
        <v>200</v>
      </c>
      <c r="U382" s="9">
        <v>10</v>
      </c>
      <c r="W382" s="9">
        <v>20</v>
      </c>
      <c r="X382" s="9">
        <v>30</v>
      </c>
      <c r="Y382" s="9">
        <v>20</v>
      </c>
      <c r="Z382" s="9">
        <v>140</v>
      </c>
      <c r="AA382" s="9">
        <v>140</v>
      </c>
      <c r="AB382" s="9">
        <v>70</v>
      </c>
    </row>
    <row r="383" spans="2:28" x14ac:dyDescent="0.2">
      <c r="B383" s="21" t="s">
        <v>902</v>
      </c>
      <c r="D383" s="9">
        <v>300188</v>
      </c>
      <c r="E383" s="9">
        <v>298</v>
      </c>
      <c r="F383" s="9">
        <v>744</v>
      </c>
      <c r="G383" s="56">
        <v>0</v>
      </c>
      <c r="H383" s="56">
        <v>0</v>
      </c>
      <c r="I383" s="56">
        <v>0</v>
      </c>
      <c r="J383" s="9">
        <v>500</v>
      </c>
      <c r="L383" s="9">
        <v>25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105</v>
      </c>
      <c r="S383" s="9">
        <v>5</v>
      </c>
      <c r="T383" s="9">
        <v>200</v>
      </c>
      <c r="U383" s="9">
        <v>10</v>
      </c>
      <c r="W383" s="9">
        <v>20</v>
      </c>
      <c r="X383" s="9">
        <v>30</v>
      </c>
      <c r="Y383" s="9">
        <v>20</v>
      </c>
      <c r="Z383" s="9">
        <v>160</v>
      </c>
      <c r="AA383" s="9">
        <v>160</v>
      </c>
      <c r="AB383" s="9">
        <v>80</v>
      </c>
    </row>
    <row r="384" spans="2:28" x14ac:dyDescent="0.2">
      <c r="B384" s="21" t="s">
        <v>903</v>
      </c>
      <c r="D384" s="9">
        <v>300189</v>
      </c>
      <c r="E384" s="9">
        <v>372</v>
      </c>
      <c r="F384" s="9">
        <v>930</v>
      </c>
      <c r="G384" s="56">
        <v>0</v>
      </c>
      <c r="H384" s="56">
        <v>0</v>
      </c>
      <c r="I384" s="56">
        <v>0</v>
      </c>
      <c r="J384" s="9">
        <v>500</v>
      </c>
      <c r="L384" s="9">
        <v>25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105</v>
      </c>
      <c r="S384" s="9">
        <v>5</v>
      </c>
      <c r="T384" s="9">
        <v>200</v>
      </c>
      <c r="U384" s="9">
        <v>10</v>
      </c>
      <c r="W384" s="9">
        <v>20</v>
      </c>
      <c r="X384" s="9">
        <v>30</v>
      </c>
      <c r="Y384" s="9">
        <v>20</v>
      </c>
      <c r="Z384" s="9">
        <v>200</v>
      </c>
      <c r="AA384" s="9">
        <v>200</v>
      </c>
      <c r="AB384" s="9">
        <v>100</v>
      </c>
    </row>
    <row r="385" spans="2:28" x14ac:dyDescent="0.2">
      <c r="B385" s="21" t="s">
        <v>904</v>
      </c>
      <c r="D385" s="9">
        <v>300190</v>
      </c>
      <c r="E385" s="9">
        <v>60</v>
      </c>
      <c r="F385" s="9">
        <v>75</v>
      </c>
      <c r="G385" s="56">
        <v>0</v>
      </c>
      <c r="H385" s="56">
        <v>0</v>
      </c>
      <c r="I385" s="56">
        <v>0</v>
      </c>
      <c r="J385" s="9">
        <v>0</v>
      </c>
      <c r="L385" s="9">
        <v>30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110</v>
      </c>
      <c r="S385" s="9">
        <v>10</v>
      </c>
      <c r="T385" s="9">
        <v>200</v>
      </c>
      <c r="U385" s="9">
        <v>10</v>
      </c>
      <c r="W385" s="9">
        <v>20</v>
      </c>
      <c r="X385" s="9">
        <v>30</v>
      </c>
      <c r="Y385" s="9">
        <v>30</v>
      </c>
      <c r="Z385" s="9">
        <v>0</v>
      </c>
      <c r="AA385" s="9">
        <v>0</v>
      </c>
      <c r="AB385" s="9">
        <v>0</v>
      </c>
    </row>
    <row r="386" spans="2:28" x14ac:dyDescent="0.2">
      <c r="B386" s="21" t="s">
        <v>905</v>
      </c>
      <c r="D386" s="9">
        <v>300191</v>
      </c>
      <c r="E386" s="9">
        <v>78</v>
      </c>
      <c r="F386" s="9">
        <v>94</v>
      </c>
      <c r="G386" s="56">
        <v>0</v>
      </c>
      <c r="H386" s="56">
        <v>0</v>
      </c>
      <c r="I386" s="56">
        <v>0</v>
      </c>
      <c r="J386" s="9">
        <v>0</v>
      </c>
      <c r="L386" s="9">
        <v>30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110</v>
      </c>
      <c r="S386" s="9">
        <v>10</v>
      </c>
      <c r="T386" s="9">
        <v>200</v>
      </c>
      <c r="U386" s="9">
        <v>10</v>
      </c>
      <c r="W386" s="9">
        <v>20</v>
      </c>
      <c r="X386" s="9">
        <v>30</v>
      </c>
      <c r="Y386" s="9">
        <v>30</v>
      </c>
      <c r="Z386" s="9">
        <v>20</v>
      </c>
      <c r="AA386" s="9">
        <v>20</v>
      </c>
      <c r="AB386" s="9">
        <v>10</v>
      </c>
    </row>
    <row r="387" spans="2:28" x14ac:dyDescent="0.2">
      <c r="B387" s="21" t="s">
        <v>906</v>
      </c>
      <c r="D387" s="9">
        <v>300192</v>
      </c>
      <c r="E387" s="9">
        <v>102</v>
      </c>
      <c r="F387" s="9">
        <v>118</v>
      </c>
      <c r="G387" s="56">
        <v>0</v>
      </c>
      <c r="H387" s="56">
        <v>0</v>
      </c>
      <c r="I387" s="56">
        <v>0</v>
      </c>
      <c r="J387" s="9">
        <v>0</v>
      </c>
      <c r="L387" s="9">
        <v>30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110</v>
      </c>
      <c r="S387" s="9">
        <v>10</v>
      </c>
      <c r="T387" s="9">
        <v>200</v>
      </c>
      <c r="U387" s="9">
        <v>10</v>
      </c>
      <c r="W387" s="9">
        <v>20</v>
      </c>
      <c r="X387" s="9">
        <v>30</v>
      </c>
      <c r="Y387" s="9">
        <v>30</v>
      </c>
      <c r="Z387" s="9">
        <v>40</v>
      </c>
      <c r="AA387" s="9">
        <v>40</v>
      </c>
      <c r="AB387" s="9">
        <v>20</v>
      </c>
    </row>
    <row r="388" spans="2:28" x14ac:dyDescent="0.2">
      <c r="B388" s="21" t="s">
        <v>907</v>
      </c>
      <c r="D388" s="9">
        <v>300193</v>
      </c>
      <c r="E388" s="9">
        <v>132</v>
      </c>
      <c r="F388" s="9">
        <v>148</v>
      </c>
      <c r="G388" s="56">
        <v>0</v>
      </c>
      <c r="H388" s="56">
        <v>0</v>
      </c>
      <c r="I388" s="56">
        <v>0</v>
      </c>
      <c r="J388" s="9">
        <v>0</v>
      </c>
      <c r="L388" s="9">
        <v>30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110</v>
      </c>
      <c r="S388" s="9">
        <v>10</v>
      </c>
      <c r="T388" s="9">
        <v>200</v>
      </c>
      <c r="U388" s="9">
        <v>10</v>
      </c>
      <c r="W388" s="9">
        <v>20</v>
      </c>
      <c r="X388" s="9">
        <v>30</v>
      </c>
      <c r="Y388" s="9">
        <v>30</v>
      </c>
      <c r="Z388" s="9">
        <v>60</v>
      </c>
      <c r="AA388" s="9">
        <v>60</v>
      </c>
      <c r="AB388" s="9">
        <v>30</v>
      </c>
    </row>
    <row r="389" spans="2:28" x14ac:dyDescent="0.2">
      <c r="B389" s="21" t="s">
        <v>908</v>
      </c>
      <c r="D389" s="9">
        <v>300194</v>
      </c>
      <c r="E389" s="9">
        <v>172</v>
      </c>
      <c r="F389" s="9">
        <v>185</v>
      </c>
      <c r="G389" s="56">
        <v>0</v>
      </c>
      <c r="H389" s="56">
        <v>0</v>
      </c>
      <c r="I389" s="56">
        <v>0</v>
      </c>
      <c r="J389" s="9">
        <v>0</v>
      </c>
      <c r="L389" s="9">
        <v>30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110</v>
      </c>
      <c r="S389" s="9">
        <v>10</v>
      </c>
      <c r="T389" s="9">
        <v>200</v>
      </c>
      <c r="U389" s="9">
        <v>10</v>
      </c>
      <c r="W389" s="9">
        <v>20</v>
      </c>
      <c r="X389" s="9">
        <v>30</v>
      </c>
      <c r="Y389" s="9">
        <v>30</v>
      </c>
      <c r="Z389" s="9">
        <v>80</v>
      </c>
      <c r="AA389" s="9">
        <v>80</v>
      </c>
      <c r="AB389" s="9">
        <v>40</v>
      </c>
    </row>
    <row r="390" spans="2:28" x14ac:dyDescent="0.2">
      <c r="B390" s="21" t="s">
        <v>909</v>
      </c>
      <c r="D390" s="9">
        <v>300195</v>
      </c>
      <c r="E390" s="9">
        <v>224</v>
      </c>
      <c r="F390" s="9">
        <v>231</v>
      </c>
      <c r="G390" s="56">
        <v>0</v>
      </c>
      <c r="H390" s="56">
        <v>0</v>
      </c>
      <c r="I390" s="56">
        <v>0</v>
      </c>
      <c r="J390" s="9">
        <v>0</v>
      </c>
      <c r="L390" s="9">
        <v>30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110</v>
      </c>
      <c r="S390" s="9">
        <v>10</v>
      </c>
      <c r="T390" s="9">
        <v>200</v>
      </c>
      <c r="U390" s="9">
        <v>10</v>
      </c>
      <c r="W390" s="9">
        <v>20</v>
      </c>
      <c r="X390" s="9">
        <v>30</v>
      </c>
      <c r="Y390" s="9">
        <v>30</v>
      </c>
      <c r="Z390" s="9">
        <v>100</v>
      </c>
      <c r="AA390" s="9">
        <v>100</v>
      </c>
      <c r="AB390" s="9">
        <v>50</v>
      </c>
    </row>
    <row r="391" spans="2:28" x14ac:dyDescent="0.2">
      <c r="B391" s="21" t="s">
        <v>910</v>
      </c>
      <c r="D391" s="9">
        <v>300196</v>
      </c>
      <c r="E391" s="9">
        <v>292</v>
      </c>
      <c r="F391" s="9">
        <v>289</v>
      </c>
      <c r="G391" s="56">
        <v>0</v>
      </c>
      <c r="H391" s="56">
        <v>0</v>
      </c>
      <c r="I391" s="56">
        <v>0</v>
      </c>
      <c r="J391" s="9">
        <v>0</v>
      </c>
      <c r="L391" s="9">
        <v>30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110</v>
      </c>
      <c r="S391" s="9">
        <v>10</v>
      </c>
      <c r="T391" s="9">
        <v>200</v>
      </c>
      <c r="U391" s="9">
        <v>10</v>
      </c>
      <c r="W391" s="9">
        <v>20</v>
      </c>
      <c r="X391" s="9">
        <v>30</v>
      </c>
      <c r="Y391" s="9">
        <v>30</v>
      </c>
      <c r="Z391" s="9">
        <v>120</v>
      </c>
      <c r="AA391" s="9">
        <v>120</v>
      </c>
      <c r="AB391" s="9">
        <v>60</v>
      </c>
    </row>
    <row r="392" spans="2:28" x14ac:dyDescent="0.2">
      <c r="B392" s="21" t="s">
        <v>911</v>
      </c>
      <c r="D392" s="9">
        <v>300197</v>
      </c>
      <c r="E392" s="9">
        <v>380</v>
      </c>
      <c r="F392" s="9">
        <v>361</v>
      </c>
      <c r="G392" s="56">
        <v>0</v>
      </c>
      <c r="H392" s="56">
        <v>0</v>
      </c>
      <c r="I392" s="56">
        <v>0</v>
      </c>
      <c r="J392" s="9">
        <v>0</v>
      </c>
      <c r="L392" s="9">
        <v>30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110</v>
      </c>
      <c r="S392" s="9">
        <v>10</v>
      </c>
      <c r="T392" s="9">
        <v>200</v>
      </c>
      <c r="U392" s="9">
        <v>10</v>
      </c>
      <c r="W392" s="9">
        <v>20</v>
      </c>
      <c r="X392" s="9">
        <v>30</v>
      </c>
      <c r="Y392" s="9">
        <v>30</v>
      </c>
      <c r="Z392" s="9">
        <v>140</v>
      </c>
      <c r="AA392" s="9">
        <v>140</v>
      </c>
      <c r="AB392" s="9">
        <v>70</v>
      </c>
    </row>
    <row r="393" spans="2:28" x14ac:dyDescent="0.2">
      <c r="B393" s="21" t="s">
        <v>912</v>
      </c>
      <c r="D393" s="9">
        <v>300198</v>
      </c>
      <c r="E393" s="9">
        <v>494</v>
      </c>
      <c r="F393" s="9">
        <v>451</v>
      </c>
      <c r="G393" s="56">
        <v>0</v>
      </c>
      <c r="H393" s="56">
        <v>0</v>
      </c>
      <c r="I393" s="56">
        <v>0</v>
      </c>
      <c r="J393" s="9">
        <v>0</v>
      </c>
      <c r="L393" s="9">
        <v>30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110</v>
      </c>
      <c r="S393" s="9">
        <v>10</v>
      </c>
      <c r="T393" s="9">
        <v>200</v>
      </c>
      <c r="U393" s="9">
        <v>10</v>
      </c>
      <c r="W393" s="9">
        <v>20</v>
      </c>
      <c r="X393" s="9">
        <v>30</v>
      </c>
      <c r="Y393" s="9">
        <v>30</v>
      </c>
      <c r="Z393" s="9">
        <v>160</v>
      </c>
      <c r="AA393" s="9">
        <v>160</v>
      </c>
      <c r="AB393" s="9">
        <v>80</v>
      </c>
    </row>
    <row r="394" spans="2:28" x14ac:dyDescent="0.2">
      <c r="B394" s="21" t="s">
        <v>913</v>
      </c>
      <c r="D394" s="9">
        <v>300199</v>
      </c>
      <c r="E394" s="9">
        <v>642</v>
      </c>
      <c r="F394" s="9">
        <v>564</v>
      </c>
      <c r="G394" s="56">
        <v>0</v>
      </c>
      <c r="H394" s="56">
        <v>0</v>
      </c>
      <c r="I394" s="56">
        <v>0</v>
      </c>
      <c r="J394" s="9">
        <v>0</v>
      </c>
      <c r="L394" s="9">
        <v>30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110</v>
      </c>
      <c r="S394" s="9">
        <v>10</v>
      </c>
      <c r="T394" s="9">
        <v>200</v>
      </c>
      <c r="U394" s="9">
        <v>10</v>
      </c>
      <c r="W394" s="9">
        <v>20</v>
      </c>
      <c r="X394" s="9">
        <v>30</v>
      </c>
      <c r="Y394" s="9">
        <v>30</v>
      </c>
      <c r="Z394" s="9">
        <v>200</v>
      </c>
      <c r="AA394" s="9">
        <v>200</v>
      </c>
      <c r="AB394" s="9">
        <v>100</v>
      </c>
    </row>
    <row r="395" spans="2:28" x14ac:dyDescent="0.2">
      <c r="B395" s="21" t="s">
        <v>5136</v>
      </c>
      <c r="D395" s="9">
        <v>300200</v>
      </c>
      <c r="E395" s="9">
        <v>90</v>
      </c>
      <c r="F395" s="9">
        <v>75</v>
      </c>
      <c r="G395" s="56">
        <v>0</v>
      </c>
      <c r="H395" s="63" t="s">
        <v>5206</v>
      </c>
      <c r="I395" s="56">
        <v>0</v>
      </c>
      <c r="J395" s="9">
        <v>100</v>
      </c>
      <c r="L395" s="9">
        <v>10</v>
      </c>
      <c r="M395" s="9">
        <v>0</v>
      </c>
      <c r="N395" s="9">
        <v>0</v>
      </c>
      <c r="O395" s="9">
        <v>20</v>
      </c>
      <c r="P395" s="9">
        <v>0</v>
      </c>
      <c r="Q395" s="9">
        <v>0</v>
      </c>
      <c r="R395" s="9">
        <v>110</v>
      </c>
      <c r="S395" s="9">
        <v>10</v>
      </c>
      <c r="T395" s="9">
        <v>200</v>
      </c>
      <c r="U395" s="9">
        <v>10</v>
      </c>
      <c r="W395" s="9">
        <v>20</v>
      </c>
      <c r="X395" s="9">
        <v>30</v>
      </c>
      <c r="Y395" s="9">
        <v>30</v>
      </c>
      <c r="Z395" s="9">
        <v>0</v>
      </c>
      <c r="AA395" s="9">
        <v>0</v>
      </c>
      <c r="AB395" s="9">
        <v>0</v>
      </c>
    </row>
    <row r="396" spans="2:28" x14ac:dyDescent="0.2">
      <c r="B396" s="21" t="s">
        <v>5137</v>
      </c>
      <c r="D396" s="9">
        <v>300201</v>
      </c>
      <c r="E396" s="9">
        <v>108</v>
      </c>
      <c r="F396" s="9">
        <v>94</v>
      </c>
      <c r="G396" s="56">
        <v>0</v>
      </c>
      <c r="H396" s="63" t="s">
        <v>5207</v>
      </c>
      <c r="I396" s="56">
        <v>0</v>
      </c>
      <c r="J396" s="9">
        <v>200</v>
      </c>
      <c r="L396" s="9">
        <v>10</v>
      </c>
      <c r="M396" s="9">
        <v>0</v>
      </c>
      <c r="N396" s="9">
        <v>0</v>
      </c>
      <c r="O396" s="9">
        <v>20</v>
      </c>
      <c r="P396" s="9">
        <v>0</v>
      </c>
      <c r="Q396" s="9">
        <v>0</v>
      </c>
      <c r="R396" s="9">
        <v>110</v>
      </c>
      <c r="S396" s="9">
        <v>10</v>
      </c>
      <c r="T396" s="9">
        <v>200</v>
      </c>
      <c r="U396" s="9">
        <v>10</v>
      </c>
      <c r="W396" s="9">
        <v>20</v>
      </c>
      <c r="X396" s="9">
        <v>30</v>
      </c>
      <c r="Y396" s="9">
        <v>30</v>
      </c>
      <c r="Z396" s="9">
        <v>20</v>
      </c>
      <c r="AA396" s="9">
        <v>20</v>
      </c>
      <c r="AB396" s="9">
        <v>10</v>
      </c>
    </row>
    <row r="397" spans="2:28" x14ac:dyDescent="0.2">
      <c r="B397" s="21" t="s">
        <v>5138</v>
      </c>
      <c r="D397" s="9">
        <v>300202</v>
      </c>
      <c r="E397" s="9">
        <v>120</v>
      </c>
      <c r="F397" s="9">
        <v>118</v>
      </c>
      <c r="G397" s="56">
        <v>0</v>
      </c>
      <c r="H397" s="63" t="s">
        <v>3255</v>
      </c>
      <c r="I397" s="56">
        <v>0</v>
      </c>
      <c r="J397" s="9">
        <v>300</v>
      </c>
      <c r="L397" s="9">
        <v>10</v>
      </c>
      <c r="M397" s="9">
        <v>0</v>
      </c>
      <c r="N397" s="9">
        <v>0</v>
      </c>
      <c r="O397" s="9">
        <v>20</v>
      </c>
      <c r="P397" s="9">
        <v>0</v>
      </c>
      <c r="Q397" s="9">
        <v>0</v>
      </c>
      <c r="R397" s="9">
        <v>110</v>
      </c>
      <c r="S397" s="9">
        <v>10</v>
      </c>
      <c r="T397" s="9">
        <v>200</v>
      </c>
      <c r="U397" s="9">
        <v>10</v>
      </c>
      <c r="W397" s="9">
        <v>20</v>
      </c>
      <c r="X397" s="9">
        <v>30</v>
      </c>
      <c r="Y397" s="9">
        <v>30</v>
      </c>
      <c r="Z397" s="9">
        <v>40</v>
      </c>
      <c r="AA397" s="9">
        <v>40</v>
      </c>
      <c r="AB397" s="9">
        <v>20</v>
      </c>
    </row>
    <row r="398" spans="2:28" x14ac:dyDescent="0.2">
      <c r="B398" s="21" t="s">
        <v>5139</v>
      </c>
      <c r="D398" s="9">
        <v>300203</v>
      </c>
      <c r="E398" s="9">
        <v>150</v>
      </c>
      <c r="F398" s="9">
        <v>148</v>
      </c>
      <c r="G398" s="56">
        <v>0</v>
      </c>
      <c r="H398" s="63" t="s">
        <v>3487</v>
      </c>
      <c r="I398" s="56">
        <v>0</v>
      </c>
      <c r="J398" s="9">
        <v>400</v>
      </c>
      <c r="L398" s="9">
        <v>10</v>
      </c>
      <c r="M398" s="9">
        <v>0</v>
      </c>
      <c r="N398" s="9">
        <v>0</v>
      </c>
      <c r="O398" s="9">
        <v>30</v>
      </c>
      <c r="P398" s="9">
        <v>0</v>
      </c>
      <c r="Q398" s="9">
        <v>0</v>
      </c>
      <c r="R398" s="9">
        <v>110</v>
      </c>
      <c r="S398" s="9">
        <v>10</v>
      </c>
      <c r="T398" s="9">
        <v>200</v>
      </c>
      <c r="U398" s="9">
        <v>10</v>
      </c>
      <c r="W398" s="9">
        <v>20</v>
      </c>
      <c r="X398" s="9">
        <v>30</v>
      </c>
      <c r="Y398" s="9">
        <v>30</v>
      </c>
      <c r="Z398" s="9">
        <v>60</v>
      </c>
      <c r="AA398" s="9">
        <v>60</v>
      </c>
      <c r="AB398" s="9">
        <v>30</v>
      </c>
    </row>
    <row r="399" spans="2:28" x14ac:dyDescent="0.2">
      <c r="B399" s="21" t="s">
        <v>5140</v>
      </c>
      <c r="D399" s="9">
        <v>300204</v>
      </c>
      <c r="E399" s="9">
        <v>180</v>
      </c>
      <c r="F399" s="9">
        <v>185</v>
      </c>
      <c r="G399" s="56">
        <v>0</v>
      </c>
      <c r="H399" s="63" t="s">
        <v>239</v>
      </c>
      <c r="I399" s="56">
        <v>0</v>
      </c>
      <c r="J399" s="9">
        <v>500</v>
      </c>
      <c r="L399" s="9">
        <v>10</v>
      </c>
      <c r="M399" s="9">
        <v>0</v>
      </c>
      <c r="N399" s="9">
        <v>0</v>
      </c>
      <c r="O399" s="9">
        <v>30</v>
      </c>
      <c r="P399" s="9">
        <v>0</v>
      </c>
      <c r="Q399" s="9">
        <v>0</v>
      </c>
      <c r="R399" s="9">
        <v>110</v>
      </c>
      <c r="S399" s="9">
        <v>10</v>
      </c>
      <c r="T399" s="9">
        <v>200</v>
      </c>
      <c r="U399" s="9">
        <v>10</v>
      </c>
      <c r="W399" s="9">
        <v>20</v>
      </c>
      <c r="X399" s="9">
        <v>30</v>
      </c>
      <c r="Y399" s="9">
        <v>30</v>
      </c>
      <c r="Z399" s="9">
        <v>80</v>
      </c>
      <c r="AA399" s="9">
        <v>80</v>
      </c>
      <c r="AB399" s="9">
        <v>40</v>
      </c>
    </row>
    <row r="400" spans="2:28" x14ac:dyDescent="0.2">
      <c r="B400" s="21" t="s">
        <v>5141</v>
      </c>
      <c r="D400" s="9">
        <v>300205</v>
      </c>
      <c r="E400" s="9">
        <v>198</v>
      </c>
      <c r="F400" s="9">
        <v>231</v>
      </c>
      <c r="G400" s="56">
        <v>0</v>
      </c>
      <c r="H400" s="63" t="s">
        <v>5208</v>
      </c>
      <c r="I400" s="56">
        <v>0</v>
      </c>
      <c r="J400" s="9">
        <v>600</v>
      </c>
      <c r="L400" s="9">
        <v>10</v>
      </c>
      <c r="M400" s="9">
        <v>0</v>
      </c>
      <c r="N400" s="9">
        <v>0</v>
      </c>
      <c r="O400" s="9">
        <v>30</v>
      </c>
      <c r="P400" s="9">
        <v>0</v>
      </c>
      <c r="Q400" s="9">
        <v>0</v>
      </c>
      <c r="R400" s="9">
        <v>110</v>
      </c>
      <c r="S400" s="9">
        <v>10</v>
      </c>
      <c r="T400" s="9">
        <v>200</v>
      </c>
      <c r="U400" s="9">
        <v>10</v>
      </c>
      <c r="W400" s="9">
        <v>20</v>
      </c>
      <c r="X400" s="9">
        <v>30</v>
      </c>
      <c r="Y400" s="9">
        <v>30</v>
      </c>
      <c r="Z400" s="9">
        <v>100</v>
      </c>
      <c r="AA400" s="9">
        <v>100</v>
      </c>
      <c r="AB400" s="9">
        <v>50</v>
      </c>
    </row>
    <row r="401" spans="2:28" x14ac:dyDescent="0.2">
      <c r="B401" s="21" t="s">
        <v>5142</v>
      </c>
      <c r="D401" s="9">
        <v>300206</v>
      </c>
      <c r="E401" s="9">
        <v>210</v>
      </c>
      <c r="F401" s="9">
        <v>289</v>
      </c>
      <c r="G401" s="56">
        <v>0</v>
      </c>
      <c r="H401" s="63" t="s">
        <v>5209</v>
      </c>
      <c r="I401" s="56">
        <v>0</v>
      </c>
      <c r="J401" s="9">
        <v>700</v>
      </c>
      <c r="L401" s="9">
        <v>10</v>
      </c>
      <c r="M401" s="9">
        <v>0</v>
      </c>
      <c r="N401" s="9">
        <v>0</v>
      </c>
      <c r="O401" s="9">
        <v>40</v>
      </c>
      <c r="P401" s="9">
        <v>0</v>
      </c>
      <c r="Q401" s="9">
        <v>0</v>
      </c>
      <c r="R401" s="9">
        <v>110</v>
      </c>
      <c r="S401" s="9">
        <v>10</v>
      </c>
      <c r="T401" s="9">
        <v>200</v>
      </c>
      <c r="U401" s="9">
        <v>10</v>
      </c>
      <c r="W401" s="9">
        <v>20</v>
      </c>
      <c r="X401" s="9">
        <v>30</v>
      </c>
      <c r="Y401" s="9">
        <v>30</v>
      </c>
      <c r="Z401" s="9">
        <v>120</v>
      </c>
      <c r="AA401" s="9">
        <v>120</v>
      </c>
      <c r="AB401" s="9">
        <v>60</v>
      </c>
    </row>
    <row r="402" spans="2:28" x14ac:dyDescent="0.2">
      <c r="B402" s="21" t="s">
        <v>5143</v>
      </c>
      <c r="D402" s="9">
        <v>300207</v>
      </c>
      <c r="E402" s="9">
        <v>240</v>
      </c>
      <c r="F402" s="9">
        <v>361</v>
      </c>
      <c r="G402" s="56">
        <v>0</v>
      </c>
      <c r="H402" s="63" t="s">
        <v>5210</v>
      </c>
      <c r="I402" s="56">
        <v>0</v>
      </c>
      <c r="J402" s="9">
        <v>800</v>
      </c>
      <c r="L402" s="9">
        <v>10</v>
      </c>
      <c r="M402" s="9">
        <v>0</v>
      </c>
      <c r="N402" s="9">
        <v>0</v>
      </c>
      <c r="O402" s="9">
        <v>40</v>
      </c>
      <c r="P402" s="9">
        <v>0</v>
      </c>
      <c r="Q402" s="9">
        <v>0</v>
      </c>
      <c r="R402" s="9">
        <v>110</v>
      </c>
      <c r="S402" s="9">
        <v>10</v>
      </c>
      <c r="T402" s="9">
        <v>200</v>
      </c>
      <c r="U402" s="9">
        <v>10</v>
      </c>
      <c r="W402" s="9">
        <v>20</v>
      </c>
      <c r="X402" s="9">
        <v>30</v>
      </c>
      <c r="Y402" s="9">
        <v>30</v>
      </c>
      <c r="Z402" s="9">
        <v>140</v>
      </c>
      <c r="AA402" s="9">
        <v>140</v>
      </c>
      <c r="AB402" s="9">
        <v>70</v>
      </c>
    </row>
    <row r="403" spans="2:28" x14ac:dyDescent="0.2">
      <c r="B403" s="21" t="s">
        <v>5144</v>
      </c>
      <c r="D403" s="9">
        <v>300208</v>
      </c>
      <c r="E403" s="9">
        <v>270</v>
      </c>
      <c r="F403" s="9">
        <v>451</v>
      </c>
      <c r="G403" s="56">
        <v>0</v>
      </c>
      <c r="H403" s="63" t="s">
        <v>5211</v>
      </c>
      <c r="I403" s="56">
        <v>0</v>
      </c>
      <c r="J403" s="9">
        <v>900</v>
      </c>
      <c r="L403" s="9">
        <v>10</v>
      </c>
      <c r="M403" s="9">
        <v>0</v>
      </c>
      <c r="N403" s="9">
        <v>0</v>
      </c>
      <c r="O403" s="9">
        <v>40</v>
      </c>
      <c r="P403" s="9">
        <v>0</v>
      </c>
      <c r="Q403" s="9">
        <v>0</v>
      </c>
      <c r="R403" s="9">
        <v>110</v>
      </c>
      <c r="S403" s="9">
        <v>10</v>
      </c>
      <c r="T403" s="9">
        <v>200</v>
      </c>
      <c r="U403" s="9">
        <v>10</v>
      </c>
      <c r="W403" s="9">
        <v>20</v>
      </c>
      <c r="X403" s="9">
        <v>30</v>
      </c>
      <c r="Y403" s="9">
        <v>30</v>
      </c>
      <c r="Z403" s="9">
        <v>160</v>
      </c>
      <c r="AA403" s="9">
        <v>160</v>
      </c>
      <c r="AB403" s="9">
        <v>80</v>
      </c>
    </row>
    <row r="404" spans="2:28" x14ac:dyDescent="0.2">
      <c r="B404" s="21" t="s">
        <v>5145</v>
      </c>
      <c r="D404" s="9">
        <v>300209</v>
      </c>
      <c r="E404" s="9">
        <v>300</v>
      </c>
      <c r="F404" s="9">
        <v>564</v>
      </c>
      <c r="G404" s="56">
        <v>0</v>
      </c>
      <c r="H404" s="63" t="s">
        <v>5130</v>
      </c>
      <c r="I404" s="56">
        <v>0</v>
      </c>
      <c r="J404" s="9">
        <v>1000</v>
      </c>
      <c r="L404" s="9">
        <v>10</v>
      </c>
      <c r="M404" s="9">
        <v>0</v>
      </c>
      <c r="N404" s="9">
        <v>0</v>
      </c>
      <c r="O404" s="9">
        <v>50</v>
      </c>
      <c r="P404" s="9">
        <v>0</v>
      </c>
      <c r="Q404" s="9">
        <v>0</v>
      </c>
      <c r="R404" s="9">
        <v>110</v>
      </c>
      <c r="S404" s="9">
        <v>10</v>
      </c>
      <c r="T404" s="9">
        <v>200</v>
      </c>
      <c r="U404" s="9">
        <v>10</v>
      </c>
      <c r="W404" s="9">
        <v>20</v>
      </c>
      <c r="X404" s="9">
        <v>30</v>
      </c>
      <c r="Y404" s="9">
        <v>30</v>
      </c>
      <c r="Z404" s="9">
        <v>200</v>
      </c>
      <c r="AA404" s="9">
        <v>200</v>
      </c>
      <c r="AB404" s="9">
        <v>100</v>
      </c>
    </row>
    <row r="405" spans="2:28" x14ac:dyDescent="0.2">
      <c r="B405" s="21" t="s">
        <v>5146</v>
      </c>
      <c r="D405" s="9">
        <v>300210</v>
      </c>
      <c r="E405" s="9">
        <v>90</v>
      </c>
      <c r="F405" s="9">
        <v>75</v>
      </c>
      <c r="G405" s="56">
        <v>0</v>
      </c>
      <c r="H405" s="63" t="s">
        <v>5206</v>
      </c>
      <c r="I405" s="56">
        <v>0</v>
      </c>
      <c r="J405" s="9">
        <v>100</v>
      </c>
      <c r="L405" s="9">
        <v>10</v>
      </c>
      <c r="M405" s="9">
        <v>0</v>
      </c>
      <c r="N405" s="9">
        <v>20</v>
      </c>
      <c r="O405" s="9">
        <v>0</v>
      </c>
      <c r="P405" s="9">
        <v>0</v>
      </c>
      <c r="Q405" s="9">
        <v>0</v>
      </c>
      <c r="R405" s="9">
        <v>110</v>
      </c>
      <c r="S405" s="9">
        <v>10</v>
      </c>
      <c r="T405" s="9">
        <v>200</v>
      </c>
      <c r="U405" s="9">
        <v>10</v>
      </c>
      <c r="W405" s="9">
        <v>20</v>
      </c>
      <c r="X405" s="9">
        <v>30</v>
      </c>
      <c r="Y405" s="9">
        <v>30</v>
      </c>
      <c r="Z405" s="9">
        <v>0</v>
      </c>
      <c r="AA405" s="9">
        <v>0</v>
      </c>
      <c r="AB405" s="9">
        <v>0</v>
      </c>
    </row>
    <row r="406" spans="2:28" x14ac:dyDescent="0.2">
      <c r="B406" s="21" t="s">
        <v>5147</v>
      </c>
      <c r="D406" s="9">
        <v>300211</v>
      </c>
      <c r="E406" s="9">
        <v>108</v>
      </c>
      <c r="F406" s="9">
        <v>94</v>
      </c>
      <c r="G406" s="56">
        <v>0</v>
      </c>
      <c r="H406" s="63" t="s">
        <v>5207</v>
      </c>
      <c r="I406" s="56">
        <v>0</v>
      </c>
      <c r="J406" s="9">
        <v>200</v>
      </c>
      <c r="L406" s="9">
        <v>10</v>
      </c>
      <c r="M406" s="9">
        <v>0</v>
      </c>
      <c r="N406" s="9">
        <v>20</v>
      </c>
      <c r="O406" s="9">
        <v>0</v>
      </c>
      <c r="P406" s="9">
        <v>0</v>
      </c>
      <c r="Q406" s="9">
        <v>0</v>
      </c>
      <c r="R406" s="9">
        <v>110</v>
      </c>
      <c r="S406" s="9">
        <v>10</v>
      </c>
      <c r="T406" s="9">
        <v>200</v>
      </c>
      <c r="U406" s="9">
        <v>10</v>
      </c>
      <c r="W406" s="9">
        <v>20</v>
      </c>
      <c r="X406" s="9">
        <v>30</v>
      </c>
      <c r="Y406" s="9">
        <v>30</v>
      </c>
      <c r="Z406" s="9">
        <v>20</v>
      </c>
      <c r="AA406" s="9">
        <v>20</v>
      </c>
      <c r="AB406" s="9">
        <v>10</v>
      </c>
    </row>
    <row r="407" spans="2:28" x14ac:dyDescent="0.2">
      <c r="B407" s="21" t="s">
        <v>5148</v>
      </c>
      <c r="D407" s="9">
        <v>300212</v>
      </c>
      <c r="E407" s="9">
        <v>120</v>
      </c>
      <c r="F407" s="9">
        <v>118</v>
      </c>
      <c r="G407" s="56">
        <v>0</v>
      </c>
      <c r="H407" s="63" t="s">
        <v>3255</v>
      </c>
      <c r="I407" s="56">
        <v>0</v>
      </c>
      <c r="J407" s="9">
        <v>300</v>
      </c>
      <c r="L407" s="9">
        <v>10</v>
      </c>
      <c r="M407" s="9">
        <v>0</v>
      </c>
      <c r="N407" s="9">
        <v>20</v>
      </c>
      <c r="O407" s="9">
        <v>0</v>
      </c>
      <c r="P407" s="9">
        <v>0</v>
      </c>
      <c r="Q407" s="9">
        <v>0</v>
      </c>
      <c r="R407" s="9">
        <v>110</v>
      </c>
      <c r="S407" s="9">
        <v>10</v>
      </c>
      <c r="T407" s="9">
        <v>200</v>
      </c>
      <c r="U407" s="9">
        <v>10</v>
      </c>
      <c r="W407" s="9">
        <v>20</v>
      </c>
      <c r="X407" s="9">
        <v>30</v>
      </c>
      <c r="Y407" s="9">
        <v>30</v>
      </c>
      <c r="Z407" s="9">
        <v>40</v>
      </c>
      <c r="AA407" s="9">
        <v>40</v>
      </c>
      <c r="AB407" s="9">
        <v>20</v>
      </c>
    </row>
    <row r="408" spans="2:28" x14ac:dyDescent="0.2">
      <c r="B408" s="21" t="s">
        <v>5149</v>
      </c>
      <c r="D408" s="9">
        <v>300213</v>
      </c>
      <c r="E408" s="9">
        <v>150</v>
      </c>
      <c r="F408" s="9">
        <v>148</v>
      </c>
      <c r="G408" s="56">
        <v>0</v>
      </c>
      <c r="H408" s="63" t="s">
        <v>3487</v>
      </c>
      <c r="I408" s="56">
        <v>0</v>
      </c>
      <c r="J408" s="9">
        <v>400</v>
      </c>
      <c r="L408" s="9">
        <v>10</v>
      </c>
      <c r="M408" s="9">
        <v>0</v>
      </c>
      <c r="N408" s="9">
        <v>30</v>
      </c>
      <c r="O408" s="9">
        <v>0</v>
      </c>
      <c r="P408" s="9">
        <v>0</v>
      </c>
      <c r="Q408" s="9">
        <v>0</v>
      </c>
      <c r="R408" s="9">
        <v>110</v>
      </c>
      <c r="S408" s="9">
        <v>10</v>
      </c>
      <c r="T408" s="9">
        <v>200</v>
      </c>
      <c r="U408" s="9">
        <v>10</v>
      </c>
      <c r="W408" s="9">
        <v>20</v>
      </c>
      <c r="X408" s="9">
        <v>30</v>
      </c>
      <c r="Y408" s="9">
        <v>30</v>
      </c>
      <c r="Z408" s="9">
        <v>60</v>
      </c>
      <c r="AA408" s="9">
        <v>60</v>
      </c>
      <c r="AB408" s="9">
        <v>30</v>
      </c>
    </row>
    <row r="409" spans="2:28" x14ac:dyDescent="0.2">
      <c r="B409" s="21" t="s">
        <v>5150</v>
      </c>
      <c r="D409" s="9">
        <v>300214</v>
      </c>
      <c r="E409" s="9">
        <v>180</v>
      </c>
      <c r="F409" s="9">
        <v>185</v>
      </c>
      <c r="G409" s="56">
        <v>0</v>
      </c>
      <c r="H409" s="63" t="s">
        <v>239</v>
      </c>
      <c r="I409" s="56">
        <v>0</v>
      </c>
      <c r="J409" s="9">
        <v>500</v>
      </c>
      <c r="L409" s="9">
        <v>10</v>
      </c>
      <c r="M409" s="9">
        <v>0</v>
      </c>
      <c r="N409" s="9">
        <v>30</v>
      </c>
      <c r="O409" s="9">
        <v>0</v>
      </c>
      <c r="P409" s="9">
        <v>0</v>
      </c>
      <c r="Q409" s="9">
        <v>0</v>
      </c>
      <c r="R409" s="9">
        <v>110</v>
      </c>
      <c r="S409" s="9">
        <v>10</v>
      </c>
      <c r="T409" s="9">
        <v>200</v>
      </c>
      <c r="U409" s="9">
        <v>10</v>
      </c>
      <c r="W409" s="9">
        <v>20</v>
      </c>
      <c r="X409" s="9">
        <v>30</v>
      </c>
      <c r="Y409" s="9">
        <v>30</v>
      </c>
      <c r="Z409" s="9">
        <v>80</v>
      </c>
      <c r="AA409" s="9">
        <v>80</v>
      </c>
      <c r="AB409" s="9">
        <v>40</v>
      </c>
    </row>
    <row r="410" spans="2:28" x14ac:dyDescent="0.2">
      <c r="B410" s="21" t="s">
        <v>5151</v>
      </c>
      <c r="D410" s="9">
        <v>300215</v>
      </c>
      <c r="E410" s="9">
        <v>198</v>
      </c>
      <c r="F410" s="9">
        <v>231</v>
      </c>
      <c r="G410" s="56">
        <v>0</v>
      </c>
      <c r="H410" s="63" t="s">
        <v>5208</v>
      </c>
      <c r="I410" s="56">
        <v>0</v>
      </c>
      <c r="J410" s="9">
        <v>600</v>
      </c>
      <c r="L410" s="9">
        <v>10</v>
      </c>
      <c r="M410" s="9">
        <v>0</v>
      </c>
      <c r="N410" s="9">
        <v>30</v>
      </c>
      <c r="O410" s="9">
        <v>0</v>
      </c>
      <c r="P410" s="9">
        <v>0</v>
      </c>
      <c r="Q410" s="9">
        <v>0</v>
      </c>
      <c r="R410" s="9">
        <v>110</v>
      </c>
      <c r="S410" s="9">
        <v>10</v>
      </c>
      <c r="T410" s="9">
        <v>200</v>
      </c>
      <c r="U410" s="9">
        <v>10</v>
      </c>
      <c r="W410" s="9">
        <v>20</v>
      </c>
      <c r="X410" s="9">
        <v>30</v>
      </c>
      <c r="Y410" s="9">
        <v>30</v>
      </c>
      <c r="Z410" s="9">
        <v>100</v>
      </c>
      <c r="AA410" s="9">
        <v>100</v>
      </c>
      <c r="AB410" s="9">
        <v>50</v>
      </c>
    </row>
    <row r="411" spans="2:28" x14ac:dyDescent="0.2">
      <c r="B411" s="21" t="s">
        <v>5152</v>
      </c>
      <c r="D411" s="9">
        <v>300216</v>
      </c>
      <c r="E411" s="9">
        <v>210</v>
      </c>
      <c r="F411" s="9">
        <v>289</v>
      </c>
      <c r="G411" s="56">
        <v>0</v>
      </c>
      <c r="H411" s="63" t="s">
        <v>5209</v>
      </c>
      <c r="I411" s="56">
        <v>0</v>
      </c>
      <c r="J411" s="9">
        <v>700</v>
      </c>
      <c r="L411" s="9">
        <v>10</v>
      </c>
      <c r="M411" s="9">
        <v>0</v>
      </c>
      <c r="N411" s="9">
        <v>40</v>
      </c>
      <c r="O411" s="9">
        <v>0</v>
      </c>
      <c r="P411" s="9">
        <v>0</v>
      </c>
      <c r="Q411" s="9">
        <v>0</v>
      </c>
      <c r="R411" s="9">
        <v>110</v>
      </c>
      <c r="S411" s="9">
        <v>10</v>
      </c>
      <c r="T411" s="9">
        <v>200</v>
      </c>
      <c r="U411" s="9">
        <v>10</v>
      </c>
      <c r="W411" s="9">
        <v>20</v>
      </c>
      <c r="X411" s="9">
        <v>30</v>
      </c>
      <c r="Y411" s="9">
        <v>30</v>
      </c>
      <c r="Z411" s="9">
        <v>120</v>
      </c>
      <c r="AA411" s="9">
        <v>120</v>
      </c>
      <c r="AB411" s="9">
        <v>60</v>
      </c>
    </row>
    <row r="412" spans="2:28" x14ac:dyDescent="0.2">
      <c r="B412" s="21" t="s">
        <v>5153</v>
      </c>
      <c r="D412" s="9">
        <v>300217</v>
      </c>
      <c r="E412" s="9">
        <v>240</v>
      </c>
      <c r="F412" s="9">
        <v>361</v>
      </c>
      <c r="G412" s="56">
        <v>0</v>
      </c>
      <c r="H412" s="63" t="s">
        <v>5210</v>
      </c>
      <c r="I412" s="56">
        <v>0</v>
      </c>
      <c r="J412" s="9">
        <v>800</v>
      </c>
      <c r="L412" s="9">
        <v>10</v>
      </c>
      <c r="M412" s="9">
        <v>0</v>
      </c>
      <c r="N412" s="9">
        <v>40</v>
      </c>
      <c r="O412" s="9">
        <v>0</v>
      </c>
      <c r="P412" s="9">
        <v>0</v>
      </c>
      <c r="Q412" s="9">
        <v>0</v>
      </c>
      <c r="R412" s="9">
        <v>110</v>
      </c>
      <c r="S412" s="9">
        <v>10</v>
      </c>
      <c r="T412" s="9">
        <v>200</v>
      </c>
      <c r="U412" s="9">
        <v>10</v>
      </c>
      <c r="W412" s="9">
        <v>20</v>
      </c>
      <c r="X412" s="9">
        <v>30</v>
      </c>
      <c r="Y412" s="9">
        <v>30</v>
      </c>
      <c r="Z412" s="9">
        <v>140</v>
      </c>
      <c r="AA412" s="9">
        <v>140</v>
      </c>
      <c r="AB412" s="9">
        <v>70</v>
      </c>
    </row>
    <row r="413" spans="2:28" x14ac:dyDescent="0.2">
      <c r="B413" s="21" t="s">
        <v>5154</v>
      </c>
      <c r="D413" s="9">
        <v>300218</v>
      </c>
      <c r="E413" s="9">
        <v>270</v>
      </c>
      <c r="F413" s="9">
        <v>451</v>
      </c>
      <c r="G413" s="56">
        <v>0</v>
      </c>
      <c r="H413" s="63" t="s">
        <v>5211</v>
      </c>
      <c r="I413" s="56">
        <v>0</v>
      </c>
      <c r="J413" s="9">
        <v>900</v>
      </c>
      <c r="L413" s="9">
        <v>10</v>
      </c>
      <c r="M413" s="9">
        <v>0</v>
      </c>
      <c r="N413" s="9">
        <v>40</v>
      </c>
      <c r="O413" s="9">
        <v>0</v>
      </c>
      <c r="P413" s="9">
        <v>0</v>
      </c>
      <c r="Q413" s="9">
        <v>0</v>
      </c>
      <c r="R413" s="9">
        <v>110</v>
      </c>
      <c r="S413" s="9">
        <v>10</v>
      </c>
      <c r="T413" s="9">
        <v>200</v>
      </c>
      <c r="U413" s="9">
        <v>10</v>
      </c>
      <c r="W413" s="9">
        <v>20</v>
      </c>
      <c r="X413" s="9">
        <v>30</v>
      </c>
      <c r="Y413" s="9">
        <v>30</v>
      </c>
      <c r="Z413" s="9">
        <v>160</v>
      </c>
      <c r="AA413" s="9">
        <v>160</v>
      </c>
      <c r="AB413" s="9">
        <v>80</v>
      </c>
    </row>
    <row r="414" spans="2:28" x14ac:dyDescent="0.2">
      <c r="B414" s="21" t="s">
        <v>5155</v>
      </c>
      <c r="D414" s="9">
        <v>300219</v>
      </c>
      <c r="E414" s="9">
        <v>300</v>
      </c>
      <c r="F414" s="9">
        <v>564</v>
      </c>
      <c r="G414" s="56">
        <v>0</v>
      </c>
      <c r="H414" s="63" t="s">
        <v>5130</v>
      </c>
      <c r="I414" s="56">
        <v>0</v>
      </c>
      <c r="J414" s="9">
        <v>1000</v>
      </c>
      <c r="L414" s="9">
        <v>10</v>
      </c>
      <c r="M414" s="9">
        <v>0</v>
      </c>
      <c r="N414" s="9">
        <v>50</v>
      </c>
      <c r="O414" s="9">
        <v>0</v>
      </c>
      <c r="P414" s="9">
        <v>0</v>
      </c>
      <c r="Q414" s="9">
        <v>0</v>
      </c>
      <c r="R414" s="9">
        <v>110</v>
      </c>
      <c r="S414" s="9">
        <v>10</v>
      </c>
      <c r="T414" s="9">
        <v>200</v>
      </c>
      <c r="U414" s="9">
        <v>10</v>
      </c>
      <c r="W414" s="9">
        <v>20</v>
      </c>
      <c r="X414" s="9">
        <v>30</v>
      </c>
      <c r="Y414" s="9">
        <v>30</v>
      </c>
      <c r="Z414" s="9">
        <v>200</v>
      </c>
      <c r="AA414" s="9">
        <v>200</v>
      </c>
      <c r="AB414" s="9">
        <v>100</v>
      </c>
    </row>
    <row r="415" spans="2:28" x14ac:dyDescent="0.2">
      <c r="B415" s="21" t="s">
        <v>5156</v>
      </c>
      <c r="D415" s="9">
        <v>300220</v>
      </c>
      <c r="E415" s="9">
        <v>45</v>
      </c>
      <c r="F415" s="9">
        <v>75</v>
      </c>
      <c r="G415" s="56">
        <v>0</v>
      </c>
      <c r="H415" s="63" t="s">
        <v>5206</v>
      </c>
      <c r="I415" s="56">
        <v>0</v>
      </c>
      <c r="J415" s="9">
        <v>100</v>
      </c>
      <c r="L415" s="9">
        <v>10</v>
      </c>
      <c r="M415" s="9">
        <v>0</v>
      </c>
      <c r="N415" s="9">
        <v>0</v>
      </c>
      <c r="O415" s="9">
        <v>0</v>
      </c>
      <c r="P415" s="9">
        <v>20</v>
      </c>
      <c r="Q415" s="9">
        <v>0</v>
      </c>
      <c r="R415" s="9">
        <v>110</v>
      </c>
      <c r="S415" s="9">
        <v>10</v>
      </c>
      <c r="T415" s="9">
        <v>200</v>
      </c>
      <c r="U415" s="9">
        <v>10</v>
      </c>
      <c r="W415" s="9">
        <v>20</v>
      </c>
      <c r="X415" s="9">
        <v>30</v>
      </c>
      <c r="Y415" s="9">
        <v>30</v>
      </c>
      <c r="Z415" s="9">
        <v>0</v>
      </c>
      <c r="AA415" s="9">
        <v>0</v>
      </c>
      <c r="AB415" s="9">
        <v>0</v>
      </c>
    </row>
    <row r="416" spans="2:28" x14ac:dyDescent="0.2">
      <c r="B416" s="21" t="s">
        <v>5157</v>
      </c>
      <c r="D416" s="9">
        <v>300221</v>
      </c>
      <c r="E416" s="9">
        <v>54</v>
      </c>
      <c r="F416" s="9">
        <v>94</v>
      </c>
      <c r="G416" s="56">
        <v>0</v>
      </c>
      <c r="H416" s="63" t="s">
        <v>5207</v>
      </c>
      <c r="I416" s="56">
        <v>0</v>
      </c>
      <c r="J416" s="9">
        <v>200</v>
      </c>
      <c r="L416" s="9">
        <v>10</v>
      </c>
      <c r="M416" s="9">
        <v>0</v>
      </c>
      <c r="N416" s="9">
        <v>0</v>
      </c>
      <c r="O416" s="9">
        <v>0</v>
      </c>
      <c r="P416" s="9">
        <v>20</v>
      </c>
      <c r="Q416" s="9">
        <v>0</v>
      </c>
      <c r="R416" s="9">
        <v>110</v>
      </c>
      <c r="S416" s="9">
        <v>10</v>
      </c>
      <c r="T416" s="9">
        <v>200</v>
      </c>
      <c r="U416" s="9">
        <v>10</v>
      </c>
      <c r="W416" s="9">
        <v>20</v>
      </c>
      <c r="X416" s="9">
        <v>30</v>
      </c>
      <c r="Y416" s="9">
        <v>30</v>
      </c>
      <c r="Z416" s="9">
        <v>20</v>
      </c>
      <c r="AA416" s="9">
        <v>20</v>
      </c>
      <c r="AB416" s="9">
        <v>10</v>
      </c>
    </row>
    <row r="417" spans="2:28" x14ac:dyDescent="0.2">
      <c r="B417" s="21" t="s">
        <v>5158</v>
      </c>
      <c r="D417" s="9">
        <v>300222</v>
      </c>
      <c r="E417" s="9">
        <v>60</v>
      </c>
      <c r="F417" s="9">
        <v>118</v>
      </c>
      <c r="G417" s="56">
        <v>0</v>
      </c>
      <c r="H417" s="63" t="s">
        <v>3255</v>
      </c>
      <c r="I417" s="56">
        <v>0</v>
      </c>
      <c r="J417" s="9">
        <v>300</v>
      </c>
      <c r="L417" s="9">
        <v>10</v>
      </c>
      <c r="M417" s="9">
        <v>0</v>
      </c>
      <c r="N417" s="9">
        <v>0</v>
      </c>
      <c r="O417" s="9">
        <v>0</v>
      </c>
      <c r="P417" s="9">
        <v>20</v>
      </c>
      <c r="Q417" s="9">
        <v>0</v>
      </c>
      <c r="R417" s="9">
        <v>110</v>
      </c>
      <c r="S417" s="9">
        <v>10</v>
      </c>
      <c r="T417" s="9">
        <v>200</v>
      </c>
      <c r="U417" s="9">
        <v>10</v>
      </c>
      <c r="W417" s="9">
        <v>20</v>
      </c>
      <c r="X417" s="9">
        <v>30</v>
      </c>
      <c r="Y417" s="9">
        <v>30</v>
      </c>
      <c r="Z417" s="9">
        <v>40</v>
      </c>
      <c r="AA417" s="9">
        <v>40</v>
      </c>
      <c r="AB417" s="9">
        <v>20</v>
      </c>
    </row>
    <row r="418" spans="2:28" x14ac:dyDescent="0.2">
      <c r="B418" s="21" t="s">
        <v>5159</v>
      </c>
      <c r="D418" s="9">
        <v>300223</v>
      </c>
      <c r="E418" s="9">
        <v>75</v>
      </c>
      <c r="F418" s="9">
        <v>148</v>
      </c>
      <c r="G418" s="56">
        <v>0</v>
      </c>
      <c r="H418" s="63" t="s">
        <v>3487</v>
      </c>
      <c r="I418" s="56">
        <v>0</v>
      </c>
      <c r="J418" s="9">
        <v>400</v>
      </c>
      <c r="L418" s="9">
        <v>10</v>
      </c>
      <c r="M418" s="9">
        <v>0</v>
      </c>
      <c r="N418" s="9">
        <v>0</v>
      </c>
      <c r="O418" s="9">
        <v>0</v>
      </c>
      <c r="P418" s="9">
        <v>30</v>
      </c>
      <c r="Q418" s="9">
        <v>0</v>
      </c>
      <c r="R418" s="9">
        <v>110</v>
      </c>
      <c r="S418" s="9">
        <v>10</v>
      </c>
      <c r="T418" s="9">
        <v>200</v>
      </c>
      <c r="U418" s="9">
        <v>10</v>
      </c>
      <c r="W418" s="9">
        <v>20</v>
      </c>
      <c r="X418" s="9">
        <v>30</v>
      </c>
      <c r="Y418" s="9">
        <v>30</v>
      </c>
      <c r="Z418" s="9">
        <v>60</v>
      </c>
      <c r="AA418" s="9">
        <v>60</v>
      </c>
      <c r="AB418" s="9">
        <v>30</v>
      </c>
    </row>
    <row r="419" spans="2:28" x14ac:dyDescent="0.2">
      <c r="B419" s="21" t="s">
        <v>5160</v>
      </c>
      <c r="D419" s="9">
        <v>300224</v>
      </c>
      <c r="E419" s="9">
        <v>90</v>
      </c>
      <c r="F419" s="9">
        <v>185</v>
      </c>
      <c r="G419" s="56">
        <v>0</v>
      </c>
      <c r="H419" s="63" t="s">
        <v>239</v>
      </c>
      <c r="I419" s="56">
        <v>0</v>
      </c>
      <c r="J419" s="9">
        <v>500</v>
      </c>
      <c r="L419" s="9">
        <v>10</v>
      </c>
      <c r="M419" s="9">
        <v>0</v>
      </c>
      <c r="N419" s="9">
        <v>0</v>
      </c>
      <c r="O419" s="9">
        <v>0</v>
      </c>
      <c r="P419" s="9">
        <v>30</v>
      </c>
      <c r="Q419" s="9">
        <v>0</v>
      </c>
      <c r="R419" s="9">
        <v>110</v>
      </c>
      <c r="S419" s="9">
        <v>10</v>
      </c>
      <c r="T419" s="9">
        <v>200</v>
      </c>
      <c r="U419" s="9">
        <v>10</v>
      </c>
      <c r="W419" s="9">
        <v>20</v>
      </c>
      <c r="X419" s="9">
        <v>30</v>
      </c>
      <c r="Y419" s="9">
        <v>30</v>
      </c>
      <c r="Z419" s="9">
        <v>80</v>
      </c>
      <c r="AA419" s="9">
        <v>80</v>
      </c>
      <c r="AB419" s="9">
        <v>40</v>
      </c>
    </row>
    <row r="420" spans="2:28" x14ac:dyDescent="0.2">
      <c r="B420" s="21" t="s">
        <v>5161</v>
      </c>
      <c r="D420" s="9">
        <v>300225</v>
      </c>
      <c r="E420" s="9">
        <v>99</v>
      </c>
      <c r="F420" s="9">
        <v>231</v>
      </c>
      <c r="G420" s="56">
        <v>0</v>
      </c>
      <c r="H420" s="63" t="s">
        <v>5208</v>
      </c>
      <c r="I420" s="56">
        <v>0</v>
      </c>
      <c r="J420" s="9">
        <v>600</v>
      </c>
      <c r="L420" s="9">
        <v>10</v>
      </c>
      <c r="M420" s="9">
        <v>0</v>
      </c>
      <c r="N420" s="9">
        <v>0</v>
      </c>
      <c r="O420" s="9">
        <v>0</v>
      </c>
      <c r="P420" s="9">
        <v>30</v>
      </c>
      <c r="Q420" s="9">
        <v>0</v>
      </c>
      <c r="R420" s="9">
        <v>110</v>
      </c>
      <c r="S420" s="9">
        <v>10</v>
      </c>
      <c r="T420" s="9">
        <v>200</v>
      </c>
      <c r="U420" s="9">
        <v>10</v>
      </c>
      <c r="W420" s="9">
        <v>20</v>
      </c>
      <c r="X420" s="9">
        <v>30</v>
      </c>
      <c r="Y420" s="9">
        <v>30</v>
      </c>
      <c r="Z420" s="9">
        <v>100</v>
      </c>
      <c r="AA420" s="9">
        <v>100</v>
      </c>
      <c r="AB420" s="9">
        <v>50</v>
      </c>
    </row>
    <row r="421" spans="2:28" x14ac:dyDescent="0.2">
      <c r="B421" s="21" t="s">
        <v>5162</v>
      </c>
      <c r="D421" s="9">
        <v>300226</v>
      </c>
      <c r="E421" s="9">
        <v>105</v>
      </c>
      <c r="F421" s="9">
        <v>289</v>
      </c>
      <c r="G421" s="56">
        <v>0</v>
      </c>
      <c r="H421" s="63" t="s">
        <v>5209</v>
      </c>
      <c r="I421" s="56">
        <v>0</v>
      </c>
      <c r="J421" s="9">
        <v>700</v>
      </c>
      <c r="L421" s="9">
        <v>10</v>
      </c>
      <c r="M421" s="9">
        <v>0</v>
      </c>
      <c r="N421" s="9">
        <v>0</v>
      </c>
      <c r="O421" s="9">
        <v>0</v>
      </c>
      <c r="P421" s="9">
        <v>40</v>
      </c>
      <c r="Q421" s="9">
        <v>0</v>
      </c>
      <c r="R421" s="9">
        <v>110</v>
      </c>
      <c r="S421" s="9">
        <v>10</v>
      </c>
      <c r="T421" s="9">
        <v>200</v>
      </c>
      <c r="U421" s="9">
        <v>10</v>
      </c>
      <c r="W421" s="9">
        <v>20</v>
      </c>
      <c r="X421" s="9">
        <v>30</v>
      </c>
      <c r="Y421" s="9">
        <v>30</v>
      </c>
      <c r="Z421" s="9">
        <v>120</v>
      </c>
      <c r="AA421" s="9">
        <v>120</v>
      </c>
      <c r="AB421" s="9">
        <v>60</v>
      </c>
    </row>
    <row r="422" spans="2:28" x14ac:dyDescent="0.2">
      <c r="B422" s="21" t="s">
        <v>5163</v>
      </c>
      <c r="D422" s="9">
        <v>300227</v>
      </c>
      <c r="E422" s="9">
        <v>120</v>
      </c>
      <c r="F422" s="9">
        <v>361</v>
      </c>
      <c r="G422" s="56">
        <v>0</v>
      </c>
      <c r="H422" s="63" t="s">
        <v>5210</v>
      </c>
      <c r="I422" s="56">
        <v>0</v>
      </c>
      <c r="J422" s="9">
        <v>800</v>
      </c>
      <c r="L422" s="9">
        <v>10</v>
      </c>
      <c r="M422" s="9">
        <v>0</v>
      </c>
      <c r="N422" s="9">
        <v>0</v>
      </c>
      <c r="O422" s="9">
        <v>0</v>
      </c>
      <c r="P422" s="9">
        <v>40</v>
      </c>
      <c r="Q422" s="9">
        <v>0</v>
      </c>
      <c r="R422" s="9">
        <v>110</v>
      </c>
      <c r="S422" s="9">
        <v>10</v>
      </c>
      <c r="T422" s="9">
        <v>200</v>
      </c>
      <c r="U422" s="9">
        <v>10</v>
      </c>
      <c r="W422" s="9">
        <v>20</v>
      </c>
      <c r="X422" s="9">
        <v>30</v>
      </c>
      <c r="Y422" s="9">
        <v>30</v>
      </c>
      <c r="Z422" s="9">
        <v>140</v>
      </c>
      <c r="AA422" s="9">
        <v>140</v>
      </c>
      <c r="AB422" s="9">
        <v>70</v>
      </c>
    </row>
    <row r="423" spans="2:28" x14ac:dyDescent="0.2">
      <c r="B423" s="21" t="s">
        <v>5164</v>
      </c>
      <c r="D423" s="9">
        <v>300228</v>
      </c>
      <c r="E423" s="9">
        <v>135</v>
      </c>
      <c r="F423" s="9">
        <v>451</v>
      </c>
      <c r="G423" s="56">
        <v>0</v>
      </c>
      <c r="H423" s="63" t="s">
        <v>5211</v>
      </c>
      <c r="I423" s="56">
        <v>0</v>
      </c>
      <c r="J423" s="9">
        <v>900</v>
      </c>
      <c r="L423" s="9">
        <v>10</v>
      </c>
      <c r="M423" s="9">
        <v>0</v>
      </c>
      <c r="N423" s="9">
        <v>0</v>
      </c>
      <c r="O423" s="9">
        <v>0</v>
      </c>
      <c r="P423" s="9">
        <v>40</v>
      </c>
      <c r="Q423" s="9">
        <v>0</v>
      </c>
      <c r="R423" s="9">
        <v>110</v>
      </c>
      <c r="S423" s="9">
        <v>10</v>
      </c>
      <c r="T423" s="9">
        <v>200</v>
      </c>
      <c r="U423" s="9">
        <v>10</v>
      </c>
      <c r="W423" s="9">
        <v>20</v>
      </c>
      <c r="X423" s="9">
        <v>30</v>
      </c>
      <c r="Y423" s="9">
        <v>30</v>
      </c>
      <c r="Z423" s="9">
        <v>160</v>
      </c>
      <c r="AA423" s="9">
        <v>160</v>
      </c>
      <c r="AB423" s="9">
        <v>80</v>
      </c>
    </row>
    <row r="424" spans="2:28" x14ac:dyDescent="0.2">
      <c r="B424" s="21" t="s">
        <v>5165</v>
      </c>
      <c r="D424" s="9">
        <v>300229</v>
      </c>
      <c r="E424" s="9">
        <v>150</v>
      </c>
      <c r="F424" s="9">
        <v>564</v>
      </c>
      <c r="G424" s="56">
        <v>0</v>
      </c>
      <c r="H424" s="63" t="s">
        <v>5130</v>
      </c>
      <c r="I424" s="56">
        <v>0</v>
      </c>
      <c r="J424" s="9">
        <v>1000</v>
      </c>
      <c r="L424" s="9">
        <v>10</v>
      </c>
      <c r="M424" s="9">
        <v>0</v>
      </c>
      <c r="N424" s="9">
        <v>0</v>
      </c>
      <c r="O424" s="9">
        <v>0</v>
      </c>
      <c r="P424" s="9">
        <v>50</v>
      </c>
      <c r="Q424" s="9">
        <v>0</v>
      </c>
      <c r="R424" s="9">
        <v>110</v>
      </c>
      <c r="S424" s="9">
        <v>10</v>
      </c>
      <c r="T424" s="9">
        <v>200</v>
      </c>
      <c r="U424" s="9">
        <v>10</v>
      </c>
      <c r="W424" s="9">
        <v>20</v>
      </c>
      <c r="X424" s="9">
        <v>30</v>
      </c>
      <c r="Y424" s="9">
        <v>30</v>
      </c>
      <c r="Z424" s="9">
        <v>200</v>
      </c>
      <c r="AA424" s="9">
        <v>200</v>
      </c>
      <c r="AB424" s="9">
        <v>100</v>
      </c>
    </row>
    <row r="425" spans="2:28" x14ac:dyDescent="0.2">
      <c r="B425" s="21" t="s">
        <v>5166</v>
      </c>
      <c r="D425" s="9">
        <v>300230</v>
      </c>
      <c r="E425" s="9">
        <v>1</v>
      </c>
      <c r="F425" s="9">
        <v>20</v>
      </c>
      <c r="G425" s="56">
        <v>0</v>
      </c>
      <c r="H425" s="56">
        <v>0</v>
      </c>
      <c r="I425" s="56">
        <v>0</v>
      </c>
      <c r="J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100</v>
      </c>
      <c r="S425" s="9">
        <v>0</v>
      </c>
      <c r="T425" s="9">
        <v>150</v>
      </c>
      <c r="U425" s="9">
        <v>10</v>
      </c>
      <c r="W425" s="9">
        <v>20</v>
      </c>
      <c r="X425" s="9">
        <v>30</v>
      </c>
      <c r="Y425" s="9">
        <v>20</v>
      </c>
      <c r="Z425" s="9">
        <v>0</v>
      </c>
      <c r="AA425" s="9">
        <v>0</v>
      </c>
      <c r="AB425" s="9">
        <v>0</v>
      </c>
    </row>
    <row r="426" spans="2:28" x14ac:dyDescent="0.2">
      <c r="B426" s="21" t="s">
        <v>5167</v>
      </c>
      <c r="D426" s="9">
        <v>300231</v>
      </c>
      <c r="E426" s="9">
        <v>1</v>
      </c>
      <c r="F426" s="9">
        <v>24</v>
      </c>
      <c r="G426" s="56">
        <v>0</v>
      </c>
      <c r="H426" s="56">
        <v>0</v>
      </c>
      <c r="I426" s="56">
        <v>0</v>
      </c>
      <c r="J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100</v>
      </c>
      <c r="S426" s="9">
        <v>0</v>
      </c>
      <c r="T426" s="9">
        <v>150</v>
      </c>
      <c r="U426" s="9">
        <v>10</v>
      </c>
      <c r="W426" s="9">
        <v>20</v>
      </c>
      <c r="X426" s="9">
        <v>30</v>
      </c>
      <c r="Y426" s="9">
        <v>20</v>
      </c>
      <c r="Z426" s="9">
        <v>20</v>
      </c>
      <c r="AA426" s="9">
        <v>20</v>
      </c>
      <c r="AB426" s="9">
        <v>10</v>
      </c>
    </row>
    <row r="427" spans="2:28" x14ac:dyDescent="0.2">
      <c r="B427" s="21" t="s">
        <v>5168</v>
      </c>
      <c r="D427" s="9">
        <v>300232</v>
      </c>
      <c r="E427" s="9">
        <v>1</v>
      </c>
      <c r="F427" s="9">
        <v>29</v>
      </c>
      <c r="G427" s="56">
        <v>0</v>
      </c>
      <c r="H427" s="56">
        <v>0</v>
      </c>
      <c r="I427" s="56">
        <v>0</v>
      </c>
      <c r="J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100</v>
      </c>
      <c r="S427" s="9">
        <v>0</v>
      </c>
      <c r="T427" s="9">
        <v>150</v>
      </c>
      <c r="U427" s="9">
        <v>10</v>
      </c>
      <c r="W427" s="9">
        <v>20</v>
      </c>
      <c r="X427" s="9">
        <v>30</v>
      </c>
      <c r="Y427" s="9">
        <v>20</v>
      </c>
      <c r="Z427" s="9">
        <v>40</v>
      </c>
      <c r="AA427" s="9">
        <v>40</v>
      </c>
      <c r="AB427" s="9">
        <v>20</v>
      </c>
    </row>
    <row r="428" spans="2:28" x14ac:dyDescent="0.2">
      <c r="B428" s="21" t="s">
        <v>5169</v>
      </c>
      <c r="D428" s="9">
        <v>300233</v>
      </c>
      <c r="E428" s="9">
        <v>1</v>
      </c>
      <c r="F428" s="9">
        <v>35</v>
      </c>
      <c r="G428" s="56">
        <v>0</v>
      </c>
      <c r="H428" s="56">
        <v>0</v>
      </c>
      <c r="I428" s="56">
        <v>0</v>
      </c>
      <c r="J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100</v>
      </c>
      <c r="S428" s="9">
        <v>0</v>
      </c>
      <c r="T428" s="9">
        <v>150</v>
      </c>
      <c r="U428" s="9">
        <v>10</v>
      </c>
      <c r="W428" s="9">
        <v>20</v>
      </c>
      <c r="X428" s="9">
        <v>30</v>
      </c>
      <c r="Y428" s="9">
        <v>20</v>
      </c>
      <c r="Z428" s="9">
        <v>60</v>
      </c>
      <c r="AA428" s="9">
        <v>60</v>
      </c>
      <c r="AB428" s="9">
        <v>30</v>
      </c>
    </row>
    <row r="429" spans="2:28" x14ac:dyDescent="0.2">
      <c r="B429" s="21" t="s">
        <v>5170</v>
      </c>
      <c r="D429" s="9">
        <v>300234</v>
      </c>
      <c r="E429" s="9">
        <v>1</v>
      </c>
      <c r="F429" s="9">
        <v>42</v>
      </c>
      <c r="G429" s="56">
        <v>0</v>
      </c>
      <c r="H429" s="56">
        <v>0</v>
      </c>
      <c r="I429" s="56">
        <v>0</v>
      </c>
      <c r="J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100</v>
      </c>
      <c r="S429" s="9">
        <v>0</v>
      </c>
      <c r="T429" s="9">
        <v>150</v>
      </c>
      <c r="U429" s="9">
        <v>10</v>
      </c>
      <c r="W429" s="9">
        <v>20</v>
      </c>
      <c r="X429" s="9">
        <v>30</v>
      </c>
      <c r="Y429" s="9">
        <v>20</v>
      </c>
      <c r="Z429" s="9">
        <v>80</v>
      </c>
      <c r="AA429" s="9">
        <v>80</v>
      </c>
      <c r="AB429" s="9">
        <v>40</v>
      </c>
    </row>
    <row r="430" spans="2:28" x14ac:dyDescent="0.2">
      <c r="B430" s="21" t="s">
        <v>5171</v>
      </c>
      <c r="D430" s="9">
        <v>300235</v>
      </c>
      <c r="E430" s="9">
        <v>1</v>
      </c>
      <c r="F430" s="9">
        <v>50</v>
      </c>
      <c r="G430" s="56">
        <v>0</v>
      </c>
      <c r="H430" s="56">
        <v>0</v>
      </c>
      <c r="I430" s="56">
        <v>0</v>
      </c>
      <c r="J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100</v>
      </c>
      <c r="S430" s="9">
        <v>0</v>
      </c>
      <c r="T430" s="9">
        <v>150</v>
      </c>
      <c r="U430" s="9">
        <v>10</v>
      </c>
      <c r="W430" s="9">
        <v>20</v>
      </c>
      <c r="X430" s="9">
        <v>30</v>
      </c>
      <c r="Y430" s="9">
        <v>20</v>
      </c>
      <c r="Z430" s="9">
        <v>100</v>
      </c>
      <c r="AA430" s="9">
        <v>100</v>
      </c>
      <c r="AB430" s="9">
        <v>50</v>
      </c>
    </row>
    <row r="431" spans="2:28" x14ac:dyDescent="0.2">
      <c r="B431" s="21" t="s">
        <v>5172</v>
      </c>
      <c r="D431" s="9">
        <v>300236</v>
      </c>
      <c r="E431" s="9">
        <v>1</v>
      </c>
      <c r="F431" s="9">
        <v>60</v>
      </c>
      <c r="G431" s="56">
        <v>0</v>
      </c>
      <c r="H431" s="56">
        <v>0</v>
      </c>
      <c r="I431" s="56">
        <v>0</v>
      </c>
      <c r="J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100</v>
      </c>
      <c r="S431" s="9">
        <v>0</v>
      </c>
      <c r="T431" s="9">
        <v>150</v>
      </c>
      <c r="U431" s="9">
        <v>10</v>
      </c>
      <c r="W431" s="9">
        <v>20</v>
      </c>
      <c r="X431" s="9">
        <v>30</v>
      </c>
      <c r="Y431" s="9">
        <v>20</v>
      </c>
      <c r="Z431" s="9">
        <v>120</v>
      </c>
      <c r="AA431" s="9">
        <v>120</v>
      </c>
      <c r="AB431" s="9">
        <v>60</v>
      </c>
    </row>
    <row r="432" spans="2:28" x14ac:dyDescent="0.2">
      <c r="B432" s="21" t="s">
        <v>5173</v>
      </c>
      <c r="D432" s="9">
        <v>300237</v>
      </c>
      <c r="E432" s="9">
        <v>1</v>
      </c>
      <c r="F432" s="9">
        <v>72</v>
      </c>
      <c r="G432" s="56">
        <v>0</v>
      </c>
      <c r="H432" s="56">
        <v>0</v>
      </c>
      <c r="I432" s="56">
        <v>0</v>
      </c>
      <c r="J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100</v>
      </c>
      <c r="S432" s="9">
        <v>0</v>
      </c>
      <c r="T432" s="9">
        <v>150</v>
      </c>
      <c r="U432" s="9">
        <v>10</v>
      </c>
      <c r="W432" s="9">
        <v>20</v>
      </c>
      <c r="X432" s="9">
        <v>30</v>
      </c>
      <c r="Y432" s="9">
        <v>20</v>
      </c>
      <c r="Z432" s="9">
        <v>140</v>
      </c>
      <c r="AA432" s="9">
        <v>140</v>
      </c>
      <c r="AB432" s="9">
        <v>70</v>
      </c>
    </row>
    <row r="433" spans="2:28" x14ac:dyDescent="0.2">
      <c r="B433" s="21" t="s">
        <v>5174</v>
      </c>
      <c r="D433" s="9">
        <v>300238</v>
      </c>
      <c r="E433" s="9">
        <v>1</v>
      </c>
      <c r="F433" s="9">
        <v>86</v>
      </c>
      <c r="G433" s="56">
        <v>0</v>
      </c>
      <c r="H433" s="56">
        <v>0</v>
      </c>
      <c r="I433" s="56">
        <v>0</v>
      </c>
      <c r="J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100</v>
      </c>
      <c r="S433" s="9">
        <v>0</v>
      </c>
      <c r="T433" s="9">
        <v>150</v>
      </c>
      <c r="U433" s="9">
        <v>10</v>
      </c>
      <c r="W433" s="9">
        <v>20</v>
      </c>
      <c r="X433" s="9">
        <v>30</v>
      </c>
      <c r="Y433" s="9">
        <v>20</v>
      </c>
      <c r="Z433" s="9">
        <v>160</v>
      </c>
      <c r="AA433" s="9">
        <v>160</v>
      </c>
      <c r="AB433" s="9">
        <v>80</v>
      </c>
    </row>
    <row r="434" spans="2:28" x14ac:dyDescent="0.2">
      <c r="B434" s="21" t="s">
        <v>5175</v>
      </c>
      <c r="D434" s="9">
        <v>300239</v>
      </c>
      <c r="E434" s="9">
        <v>1</v>
      </c>
      <c r="F434" s="9">
        <v>103</v>
      </c>
      <c r="G434" s="56">
        <v>0</v>
      </c>
      <c r="H434" s="56">
        <v>0</v>
      </c>
      <c r="I434" s="56">
        <v>0</v>
      </c>
      <c r="J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100</v>
      </c>
      <c r="S434" s="9">
        <v>0</v>
      </c>
      <c r="T434" s="9">
        <v>150</v>
      </c>
      <c r="U434" s="9">
        <v>10</v>
      </c>
      <c r="W434" s="9">
        <v>20</v>
      </c>
      <c r="X434" s="9">
        <v>30</v>
      </c>
      <c r="Y434" s="9">
        <v>20</v>
      </c>
      <c r="Z434" s="9">
        <v>200</v>
      </c>
      <c r="AA434" s="9">
        <v>200</v>
      </c>
      <c r="AB434" s="9">
        <v>100</v>
      </c>
    </row>
    <row r="435" spans="2:28" x14ac:dyDescent="0.2">
      <c r="B435" s="21" t="s">
        <v>5176</v>
      </c>
      <c r="D435" s="9">
        <v>300240</v>
      </c>
      <c r="E435" s="9">
        <v>45</v>
      </c>
      <c r="F435" s="9">
        <v>20</v>
      </c>
      <c r="G435" s="56">
        <v>0</v>
      </c>
      <c r="H435" s="56">
        <v>0</v>
      </c>
      <c r="I435" s="56">
        <v>0</v>
      </c>
      <c r="J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100</v>
      </c>
      <c r="S435" s="9">
        <v>0</v>
      </c>
      <c r="T435" s="9">
        <v>150</v>
      </c>
      <c r="U435" s="9">
        <v>10</v>
      </c>
      <c r="W435" s="9">
        <v>20</v>
      </c>
      <c r="X435" s="9">
        <v>30</v>
      </c>
      <c r="Y435" s="9">
        <v>20</v>
      </c>
      <c r="Z435" s="9">
        <v>0</v>
      </c>
      <c r="AA435" s="9">
        <v>0</v>
      </c>
      <c r="AB435" s="9">
        <v>0</v>
      </c>
    </row>
    <row r="436" spans="2:28" x14ac:dyDescent="0.2">
      <c r="B436" s="21" t="s">
        <v>5177</v>
      </c>
      <c r="D436" s="9">
        <v>300241</v>
      </c>
      <c r="E436" s="9">
        <v>54</v>
      </c>
      <c r="F436" s="9">
        <v>24</v>
      </c>
      <c r="G436" s="56">
        <v>0</v>
      </c>
      <c r="H436" s="56">
        <v>0</v>
      </c>
      <c r="I436" s="56">
        <v>0</v>
      </c>
      <c r="J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100</v>
      </c>
      <c r="S436" s="9">
        <v>0</v>
      </c>
      <c r="T436" s="9">
        <v>150</v>
      </c>
      <c r="U436" s="9">
        <v>10</v>
      </c>
      <c r="W436" s="9">
        <v>20</v>
      </c>
      <c r="X436" s="9">
        <v>30</v>
      </c>
      <c r="Y436" s="9">
        <v>20</v>
      </c>
      <c r="Z436" s="9">
        <v>20</v>
      </c>
      <c r="AA436" s="9">
        <v>20</v>
      </c>
      <c r="AB436" s="9">
        <v>10</v>
      </c>
    </row>
    <row r="437" spans="2:28" x14ac:dyDescent="0.2">
      <c r="B437" s="21" t="s">
        <v>5178</v>
      </c>
      <c r="D437" s="9">
        <v>300242</v>
      </c>
      <c r="E437" s="9">
        <v>60</v>
      </c>
      <c r="F437" s="9">
        <v>29</v>
      </c>
      <c r="G437" s="56">
        <v>0</v>
      </c>
      <c r="H437" s="56">
        <v>0</v>
      </c>
      <c r="I437" s="56">
        <v>0</v>
      </c>
      <c r="J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100</v>
      </c>
      <c r="S437" s="9">
        <v>0</v>
      </c>
      <c r="T437" s="9">
        <v>150</v>
      </c>
      <c r="U437" s="9">
        <v>10</v>
      </c>
      <c r="W437" s="9">
        <v>20</v>
      </c>
      <c r="X437" s="9">
        <v>30</v>
      </c>
      <c r="Y437" s="9">
        <v>20</v>
      </c>
      <c r="Z437" s="9">
        <v>40</v>
      </c>
      <c r="AA437" s="9">
        <v>40</v>
      </c>
      <c r="AB437" s="9">
        <v>20</v>
      </c>
    </row>
    <row r="438" spans="2:28" x14ac:dyDescent="0.2">
      <c r="B438" s="21" t="s">
        <v>5179</v>
      </c>
      <c r="D438" s="9">
        <v>300243</v>
      </c>
      <c r="E438" s="9">
        <v>75</v>
      </c>
      <c r="F438" s="9">
        <v>35</v>
      </c>
      <c r="G438" s="56">
        <v>0</v>
      </c>
      <c r="H438" s="56">
        <v>0</v>
      </c>
      <c r="I438" s="56">
        <v>0</v>
      </c>
      <c r="J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100</v>
      </c>
      <c r="S438" s="9">
        <v>0</v>
      </c>
      <c r="T438" s="9">
        <v>150</v>
      </c>
      <c r="U438" s="9">
        <v>10</v>
      </c>
      <c r="W438" s="9">
        <v>20</v>
      </c>
      <c r="X438" s="9">
        <v>30</v>
      </c>
      <c r="Y438" s="9">
        <v>20</v>
      </c>
      <c r="Z438" s="9">
        <v>60</v>
      </c>
      <c r="AA438" s="9">
        <v>60</v>
      </c>
      <c r="AB438" s="9">
        <v>30</v>
      </c>
    </row>
    <row r="439" spans="2:28" x14ac:dyDescent="0.2">
      <c r="B439" s="21" t="s">
        <v>5180</v>
      </c>
      <c r="D439" s="9">
        <v>300244</v>
      </c>
      <c r="E439" s="9">
        <v>90</v>
      </c>
      <c r="F439" s="9">
        <v>42</v>
      </c>
      <c r="G439" s="56">
        <v>0</v>
      </c>
      <c r="H439" s="56">
        <v>0</v>
      </c>
      <c r="I439" s="56">
        <v>0</v>
      </c>
      <c r="J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100</v>
      </c>
      <c r="S439" s="9">
        <v>0</v>
      </c>
      <c r="T439" s="9">
        <v>150</v>
      </c>
      <c r="U439" s="9">
        <v>10</v>
      </c>
      <c r="W439" s="9">
        <v>20</v>
      </c>
      <c r="X439" s="9">
        <v>30</v>
      </c>
      <c r="Y439" s="9">
        <v>20</v>
      </c>
      <c r="Z439" s="9">
        <v>80</v>
      </c>
      <c r="AA439" s="9">
        <v>80</v>
      </c>
      <c r="AB439" s="9">
        <v>40</v>
      </c>
    </row>
    <row r="440" spans="2:28" x14ac:dyDescent="0.2">
      <c r="B440" s="21" t="s">
        <v>5181</v>
      </c>
      <c r="D440" s="9">
        <v>300245</v>
      </c>
      <c r="E440" s="9">
        <v>99</v>
      </c>
      <c r="F440" s="9">
        <v>50</v>
      </c>
      <c r="G440" s="56">
        <v>0</v>
      </c>
      <c r="H440" s="56">
        <v>0</v>
      </c>
      <c r="I440" s="56">
        <v>0</v>
      </c>
      <c r="J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100</v>
      </c>
      <c r="S440" s="9">
        <v>0</v>
      </c>
      <c r="T440" s="9">
        <v>150</v>
      </c>
      <c r="U440" s="9">
        <v>10</v>
      </c>
      <c r="W440" s="9">
        <v>20</v>
      </c>
      <c r="X440" s="9">
        <v>30</v>
      </c>
      <c r="Y440" s="9">
        <v>20</v>
      </c>
      <c r="Z440" s="9">
        <v>100</v>
      </c>
      <c r="AA440" s="9">
        <v>100</v>
      </c>
      <c r="AB440" s="9">
        <v>50</v>
      </c>
    </row>
    <row r="441" spans="2:28" x14ac:dyDescent="0.2">
      <c r="B441" s="21" t="s">
        <v>5182</v>
      </c>
      <c r="D441" s="9">
        <v>300246</v>
      </c>
      <c r="E441" s="9">
        <v>105</v>
      </c>
      <c r="F441" s="9">
        <v>60</v>
      </c>
      <c r="G441" s="56">
        <v>0</v>
      </c>
      <c r="H441" s="56">
        <v>0</v>
      </c>
      <c r="I441" s="56">
        <v>0</v>
      </c>
      <c r="J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100</v>
      </c>
      <c r="S441" s="9">
        <v>0</v>
      </c>
      <c r="T441" s="9">
        <v>150</v>
      </c>
      <c r="U441" s="9">
        <v>10</v>
      </c>
      <c r="W441" s="9">
        <v>20</v>
      </c>
      <c r="X441" s="9">
        <v>30</v>
      </c>
      <c r="Y441" s="9">
        <v>20</v>
      </c>
      <c r="Z441" s="9">
        <v>120</v>
      </c>
      <c r="AA441" s="9">
        <v>120</v>
      </c>
      <c r="AB441" s="9">
        <v>60</v>
      </c>
    </row>
    <row r="442" spans="2:28" x14ac:dyDescent="0.2">
      <c r="B442" s="21" t="s">
        <v>5183</v>
      </c>
      <c r="D442" s="9">
        <v>300247</v>
      </c>
      <c r="E442" s="9">
        <v>120</v>
      </c>
      <c r="F442" s="9">
        <v>72</v>
      </c>
      <c r="G442" s="56">
        <v>0</v>
      </c>
      <c r="H442" s="56">
        <v>0</v>
      </c>
      <c r="I442" s="56">
        <v>0</v>
      </c>
      <c r="J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100</v>
      </c>
      <c r="S442" s="9">
        <v>0</v>
      </c>
      <c r="T442" s="9">
        <v>150</v>
      </c>
      <c r="U442" s="9">
        <v>10</v>
      </c>
      <c r="W442" s="9">
        <v>20</v>
      </c>
      <c r="X442" s="9">
        <v>30</v>
      </c>
      <c r="Y442" s="9">
        <v>20</v>
      </c>
      <c r="Z442" s="9">
        <v>140</v>
      </c>
      <c r="AA442" s="9">
        <v>140</v>
      </c>
      <c r="AB442" s="9">
        <v>70</v>
      </c>
    </row>
    <row r="443" spans="2:28" x14ac:dyDescent="0.2">
      <c r="B443" s="21" t="s">
        <v>5184</v>
      </c>
      <c r="D443" s="9">
        <v>300248</v>
      </c>
      <c r="E443" s="9">
        <v>135</v>
      </c>
      <c r="F443" s="9">
        <v>86</v>
      </c>
      <c r="G443" s="56">
        <v>0</v>
      </c>
      <c r="H443" s="56">
        <v>0</v>
      </c>
      <c r="I443" s="56">
        <v>0</v>
      </c>
      <c r="J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100</v>
      </c>
      <c r="S443" s="9">
        <v>0</v>
      </c>
      <c r="T443" s="9">
        <v>150</v>
      </c>
      <c r="U443" s="9">
        <v>10</v>
      </c>
      <c r="W443" s="9">
        <v>20</v>
      </c>
      <c r="X443" s="9">
        <v>30</v>
      </c>
      <c r="Y443" s="9">
        <v>20</v>
      </c>
      <c r="Z443" s="9">
        <v>160</v>
      </c>
      <c r="AA443" s="9">
        <v>160</v>
      </c>
      <c r="AB443" s="9">
        <v>80</v>
      </c>
    </row>
    <row r="444" spans="2:28" x14ac:dyDescent="0.2">
      <c r="B444" s="21" t="s">
        <v>5185</v>
      </c>
      <c r="D444" s="9">
        <v>300249</v>
      </c>
      <c r="E444" s="9">
        <v>150</v>
      </c>
      <c r="F444" s="9">
        <v>103</v>
      </c>
      <c r="G444" s="56">
        <v>0</v>
      </c>
      <c r="H444" s="56">
        <v>0</v>
      </c>
      <c r="I444" s="56">
        <v>0</v>
      </c>
      <c r="J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100</v>
      </c>
      <c r="S444" s="9">
        <v>0</v>
      </c>
      <c r="T444" s="9">
        <v>150</v>
      </c>
      <c r="U444" s="9">
        <v>10</v>
      </c>
      <c r="W444" s="9">
        <v>20</v>
      </c>
      <c r="X444" s="9">
        <v>30</v>
      </c>
      <c r="Y444" s="9">
        <v>20</v>
      </c>
      <c r="Z444" s="9">
        <v>200</v>
      </c>
      <c r="AA444" s="9">
        <v>200</v>
      </c>
      <c r="AB444" s="9">
        <v>100</v>
      </c>
    </row>
    <row r="445" spans="2:28" x14ac:dyDescent="0.2">
      <c r="B445" s="21" t="s">
        <v>5186</v>
      </c>
      <c r="D445" s="9">
        <v>300250</v>
      </c>
      <c r="E445" s="9">
        <v>58</v>
      </c>
      <c r="F445" s="9">
        <v>100</v>
      </c>
      <c r="G445" s="56">
        <v>0</v>
      </c>
      <c r="H445" s="56">
        <v>0</v>
      </c>
      <c r="I445" s="56">
        <v>0</v>
      </c>
      <c r="J445" s="9">
        <v>500</v>
      </c>
      <c r="L445" s="9">
        <v>0</v>
      </c>
      <c r="M445" s="9">
        <v>0</v>
      </c>
      <c r="N445" s="9">
        <v>10</v>
      </c>
      <c r="O445" s="9">
        <v>10</v>
      </c>
      <c r="P445" s="9">
        <v>10</v>
      </c>
      <c r="Q445" s="9">
        <v>10</v>
      </c>
      <c r="R445" s="9">
        <v>105</v>
      </c>
      <c r="S445" s="9">
        <v>5</v>
      </c>
      <c r="T445" s="9">
        <v>200</v>
      </c>
      <c r="U445" s="9">
        <v>10</v>
      </c>
      <c r="W445" s="9">
        <v>20</v>
      </c>
      <c r="X445" s="9">
        <v>30</v>
      </c>
      <c r="Y445" s="9">
        <v>20</v>
      </c>
      <c r="Z445" s="9">
        <v>0</v>
      </c>
      <c r="AA445" s="9">
        <v>0</v>
      </c>
      <c r="AB445" s="9">
        <v>0</v>
      </c>
    </row>
    <row r="446" spans="2:28" x14ac:dyDescent="0.2">
      <c r="B446" s="21" t="s">
        <v>5187</v>
      </c>
      <c r="D446" s="9">
        <v>300251</v>
      </c>
      <c r="E446" s="9">
        <v>70</v>
      </c>
      <c r="F446" s="9">
        <v>150</v>
      </c>
      <c r="G446" s="56">
        <v>0</v>
      </c>
      <c r="H446" s="56">
        <v>0</v>
      </c>
      <c r="I446" s="56">
        <v>0</v>
      </c>
      <c r="J446" s="9">
        <v>600</v>
      </c>
      <c r="L446" s="9">
        <v>0</v>
      </c>
      <c r="M446" s="9">
        <v>0</v>
      </c>
      <c r="N446" s="9">
        <v>10</v>
      </c>
      <c r="O446" s="9">
        <v>10</v>
      </c>
      <c r="P446" s="9">
        <v>10</v>
      </c>
      <c r="Q446" s="9">
        <v>10</v>
      </c>
      <c r="R446" s="9">
        <v>105</v>
      </c>
      <c r="S446" s="9">
        <v>5</v>
      </c>
      <c r="T446" s="9">
        <v>200</v>
      </c>
      <c r="U446" s="9">
        <v>10</v>
      </c>
      <c r="W446" s="9">
        <v>20</v>
      </c>
      <c r="X446" s="9">
        <v>30</v>
      </c>
      <c r="Y446" s="9">
        <v>20</v>
      </c>
      <c r="Z446" s="9">
        <v>20</v>
      </c>
      <c r="AA446" s="9">
        <v>20</v>
      </c>
      <c r="AB446" s="9">
        <v>10</v>
      </c>
    </row>
    <row r="447" spans="2:28" x14ac:dyDescent="0.2">
      <c r="B447" s="21" t="s">
        <v>5188</v>
      </c>
      <c r="D447" s="9">
        <v>300252</v>
      </c>
      <c r="E447" s="9">
        <v>78</v>
      </c>
      <c r="F447" s="9">
        <v>200</v>
      </c>
      <c r="G447" s="56">
        <v>0</v>
      </c>
      <c r="H447" s="56">
        <v>0</v>
      </c>
      <c r="I447" s="56">
        <v>0</v>
      </c>
      <c r="J447" s="9">
        <v>700</v>
      </c>
      <c r="L447" s="9">
        <v>0</v>
      </c>
      <c r="M447" s="9">
        <v>0</v>
      </c>
      <c r="N447" s="9">
        <v>10</v>
      </c>
      <c r="O447" s="9">
        <v>10</v>
      </c>
      <c r="P447" s="9">
        <v>10</v>
      </c>
      <c r="Q447" s="9">
        <v>10</v>
      </c>
      <c r="R447" s="9">
        <v>105</v>
      </c>
      <c r="S447" s="9">
        <v>5</v>
      </c>
      <c r="T447" s="9">
        <v>200</v>
      </c>
      <c r="U447" s="9">
        <v>10</v>
      </c>
      <c r="W447" s="9">
        <v>20</v>
      </c>
      <c r="X447" s="9">
        <v>30</v>
      </c>
      <c r="Y447" s="9">
        <v>20</v>
      </c>
      <c r="Z447" s="9">
        <v>40</v>
      </c>
      <c r="AA447" s="9">
        <v>40</v>
      </c>
      <c r="AB447" s="9">
        <v>20</v>
      </c>
    </row>
    <row r="448" spans="2:28" x14ac:dyDescent="0.2">
      <c r="B448" s="21" t="s">
        <v>5189</v>
      </c>
      <c r="D448" s="9">
        <v>300253</v>
      </c>
      <c r="E448" s="9">
        <v>97</v>
      </c>
      <c r="F448" s="9">
        <v>300</v>
      </c>
      <c r="G448" s="56">
        <v>0</v>
      </c>
      <c r="H448" s="56">
        <v>0</v>
      </c>
      <c r="I448" s="56">
        <v>0</v>
      </c>
      <c r="J448" s="9">
        <v>800</v>
      </c>
      <c r="L448" s="9">
        <v>0</v>
      </c>
      <c r="M448" s="9">
        <v>0</v>
      </c>
      <c r="N448" s="9">
        <v>10</v>
      </c>
      <c r="O448" s="9">
        <v>10</v>
      </c>
      <c r="P448" s="9">
        <v>10</v>
      </c>
      <c r="Q448" s="9">
        <v>10</v>
      </c>
      <c r="R448" s="9">
        <v>105</v>
      </c>
      <c r="S448" s="9">
        <v>5</v>
      </c>
      <c r="T448" s="9">
        <v>200</v>
      </c>
      <c r="U448" s="9">
        <v>10</v>
      </c>
      <c r="W448" s="9">
        <v>20</v>
      </c>
      <c r="X448" s="9">
        <v>30</v>
      </c>
      <c r="Y448" s="9">
        <v>20</v>
      </c>
      <c r="Z448" s="9">
        <v>60</v>
      </c>
      <c r="AA448" s="9">
        <v>60</v>
      </c>
      <c r="AB448" s="9">
        <v>30</v>
      </c>
    </row>
    <row r="449" spans="2:28" x14ac:dyDescent="0.2">
      <c r="B449" s="21" t="s">
        <v>5190</v>
      </c>
      <c r="D449" s="9">
        <v>300254</v>
      </c>
      <c r="E449" s="9">
        <v>117</v>
      </c>
      <c r="F449" s="9">
        <v>400</v>
      </c>
      <c r="G449" s="56">
        <v>0</v>
      </c>
      <c r="H449" s="56">
        <v>0</v>
      </c>
      <c r="I449" s="56">
        <v>0</v>
      </c>
      <c r="J449" s="9">
        <v>1000</v>
      </c>
      <c r="L449" s="9">
        <v>0</v>
      </c>
      <c r="M449" s="9">
        <v>0</v>
      </c>
      <c r="N449" s="9">
        <v>10</v>
      </c>
      <c r="O449" s="9">
        <v>10</v>
      </c>
      <c r="P449" s="9">
        <v>10</v>
      </c>
      <c r="Q449" s="9">
        <v>10</v>
      </c>
      <c r="R449" s="9">
        <v>105</v>
      </c>
      <c r="S449" s="9">
        <v>5</v>
      </c>
      <c r="T449" s="9">
        <v>200</v>
      </c>
      <c r="U449" s="9">
        <v>10</v>
      </c>
      <c r="W449" s="9">
        <v>20</v>
      </c>
      <c r="X449" s="9">
        <v>30</v>
      </c>
      <c r="Y449" s="9">
        <v>20</v>
      </c>
      <c r="Z449" s="9">
        <v>80</v>
      </c>
      <c r="AA449" s="9">
        <v>80</v>
      </c>
      <c r="AB449" s="9">
        <v>40</v>
      </c>
    </row>
    <row r="450" spans="2:28" x14ac:dyDescent="0.2">
      <c r="B450" s="21" t="s">
        <v>5191</v>
      </c>
      <c r="D450" s="9">
        <v>300255</v>
      </c>
      <c r="E450" s="9">
        <v>128</v>
      </c>
      <c r="F450" s="9">
        <v>500</v>
      </c>
      <c r="G450" s="56">
        <v>0</v>
      </c>
      <c r="H450" s="56">
        <v>0</v>
      </c>
      <c r="I450" s="56">
        <v>0</v>
      </c>
      <c r="J450" s="9">
        <v>1200</v>
      </c>
      <c r="L450" s="9">
        <v>0</v>
      </c>
      <c r="M450" s="9">
        <v>0</v>
      </c>
      <c r="N450" s="9">
        <v>10</v>
      </c>
      <c r="O450" s="9">
        <v>10</v>
      </c>
      <c r="P450" s="9">
        <v>10</v>
      </c>
      <c r="Q450" s="9">
        <v>10</v>
      </c>
      <c r="R450" s="9">
        <v>105</v>
      </c>
      <c r="S450" s="9">
        <v>5</v>
      </c>
      <c r="T450" s="9">
        <v>200</v>
      </c>
      <c r="U450" s="9">
        <v>10</v>
      </c>
      <c r="W450" s="9">
        <v>20</v>
      </c>
      <c r="X450" s="9">
        <v>30</v>
      </c>
      <c r="Y450" s="9">
        <v>20</v>
      </c>
      <c r="Z450" s="9">
        <v>100</v>
      </c>
      <c r="AA450" s="9">
        <v>100</v>
      </c>
      <c r="AB450" s="9">
        <v>50</v>
      </c>
    </row>
    <row r="451" spans="2:28" x14ac:dyDescent="0.2">
      <c r="B451" s="21" t="s">
        <v>5192</v>
      </c>
      <c r="D451" s="9">
        <v>300256</v>
      </c>
      <c r="E451" s="9">
        <v>136</v>
      </c>
      <c r="F451" s="9">
        <v>600</v>
      </c>
      <c r="G451" s="56">
        <v>0</v>
      </c>
      <c r="H451" s="56">
        <v>0</v>
      </c>
      <c r="I451" s="56">
        <v>0</v>
      </c>
      <c r="J451" s="9">
        <v>1400</v>
      </c>
      <c r="L451" s="9">
        <v>0</v>
      </c>
      <c r="M451" s="9">
        <v>0</v>
      </c>
      <c r="N451" s="9">
        <v>10</v>
      </c>
      <c r="O451" s="9">
        <v>10</v>
      </c>
      <c r="P451" s="9">
        <v>10</v>
      </c>
      <c r="Q451" s="9">
        <v>10</v>
      </c>
      <c r="R451" s="9">
        <v>105</v>
      </c>
      <c r="S451" s="9">
        <v>5</v>
      </c>
      <c r="T451" s="9">
        <v>200</v>
      </c>
      <c r="U451" s="9">
        <v>10</v>
      </c>
      <c r="W451" s="9">
        <v>20</v>
      </c>
      <c r="X451" s="9">
        <v>30</v>
      </c>
      <c r="Y451" s="9">
        <v>20</v>
      </c>
      <c r="Z451" s="9">
        <v>120</v>
      </c>
      <c r="AA451" s="9">
        <v>120</v>
      </c>
      <c r="AB451" s="9">
        <v>60</v>
      </c>
    </row>
    <row r="452" spans="2:28" x14ac:dyDescent="0.2">
      <c r="B452" s="21" t="s">
        <v>5193</v>
      </c>
      <c r="D452" s="9">
        <v>300257</v>
      </c>
      <c r="E452" s="9">
        <v>156</v>
      </c>
      <c r="F452" s="9">
        <v>700</v>
      </c>
      <c r="G452" s="56">
        <v>0</v>
      </c>
      <c r="H452" s="56">
        <v>0</v>
      </c>
      <c r="I452" s="56">
        <v>0</v>
      </c>
      <c r="J452" s="9">
        <v>1600</v>
      </c>
      <c r="L452" s="9">
        <v>0</v>
      </c>
      <c r="M452" s="9">
        <v>0</v>
      </c>
      <c r="N452" s="9">
        <v>10</v>
      </c>
      <c r="O452" s="9">
        <v>10</v>
      </c>
      <c r="P452" s="9">
        <v>10</v>
      </c>
      <c r="Q452" s="9">
        <v>10</v>
      </c>
      <c r="R452" s="9">
        <v>105</v>
      </c>
      <c r="S452" s="9">
        <v>5</v>
      </c>
      <c r="T452" s="9">
        <v>200</v>
      </c>
      <c r="U452" s="9">
        <v>10</v>
      </c>
      <c r="W452" s="9">
        <v>20</v>
      </c>
      <c r="X452" s="9">
        <v>30</v>
      </c>
      <c r="Y452" s="9">
        <v>20</v>
      </c>
      <c r="Z452" s="9">
        <v>140</v>
      </c>
      <c r="AA452" s="9">
        <v>140</v>
      </c>
      <c r="AB452" s="9">
        <v>70</v>
      </c>
    </row>
    <row r="453" spans="2:28" x14ac:dyDescent="0.2">
      <c r="B453" s="21" t="s">
        <v>5194</v>
      </c>
      <c r="D453" s="9">
        <v>300258</v>
      </c>
      <c r="E453" s="9">
        <v>175</v>
      </c>
      <c r="F453" s="9">
        <v>800</v>
      </c>
      <c r="G453" s="56">
        <v>0</v>
      </c>
      <c r="H453" s="56">
        <v>0</v>
      </c>
      <c r="I453" s="56">
        <v>0</v>
      </c>
      <c r="J453" s="9">
        <v>1800</v>
      </c>
      <c r="L453" s="9">
        <v>0</v>
      </c>
      <c r="M453" s="9">
        <v>0</v>
      </c>
      <c r="N453" s="9">
        <v>10</v>
      </c>
      <c r="O453" s="9">
        <v>10</v>
      </c>
      <c r="P453" s="9">
        <v>10</v>
      </c>
      <c r="Q453" s="9">
        <v>10</v>
      </c>
      <c r="R453" s="9">
        <v>105</v>
      </c>
      <c r="S453" s="9">
        <v>5</v>
      </c>
      <c r="T453" s="9">
        <v>200</v>
      </c>
      <c r="U453" s="9">
        <v>10</v>
      </c>
      <c r="W453" s="9">
        <v>20</v>
      </c>
      <c r="X453" s="9">
        <v>30</v>
      </c>
      <c r="Y453" s="9">
        <v>20</v>
      </c>
      <c r="Z453" s="9">
        <v>160</v>
      </c>
      <c r="AA453" s="9">
        <v>160</v>
      </c>
      <c r="AB453" s="9">
        <v>80</v>
      </c>
    </row>
    <row r="454" spans="2:28" x14ac:dyDescent="0.2">
      <c r="B454" s="21" t="s">
        <v>5195</v>
      </c>
      <c r="D454" s="9">
        <v>300259</v>
      </c>
      <c r="E454" s="9">
        <v>195</v>
      </c>
      <c r="F454" s="9">
        <v>1000</v>
      </c>
      <c r="G454" s="56">
        <v>0</v>
      </c>
      <c r="H454" s="56">
        <v>0</v>
      </c>
      <c r="I454" s="56">
        <v>0</v>
      </c>
      <c r="J454" s="9">
        <v>2000</v>
      </c>
      <c r="L454" s="9">
        <v>0</v>
      </c>
      <c r="M454" s="9">
        <v>0</v>
      </c>
      <c r="N454" s="9">
        <v>10</v>
      </c>
      <c r="O454" s="9">
        <v>10</v>
      </c>
      <c r="P454" s="9">
        <v>10</v>
      </c>
      <c r="Q454" s="9">
        <v>10</v>
      </c>
      <c r="R454" s="9">
        <v>105</v>
      </c>
      <c r="S454" s="9">
        <v>5</v>
      </c>
      <c r="T454" s="9">
        <v>200</v>
      </c>
      <c r="U454" s="9">
        <v>10</v>
      </c>
      <c r="W454" s="9">
        <v>20</v>
      </c>
      <c r="X454" s="9">
        <v>30</v>
      </c>
      <c r="Y454" s="9">
        <v>20</v>
      </c>
      <c r="Z454" s="9">
        <v>200</v>
      </c>
      <c r="AA454" s="9">
        <v>200</v>
      </c>
      <c r="AB454" s="9">
        <v>100</v>
      </c>
    </row>
    <row r="455" spans="2:28" x14ac:dyDescent="0.2">
      <c r="B455" s="21" t="s">
        <v>5196</v>
      </c>
      <c r="D455" s="9">
        <v>300260</v>
      </c>
      <c r="E455" s="9">
        <v>72</v>
      </c>
      <c r="F455" s="9">
        <v>75</v>
      </c>
      <c r="G455" s="56">
        <v>0</v>
      </c>
      <c r="H455" s="56">
        <v>0</v>
      </c>
      <c r="I455" s="56">
        <v>0</v>
      </c>
      <c r="J455" s="9">
        <v>100</v>
      </c>
      <c r="L455" s="9">
        <v>25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110</v>
      </c>
      <c r="S455" s="9">
        <v>10</v>
      </c>
      <c r="T455" s="9">
        <v>200</v>
      </c>
      <c r="U455" s="9">
        <v>10</v>
      </c>
      <c r="V455" s="9">
        <v>20</v>
      </c>
      <c r="W455" s="9">
        <v>20</v>
      </c>
      <c r="X455" s="9">
        <v>30</v>
      </c>
      <c r="Y455" s="9">
        <v>20</v>
      </c>
      <c r="Z455" s="9">
        <v>0</v>
      </c>
      <c r="AA455" s="9">
        <v>0</v>
      </c>
      <c r="AB455" s="9">
        <v>0</v>
      </c>
    </row>
    <row r="456" spans="2:28" x14ac:dyDescent="0.2">
      <c r="B456" s="21" t="s">
        <v>5197</v>
      </c>
      <c r="D456" s="9">
        <v>300261</v>
      </c>
      <c r="E456" s="9">
        <v>86</v>
      </c>
      <c r="F456" s="9">
        <v>125</v>
      </c>
      <c r="G456" s="56">
        <v>0</v>
      </c>
      <c r="H456" s="56">
        <v>0</v>
      </c>
      <c r="I456" s="56">
        <v>0</v>
      </c>
      <c r="J456" s="9">
        <v>200</v>
      </c>
      <c r="L456" s="9">
        <v>25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110</v>
      </c>
      <c r="S456" s="9">
        <v>10</v>
      </c>
      <c r="T456" s="9">
        <v>200</v>
      </c>
      <c r="U456" s="9">
        <v>10</v>
      </c>
      <c r="V456" s="9">
        <v>20</v>
      </c>
      <c r="W456" s="9">
        <v>20</v>
      </c>
      <c r="X456" s="9">
        <v>30</v>
      </c>
      <c r="Y456" s="9">
        <v>20</v>
      </c>
      <c r="Z456" s="9">
        <v>20</v>
      </c>
      <c r="AA456" s="9">
        <v>20</v>
      </c>
      <c r="AB456" s="9">
        <v>10</v>
      </c>
    </row>
    <row r="457" spans="2:28" x14ac:dyDescent="0.2">
      <c r="B457" s="21" t="s">
        <v>5198</v>
      </c>
      <c r="D457" s="9">
        <v>300262</v>
      </c>
      <c r="E457" s="9">
        <v>96</v>
      </c>
      <c r="F457" s="9">
        <v>175</v>
      </c>
      <c r="G457" s="56">
        <v>0</v>
      </c>
      <c r="H457" s="56">
        <v>0</v>
      </c>
      <c r="I457" s="56">
        <v>0</v>
      </c>
      <c r="J457" s="9">
        <v>300</v>
      </c>
      <c r="L457" s="9">
        <v>25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110</v>
      </c>
      <c r="S457" s="9">
        <v>10</v>
      </c>
      <c r="T457" s="9">
        <v>200</v>
      </c>
      <c r="U457" s="9">
        <v>10</v>
      </c>
      <c r="V457" s="9">
        <v>20</v>
      </c>
      <c r="W457" s="9">
        <v>20</v>
      </c>
      <c r="X457" s="9">
        <v>30</v>
      </c>
      <c r="Y457" s="9">
        <v>20</v>
      </c>
      <c r="Z457" s="9">
        <v>40</v>
      </c>
      <c r="AA457" s="9">
        <v>40</v>
      </c>
      <c r="AB457" s="9">
        <v>20</v>
      </c>
    </row>
    <row r="458" spans="2:28" x14ac:dyDescent="0.2">
      <c r="B458" s="21" t="s">
        <v>5199</v>
      </c>
      <c r="D458" s="9">
        <v>300263</v>
      </c>
      <c r="E458" s="9">
        <v>120</v>
      </c>
      <c r="F458" s="9">
        <v>225</v>
      </c>
      <c r="G458" s="56">
        <v>0</v>
      </c>
      <c r="H458" s="56">
        <v>0</v>
      </c>
      <c r="I458" s="56">
        <v>0</v>
      </c>
      <c r="J458" s="9">
        <v>400</v>
      </c>
      <c r="L458" s="9">
        <v>25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110</v>
      </c>
      <c r="S458" s="9">
        <v>10</v>
      </c>
      <c r="T458" s="9">
        <v>200</v>
      </c>
      <c r="U458" s="9">
        <v>10</v>
      </c>
      <c r="V458" s="9">
        <v>20</v>
      </c>
      <c r="W458" s="9">
        <v>20</v>
      </c>
      <c r="X458" s="9">
        <v>30</v>
      </c>
      <c r="Y458" s="9">
        <v>20</v>
      </c>
      <c r="Z458" s="9">
        <v>60</v>
      </c>
      <c r="AA458" s="9">
        <v>60</v>
      </c>
      <c r="AB458" s="9">
        <v>30</v>
      </c>
    </row>
    <row r="459" spans="2:28" x14ac:dyDescent="0.2">
      <c r="B459" s="21" t="s">
        <v>5200</v>
      </c>
      <c r="D459" s="9">
        <v>300264</v>
      </c>
      <c r="E459" s="9">
        <v>144</v>
      </c>
      <c r="F459" s="9">
        <v>275</v>
      </c>
      <c r="G459" s="56">
        <v>0</v>
      </c>
      <c r="H459" s="56">
        <v>0</v>
      </c>
      <c r="I459" s="56">
        <v>0</v>
      </c>
      <c r="J459" s="9">
        <v>500</v>
      </c>
      <c r="L459" s="9">
        <v>25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110</v>
      </c>
      <c r="S459" s="9">
        <v>10</v>
      </c>
      <c r="T459" s="9">
        <v>200</v>
      </c>
      <c r="U459" s="9">
        <v>10</v>
      </c>
      <c r="V459" s="9">
        <v>20</v>
      </c>
      <c r="W459" s="9">
        <v>20</v>
      </c>
      <c r="X459" s="9">
        <v>30</v>
      </c>
      <c r="Y459" s="9">
        <v>20</v>
      </c>
      <c r="Z459" s="9">
        <v>80</v>
      </c>
      <c r="AA459" s="9">
        <v>80</v>
      </c>
      <c r="AB459" s="9">
        <v>40</v>
      </c>
    </row>
    <row r="460" spans="2:28" x14ac:dyDescent="0.2">
      <c r="B460" s="21" t="s">
        <v>5201</v>
      </c>
      <c r="D460" s="9">
        <v>300265</v>
      </c>
      <c r="E460" s="9">
        <v>158</v>
      </c>
      <c r="F460" s="9">
        <v>325</v>
      </c>
      <c r="G460" s="56">
        <v>0</v>
      </c>
      <c r="H460" s="56">
        <v>0</v>
      </c>
      <c r="I460" s="56">
        <v>0</v>
      </c>
      <c r="J460" s="9">
        <v>600</v>
      </c>
      <c r="L460" s="9">
        <v>25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110</v>
      </c>
      <c r="S460" s="9">
        <v>10</v>
      </c>
      <c r="T460" s="9">
        <v>200</v>
      </c>
      <c r="U460" s="9">
        <v>10</v>
      </c>
      <c r="V460" s="9">
        <v>20</v>
      </c>
      <c r="W460" s="9">
        <v>20</v>
      </c>
      <c r="X460" s="9">
        <v>30</v>
      </c>
      <c r="Y460" s="9">
        <v>20</v>
      </c>
      <c r="Z460" s="9">
        <v>100</v>
      </c>
      <c r="AA460" s="9">
        <v>100</v>
      </c>
      <c r="AB460" s="9">
        <v>50</v>
      </c>
    </row>
    <row r="461" spans="2:28" x14ac:dyDescent="0.2">
      <c r="B461" s="21" t="s">
        <v>5202</v>
      </c>
      <c r="D461" s="9">
        <v>300266</v>
      </c>
      <c r="E461" s="9">
        <v>168</v>
      </c>
      <c r="F461" s="9">
        <v>375</v>
      </c>
      <c r="G461" s="56">
        <v>0</v>
      </c>
      <c r="H461" s="56">
        <v>0</v>
      </c>
      <c r="I461" s="56">
        <v>0</v>
      </c>
      <c r="J461" s="9">
        <v>700</v>
      </c>
      <c r="L461" s="9">
        <v>25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110</v>
      </c>
      <c r="S461" s="9">
        <v>10</v>
      </c>
      <c r="T461" s="9">
        <v>200</v>
      </c>
      <c r="U461" s="9">
        <v>10</v>
      </c>
      <c r="V461" s="9">
        <v>20</v>
      </c>
      <c r="W461" s="9">
        <v>20</v>
      </c>
      <c r="X461" s="9">
        <v>30</v>
      </c>
      <c r="Y461" s="9">
        <v>20</v>
      </c>
      <c r="Z461" s="9">
        <v>120</v>
      </c>
      <c r="AA461" s="9">
        <v>120</v>
      </c>
      <c r="AB461" s="9">
        <v>60</v>
      </c>
    </row>
    <row r="462" spans="2:28" x14ac:dyDescent="0.2">
      <c r="B462" s="21" t="s">
        <v>5203</v>
      </c>
      <c r="D462" s="9">
        <v>300267</v>
      </c>
      <c r="E462" s="9">
        <v>192</v>
      </c>
      <c r="F462" s="9">
        <v>425</v>
      </c>
      <c r="G462" s="56">
        <v>0</v>
      </c>
      <c r="H462" s="56">
        <v>0</v>
      </c>
      <c r="I462" s="56">
        <v>0</v>
      </c>
      <c r="J462" s="9">
        <v>800</v>
      </c>
      <c r="L462" s="9">
        <v>25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110</v>
      </c>
      <c r="S462" s="9">
        <v>10</v>
      </c>
      <c r="T462" s="9">
        <v>200</v>
      </c>
      <c r="U462" s="9">
        <v>10</v>
      </c>
      <c r="V462" s="9">
        <v>20</v>
      </c>
      <c r="W462" s="9">
        <v>20</v>
      </c>
      <c r="X462" s="9">
        <v>30</v>
      </c>
      <c r="Y462" s="9">
        <v>20</v>
      </c>
      <c r="Z462" s="9">
        <v>140</v>
      </c>
      <c r="AA462" s="9">
        <v>140</v>
      </c>
      <c r="AB462" s="9">
        <v>70</v>
      </c>
    </row>
    <row r="463" spans="2:28" x14ac:dyDescent="0.2">
      <c r="B463" s="21" t="s">
        <v>5204</v>
      </c>
      <c r="D463" s="9">
        <v>300268</v>
      </c>
      <c r="E463" s="9">
        <v>216</v>
      </c>
      <c r="F463" s="9">
        <v>475</v>
      </c>
      <c r="G463" s="56">
        <v>0</v>
      </c>
      <c r="H463" s="56">
        <v>0</v>
      </c>
      <c r="I463" s="56">
        <v>0</v>
      </c>
      <c r="J463" s="9">
        <v>900</v>
      </c>
      <c r="L463" s="9">
        <v>25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110</v>
      </c>
      <c r="S463" s="9">
        <v>10</v>
      </c>
      <c r="T463" s="9">
        <v>200</v>
      </c>
      <c r="U463" s="9">
        <v>10</v>
      </c>
      <c r="V463" s="9">
        <v>20</v>
      </c>
      <c r="W463" s="9">
        <v>20</v>
      </c>
      <c r="X463" s="9">
        <v>30</v>
      </c>
      <c r="Y463" s="9">
        <v>20</v>
      </c>
      <c r="Z463" s="9">
        <v>160</v>
      </c>
      <c r="AA463" s="9">
        <v>160</v>
      </c>
      <c r="AB463" s="9">
        <v>80</v>
      </c>
    </row>
    <row r="464" spans="2:28" x14ac:dyDescent="0.2">
      <c r="B464" s="21" t="s">
        <v>5205</v>
      </c>
      <c r="D464" s="9">
        <v>300269</v>
      </c>
      <c r="E464" s="9">
        <v>240</v>
      </c>
      <c r="F464" s="9">
        <v>525</v>
      </c>
      <c r="G464" s="56">
        <v>0</v>
      </c>
      <c r="H464" s="56">
        <v>0</v>
      </c>
      <c r="I464" s="56">
        <v>0</v>
      </c>
      <c r="J464" s="9">
        <v>1000</v>
      </c>
      <c r="L464" s="9">
        <v>25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110</v>
      </c>
      <c r="S464" s="9">
        <v>10</v>
      </c>
      <c r="T464" s="9">
        <v>200</v>
      </c>
      <c r="U464" s="9">
        <v>10</v>
      </c>
      <c r="V464" s="9">
        <v>20</v>
      </c>
      <c r="W464" s="9">
        <v>20</v>
      </c>
      <c r="X464" s="9">
        <v>30</v>
      </c>
      <c r="Y464" s="9">
        <v>20</v>
      </c>
      <c r="Z464" s="9">
        <v>200</v>
      </c>
      <c r="AA464" s="9">
        <v>200</v>
      </c>
      <c r="AB464" s="9">
        <v>100</v>
      </c>
    </row>
    <row r="465" spans="1:28" x14ac:dyDescent="0.2">
      <c r="A465" s="297" t="s">
        <v>4594</v>
      </c>
      <c r="B465" s="9" t="s">
        <v>333</v>
      </c>
      <c r="D465" s="9">
        <v>10791</v>
      </c>
      <c r="E465" s="9">
        <v>15</v>
      </c>
      <c r="F465" s="9">
        <v>3000</v>
      </c>
      <c r="G465" s="56">
        <v>0</v>
      </c>
      <c r="H465" s="56">
        <v>700</v>
      </c>
      <c r="I465" s="56">
        <v>0</v>
      </c>
      <c r="J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100</v>
      </c>
      <c r="S465" s="9">
        <v>5</v>
      </c>
      <c r="T465" s="9">
        <v>200</v>
      </c>
      <c r="U465" s="9">
        <v>10</v>
      </c>
      <c r="V465" s="9">
        <v>0</v>
      </c>
      <c r="W465" s="9">
        <v>20</v>
      </c>
      <c r="X465" s="9">
        <v>30</v>
      </c>
      <c r="Y465" s="9">
        <v>20</v>
      </c>
      <c r="Z465" s="9">
        <v>0</v>
      </c>
      <c r="AA465" s="9">
        <v>0</v>
      </c>
      <c r="AB465" s="9">
        <v>0</v>
      </c>
    </row>
    <row r="466" spans="1:28" x14ac:dyDescent="0.2">
      <c r="A466" s="298"/>
      <c r="B466" s="9" t="s">
        <v>337</v>
      </c>
      <c r="D466" s="9">
        <v>10792</v>
      </c>
      <c r="E466" s="9">
        <v>15</v>
      </c>
      <c r="F466" s="9">
        <v>3300</v>
      </c>
      <c r="G466" s="56">
        <v>0</v>
      </c>
      <c r="H466" s="56">
        <v>1050</v>
      </c>
      <c r="I466" s="56">
        <v>0</v>
      </c>
      <c r="J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100</v>
      </c>
      <c r="S466" s="9">
        <v>5</v>
      </c>
      <c r="T466" s="9">
        <v>200</v>
      </c>
      <c r="U466" s="9">
        <v>10</v>
      </c>
      <c r="V466" s="9">
        <v>0</v>
      </c>
      <c r="W466" s="9">
        <v>20</v>
      </c>
      <c r="X466" s="9">
        <v>30</v>
      </c>
      <c r="Y466" s="9">
        <v>20</v>
      </c>
      <c r="Z466" s="9">
        <v>0</v>
      </c>
      <c r="AA466" s="9">
        <v>0</v>
      </c>
      <c r="AB466" s="9">
        <v>0</v>
      </c>
    </row>
    <row r="467" spans="1:28" x14ac:dyDescent="0.2">
      <c r="A467" s="298"/>
      <c r="B467" s="9" t="s">
        <v>342</v>
      </c>
      <c r="D467" s="9">
        <v>10793</v>
      </c>
      <c r="E467" s="9">
        <v>15</v>
      </c>
      <c r="F467" s="9">
        <v>3600</v>
      </c>
      <c r="G467" s="56">
        <v>0</v>
      </c>
      <c r="H467" s="56">
        <v>1400</v>
      </c>
      <c r="I467" s="56">
        <v>0</v>
      </c>
      <c r="J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100</v>
      </c>
      <c r="S467" s="9">
        <v>10</v>
      </c>
      <c r="T467" s="9">
        <v>200</v>
      </c>
      <c r="U467" s="9">
        <v>10</v>
      </c>
      <c r="V467" s="9">
        <v>0</v>
      </c>
      <c r="W467" s="9">
        <v>20</v>
      </c>
      <c r="X467" s="9">
        <v>30</v>
      </c>
      <c r="Y467" s="9">
        <v>20</v>
      </c>
      <c r="Z467" s="9">
        <v>0</v>
      </c>
      <c r="AA467" s="9">
        <v>0</v>
      </c>
      <c r="AB467" s="9">
        <v>0</v>
      </c>
    </row>
    <row r="468" spans="1:28" x14ac:dyDescent="0.2">
      <c r="A468" s="298"/>
      <c r="B468" s="9" t="s">
        <v>346</v>
      </c>
      <c r="D468" s="9">
        <v>10794</v>
      </c>
      <c r="E468" s="9">
        <v>15</v>
      </c>
      <c r="F468" s="9">
        <v>4200</v>
      </c>
      <c r="G468" s="56">
        <v>0</v>
      </c>
      <c r="H468" s="56">
        <v>2100</v>
      </c>
      <c r="I468" s="56">
        <v>0</v>
      </c>
      <c r="J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100</v>
      </c>
      <c r="S468" s="9">
        <v>10</v>
      </c>
      <c r="T468" s="9">
        <v>200</v>
      </c>
      <c r="U468" s="9">
        <v>10</v>
      </c>
      <c r="V468" s="9">
        <v>0</v>
      </c>
      <c r="W468" s="9">
        <v>20</v>
      </c>
      <c r="X468" s="9">
        <v>30</v>
      </c>
      <c r="Y468" s="9">
        <v>20</v>
      </c>
      <c r="Z468" s="9">
        <v>0</v>
      </c>
      <c r="AA468" s="9">
        <v>0</v>
      </c>
      <c r="AB468" s="9">
        <v>0</v>
      </c>
    </row>
    <row r="469" spans="1:28" x14ac:dyDescent="0.2">
      <c r="A469" s="297" t="s">
        <v>4595</v>
      </c>
      <c r="B469" s="9" t="s">
        <v>418</v>
      </c>
      <c r="D469" s="9">
        <v>11791</v>
      </c>
      <c r="E469" s="9">
        <v>15</v>
      </c>
      <c r="F469" s="9">
        <v>3900</v>
      </c>
      <c r="G469" s="56">
        <v>0</v>
      </c>
      <c r="H469" s="56">
        <v>700</v>
      </c>
      <c r="I469" s="56">
        <v>0</v>
      </c>
      <c r="J469" s="9">
        <v>500</v>
      </c>
      <c r="L469" s="9">
        <v>0</v>
      </c>
      <c r="M469" s="9">
        <v>0</v>
      </c>
      <c r="N469" s="9">
        <v>0</v>
      </c>
      <c r="O469" s="9">
        <v>0</v>
      </c>
      <c r="P469" s="9">
        <v>10</v>
      </c>
      <c r="Q469" s="9">
        <v>0</v>
      </c>
      <c r="R469" s="9">
        <v>100</v>
      </c>
      <c r="S469" s="9">
        <v>5</v>
      </c>
      <c r="T469" s="9">
        <v>200</v>
      </c>
      <c r="U469" s="9">
        <v>10</v>
      </c>
      <c r="V469" s="9">
        <v>0</v>
      </c>
      <c r="W469" s="9">
        <v>20</v>
      </c>
      <c r="X469" s="9">
        <v>30</v>
      </c>
      <c r="Y469" s="9">
        <v>20</v>
      </c>
      <c r="Z469" s="9">
        <v>0</v>
      </c>
      <c r="AA469" s="9">
        <v>0</v>
      </c>
      <c r="AB469" s="9">
        <v>0</v>
      </c>
    </row>
    <row r="470" spans="1:28" x14ac:dyDescent="0.2">
      <c r="A470" s="298"/>
      <c r="B470" s="9" t="s">
        <v>421</v>
      </c>
      <c r="D470" s="9">
        <v>11792</v>
      </c>
      <c r="E470" s="9">
        <v>15</v>
      </c>
      <c r="F470" s="9">
        <v>4500</v>
      </c>
      <c r="G470" s="56">
        <v>0</v>
      </c>
      <c r="H470" s="56">
        <v>1050</v>
      </c>
      <c r="I470" s="56">
        <v>0</v>
      </c>
      <c r="J470" s="9">
        <v>500</v>
      </c>
      <c r="L470" s="9">
        <v>0</v>
      </c>
      <c r="M470" s="9">
        <v>0</v>
      </c>
      <c r="N470" s="9">
        <v>0</v>
      </c>
      <c r="O470" s="9">
        <v>0</v>
      </c>
      <c r="P470" s="9">
        <v>10</v>
      </c>
      <c r="Q470" s="9">
        <v>0</v>
      </c>
      <c r="R470" s="9">
        <v>100</v>
      </c>
      <c r="S470" s="9">
        <v>5</v>
      </c>
      <c r="T470" s="9">
        <v>200</v>
      </c>
      <c r="U470" s="9">
        <v>10</v>
      </c>
      <c r="V470" s="9">
        <v>0</v>
      </c>
      <c r="W470" s="9">
        <v>20</v>
      </c>
      <c r="X470" s="9">
        <v>30</v>
      </c>
      <c r="Y470" s="9">
        <v>20</v>
      </c>
      <c r="Z470" s="9">
        <v>0</v>
      </c>
      <c r="AA470" s="9">
        <v>0</v>
      </c>
      <c r="AB470" s="9">
        <v>0</v>
      </c>
    </row>
    <row r="471" spans="1:28" x14ac:dyDescent="0.2">
      <c r="A471" s="298"/>
      <c r="B471" s="9" t="s">
        <v>423</v>
      </c>
      <c r="D471" s="9">
        <v>11793</v>
      </c>
      <c r="E471" s="9">
        <v>15</v>
      </c>
      <c r="F471" s="9">
        <v>5400</v>
      </c>
      <c r="G471" s="56">
        <v>0</v>
      </c>
      <c r="H471" s="56">
        <v>1400</v>
      </c>
      <c r="I471" s="56">
        <v>0</v>
      </c>
      <c r="J471" s="9">
        <v>500</v>
      </c>
      <c r="L471" s="9">
        <v>0</v>
      </c>
      <c r="M471" s="9">
        <v>0</v>
      </c>
      <c r="N471" s="9">
        <v>0</v>
      </c>
      <c r="O471" s="9">
        <v>0</v>
      </c>
      <c r="P471" s="9">
        <v>10</v>
      </c>
      <c r="Q471" s="9">
        <v>0</v>
      </c>
      <c r="R471" s="9">
        <v>100</v>
      </c>
      <c r="S471" s="9">
        <v>5</v>
      </c>
      <c r="T471" s="9">
        <v>200</v>
      </c>
      <c r="U471" s="9">
        <v>10</v>
      </c>
      <c r="V471" s="9">
        <v>0</v>
      </c>
      <c r="W471" s="9">
        <v>20</v>
      </c>
      <c r="X471" s="9">
        <v>30</v>
      </c>
      <c r="Y471" s="9">
        <v>20</v>
      </c>
      <c r="Z471" s="9">
        <v>0</v>
      </c>
      <c r="AA471" s="9">
        <v>0</v>
      </c>
      <c r="AB471" s="9">
        <v>0</v>
      </c>
    </row>
    <row r="472" spans="1:28" x14ac:dyDescent="0.2">
      <c r="A472" s="298"/>
      <c r="B472" s="9" t="s">
        <v>426</v>
      </c>
      <c r="D472" s="9">
        <v>11794</v>
      </c>
      <c r="E472" s="9">
        <v>15</v>
      </c>
      <c r="F472" s="9">
        <v>6000</v>
      </c>
      <c r="G472" s="56">
        <v>0</v>
      </c>
      <c r="H472" s="56">
        <v>2100</v>
      </c>
      <c r="I472" s="56">
        <v>0</v>
      </c>
      <c r="J472" s="9">
        <v>500</v>
      </c>
      <c r="L472" s="9">
        <v>0</v>
      </c>
      <c r="M472" s="9">
        <v>0</v>
      </c>
      <c r="N472" s="9">
        <v>0</v>
      </c>
      <c r="O472" s="9">
        <v>0</v>
      </c>
      <c r="P472" s="9">
        <v>10</v>
      </c>
      <c r="Q472" s="9">
        <v>0</v>
      </c>
      <c r="R472" s="9">
        <v>100</v>
      </c>
      <c r="S472" s="9">
        <v>10</v>
      </c>
      <c r="T472" s="9">
        <v>200</v>
      </c>
      <c r="U472" s="9">
        <v>10</v>
      </c>
      <c r="V472" s="9">
        <v>0</v>
      </c>
      <c r="W472" s="9">
        <v>20</v>
      </c>
      <c r="X472" s="9">
        <v>30</v>
      </c>
      <c r="Y472" s="9">
        <v>20</v>
      </c>
      <c r="Z472" s="9">
        <v>0</v>
      </c>
      <c r="AA472" s="9">
        <v>0</v>
      </c>
      <c r="AB472" s="9">
        <v>0</v>
      </c>
    </row>
    <row r="473" spans="1:28" x14ac:dyDescent="0.2">
      <c r="A473" s="297" t="s">
        <v>4596</v>
      </c>
      <c r="B473" s="9" t="s">
        <v>469</v>
      </c>
      <c r="D473" s="9">
        <v>12791</v>
      </c>
      <c r="E473" s="9">
        <v>18</v>
      </c>
      <c r="F473" s="9">
        <v>3000</v>
      </c>
      <c r="G473" s="56">
        <v>0</v>
      </c>
      <c r="H473" s="56">
        <v>700</v>
      </c>
      <c r="I473" s="56">
        <v>0</v>
      </c>
      <c r="J473" s="9">
        <v>750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10</v>
      </c>
      <c r="R473" s="9">
        <v>100</v>
      </c>
      <c r="S473" s="9">
        <v>5</v>
      </c>
      <c r="T473" s="9">
        <v>200</v>
      </c>
      <c r="U473" s="9">
        <v>10</v>
      </c>
      <c r="V473" s="9">
        <v>0</v>
      </c>
      <c r="W473" s="9">
        <v>20</v>
      </c>
      <c r="X473" s="9">
        <v>30</v>
      </c>
      <c r="Y473" s="9">
        <v>20</v>
      </c>
      <c r="Z473" s="9">
        <v>0</v>
      </c>
      <c r="AA473" s="9">
        <v>0</v>
      </c>
      <c r="AB473" s="9">
        <v>0</v>
      </c>
    </row>
    <row r="474" spans="1:28" x14ac:dyDescent="0.2">
      <c r="A474" s="298"/>
      <c r="B474" s="9" t="s">
        <v>471</v>
      </c>
      <c r="D474" s="9">
        <v>12792</v>
      </c>
      <c r="E474" s="9">
        <v>18</v>
      </c>
      <c r="F474" s="9">
        <v>4200</v>
      </c>
      <c r="G474" s="56">
        <v>0</v>
      </c>
      <c r="H474" s="56">
        <v>1050</v>
      </c>
      <c r="I474" s="56">
        <v>0</v>
      </c>
      <c r="J474" s="9">
        <v>750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10</v>
      </c>
      <c r="R474" s="9">
        <v>100</v>
      </c>
      <c r="S474" s="9">
        <v>5</v>
      </c>
      <c r="T474" s="9">
        <v>200</v>
      </c>
      <c r="U474" s="9">
        <v>10</v>
      </c>
      <c r="V474" s="9">
        <v>0</v>
      </c>
      <c r="W474" s="9">
        <v>20</v>
      </c>
      <c r="X474" s="9">
        <v>30</v>
      </c>
      <c r="Y474" s="9">
        <v>20</v>
      </c>
      <c r="Z474" s="9">
        <v>0</v>
      </c>
      <c r="AA474" s="9">
        <v>0</v>
      </c>
      <c r="AB474" s="9">
        <v>0</v>
      </c>
    </row>
    <row r="475" spans="1:28" x14ac:dyDescent="0.2">
      <c r="A475" s="298"/>
      <c r="B475" s="9" t="s">
        <v>473</v>
      </c>
      <c r="D475" s="9">
        <v>12793</v>
      </c>
      <c r="E475" s="9">
        <v>18</v>
      </c>
      <c r="F475" s="9">
        <v>6000</v>
      </c>
      <c r="G475" s="56">
        <v>0</v>
      </c>
      <c r="H475" s="56">
        <v>1400</v>
      </c>
      <c r="I475" s="56">
        <v>0</v>
      </c>
      <c r="J475" s="9">
        <v>750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10</v>
      </c>
      <c r="R475" s="9">
        <v>100</v>
      </c>
      <c r="S475" s="9">
        <v>10</v>
      </c>
      <c r="T475" s="9">
        <v>200</v>
      </c>
      <c r="U475" s="9">
        <v>10</v>
      </c>
      <c r="V475" s="9">
        <v>0</v>
      </c>
      <c r="W475" s="9">
        <v>20</v>
      </c>
      <c r="X475" s="9">
        <v>30</v>
      </c>
      <c r="Y475" s="9">
        <v>20</v>
      </c>
      <c r="Z475" s="9">
        <v>0</v>
      </c>
      <c r="AA475" s="9">
        <v>0</v>
      </c>
      <c r="AB475" s="9">
        <v>0</v>
      </c>
    </row>
    <row r="476" spans="1:28" x14ac:dyDescent="0.2">
      <c r="A476" s="298"/>
      <c r="B476" s="9" t="s">
        <v>475</v>
      </c>
      <c r="D476" s="9">
        <v>12794</v>
      </c>
      <c r="E476" s="9">
        <v>18</v>
      </c>
      <c r="F476" s="9">
        <v>7800</v>
      </c>
      <c r="G476" s="56">
        <v>0</v>
      </c>
      <c r="H476" s="56">
        <v>2100</v>
      </c>
      <c r="I476" s="56">
        <v>0</v>
      </c>
      <c r="J476" s="9">
        <v>750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10</v>
      </c>
      <c r="R476" s="9">
        <v>100</v>
      </c>
      <c r="S476" s="9">
        <v>10</v>
      </c>
      <c r="T476" s="9">
        <v>200</v>
      </c>
      <c r="U476" s="9">
        <v>10</v>
      </c>
      <c r="V476" s="9">
        <v>0</v>
      </c>
      <c r="W476" s="9">
        <v>20</v>
      </c>
      <c r="X476" s="9">
        <v>30</v>
      </c>
      <c r="Y476" s="9">
        <v>20</v>
      </c>
      <c r="Z476" s="9">
        <v>0</v>
      </c>
      <c r="AA476" s="9">
        <v>0</v>
      </c>
      <c r="AB476" s="9">
        <v>0</v>
      </c>
    </row>
    <row r="477" spans="1:28" x14ac:dyDescent="0.2">
      <c r="A477" s="297" t="s">
        <v>4597</v>
      </c>
      <c r="B477" s="9" t="s">
        <v>501</v>
      </c>
      <c r="D477" s="9">
        <v>13791</v>
      </c>
      <c r="E477" s="9">
        <v>18</v>
      </c>
      <c r="F477" s="9">
        <v>4800</v>
      </c>
      <c r="G477" s="56">
        <v>0</v>
      </c>
      <c r="H477" s="56">
        <v>700</v>
      </c>
      <c r="I477" s="56">
        <v>0</v>
      </c>
      <c r="J477" s="9">
        <v>750</v>
      </c>
      <c r="L477" s="9">
        <v>0</v>
      </c>
      <c r="M477" s="9">
        <v>0</v>
      </c>
      <c r="N477" s="9">
        <v>10</v>
      </c>
      <c r="O477" s="9">
        <v>0</v>
      </c>
      <c r="P477" s="9">
        <v>0</v>
      </c>
      <c r="Q477" s="9">
        <v>0</v>
      </c>
      <c r="R477" s="9">
        <v>100</v>
      </c>
      <c r="S477" s="9">
        <v>10</v>
      </c>
      <c r="T477" s="9">
        <v>200</v>
      </c>
      <c r="U477" s="9">
        <v>10</v>
      </c>
      <c r="V477" s="9">
        <v>0</v>
      </c>
      <c r="W477" s="9">
        <v>20</v>
      </c>
      <c r="X477" s="9">
        <v>30</v>
      </c>
      <c r="Y477" s="9">
        <v>20</v>
      </c>
      <c r="Z477" s="9">
        <v>0</v>
      </c>
      <c r="AA477" s="9">
        <v>0</v>
      </c>
      <c r="AB477" s="9">
        <v>0</v>
      </c>
    </row>
    <row r="478" spans="1:28" x14ac:dyDescent="0.2">
      <c r="A478" s="298"/>
      <c r="B478" s="9" t="s">
        <v>503</v>
      </c>
      <c r="D478" s="9">
        <v>13792</v>
      </c>
      <c r="E478" s="9">
        <v>18</v>
      </c>
      <c r="F478" s="9">
        <v>6000</v>
      </c>
      <c r="G478" s="56">
        <v>0</v>
      </c>
      <c r="H478" s="56">
        <v>1050</v>
      </c>
      <c r="I478" s="56">
        <v>0</v>
      </c>
      <c r="J478" s="9">
        <v>750</v>
      </c>
      <c r="L478" s="9">
        <v>0</v>
      </c>
      <c r="M478" s="9">
        <v>0</v>
      </c>
      <c r="N478" s="9">
        <v>10</v>
      </c>
      <c r="O478" s="9">
        <v>0</v>
      </c>
      <c r="P478" s="9">
        <v>0</v>
      </c>
      <c r="Q478" s="9">
        <v>0</v>
      </c>
      <c r="R478" s="9">
        <v>100</v>
      </c>
      <c r="S478" s="9">
        <v>10</v>
      </c>
      <c r="T478" s="9">
        <v>200</v>
      </c>
      <c r="U478" s="9">
        <v>10</v>
      </c>
      <c r="V478" s="9">
        <v>0</v>
      </c>
      <c r="W478" s="9">
        <v>20</v>
      </c>
      <c r="X478" s="9">
        <v>30</v>
      </c>
      <c r="Y478" s="9">
        <v>20</v>
      </c>
      <c r="Z478" s="9">
        <v>0</v>
      </c>
      <c r="AA478" s="9">
        <v>0</v>
      </c>
      <c r="AB478" s="9">
        <v>0</v>
      </c>
    </row>
    <row r="479" spans="1:28" x14ac:dyDescent="0.2">
      <c r="A479" s="298"/>
      <c r="B479" s="9" t="s">
        <v>505</v>
      </c>
      <c r="D479" s="9">
        <v>13793</v>
      </c>
      <c r="E479" s="9">
        <v>18</v>
      </c>
      <c r="F479" s="9">
        <v>7200</v>
      </c>
      <c r="G479" s="56">
        <v>0</v>
      </c>
      <c r="H479" s="56">
        <v>1400</v>
      </c>
      <c r="I479" s="56">
        <v>0</v>
      </c>
      <c r="J479" s="9">
        <v>750</v>
      </c>
      <c r="L479" s="9">
        <v>0</v>
      </c>
      <c r="M479" s="9">
        <v>0</v>
      </c>
      <c r="N479" s="9">
        <v>10</v>
      </c>
      <c r="O479" s="9">
        <v>0</v>
      </c>
      <c r="P479" s="9">
        <v>0</v>
      </c>
      <c r="Q479" s="9">
        <v>0</v>
      </c>
      <c r="R479" s="9">
        <v>100</v>
      </c>
      <c r="S479" s="9">
        <v>10</v>
      </c>
      <c r="T479" s="9">
        <v>200</v>
      </c>
      <c r="U479" s="9">
        <v>10</v>
      </c>
      <c r="V479" s="9">
        <v>0</v>
      </c>
      <c r="W479" s="9">
        <v>20</v>
      </c>
      <c r="X479" s="9">
        <v>30</v>
      </c>
      <c r="Y479" s="9">
        <v>20</v>
      </c>
      <c r="Z479" s="9">
        <v>0</v>
      </c>
      <c r="AA479" s="9">
        <v>0</v>
      </c>
      <c r="AB479" s="9">
        <v>0</v>
      </c>
    </row>
    <row r="480" spans="1:28" x14ac:dyDescent="0.2">
      <c r="A480" s="298"/>
      <c r="B480" s="9" t="s">
        <v>507</v>
      </c>
      <c r="D480" s="9">
        <v>13794</v>
      </c>
      <c r="E480" s="9">
        <v>18</v>
      </c>
      <c r="F480" s="9">
        <v>9000</v>
      </c>
      <c r="G480" s="56">
        <v>0</v>
      </c>
      <c r="H480" s="56">
        <v>2100</v>
      </c>
      <c r="I480" s="56">
        <v>0</v>
      </c>
      <c r="J480" s="9">
        <v>750</v>
      </c>
      <c r="L480" s="9">
        <v>0</v>
      </c>
      <c r="M480" s="9">
        <v>0</v>
      </c>
      <c r="N480" s="9">
        <v>10</v>
      </c>
      <c r="O480" s="9">
        <v>0</v>
      </c>
      <c r="P480" s="9">
        <v>0</v>
      </c>
      <c r="Q480" s="9">
        <v>0</v>
      </c>
      <c r="R480" s="9">
        <v>100</v>
      </c>
      <c r="S480" s="9">
        <v>10</v>
      </c>
      <c r="T480" s="9">
        <v>200</v>
      </c>
      <c r="U480" s="9">
        <v>10</v>
      </c>
      <c r="V480" s="9">
        <v>0</v>
      </c>
      <c r="W480" s="9">
        <v>20</v>
      </c>
      <c r="X480" s="9">
        <v>30</v>
      </c>
      <c r="Y480" s="9">
        <v>20</v>
      </c>
      <c r="Z480" s="9">
        <v>0</v>
      </c>
      <c r="AA480" s="9">
        <v>0</v>
      </c>
      <c r="AB480" s="9">
        <v>0</v>
      </c>
    </row>
    <row r="481" spans="1:28" x14ac:dyDescent="0.2">
      <c r="A481" s="297" t="s">
        <v>4598</v>
      </c>
      <c r="B481" s="9" t="s">
        <v>538</v>
      </c>
      <c r="D481" s="9">
        <v>14791</v>
      </c>
      <c r="E481" s="9">
        <v>22</v>
      </c>
      <c r="F481" s="9">
        <v>6000</v>
      </c>
      <c r="G481" s="56">
        <v>0</v>
      </c>
      <c r="H481" s="56">
        <v>700</v>
      </c>
      <c r="I481" s="56">
        <v>0</v>
      </c>
      <c r="J481" s="9">
        <v>750</v>
      </c>
      <c r="L481" s="9">
        <v>0</v>
      </c>
      <c r="M481" s="9">
        <v>0</v>
      </c>
      <c r="N481" s="9">
        <v>0</v>
      </c>
      <c r="O481" s="9">
        <v>10</v>
      </c>
      <c r="P481" s="9">
        <v>0</v>
      </c>
      <c r="Q481" s="9">
        <v>0</v>
      </c>
      <c r="R481" s="9">
        <v>100</v>
      </c>
      <c r="S481" s="9">
        <v>10</v>
      </c>
      <c r="T481" s="9">
        <v>200</v>
      </c>
      <c r="U481" s="9">
        <v>10</v>
      </c>
      <c r="V481" s="9">
        <v>0</v>
      </c>
      <c r="W481" s="9">
        <v>20</v>
      </c>
      <c r="X481" s="9">
        <v>30</v>
      </c>
      <c r="Y481" s="9">
        <v>20</v>
      </c>
      <c r="Z481" s="9">
        <v>0</v>
      </c>
      <c r="AA481" s="9">
        <v>0</v>
      </c>
      <c r="AB481" s="9">
        <v>0</v>
      </c>
    </row>
    <row r="482" spans="1:28" x14ac:dyDescent="0.2">
      <c r="A482" s="298"/>
      <c r="B482" s="9" t="s">
        <v>540</v>
      </c>
      <c r="D482" s="9">
        <v>14792</v>
      </c>
      <c r="E482" s="9">
        <v>22</v>
      </c>
      <c r="F482" s="9">
        <v>7800</v>
      </c>
      <c r="G482" s="56">
        <v>0</v>
      </c>
      <c r="H482" s="56">
        <v>1050</v>
      </c>
      <c r="I482" s="56">
        <v>0</v>
      </c>
      <c r="J482" s="9">
        <v>750</v>
      </c>
      <c r="L482" s="9">
        <v>0</v>
      </c>
      <c r="M482" s="9">
        <v>0</v>
      </c>
      <c r="N482" s="9">
        <v>0</v>
      </c>
      <c r="O482" s="9">
        <v>10</v>
      </c>
      <c r="P482" s="9">
        <v>0</v>
      </c>
      <c r="Q482" s="9">
        <v>0</v>
      </c>
      <c r="R482" s="9">
        <v>100</v>
      </c>
      <c r="S482" s="9">
        <v>10</v>
      </c>
      <c r="T482" s="9">
        <v>200</v>
      </c>
      <c r="U482" s="9">
        <v>10</v>
      </c>
      <c r="V482" s="9">
        <v>0</v>
      </c>
      <c r="W482" s="9">
        <v>20</v>
      </c>
      <c r="X482" s="9">
        <v>30</v>
      </c>
      <c r="Y482" s="9">
        <v>20</v>
      </c>
      <c r="Z482" s="9">
        <v>0</v>
      </c>
      <c r="AA482" s="9">
        <v>0</v>
      </c>
      <c r="AB482" s="9">
        <v>0</v>
      </c>
    </row>
    <row r="483" spans="1:28" x14ac:dyDescent="0.2">
      <c r="A483" s="298"/>
      <c r="B483" s="9" t="s">
        <v>542</v>
      </c>
      <c r="D483" s="9">
        <v>14793</v>
      </c>
      <c r="E483" s="9">
        <v>22</v>
      </c>
      <c r="F483" s="9">
        <v>10200</v>
      </c>
      <c r="G483" s="56">
        <v>0</v>
      </c>
      <c r="H483" s="56">
        <v>1400</v>
      </c>
      <c r="I483" s="56">
        <v>0</v>
      </c>
      <c r="J483" s="9">
        <v>750</v>
      </c>
      <c r="L483" s="9">
        <v>0</v>
      </c>
      <c r="M483" s="9">
        <v>0</v>
      </c>
      <c r="N483" s="9">
        <v>0</v>
      </c>
      <c r="O483" s="9">
        <v>10</v>
      </c>
      <c r="P483" s="9">
        <v>0</v>
      </c>
      <c r="Q483" s="9">
        <v>0</v>
      </c>
      <c r="R483" s="9">
        <v>100</v>
      </c>
      <c r="S483" s="9">
        <v>10</v>
      </c>
      <c r="T483" s="9">
        <v>200</v>
      </c>
      <c r="U483" s="9">
        <v>10</v>
      </c>
      <c r="V483" s="9">
        <v>0</v>
      </c>
      <c r="W483" s="9">
        <v>20</v>
      </c>
      <c r="X483" s="9">
        <v>30</v>
      </c>
      <c r="Y483" s="9">
        <v>20</v>
      </c>
      <c r="Z483" s="9">
        <v>0</v>
      </c>
      <c r="AA483" s="9">
        <v>0</v>
      </c>
      <c r="AB483" s="9">
        <v>0</v>
      </c>
    </row>
    <row r="484" spans="1:28" x14ac:dyDescent="0.2">
      <c r="A484" s="298"/>
      <c r="B484" s="9" t="s">
        <v>546</v>
      </c>
      <c r="D484" s="9">
        <v>14794</v>
      </c>
      <c r="E484" s="9">
        <v>22</v>
      </c>
      <c r="F484" s="9">
        <v>12000</v>
      </c>
      <c r="G484" s="56">
        <v>0</v>
      </c>
      <c r="H484" s="56">
        <v>2100</v>
      </c>
      <c r="I484" s="56">
        <v>0</v>
      </c>
      <c r="J484" s="9">
        <v>750</v>
      </c>
      <c r="L484" s="9">
        <v>0</v>
      </c>
      <c r="M484" s="9">
        <v>0</v>
      </c>
      <c r="N484" s="9">
        <v>0</v>
      </c>
      <c r="O484" s="9">
        <v>10</v>
      </c>
      <c r="P484" s="9">
        <v>0</v>
      </c>
      <c r="Q484" s="9">
        <v>0</v>
      </c>
      <c r="R484" s="9">
        <v>100</v>
      </c>
      <c r="S484" s="9">
        <v>10</v>
      </c>
      <c r="T484" s="9">
        <v>200</v>
      </c>
      <c r="U484" s="9">
        <v>10</v>
      </c>
      <c r="V484" s="9">
        <v>0</v>
      </c>
      <c r="W484" s="9">
        <v>20</v>
      </c>
      <c r="X484" s="9">
        <v>30</v>
      </c>
      <c r="Y484" s="9">
        <v>20</v>
      </c>
      <c r="Z484" s="9">
        <v>0</v>
      </c>
      <c r="AA484" s="9">
        <v>0</v>
      </c>
      <c r="AB484" s="9">
        <v>0</v>
      </c>
    </row>
    <row r="489" spans="1:28" x14ac:dyDescent="0.2">
      <c r="J489" s="240"/>
    </row>
    <row r="490" spans="1:28" x14ac:dyDescent="0.2">
      <c r="J490" s="240"/>
    </row>
    <row r="491" spans="1:28" x14ac:dyDescent="0.2">
      <c r="J491" s="240"/>
    </row>
    <row r="492" spans="1:28" x14ac:dyDescent="0.2">
      <c r="J492" s="240"/>
    </row>
    <row r="493" spans="1:28" x14ac:dyDescent="0.2">
      <c r="J493" s="240"/>
    </row>
    <row r="494" spans="1:28" x14ac:dyDescent="0.2">
      <c r="J494" s="240"/>
    </row>
    <row r="495" spans="1:28" x14ac:dyDescent="0.2">
      <c r="J495" s="240"/>
    </row>
    <row r="496" spans="1:28" x14ac:dyDescent="0.2">
      <c r="J496" s="240"/>
    </row>
    <row r="497" spans="10:10" x14ac:dyDescent="0.2">
      <c r="J497" s="240"/>
    </row>
    <row r="498" spans="10:10" x14ac:dyDescent="0.2">
      <c r="J498" s="240"/>
    </row>
    <row r="499" spans="10:10" x14ac:dyDescent="0.2">
      <c r="J499" s="240"/>
    </row>
    <row r="500" spans="10:10" x14ac:dyDescent="0.2">
      <c r="J500" s="240"/>
    </row>
    <row r="501" spans="10:10" x14ac:dyDescent="0.2">
      <c r="J501" s="240"/>
    </row>
    <row r="502" spans="10:10" x14ac:dyDescent="0.2">
      <c r="J502" s="240"/>
    </row>
    <row r="503" spans="10:10" x14ac:dyDescent="0.2">
      <c r="J503" s="240"/>
    </row>
    <row r="504" spans="10:10" x14ac:dyDescent="0.2">
      <c r="J504" s="240"/>
    </row>
    <row r="505" spans="10:10" x14ac:dyDescent="0.2">
      <c r="J505" s="240"/>
    </row>
    <row r="506" spans="10:10" x14ac:dyDescent="0.2">
      <c r="J506" s="240"/>
    </row>
    <row r="507" spans="10:10" x14ac:dyDescent="0.2">
      <c r="J507" s="240"/>
    </row>
    <row r="508" spans="10:10" x14ac:dyDescent="0.2">
      <c r="J508" s="240"/>
    </row>
  </sheetData>
  <autoFilter ref="B1:B484" xr:uid="{00000000-0001-0000-0100-000000000000}"/>
  <mergeCells count="12">
    <mergeCell ref="A132:A146"/>
    <mergeCell ref="A147:A151"/>
    <mergeCell ref="A19:A39"/>
    <mergeCell ref="A40:A66"/>
    <mergeCell ref="A67:A89"/>
    <mergeCell ref="A90:A108"/>
    <mergeCell ref="A109:A130"/>
    <mergeCell ref="A465:A468"/>
    <mergeCell ref="A469:A472"/>
    <mergeCell ref="A473:A476"/>
    <mergeCell ref="A477:A480"/>
    <mergeCell ref="A481:A484"/>
  </mergeCells>
  <phoneticPr fontId="19" type="noConversion"/>
  <conditionalFormatting sqref="D14:D18 D1:D12 D204:D1048576">
    <cfRule type="duplicateValues" dxfId="193" priority="216"/>
  </conditionalFormatting>
  <conditionalFormatting sqref="D1:D1048576">
    <cfRule type="duplicateValues" dxfId="192" priority="1"/>
  </conditionalFormatting>
  <conditionalFormatting sqref="D13">
    <cfRule type="duplicateValues" dxfId="191" priority="95"/>
  </conditionalFormatting>
  <conditionalFormatting sqref="D19:D26">
    <cfRule type="duplicateValues" dxfId="190" priority="102"/>
    <cfRule type="duplicateValues" dxfId="189" priority="105"/>
  </conditionalFormatting>
  <conditionalFormatting sqref="D19:D52">
    <cfRule type="cellIs" dxfId="188" priority="16" operator="equal">
      <formula>20000552.5</formula>
    </cfRule>
  </conditionalFormatting>
  <conditionalFormatting sqref="D27:D31 D33:D39">
    <cfRule type="duplicateValues" dxfId="187" priority="15132"/>
    <cfRule type="duplicateValues" dxfId="186" priority="15135"/>
  </conditionalFormatting>
  <conditionalFormatting sqref="D32">
    <cfRule type="duplicateValues" dxfId="185" priority="50"/>
    <cfRule type="duplicateValues" dxfId="184" priority="53"/>
  </conditionalFormatting>
  <conditionalFormatting sqref="D40:D48 D53:D66">
    <cfRule type="duplicateValues" dxfId="183" priority="15354"/>
    <cfRule type="duplicateValues" dxfId="182" priority="15357"/>
  </conditionalFormatting>
  <conditionalFormatting sqref="D49:D52">
    <cfRule type="duplicateValues" dxfId="181" priority="17"/>
    <cfRule type="duplicateValues" dxfId="180" priority="18"/>
  </conditionalFormatting>
  <conditionalFormatting sqref="D53:D89">
    <cfRule type="cellIs" dxfId="179" priority="63" operator="equal">
      <formula>20000552.5</formula>
    </cfRule>
  </conditionalFormatting>
  <conditionalFormatting sqref="D72 D74 D76">
    <cfRule type="duplicateValues" dxfId="178" priority="59"/>
    <cfRule type="duplicateValues" dxfId="177" priority="62"/>
  </conditionalFormatting>
  <conditionalFormatting sqref="D88">
    <cfRule type="duplicateValues" dxfId="176" priority="65"/>
    <cfRule type="duplicateValues" dxfId="175" priority="68"/>
  </conditionalFormatting>
  <conditionalFormatting sqref="D89 D67:D71 D73 D75 D77:D87">
    <cfRule type="duplicateValues" dxfId="174" priority="15516"/>
    <cfRule type="duplicateValues" dxfId="173" priority="15519"/>
  </conditionalFormatting>
  <conditionalFormatting sqref="D90:D108">
    <cfRule type="duplicateValues" dxfId="172" priority="15703"/>
    <cfRule type="duplicateValues" dxfId="171" priority="15706"/>
  </conditionalFormatting>
  <conditionalFormatting sqref="D90:D203">
    <cfRule type="cellIs" dxfId="170" priority="19" operator="equal">
      <formula>20000552.5</formula>
    </cfRule>
  </conditionalFormatting>
  <conditionalFormatting sqref="D109:D131">
    <cfRule type="duplicateValues" dxfId="169" priority="16037"/>
    <cfRule type="duplicateValues" dxfId="168" priority="16040"/>
  </conditionalFormatting>
  <conditionalFormatting sqref="D132:D141 D143:D146">
    <cfRule type="duplicateValues" dxfId="167" priority="30"/>
    <cfRule type="duplicateValues" dxfId="166" priority="33"/>
  </conditionalFormatting>
  <conditionalFormatting sqref="D142">
    <cfRule type="duplicateValues" dxfId="165" priority="20"/>
    <cfRule type="duplicateValues" dxfId="164" priority="23"/>
  </conditionalFormatting>
  <conditionalFormatting sqref="D147:D151">
    <cfRule type="duplicateValues" dxfId="163" priority="25"/>
    <cfRule type="duplicateValues" dxfId="162" priority="28"/>
  </conditionalFormatting>
  <conditionalFormatting sqref="D152:D161 D164:D167 D170 D174 D185">
    <cfRule type="duplicateValues" dxfId="161" priority="203"/>
    <cfRule type="duplicateValues" dxfId="160" priority="206"/>
  </conditionalFormatting>
  <conditionalFormatting sqref="D162:D163">
    <cfRule type="duplicateValues" dxfId="159" priority="198"/>
    <cfRule type="duplicateValues" dxfId="158" priority="201"/>
  </conditionalFormatting>
  <conditionalFormatting sqref="D168">
    <cfRule type="duplicateValues" dxfId="157" priority="193"/>
    <cfRule type="duplicateValues" dxfId="156" priority="196"/>
  </conditionalFormatting>
  <conditionalFormatting sqref="D169">
    <cfRule type="duplicateValues" dxfId="155" priority="188"/>
    <cfRule type="duplicateValues" dxfId="154" priority="191"/>
  </conditionalFormatting>
  <conditionalFormatting sqref="D171">
    <cfRule type="duplicateValues" dxfId="153" priority="183"/>
    <cfRule type="duplicateValues" dxfId="152" priority="186"/>
  </conditionalFormatting>
  <conditionalFormatting sqref="D172">
    <cfRule type="duplicateValues" dxfId="151" priority="178"/>
    <cfRule type="duplicateValues" dxfId="150" priority="181"/>
  </conditionalFormatting>
  <conditionalFormatting sqref="D173">
    <cfRule type="duplicateValues" dxfId="149" priority="173"/>
    <cfRule type="duplicateValues" dxfId="148" priority="176"/>
  </conditionalFormatting>
  <conditionalFormatting sqref="D175">
    <cfRule type="duplicateValues" dxfId="147" priority="168"/>
    <cfRule type="duplicateValues" dxfId="146" priority="171"/>
  </conditionalFormatting>
  <conditionalFormatting sqref="D176">
    <cfRule type="duplicateValues" dxfId="145" priority="163"/>
    <cfRule type="duplicateValues" dxfId="144" priority="166"/>
  </conditionalFormatting>
  <conditionalFormatting sqref="D177">
    <cfRule type="duplicateValues" dxfId="143" priority="153"/>
    <cfRule type="duplicateValues" dxfId="142" priority="156"/>
  </conditionalFormatting>
  <conditionalFormatting sqref="D178">
    <cfRule type="duplicateValues" dxfId="141" priority="158"/>
    <cfRule type="duplicateValues" dxfId="140" priority="161"/>
  </conditionalFormatting>
  <conditionalFormatting sqref="D179">
    <cfRule type="duplicateValues" dxfId="139" priority="148"/>
    <cfRule type="duplicateValues" dxfId="138" priority="151"/>
  </conditionalFormatting>
  <conditionalFormatting sqref="D180:D182">
    <cfRule type="duplicateValues" dxfId="137" priority="143"/>
    <cfRule type="duplicateValues" dxfId="136" priority="146"/>
  </conditionalFormatting>
  <conditionalFormatting sqref="D183:D184">
    <cfRule type="duplicateValues" dxfId="135" priority="138"/>
    <cfRule type="duplicateValues" dxfId="134" priority="141"/>
  </conditionalFormatting>
  <conditionalFormatting sqref="D186">
    <cfRule type="duplicateValues" dxfId="133" priority="133"/>
    <cfRule type="duplicateValues" dxfId="132" priority="136"/>
  </conditionalFormatting>
  <conditionalFormatting sqref="D187">
    <cfRule type="duplicateValues" dxfId="131" priority="128"/>
    <cfRule type="duplicateValues" dxfId="130" priority="131"/>
  </conditionalFormatting>
  <conditionalFormatting sqref="D188:D191">
    <cfRule type="duplicateValues" dxfId="129" priority="123"/>
    <cfRule type="duplicateValues" dxfId="128" priority="126"/>
  </conditionalFormatting>
  <conditionalFormatting sqref="D192">
    <cfRule type="duplicateValues" dxfId="127" priority="117"/>
    <cfRule type="duplicateValues" dxfId="126" priority="120"/>
  </conditionalFormatting>
  <conditionalFormatting sqref="D193">
    <cfRule type="duplicateValues" dxfId="125" priority="207"/>
    <cfRule type="duplicateValues" dxfId="124" priority="210"/>
  </conditionalFormatting>
  <conditionalFormatting sqref="D194">
    <cfRule type="duplicateValues" dxfId="123" priority="107"/>
    <cfRule type="duplicateValues" dxfId="122" priority="110"/>
  </conditionalFormatting>
  <conditionalFormatting sqref="D195">
    <cfRule type="duplicateValues" dxfId="121" priority="112"/>
    <cfRule type="duplicateValues" dxfId="120" priority="115"/>
  </conditionalFormatting>
  <conditionalFormatting sqref="D196:D203">
    <cfRule type="duplicateValues" dxfId="119" priority="15034"/>
    <cfRule type="duplicateValues" dxfId="118" priority="15037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5"/>
  <sheetViews>
    <sheetView workbookViewId="0">
      <selection activeCell="U25" sqref="U25:U26"/>
    </sheetView>
  </sheetViews>
  <sheetFormatPr defaultColWidth="9" defaultRowHeight="14.25" x14ac:dyDescent="0.2"/>
  <cols>
    <col min="1" max="16384" width="9" style="55"/>
  </cols>
  <sheetData>
    <row r="1" spans="1:21" x14ac:dyDescent="0.2">
      <c r="A1" s="249" t="s">
        <v>4621</v>
      </c>
      <c r="B1" s="249" t="s">
        <v>4631</v>
      </c>
      <c r="C1" s="249" t="s">
        <v>4622</v>
      </c>
      <c r="D1" s="249" t="s">
        <v>4632</v>
      </c>
      <c r="E1" s="249" t="s">
        <v>4623</v>
      </c>
      <c r="F1" s="249" t="s">
        <v>4633</v>
      </c>
      <c r="G1" s="249" t="s">
        <v>4624</v>
      </c>
      <c r="H1" s="249" t="s">
        <v>4634</v>
      </c>
      <c r="I1" s="249" t="s">
        <v>4625</v>
      </c>
      <c r="J1" s="249" t="s">
        <v>4635</v>
      </c>
      <c r="K1" s="249" t="s">
        <v>4626</v>
      </c>
      <c r="L1" s="249" t="s">
        <v>4636</v>
      </c>
      <c r="M1" s="249" t="s">
        <v>4627</v>
      </c>
      <c r="N1" s="249" t="s">
        <v>4637</v>
      </c>
      <c r="O1" s="249" t="s">
        <v>4628</v>
      </c>
      <c r="P1" s="249" t="s">
        <v>4638</v>
      </c>
      <c r="Q1" s="249" t="s">
        <v>4629</v>
      </c>
      <c r="R1" s="249" t="s">
        <v>4639</v>
      </c>
      <c r="S1" s="249" t="s">
        <v>4630</v>
      </c>
      <c r="T1" s="249" t="s">
        <v>4640</v>
      </c>
      <c r="U1" s="249" t="str">
        <f t="shared" ref="U1:U41" si="0">A1&amp;B1&amp;C1&amp;D1&amp;E1&amp;F1&amp;G1&amp;H1&amp;I1&amp;J1&amp;K1&amp;L1&amp;M1&amp;N1&amp;O1&amp;P1&amp;Q1&amp;R1&amp;S1&amp;T1</f>
        <v>1:300010;2:300011;3:300012;4:300013;5:300014;6:300015;7:300016;8:300017;9:300018;10:300019</v>
      </c>
    </row>
    <row r="2" spans="1:21" x14ac:dyDescent="0.2">
      <c r="A2" s="249" t="s">
        <v>4621</v>
      </c>
      <c r="B2" s="249" t="s">
        <v>4641</v>
      </c>
      <c r="C2" s="249" t="s">
        <v>4622</v>
      </c>
      <c r="D2" s="249" t="s">
        <v>4687</v>
      </c>
      <c r="E2" s="249" t="s">
        <v>4623</v>
      </c>
      <c r="F2" s="249" t="s">
        <v>4697</v>
      </c>
      <c r="G2" s="249" t="s">
        <v>4624</v>
      </c>
      <c r="H2" s="249" t="s">
        <v>4721</v>
      </c>
      <c r="I2" s="249" t="s">
        <v>4625</v>
      </c>
      <c r="J2" s="249" t="s">
        <v>4749</v>
      </c>
      <c r="K2" s="249" t="s">
        <v>4626</v>
      </c>
      <c r="L2" s="249" t="s">
        <v>4775</v>
      </c>
      <c r="M2" s="249" t="s">
        <v>4627</v>
      </c>
      <c r="N2" s="249" t="s">
        <v>4804</v>
      </c>
      <c r="O2" s="249" t="s">
        <v>4628</v>
      </c>
      <c r="P2" s="249" t="s">
        <v>4833</v>
      </c>
      <c r="Q2" s="249" t="s">
        <v>4629</v>
      </c>
      <c r="R2" s="249" t="s">
        <v>4852</v>
      </c>
      <c r="S2" s="249" t="s">
        <v>4630</v>
      </c>
      <c r="T2" s="249" t="s">
        <v>4874</v>
      </c>
      <c r="U2" s="249" t="str">
        <f>A2&amp;B2&amp;C2&amp;D2&amp;E2&amp;F2&amp;G2&amp;H2&amp;I2&amp;J2&amp;K2&amp;L2&amp;M2&amp;N2&amp;O2&amp;P2&amp;Q2&amp;R2&amp;S2&amp;T2</f>
        <v>1:300020;2:300021;3:300022;4:300023;5:300024;6:300025;7:300026;8:300027;9:300028;10:300029</v>
      </c>
    </row>
    <row r="3" spans="1:21" x14ac:dyDescent="0.2">
      <c r="A3" s="249" t="s">
        <v>4684</v>
      </c>
      <c r="B3" s="249" t="s">
        <v>4642</v>
      </c>
      <c r="C3" s="249" t="s">
        <v>4685</v>
      </c>
      <c r="D3" s="249" t="s">
        <v>4663</v>
      </c>
      <c r="E3" s="249" t="s">
        <v>4623</v>
      </c>
      <c r="F3" s="249" t="s">
        <v>4698</v>
      </c>
      <c r="G3" s="249" t="s">
        <v>4624</v>
      </c>
      <c r="H3" s="249" t="s">
        <v>4722</v>
      </c>
      <c r="I3" s="249" t="s">
        <v>4625</v>
      </c>
      <c r="J3" s="249" t="s">
        <v>4750</v>
      </c>
      <c r="K3" s="249" t="s">
        <v>4626</v>
      </c>
      <c r="L3" s="249" t="s">
        <v>4776</v>
      </c>
      <c r="M3" s="249" t="s">
        <v>4627</v>
      </c>
      <c r="N3" s="249" t="s">
        <v>4805</v>
      </c>
      <c r="O3" s="249" t="s">
        <v>4628</v>
      </c>
      <c r="P3" s="249" t="s">
        <v>4834</v>
      </c>
      <c r="Q3" s="249" t="s">
        <v>4629</v>
      </c>
      <c r="R3" s="249" t="s">
        <v>4853</v>
      </c>
      <c r="S3" s="249" t="s">
        <v>4686</v>
      </c>
      <c r="T3" s="249" t="s">
        <v>4875</v>
      </c>
      <c r="U3" s="249" t="str">
        <f t="shared" si="0"/>
        <v>1:300030;2:300031;3:300032;4:300033;5:300034;6:300035;7:300036;8:300037;9:300038;10:300039</v>
      </c>
    </row>
    <row r="4" spans="1:21" x14ac:dyDescent="0.2">
      <c r="A4" s="249" t="s">
        <v>4684</v>
      </c>
      <c r="B4" s="249" t="s">
        <v>4643</v>
      </c>
      <c r="C4" s="249" t="s">
        <v>4685</v>
      </c>
      <c r="D4" s="249" t="s">
        <v>4664</v>
      </c>
      <c r="E4" s="249" t="s">
        <v>4623</v>
      </c>
      <c r="F4" s="249" t="s">
        <v>4699</v>
      </c>
      <c r="G4" s="249" t="s">
        <v>4624</v>
      </c>
      <c r="H4" s="249" t="s">
        <v>4723</v>
      </c>
      <c r="I4" s="249" t="s">
        <v>4625</v>
      </c>
      <c r="J4" s="249" t="s">
        <v>4751</v>
      </c>
      <c r="K4" s="249" t="s">
        <v>4626</v>
      </c>
      <c r="L4" s="249" t="s">
        <v>4777</v>
      </c>
      <c r="M4" s="249" t="s">
        <v>4627</v>
      </c>
      <c r="N4" s="249" t="s">
        <v>4806</v>
      </c>
      <c r="O4" s="249" t="s">
        <v>4628</v>
      </c>
      <c r="P4" s="249" t="s">
        <v>4835</v>
      </c>
      <c r="Q4" s="249" t="s">
        <v>4629</v>
      </c>
      <c r="R4" s="249" t="s">
        <v>4854</v>
      </c>
      <c r="S4" s="249" t="s">
        <v>4686</v>
      </c>
      <c r="T4" s="249" t="s">
        <v>4876</v>
      </c>
      <c r="U4" s="249" t="str">
        <f t="shared" si="0"/>
        <v>1:300040;2:300041;3:300042;4:300043;5:300044;6:300045;7:300046;8:300047;9:300048;10:300049</v>
      </c>
    </row>
    <row r="5" spans="1:21" x14ac:dyDescent="0.2">
      <c r="A5" s="249" t="s">
        <v>4684</v>
      </c>
      <c r="B5" s="249" t="s">
        <v>4644</v>
      </c>
      <c r="C5" s="249" t="s">
        <v>4685</v>
      </c>
      <c r="D5" s="249" t="s">
        <v>4665</v>
      </c>
      <c r="E5" s="249" t="s">
        <v>4623</v>
      </c>
      <c r="F5" s="249" t="s">
        <v>4700</v>
      </c>
      <c r="G5" s="249" t="s">
        <v>4624</v>
      </c>
      <c r="H5" s="249" t="s">
        <v>4724</v>
      </c>
      <c r="I5" s="249" t="s">
        <v>4625</v>
      </c>
      <c r="J5" s="249" t="s">
        <v>4752</v>
      </c>
      <c r="K5" s="249" t="s">
        <v>4626</v>
      </c>
      <c r="L5" s="249" t="s">
        <v>4778</v>
      </c>
      <c r="M5" s="249" t="s">
        <v>4627</v>
      </c>
      <c r="N5" s="249" t="s">
        <v>4807</v>
      </c>
      <c r="O5" s="249" t="s">
        <v>4628</v>
      </c>
      <c r="P5" s="249" t="s">
        <v>4836</v>
      </c>
      <c r="Q5" s="249" t="s">
        <v>4629</v>
      </c>
      <c r="R5" s="249" t="s">
        <v>4855</v>
      </c>
      <c r="S5" s="249" t="s">
        <v>4686</v>
      </c>
      <c r="T5" s="249" t="s">
        <v>4877</v>
      </c>
      <c r="U5" s="249" t="str">
        <f t="shared" si="0"/>
        <v>1:300050;2:300051;3:300052;4:300053;5:300054;6:300055;7:300056;8:300057;9:300058;10:300059</v>
      </c>
    </row>
    <row r="6" spans="1:21" x14ac:dyDescent="0.2">
      <c r="A6" s="249" t="s">
        <v>4684</v>
      </c>
      <c r="B6" s="249" t="s">
        <v>4645</v>
      </c>
      <c r="C6" s="249" t="s">
        <v>4685</v>
      </c>
      <c r="D6" s="249" t="s">
        <v>4666</v>
      </c>
      <c r="E6" s="249" t="s">
        <v>4623</v>
      </c>
      <c r="F6" s="249" t="s">
        <v>4701</v>
      </c>
      <c r="G6" s="249" t="s">
        <v>4624</v>
      </c>
      <c r="H6" s="249" t="s">
        <v>4725</v>
      </c>
      <c r="I6" s="249" t="s">
        <v>4625</v>
      </c>
      <c r="J6" s="249" t="s">
        <v>4753</v>
      </c>
      <c r="K6" s="249" t="s">
        <v>4626</v>
      </c>
      <c r="L6" s="249" t="s">
        <v>4779</v>
      </c>
      <c r="M6" s="249" t="s">
        <v>4627</v>
      </c>
      <c r="N6" s="249" t="s">
        <v>4808</v>
      </c>
      <c r="O6" s="249" t="s">
        <v>4628</v>
      </c>
      <c r="P6" s="249" t="s">
        <v>4837</v>
      </c>
      <c r="Q6" s="249" t="s">
        <v>4629</v>
      </c>
      <c r="R6" s="249" t="s">
        <v>4856</v>
      </c>
      <c r="S6" s="249" t="s">
        <v>4686</v>
      </c>
      <c r="T6" s="249" t="s">
        <v>4878</v>
      </c>
      <c r="U6" s="249" t="str">
        <f t="shared" si="0"/>
        <v>1:300060;2:300061;3:300062;4:300063;5:300064;6:300065;7:300066;8:300067;9:300068;10:300069</v>
      </c>
    </row>
    <row r="7" spans="1:21" x14ac:dyDescent="0.2">
      <c r="A7" s="249" t="s">
        <v>4684</v>
      </c>
      <c r="B7" s="249" t="s">
        <v>4646</v>
      </c>
      <c r="C7" s="249" t="s">
        <v>4685</v>
      </c>
      <c r="D7" s="249" t="s">
        <v>4667</v>
      </c>
      <c r="E7" s="249" t="s">
        <v>4623</v>
      </c>
      <c r="F7" s="249" t="s">
        <v>4702</v>
      </c>
      <c r="G7" s="249" t="s">
        <v>4624</v>
      </c>
      <c r="H7" s="249" t="s">
        <v>4726</v>
      </c>
      <c r="I7" s="249" t="s">
        <v>4625</v>
      </c>
      <c r="J7" s="249" t="s">
        <v>4754</v>
      </c>
      <c r="K7" s="249" t="s">
        <v>4626</v>
      </c>
      <c r="L7" s="249" t="s">
        <v>4780</v>
      </c>
      <c r="M7" s="249" t="s">
        <v>4627</v>
      </c>
      <c r="N7" s="249" t="s">
        <v>4809</v>
      </c>
      <c r="O7" s="249" t="s">
        <v>4628</v>
      </c>
      <c r="P7" s="249" t="s">
        <v>4838</v>
      </c>
      <c r="Q7" s="249" t="s">
        <v>4629</v>
      </c>
      <c r="R7" s="249" t="s">
        <v>4857</v>
      </c>
      <c r="S7" s="249" t="s">
        <v>4686</v>
      </c>
      <c r="T7" s="249" t="s">
        <v>4879</v>
      </c>
      <c r="U7" s="249" t="str">
        <f t="shared" si="0"/>
        <v>1:300070;2:300071;3:300072;4:300073;5:300074;6:300075;7:300076;8:300077;9:300078;10:300079</v>
      </c>
    </row>
    <row r="8" spans="1:21" x14ac:dyDescent="0.2">
      <c r="A8" s="249" t="s">
        <v>4684</v>
      </c>
      <c r="B8" s="249" t="s">
        <v>4647</v>
      </c>
      <c r="C8" s="249" t="s">
        <v>4685</v>
      </c>
      <c r="D8" s="249" t="s">
        <v>4668</v>
      </c>
      <c r="E8" s="249" t="s">
        <v>4623</v>
      </c>
      <c r="F8" s="249" t="s">
        <v>4703</v>
      </c>
      <c r="G8" s="249" t="s">
        <v>4624</v>
      </c>
      <c r="H8" s="249" t="s">
        <v>4727</v>
      </c>
      <c r="I8" s="249" t="s">
        <v>4625</v>
      </c>
      <c r="J8" s="249" t="s">
        <v>4755</v>
      </c>
      <c r="K8" s="249" t="s">
        <v>4626</v>
      </c>
      <c r="L8" s="249" t="s">
        <v>4781</v>
      </c>
      <c r="M8" s="249" t="s">
        <v>4627</v>
      </c>
      <c r="N8" s="249" t="s">
        <v>4810</v>
      </c>
      <c r="O8" s="249" t="s">
        <v>4628</v>
      </c>
      <c r="P8" s="249" t="s">
        <v>4839</v>
      </c>
      <c r="Q8" s="249" t="s">
        <v>4629</v>
      </c>
      <c r="R8" s="249" t="s">
        <v>4858</v>
      </c>
      <c r="S8" s="249" t="s">
        <v>4686</v>
      </c>
      <c r="T8" s="249" t="s">
        <v>4880</v>
      </c>
      <c r="U8" s="249" t="str">
        <f t="shared" si="0"/>
        <v>1:300080;2:300081;3:300082;4:300083;5:300084;6:300085;7:300086;8:300087;9:300088;10:300089</v>
      </c>
    </row>
    <row r="9" spans="1:21" x14ac:dyDescent="0.2">
      <c r="A9" s="249" t="s">
        <v>4684</v>
      </c>
      <c r="B9" s="249" t="s">
        <v>4648</v>
      </c>
      <c r="C9" s="249" t="s">
        <v>4685</v>
      </c>
      <c r="D9" s="249" t="s">
        <v>4669</v>
      </c>
      <c r="E9" s="249" t="s">
        <v>4623</v>
      </c>
      <c r="F9" s="249" t="s">
        <v>4704</v>
      </c>
      <c r="G9" s="249" t="s">
        <v>4624</v>
      </c>
      <c r="H9" s="249" t="s">
        <v>4728</v>
      </c>
      <c r="I9" s="249" t="s">
        <v>4625</v>
      </c>
      <c r="J9" s="249" t="s">
        <v>4756</v>
      </c>
      <c r="K9" s="249" t="s">
        <v>4626</v>
      </c>
      <c r="L9" s="249" t="s">
        <v>4782</v>
      </c>
      <c r="M9" s="249" t="s">
        <v>4627</v>
      </c>
      <c r="N9" s="249" t="s">
        <v>4811</v>
      </c>
      <c r="O9" s="249" t="s">
        <v>4628</v>
      </c>
      <c r="P9" s="249" t="s">
        <v>4840</v>
      </c>
      <c r="Q9" s="249" t="s">
        <v>4629</v>
      </c>
      <c r="R9" s="249" t="s">
        <v>4859</v>
      </c>
      <c r="S9" s="249" t="s">
        <v>4686</v>
      </c>
      <c r="T9" s="249" t="s">
        <v>4881</v>
      </c>
      <c r="U9" s="249" t="str">
        <f t="shared" si="0"/>
        <v>1:300090;2:300091;3:300092;4:300093;5:300094;6:300095;7:300096;8:300097;9:300098;10:300099</v>
      </c>
    </row>
    <row r="10" spans="1:21" x14ac:dyDescent="0.2">
      <c r="A10" s="249" t="s">
        <v>4684</v>
      </c>
      <c r="B10" s="249" t="s">
        <v>4649</v>
      </c>
      <c r="C10" s="249" t="s">
        <v>4685</v>
      </c>
      <c r="D10" s="249" t="s">
        <v>4670</v>
      </c>
      <c r="E10" s="249" t="s">
        <v>4623</v>
      </c>
      <c r="F10" s="249" t="s">
        <v>4705</v>
      </c>
      <c r="G10" s="249" t="s">
        <v>4624</v>
      </c>
      <c r="H10" s="249" t="s">
        <v>4729</v>
      </c>
      <c r="I10" s="249" t="s">
        <v>4625</v>
      </c>
      <c r="J10" s="249" t="s">
        <v>4757</v>
      </c>
      <c r="K10" s="249" t="s">
        <v>4626</v>
      </c>
      <c r="L10" s="249" t="s">
        <v>4783</v>
      </c>
      <c r="M10" s="249" t="s">
        <v>4627</v>
      </c>
      <c r="N10" s="249" t="s">
        <v>4812</v>
      </c>
      <c r="O10" s="249" t="s">
        <v>4628</v>
      </c>
      <c r="P10" s="249" t="s">
        <v>4841</v>
      </c>
      <c r="Q10" s="249" t="s">
        <v>4629</v>
      </c>
      <c r="R10" s="249" t="s">
        <v>4860</v>
      </c>
      <c r="S10" s="249" t="s">
        <v>4686</v>
      </c>
      <c r="T10" s="249" t="s">
        <v>4882</v>
      </c>
      <c r="U10" s="249" t="str">
        <f t="shared" si="0"/>
        <v>1:300100;2:300101;3:300102;4:300103;5:300104;6:300105;7:300106;8:300107;9:300108;10:300109</v>
      </c>
    </row>
    <row r="11" spans="1:21" x14ac:dyDescent="0.2">
      <c r="A11" s="249" t="s">
        <v>4684</v>
      </c>
      <c r="B11" s="249" t="s">
        <v>4650</v>
      </c>
      <c r="C11" s="249" t="s">
        <v>4685</v>
      </c>
      <c r="D11" s="249" t="s">
        <v>4671</v>
      </c>
      <c r="E11" s="249" t="s">
        <v>4623</v>
      </c>
      <c r="F11" s="249" t="s">
        <v>4706</v>
      </c>
      <c r="G11" s="249" t="s">
        <v>4624</v>
      </c>
      <c r="H11" s="249" t="s">
        <v>4730</v>
      </c>
      <c r="I11" s="249" t="s">
        <v>4625</v>
      </c>
      <c r="J11" s="249" t="s">
        <v>4758</v>
      </c>
      <c r="K11" s="249" t="s">
        <v>4626</v>
      </c>
      <c r="L11" s="249" t="s">
        <v>4784</v>
      </c>
      <c r="M11" s="249" t="s">
        <v>4627</v>
      </c>
      <c r="N11" s="249" t="s">
        <v>4813</v>
      </c>
      <c r="O11" s="249" t="s">
        <v>4628</v>
      </c>
      <c r="P11" s="249" t="s">
        <v>4842</v>
      </c>
      <c r="Q11" s="249" t="s">
        <v>4629</v>
      </c>
      <c r="R11" s="249" t="s">
        <v>4861</v>
      </c>
      <c r="S11" s="249" t="s">
        <v>4686</v>
      </c>
      <c r="T11" s="249" t="s">
        <v>4883</v>
      </c>
      <c r="U11" s="249" t="str">
        <f t="shared" si="0"/>
        <v>1:300110;2:300111;3:300112;4:300113;5:300114;6:300115;7:300116;8:300117;9:300118;10:300119</v>
      </c>
    </row>
    <row r="12" spans="1:21" x14ac:dyDescent="0.2">
      <c r="A12" s="249" t="s">
        <v>4684</v>
      </c>
      <c r="B12" s="249" t="s">
        <v>4651</v>
      </c>
      <c r="C12" s="249" t="s">
        <v>4685</v>
      </c>
      <c r="D12" s="249" t="s">
        <v>4672</v>
      </c>
      <c r="E12" s="249" t="s">
        <v>4623</v>
      </c>
      <c r="F12" s="249" t="s">
        <v>4707</v>
      </c>
      <c r="G12" s="249" t="s">
        <v>4624</v>
      </c>
      <c r="H12" s="249" t="s">
        <v>4731</v>
      </c>
      <c r="I12" s="249" t="s">
        <v>4625</v>
      </c>
      <c r="J12" s="249" t="s">
        <v>4759</v>
      </c>
      <c r="K12" s="249" t="s">
        <v>4626</v>
      </c>
      <c r="L12" s="249" t="s">
        <v>4785</v>
      </c>
      <c r="M12" s="249" t="s">
        <v>4627</v>
      </c>
      <c r="N12" s="249" t="s">
        <v>4814</v>
      </c>
      <c r="O12" s="249" t="s">
        <v>4628</v>
      </c>
      <c r="P12" s="249" t="s">
        <v>4843</v>
      </c>
      <c r="Q12" s="249" t="s">
        <v>4629</v>
      </c>
      <c r="R12" s="249" t="s">
        <v>4862</v>
      </c>
      <c r="S12" s="249" t="s">
        <v>4686</v>
      </c>
      <c r="T12" s="249" t="s">
        <v>4884</v>
      </c>
      <c r="U12" s="249" t="str">
        <f t="shared" si="0"/>
        <v>1:300120;2:300121;3:300122;4:300123;5:300124;6:300125;7:300126;8:300127;9:300128;10:300129</v>
      </c>
    </row>
    <row r="13" spans="1:21" x14ac:dyDescent="0.2">
      <c r="A13" s="249" t="s">
        <v>4684</v>
      </c>
      <c r="B13" s="249" t="s">
        <v>4652</v>
      </c>
      <c r="C13" s="249" t="s">
        <v>4685</v>
      </c>
      <c r="D13" s="249" t="s">
        <v>4673</v>
      </c>
      <c r="E13" s="249" t="s">
        <v>4623</v>
      </c>
      <c r="F13" s="249" t="s">
        <v>4708</v>
      </c>
      <c r="G13" s="249" t="s">
        <v>4624</v>
      </c>
      <c r="H13" s="249" t="s">
        <v>4732</v>
      </c>
      <c r="I13" s="249" t="s">
        <v>4625</v>
      </c>
      <c r="J13" s="249" t="s">
        <v>4760</v>
      </c>
      <c r="K13" s="249" t="s">
        <v>4626</v>
      </c>
      <c r="L13" s="249" t="s">
        <v>4786</v>
      </c>
      <c r="M13" s="249" t="s">
        <v>4627</v>
      </c>
      <c r="N13" s="249" t="s">
        <v>4815</v>
      </c>
      <c r="O13" s="249" t="s">
        <v>4628</v>
      </c>
      <c r="P13" s="249" t="s">
        <v>4844</v>
      </c>
      <c r="Q13" s="249" t="s">
        <v>4629</v>
      </c>
      <c r="R13" s="249" t="s">
        <v>4863</v>
      </c>
      <c r="S13" s="249" t="s">
        <v>4686</v>
      </c>
      <c r="T13" s="249" t="s">
        <v>4885</v>
      </c>
      <c r="U13" s="249" t="str">
        <f t="shared" si="0"/>
        <v>1:300130;2:300131;3:300132;4:300133;5:300134;6:300135;7:300136;8:300137;9:300138;10:300139</v>
      </c>
    </row>
    <row r="14" spans="1:21" x14ac:dyDescent="0.2">
      <c r="A14" s="249" t="s">
        <v>4684</v>
      </c>
      <c r="B14" s="249" t="s">
        <v>4653</v>
      </c>
      <c r="C14" s="249" t="s">
        <v>4685</v>
      </c>
      <c r="D14" s="249" t="s">
        <v>4674</v>
      </c>
      <c r="E14" s="249" t="s">
        <v>4623</v>
      </c>
      <c r="F14" s="249" t="s">
        <v>4709</v>
      </c>
      <c r="G14" s="249" t="s">
        <v>4624</v>
      </c>
      <c r="H14" s="249" t="s">
        <v>4733</v>
      </c>
      <c r="I14" s="249" t="s">
        <v>4625</v>
      </c>
      <c r="J14" s="249" t="s">
        <v>4761</v>
      </c>
      <c r="K14" s="249" t="s">
        <v>4626</v>
      </c>
      <c r="L14" s="249" t="s">
        <v>4787</v>
      </c>
      <c r="M14" s="249" t="s">
        <v>4627</v>
      </c>
      <c r="N14" s="249" t="s">
        <v>4816</v>
      </c>
      <c r="O14" s="249" t="s">
        <v>4628</v>
      </c>
      <c r="P14" s="249" t="s">
        <v>4845</v>
      </c>
      <c r="Q14" s="249" t="s">
        <v>4629</v>
      </c>
      <c r="R14" s="249" t="s">
        <v>4864</v>
      </c>
      <c r="S14" s="249" t="s">
        <v>4686</v>
      </c>
      <c r="T14" s="249" t="s">
        <v>4886</v>
      </c>
      <c r="U14" s="249" t="str">
        <f t="shared" si="0"/>
        <v>1:300140;2:300141;3:300142;4:300143;5:300144;6:300145;7:300146;8:300147;9:300148;10:300149</v>
      </c>
    </row>
    <row r="15" spans="1:21" x14ac:dyDescent="0.2">
      <c r="A15" s="249" t="s">
        <v>4684</v>
      </c>
      <c r="B15" s="249" t="s">
        <v>4654</v>
      </c>
      <c r="C15" s="249" t="s">
        <v>4685</v>
      </c>
      <c r="D15" s="249" t="s">
        <v>4675</v>
      </c>
      <c r="E15" s="249" t="s">
        <v>4623</v>
      </c>
      <c r="F15" s="249" t="s">
        <v>4710</v>
      </c>
      <c r="G15" s="249" t="s">
        <v>4624</v>
      </c>
      <c r="H15" s="249" t="s">
        <v>4734</v>
      </c>
      <c r="I15" s="249" t="s">
        <v>4625</v>
      </c>
      <c r="J15" s="249" t="s">
        <v>4762</v>
      </c>
      <c r="K15" s="249" t="s">
        <v>4626</v>
      </c>
      <c r="L15" s="249" t="s">
        <v>4788</v>
      </c>
      <c r="M15" s="249" t="s">
        <v>4627</v>
      </c>
      <c r="N15" s="249" t="s">
        <v>4817</v>
      </c>
      <c r="O15" s="249" t="s">
        <v>4628</v>
      </c>
      <c r="P15" s="249" t="s">
        <v>4846</v>
      </c>
      <c r="Q15" s="249" t="s">
        <v>4629</v>
      </c>
      <c r="R15" s="249" t="s">
        <v>4865</v>
      </c>
      <c r="S15" s="249" t="s">
        <v>4686</v>
      </c>
      <c r="T15" s="249" t="s">
        <v>4887</v>
      </c>
      <c r="U15" s="249" t="str">
        <f t="shared" si="0"/>
        <v>1:300150;2:300151;3:300152;4:300153;5:300154;6:300155;7:300156;8:300157;9:300158;10:300159</v>
      </c>
    </row>
    <row r="16" spans="1:21" x14ac:dyDescent="0.2">
      <c r="A16" s="249" t="s">
        <v>4684</v>
      </c>
      <c r="B16" s="249" t="s">
        <v>4655</v>
      </c>
      <c r="C16" s="249" t="s">
        <v>4685</v>
      </c>
      <c r="D16" s="249" t="s">
        <v>4676</v>
      </c>
      <c r="E16" s="249" t="s">
        <v>4623</v>
      </c>
      <c r="F16" s="249" t="s">
        <v>4711</v>
      </c>
      <c r="G16" s="249" t="s">
        <v>4624</v>
      </c>
      <c r="H16" s="249" t="s">
        <v>4735</v>
      </c>
      <c r="I16" s="249" t="s">
        <v>4625</v>
      </c>
      <c r="J16" s="249" t="s">
        <v>4763</v>
      </c>
      <c r="K16" s="249" t="s">
        <v>4626</v>
      </c>
      <c r="L16" s="249" t="s">
        <v>4789</v>
      </c>
      <c r="M16" s="249" t="s">
        <v>4627</v>
      </c>
      <c r="N16" s="249" t="s">
        <v>4818</v>
      </c>
      <c r="O16" s="249" t="s">
        <v>4628</v>
      </c>
      <c r="P16" s="249" t="s">
        <v>4847</v>
      </c>
      <c r="Q16" s="249" t="s">
        <v>4629</v>
      </c>
      <c r="R16" s="249" t="s">
        <v>4866</v>
      </c>
      <c r="S16" s="249" t="s">
        <v>4686</v>
      </c>
      <c r="T16" s="249" t="s">
        <v>4888</v>
      </c>
      <c r="U16" s="249" t="str">
        <f t="shared" si="0"/>
        <v>1:300160;2:300161;3:300162;4:300163;5:300164;6:300165;7:300166;8:300167;9:300168;10:300169</v>
      </c>
    </row>
    <row r="17" spans="1:21" x14ac:dyDescent="0.2">
      <c r="A17" s="249" t="s">
        <v>4684</v>
      </c>
      <c r="B17" s="249" t="s">
        <v>4656</v>
      </c>
      <c r="C17" s="249" t="s">
        <v>4685</v>
      </c>
      <c r="D17" s="249" t="s">
        <v>4677</v>
      </c>
      <c r="E17" s="249" t="s">
        <v>4623</v>
      </c>
      <c r="F17" s="249" t="s">
        <v>4712</v>
      </c>
      <c r="G17" s="249" t="s">
        <v>4624</v>
      </c>
      <c r="H17" s="249" t="s">
        <v>4736</v>
      </c>
      <c r="I17" s="249" t="s">
        <v>4625</v>
      </c>
      <c r="J17" s="249" t="s">
        <v>4764</v>
      </c>
      <c r="K17" s="249" t="s">
        <v>4626</v>
      </c>
      <c r="L17" s="249" t="s">
        <v>4790</v>
      </c>
      <c r="M17" s="249" t="s">
        <v>4627</v>
      </c>
      <c r="N17" s="249" t="s">
        <v>4819</v>
      </c>
      <c r="O17" s="249" t="s">
        <v>4628</v>
      </c>
      <c r="P17" s="249" t="s">
        <v>4848</v>
      </c>
      <c r="Q17" s="249" t="s">
        <v>4629</v>
      </c>
      <c r="R17" s="249" t="s">
        <v>4867</v>
      </c>
      <c r="S17" s="249" t="s">
        <v>4686</v>
      </c>
      <c r="T17" s="249" t="s">
        <v>4889</v>
      </c>
      <c r="U17" s="249" t="str">
        <f t="shared" si="0"/>
        <v>1:300170;2:300171;3:300172;4:300173;5:300174;6:300175;7:300176;8:300177;9:300178;10:300179</v>
      </c>
    </row>
    <row r="18" spans="1:21" x14ac:dyDescent="0.2">
      <c r="A18" s="249" t="s">
        <v>4684</v>
      </c>
      <c r="B18" s="249" t="s">
        <v>4657</v>
      </c>
      <c r="C18" s="249" t="s">
        <v>4685</v>
      </c>
      <c r="D18" s="249" t="s">
        <v>4678</v>
      </c>
      <c r="E18" s="249" t="s">
        <v>4623</v>
      </c>
      <c r="F18" s="249" t="s">
        <v>4713</v>
      </c>
      <c r="G18" s="249" t="s">
        <v>4624</v>
      </c>
      <c r="H18" s="249" t="s">
        <v>4737</v>
      </c>
      <c r="I18" s="249" t="s">
        <v>4625</v>
      </c>
      <c r="J18" s="249" t="s">
        <v>4765</v>
      </c>
      <c r="K18" s="249" t="s">
        <v>4626</v>
      </c>
      <c r="L18" s="249" t="s">
        <v>4791</v>
      </c>
      <c r="M18" s="249" t="s">
        <v>4627</v>
      </c>
      <c r="N18" s="249" t="s">
        <v>4820</v>
      </c>
      <c r="O18" s="249" t="s">
        <v>4628</v>
      </c>
      <c r="P18" s="249" t="s">
        <v>4849</v>
      </c>
      <c r="Q18" s="249" t="s">
        <v>4629</v>
      </c>
      <c r="R18" s="249" t="s">
        <v>4868</v>
      </c>
      <c r="S18" s="249" t="s">
        <v>4686</v>
      </c>
      <c r="T18" s="249" t="s">
        <v>4890</v>
      </c>
      <c r="U18" s="249" t="str">
        <f t="shared" si="0"/>
        <v>1:300180;2:300181;3:300182;4:300183;5:300184;6:300185;7:300186;8:300187;9:300188;10:300189</v>
      </c>
    </row>
    <row r="19" spans="1:21" x14ac:dyDescent="0.2">
      <c r="A19" s="249" t="s">
        <v>4684</v>
      </c>
      <c r="B19" s="249" t="s">
        <v>4658</v>
      </c>
      <c r="C19" s="249" t="s">
        <v>4685</v>
      </c>
      <c r="D19" s="249" t="s">
        <v>4679</v>
      </c>
      <c r="E19" s="249" t="s">
        <v>4623</v>
      </c>
      <c r="F19" s="249" t="s">
        <v>4714</v>
      </c>
      <c r="G19" s="249" t="s">
        <v>4624</v>
      </c>
      <c r="H19" s="249" t="s">
        <v>4738</v>
      </c>
      <c r="I19" s="249" t="s">
        <v>4625</v>
      </c>
      <c r="J19" s="249" t="s">
        <v>4766</v>
      </c>
      <c r="K19" s="249" t="s">
        <v>4626</v>
      </c>
      <c r="L19" s="249" t="s">
        <v>4792</v>
      </c>
      <c r="M19" s="249" t="s">
        <v>4627</v>
      </c>
      <c r="N19" s="249" t="s">
        <v>4821</v>
      </c>
      <c r="O19" s="249" t="s">
        <v>4628</v>
      </c>
      <c r="P19" s="249" t="s">
        <v>4850</v>
      </c>
      <c r="Q19" s="249" t="s">
        <v>4629</v>
      </c>
      <c r="R19" s="249" t="s">
        <v>4869</v>
      </c>
      <c r="S19" s="249" t="s">
        <v>4686</v>
      </c>
      <c r="T19" s="249" t="s">
        <v>4891</v>
      </c>
      <c r="U19" s="249" t="str">
        <f t="shared" si="0"/>
        <v>1:300190;2:300191;3:300192;4:300193;5:300194;6:300195;7:300196;8:300197;9:300198;10:300199</v>
      </c>
    </row>
    <row r="20" spans="1:21" x14ac:dyDescent="0.2">
      <c r="A20" s="249" t="s">
        <v>4684</v>
      </c>
      <c r="B20" s="249" t="s">
        <v>4659</v>
      </c>
      <c r="C20" s="249" t="s">
        <v>4685</v>
      </c>
      <c r="D20" s="249" t="s">
        <v>4680</v>
      </c>
      <c r="E20" s="249" t="s">
        <v>4623</v>
      </c>
      <c r="F20" s="249" t="s">
        <v>4715</v>
      </c>
      <c r="G20" s="249" t="s">
        <v>4624</v>
      </c>
      <c r="H20" s="249" t="s">
        <v>4739</v>
      </c>
      <c r="I20" s="249" t="s">
        <v>4625</v>
      </c>
      <c r="J20" s="249" t="s">
        <v>4767</v>
      </c>
      <c r="K20" s="249" t="s">
        <v>4626</v>
      </c>
      <c r="L20" s="249" t="s">
        <v>4793</v>
      </c>
      <c r="M20" s="249" t="s">
        <v>4627</v>
      </c>
      <c r="N20" s="249" t="s">
        <v>4822</v>
      </c>
      <c r="O20" s="249" t="s">
        <v>4628</v>
      </c>
      <c r="P20" s="249" t="s">
        <v>4851</v>
      </c>
      <c r="Q20" s="249" t="s">
        <v>4629</v>
      </c>
      <c r="R20" s="249" t="s">
        <v>4870</v>
      </c>
      <c r="S20" s="249" t="s">
        <v>4686</v>
      </c>
      <c r="T20" s="249" t="s">
        <v>4892</v>
      </c>
      <c r="U20" s="249" t="str">
        <f t="shared" si="0"/>
        <v>1:300200;2:300201;3:300202;4:300203;5:300204;6:300205;7:300206;8:300207;9:300208;10:300209</v>
      </c>
    </row>
    <row r="21" spans="1:21" x14ac:dyDescent="0.2">
      <c r="A21" s="249" t="s">
        <v>4684</v>
      </c>
      <c r="B21" s="249" t="s">
        <v>4660</v>
      </c>
      <c r="C21" s="249" t="s">
        <v>4685</v>
      </c>
      <c r="D21" s="249" t="s">
        <v>4681</v>
      </c>
      <c r="E21" s="249" t="s">
        <v>4623</v>
      </c>
      <c r="F21" s="249" t="s">
        <v>4716</v>
      </c>
      <c r="G21" s="249" t="s">
        <v>4624</v>
      </c>
      <c r="H21" s="249" t="s">
        <v>4740</v>
      </c>
      <c r="I21" s="249" t="s">
        <v>4625</v>
      </c>
      <c r="J21" s="249" t="s">
        <v>4768</v>
      </c>
      <c r="K21" s="249" t="s">
        <v>4626</v>
      </c>
      <c r="L21" s="249" t="s">
        <v>4794</v>
      </c>
      <c r="M21" s="249" t="s">
        <v>4627</v>
      </c>
      <c r="N21" s="249" t="s">
        <v>4823</v>
      </c>
      <c r="O21" s="249" t="s">
        <v>4628</v>
      </c>
      <c r="P21" s="249" t="s">
        <v>4904</v>
      </c>
      <c r="Q21" s="249" t="s">
        <v>4629</v>
      </c>
      <c r="R21" s="249" t="s">
        <v>4871</v>
      </c>
      <c r="S21" s="249" t="s">
        <v>4686</v>
      </c>
      <c r="T21" s="249" t="s">
        <v>4893</v>
      </c>
      <c r="U21" s="249" t="str">
        <f t="shared" si="0"/>
        <v>1:300210;2:300211;3:300212;4:300213;5:300214;6:300215;7:300216;8:300217;9:300218;10:300219</v>
      </c>
    </row>
    <row r="22" spans="1:21" x14ac:dyDescent="0.2">
      <c r="A22" s="249" t="s">
        <v>4684</v>
      </c>
      <c r="B22" s="249" t="s">
        <v>4661</v>
      </c>
      <c r="C22" s="249" t="s">
        <v>4685</v>
      </c>
      <c r="D22" s="249" t="s">
        <v>4682</v>
      </c>
      <c r="E22" s="249" t="s">
        <v>4623</v>
      </c>
      <c r="F22" s="249" t="s">
        <v>4717</v>
      </c>
      <c r="G22" s="249" t="s">
        <v>4624</v>
      </c>
      <c r="H22" s="249" t="s">
        <v>4741</v>
      </c>
      <c r="I22" s="249" t="s">
        <v>4625</v>
      </c>
      <c r="J22" s="249" t="s">
        <v>4769</v>
      </c>
      <c r="K22" s="249" t="s">
        <v>4626</v>
      </c>
      <c r="L22" s="249" t="s">
        <v>4795</v>
      </c>
      <c r="M22" s="249" t="s">
        <v>4627</v>
      </c>
      <c r="N22" s="249" t="s">
        <v>4824</v>
      </c>
      <c r="O22" s="249" t="s">
        <v>4628</v>
      </c>
      <c r="P22" s="249" t="s">
        <v>4905</v>
      </c>
      <c r="Q22" s="249" t="s">
        <v>4629</v>
      </c>
      <c r="R22" s="249" t="s">
        <v>4872</v>
      </c>
      <c r="S22" s="249" t="s">
        <v>4686</v>
      </c>
      <c r="T22" s="249" t="s">
        <v>4894</v>
      </c>
      <c r="U22" s="249" t="str">
        <f t="shared" si="0"/>
        <v>1:300220;2:300221;3:300222;4:300223;5:300224;6:300225;7:300226;8:300227;9:300228;10:300229</v>
      </c>
    </row>
    <row r="23" spans="1:21" x14ac:dyDescent="0.2">
      <c r="A23" s="249" t="s">
        <v>4684</v>
      </c>
      <c r="B23" s="249" t="s">
        <v>4662</v>
      </c>
      <c r="C23" s="249" t="s">
        <v>4685</v>
      </c>
      <c r="D23" s="249" t="s">
        <v>4683</v>
      </c>
      <c r="E23" s="249" t="s">
        <v>4623</v>
      </c>
      <c r="F23" s="249" t="s">
        <v>4718</v>
      </c>
      <c r="G23" s="249" t="s">
        <v>4624</v>
      </c>
      <c r="H23" s="249" t="s">
        <v>4742</v>
      </c>
      <c r="I23" s="249" t="s">
        <v>4625</v>
      </c>
      <c r="J23" s="249" t="s">
        <v>4770</v>
      </c>
      <c r="K23" s="249" t="s">
        <v>4626</v>
      </c>
      <c r="L23" s="249" t="s">
        <v>4796</v>
      </c>
      <c r="M23" s="249" t="s">
        <v>4627</v>
      </c>
      <c r="N23" s="249" t="s">
        <v>4825</v>
      </c>
      <c r="O23" s="249" t="s">
        <v>4628</v>
      </c>
      <c r="P23" s="249" t="s">
        <v>4906</v>
      </c>
      <c r="Q23" s="249" t="s">
        <v>4629</v>
      </c>
      <c r="R23" s="249" t="s">
        <v>4873</v>
      </c>
      <c r="S23" s="249" t="s">
        <v>4686</v>
      </c>
      <c r="T23" s="249" t="s">
        <v>4895</v>
      </c>
      <c r="U23" s="249" t="str">
        <f t="shared" si="0"/>
        <v>1:300230;2:300231;3:300232;4:300233;5:300234;6:300235;7:300236;8:300237;9:300238;10:300239</v>
      </c>
    </row>
    <row r="24" spans="1:21" x14ac:dyDescent="0.2">
      <c r="A24" s="249" t="s">
        <v>4684</v>
      </c>
      <c r="B24" s="249" t="s">
        <v>4913</v>
      </c>
      <c r="C24" s="249" t="s">
        <v>4685</v>
      </c>
      <c r="D24" s="249" t="s">
        <v>4688</v>
      </c>
      <c r="E24" s="249" t="s">
        <v>4623</v>
      </c>
      <c r="F24" s="249" t="s">
        <v>4719</v>
      </c>
      <c r="G24" s="249" t="s">
        <v>4624</v>
      </c>
      <c r="H24" s="249" t="s">
        <v>4743</v>
      </c>
      <c r="I24" s="249" t="s">
        <v>4625</v>
      </c>
      <c r="J24" s="249" t="s">
        <v>4771</v>
      </c>
      <c r="K24" s="249" t="s">
        <v>4626</v>
      </c>
      <c r="L24" s="249" t="s">
        <v>4797</v>
      </c>
      <c r="M24" s="249" t="s">
        <v>4627</v>
      </c>
      <c r="N24" s="249" t="s">
        <v>4826</v>
      </c>
      <c r="O24" s="249" t="s">
        <v>4628</v>
      </c>
      <c r="P24" s="249" t="s">
        <v>4907</v>
      </c>
      <c r="Q24" s="249" t="s">
        <v>4629</v>
      </c>
      <c r="R24" s="249" t="s">
        <v>5016</v>
      </c>
      <c r="S24" s="249" t="s">
        <v>4686</v>
      </c>
      <c r="T24" s="249" t="s">
        <v>4896</v>
      </c>
      <c r="U24" s="249" t="str">
        <f t="shared" si="0"/>
        <v>1:300240;2:300241;3:300242;4:300243;5:300244;6:300245;7:300246;8:300247;9:300248;10:300249</v>
      </c>
    </row>
    <row r="25" spans="1:21" x14ac:dyDescent="0.2">
      <c r="A25" s="249" t="s">
        <v>4684</v>
      </c>
      <c r="B25" s="249" t="s">
        <v>4914</v>
      </c>
      <c r="C25" s="249" t="s">
        <v>4685</v>
      </c>
      <c r="D25" s="249" t="s">
        <v>4689</v>
      </c>
      <c r="E25" s="249" t="s">
        <v>4623</v>
      </c>
      <c r="F25" s="249" t="s">
        <v>4720</v>
      </c>
      <c r="G25" s="249" t="s">
        <v>4624</v>
      </c>
      <c r="H25" s="249" t="s">
        <v>4744</v>
      </c>
      <c r="I25" s="249" t="s">
        <v>4625</v>
      </c>
      <c r="J25" s="249" t="s">
        <v>4772</v>
      </c>
      <c r="K25" s="249" t="s">
        <v>4626</v>
      </c>
      <c r="L25" s="249" t="s">
        <v>4798</v>
      </c>
      <c r="M25" s="249" t="s">
        <v>4627</v>
      </c>
      <c r="N25" s="249" t="s">
        <v>4827</v>
      </c>
      <c r="O25" s="249" t="s">
        <v>4628</v>
      </c>
      <c r="P25" s="249" t="s">
        <v>4908</v>
      </c>
      <c r="Q25" s="249" t="s">
        <v>4629</v>
      </c>
      <c r="R25" s="249" t="s">
        <v>5017</v>
      </c>
      <c r="S25" s="249" t="s">
        <v>4686</v>
      </c>
      <c r="T25" s="249" t="s">
        <v>4897</v>
      </c>
      <c r="U25" s="249" t="str">
        <f t="shared" si="0"/>
        <v>1:300250;2:300251;3:300252;4:300253;5:300254;6:300255;7:300256;8:300257;9:300258;10:300259</v>
      </c>
    </row>
    <row r="26" spans="1:21" x14ac:dyDescent="0.2">
      <c r="A26" s="249" t="s">
        <v>4684</v>
      </c>
      <c r="B26" s="249" t="s">
        <v>4915</v>
      </c>
      <c r="C26" s="249" t="s">
        <v>4685</v>
      </c>
      <c r="D26" s="249" t="s">
        <v>4690</v>
      </c>
      <c r="E26" s="249" t="s">
        <v>4623</v>
      </c>
      <c r="F26" s="249" t="s">
        <v>4940</v>
      </c>
      <c r="G26" s="249" t="s">
        <v>4624</v>
      </c>
      <c r="H26" s="249" t="s">
        <v>4745</v>
      </c>
      <c r="I26" s="249" t="s">
        <v>4625</v>
      </c>
      <c r="J26" s="249" t="s">
        <v>4773</v>
      </c>
      <c r="K26" s="249" t="s">
        <v>4626</v>
      </c>
      <c r="L26" s="249" t="s">
        <v>4799</v>
      </c>
      <c r="M26" s="249" t="s">
        <v>4627</v>
      </c>
      <c r="N26" s="249" t="s">
        <v>4828</v>
      </c>
      <c r="O26" s="249" t="s">
        <v>4628</v>
      </c>
      <c r="P26" s="249" t="s">
        <v>4909</v>
      </c>
      <c r="Q26" s="249" t="s">
        <v>4629</v>
      </c>
      <c r="R26" s="249" t="s">
        <v>5018</v>
      </c>
      <c r="S26" s="249" t="s">
        <v>4686</v>
      </c>
      <c r="T26" s="249" t="s">
        <v>4898</v>
      </c>
      <c r="U26" s="249" t="str">
        <f t="shared" si="0"/>
        <v>1:300260;2:300261;3:300262;4:300263;5:300264;6:300265;7:300266;8:300267;9:300268;10:300269</v>
      </c>
    </row>
    <row r="27" spans="1:21" x14ac:dyDescent="0.2">
      <c r="A27" s="249" t="s">
        <v>4684</v>
      </c>
      <c r="B27" s="249" t="s">
        <v>4916</v>
      </c>
      <c r="C27" s="249" t="s">
        <v>4685</v>
      </c>
      <c r="D27" s="249" t="s">
        <v>4691</v>
      </c>
      <c r="E27" s="249" t="s">
        <v>4623</v>
      </c>
      <c r="F27" s="249" t="s">
        <v>4941</v>
      </c>
      <c r="G27" s="249" t="s">
        <v>4624</v>
      </c>
      <c r="H27" s="249" t="s">
        <v>4746</v>
      </c>
      <c r="I27" s="249" t="s">
        <v>4625</v>
      </c>
      <c r="J27" s="249" t="s">
        <v>4774</v>
      </c>
      <c r="K27" s="249" t="s">
        <v>4626</v>
      </c>
      <c r="L27" s="249" t="s">
        <v>4800</v>
      </c>
      <c r="M27" s="249" t="s">
        <v>4627</v>
      </c>
      <c r="N27" s="249" t="s">
        <v>4829</v>
      </c>
      <c r="O27" s="249" t="s">
        <v>4628</v>
      </c>
      <c r="P27" s="249" t="s">
        <v>4910</v>
      </c>
      <c r="Q27" s="249" t="s">
        <v>4629</v>
      </c>
      <c r="R27" s="249" t="s">
        <v>5019</v>
      </c>
      <c r="S27" s="249" t="s">
        <v>4686</v>
      </c>
      <c r="T27" s="249" t="s">
        <v>4899</v>
      </c>
      <c r="U27" s="249" t="str">
        <f t="shared" si="0"/>
        <v>1:300270;2:300271;3:300272;4:300273;5:300274;6:300275;7:300276;8:300277;9:300278;10:300279</v>
      </c>
    </row>
    <row r="28" spans="1:21" x14ac:dyDescent="0.2">
      <c r="A28" s="249" t="s">
        <v>4684</v>
      </c>
      <c r="B28" s="249" t="s">
        <v>4917</v>
      </c>
      <c r="C28" s="249" t="s">
        <v>4685</v>
      </c>
      <c r="D28" s="249" t="s">
        <v>4692</v>
      </c>
      <c r="E28" s="249" t="s">
        <v>4623</v>
      </c>
      <c r="F28" s="249" t="s">
        <v>4942</v>
      </c>
      <c r="G28" s="249" t="s">
        <v>4624</v>
      </c>
      <c r="H28" s="249" t="s">
        <v>4747</v>
      </c>
      <c r="I28" s="249" t="s">
        <v>4625</v>
      </c>
      <c r="J28" s="249" t="s">
        <v>4968</v>
      </c>
      <c r="K28" s="249" t="s">
        <v>4626</v>
      </c>
      <c r="L28" s="249" t="s">
        <v>4801</v>
      </c>
      <c r="M28" s="249" t="s">
        <v>4627</v>
      </c>
      <c r="N28" s="249" t="s">
        <v>4830</v>
      </c>
      <c r="O28" s="249" t="s">
        <v>4628</v>
      </c>
      <c r="P28" s="249" t="s">
        <v>4911</v>
      </c>
      <c r="Q28" s="249" t="s">
        <v>4629</v>
      </c>
      <c r="R28" s="249" t="s">
        <v>5020</v>
      </c>
      <c r="S28" s="249" t="s">
        <v>4686</v>
      </c>
      <c r="T28" s="249" t="s">
        <v>4900</v>
      </c>
      <c r="U28" s="249" t="str">
        <f t="shared" si="0"/>
        <v>1:300280;2:300281;3:300282;4:300283;5:300284;6:300285;7:300286;8:300287;9:300288;10:300289</v>
      </c>
    </row>
    <row r="29" spans="1:21" x14ac:dyDescent="0.2">
      <c r="A29" s="249" t="s">
        <v>4684</v>
      </c>
      <c r="B29" s="249" t="s">
        <v>4918</v>
      </c>
      <c r="C29" s="249" t="s">
        <v>4685</v>
      </c>
      <c r="D29" s="249" t="s">
        <v>4693</v>
      </c>
      <c r="E29" s="249" t="s">
        <v>4623</v>
      </c>
      <c r="F29" s="249" t="s">
        <v>4943</v>
      </c>
      <c r="G29" s="249" t="s">
        <v>4624</v>
      </c>
      <c r="H29" s="249" t="s">
        <v>4748</v>
      </c>
      <c r="I29" s="249" t="s">
        <v>4625</v>
      </c>
      <c r="J29" s="249" t="s">
        <v>4969</v>
      </c>
      <c r="K29" s="249" t="s">
        <v>4626</v>
      </c>
      <c r="L29" s="249" t="s">
        <v>4802</v>
      </c>
      <c r="M29" s="249" t="s">
        <v>4627</v>
      </c>
      <c r="N29" s="249" t="s">
        <v>4831</v>
      </c>
      <c r="O29" s="249" t="s">
        <v>4628</v>
      </c>
      <c r="P29" s="249" t="s">
        <v>4912</v>
      </c>
      <c r="Q29" s="249" t="s">
        <v>4629</v>
      </c>
      <c r="R29" s="249" t="s">
        <v>5021</v>
      </c>
      <c r="S29" s="249" t="s">
        <v>4686</v>
      </c>
      <c r="T29" s="249" t="s">
        <v>4901</v>
      </c>
      <c r="U29" s="249" t="str">
        <f t="shared" si="0"/>
        <v>1:300290;2:300291;3:300292;4:300293;5:300294;6:300295;7:300296;8:300297;9:300298;10:300299</v>
      </c>
    </row>
    <row r="30" spans="1:21" x14ac:dyDescent="0.2">
      <c r="A30" s="249" t="s">
        <v>4684</v>
      </c>
      <c r="B30" s="249" t="s">
        <v>4919</v>
      </c>
      <c r="C30" s="249" t="s">
        <v>4685</v>
      </c>
      <c r="D30" s="249" t="s">
        <v>4694</v>
      </c>
      <c r="E30" s="249" t="s">
        <v>4623</v>
      </c>
      <c r="F30" s="249" t="s">
        <v>4944</v>
      </c>
      <c r="G30" s="249" t="s">
        <v>4624</v>
      </c>
      <c r="H30" s="249" t="s">
        <v>4956</v>
      </c>
      <c r="I30" s="249" t="s">
        <v>4625</v>
      </c>
      <c r="J30" s="249" t="s">
        <v>4970</v>
      </c>
      <c r="K30" s="249" t="s">
        <v>4626</v>
      </c>
      <c r="L30" s="249" t="s">
        <v>4803</v>
      </c>
      <c r="M30" s="249" t="s">
        <v>4627</v>
      </c>
      <c r="N30" s="249" t="s">
        <v>4832</v>
      </c>
      <c r="O30" s="249" t="s">
        <v>4628</v>
      </c>
      <c r="P30" s="249" t="s">
        <v>5004</v>
      </c>
      <c r="Q30" s="249" t="s">
        <v>4629</v>
      </c>
      <c r="R30" s="249" t="s">
        <v>5022</v>
      </c>
      <c r="S30" s="249" t="s">
        <v>4686</v>
      </c>
      <c r="T30" s="249" t="s">
        <v>4902</v>
      </c>
      <c r="U30" s="249" t="str">
        <f t="shared" si="0"/>
        <v>1:300300;2:300301;3:300302;4:300303;5:300304;6:300305;7:300306;8:300307;9:300308;10:300309</v>
      </c>
    </row>
    <row r="31" spans="1:21" x14ac:dyDescent="0.2">
      <c r="A31" s="249" t="s">
        <v>4684</v>
      </c>
      <c r="B31" s="249" t="s">
        <v>4920</v>
      </c>
      <c r="C31" s="249" t="s">
        <v>4685</v>
      </c>
      <c r="D31" s="249" t="s">
        <v>4695</v>
      </c>
      <c r="E31" s="249" t="s">
        <v>4623</v>
      </c>
      <c r="F31" s="249" t="s">
        <v>4945</v>
      </c>
      <c r="G31" s="249" t="s">
        <v>4624</v>
      </c>
      <c r="H31" s="249" t="s">
        <v>4957</v>
      </c>
      <c r="I31" s="249" t="s">
        <v>4625</v>
      </c>
      <c r="J31" s="249" t="s">
        <v>4971</v>
      </c>
      <c r="K31" s="249" t="s">
        <v>4626</v>
      </c>
      <c r="L31" s="249" t="s">
        <v>4982</v>
      </c>
      <c r="M31" s="249" t="s">
        <v>4627</v>
      </c>
      <c r="N31" s="249" t="s">
        <v>4993</v>
      </c>
      <c r="O31" s="249" t="s">
        <v>4628</v>
      </c>
      <c r="P31" s="249" t="s">
        <v>5005</v>
      </c>
      <c r="Q31" s="249" t="s">
        <v>4629</v>
      </c>
      <c r="R31" s="249" t="s">
        <v>5023</v>
      </c>
      <c r="S31" s="249" t="s">
        <v>4686</v>
      </c>
      <c r="T31" s="249" t="s">
        <v>4903</v>
      </c>
      <c r="U31" s="249" t="str">
        <f t="shared" si="0"/>
        <v>1:300310;2:300311;3:300312;4:300313;5:300314;6:300315;7:300316;8:300317;9:300318;10:300319</v>
      </c>
    </row>
    <row r="32" spans="1:21" x14ac:dyDescent="0.2">
      <c r="A32" s="249" t="s">
        <v>4684</v>
      </c>
      <c r="B32" s="249" t="s">
        <v>4921</v>
      </c>
      <c r="C32" s="249" t="s">
        <v>4685</v>
      </c>
      <c r="D32" s="249" t="s">
        <v>4696</v>
      </c>
      <c r="E32" s="249" t="s">
        <v>4623</v>
      </c>
      <c r="F32" s="249" t="s">
        <v>4946</v>
      </c>
      <c r="G32" s="249" t="s">
        <v>4624</v>
      </c>
      <c r="H32" s="249" t="s">
        <v>4958</v>
      </c>
      <c r="I32" s="249" t="s">
        <v>4625</v>
      </c>
      <c r="J32" s="249" t="s">
        <v>4972</v>
      </c>
      <c r="K32" s="249" t="s">
        <v>4626</v>
      </c>
      <c r="L32" s="249" t="s">
        <v>4983</v>
      </c>
      <c r="M32" s="249" t="s">
        <v>4627</v>
      </c>
      <c r="N32" s="249" t="s">
        <v>4994</v>
      </c>
      <c r="O32" s="249" t="s">
        <v>4628</v>
      </c>
      <c r="P32" s="249" t="s">
        <v>5006</v>
      </c>
      <c r="Q32" s="249" t="s">
        <v>4629</v>
      </c>
      <c r="R32" s="249" t="s">
        <v>5024</v>
      </c>
      <c r="S32" s="249" t="s">
        <v>4686</v>
      </c>
      <c r="T32" s="249" t="s">
        <v>5034</v>
      </c>
      <c r="U32" s="249" t="str">
        <f t="shared" si="0"/>
        <v>1:300320;2:300321;3:300322;4:300323;5:300324;6:300325;7:300326;8:300327;9:300328;10:300329</v>
      </c>
    </row>
    <row r="33" spans="1:21" x14ac:dyDescent="0.2">
      <c r="A33" s="249" t="s">
        <v>4684</v>
      </c>
      <c r="B33" s="249" t="s">
        <v>4922</v>
      </c>
      <c r="C33" s="249" t="s">
        <v>4685</v>
      </c>
      <c r="D33" s="249" t="s">
        <v>4924</v>
      </c>
      <c r="E33" s="249" t="s">
        <v>4623</v>
      </c>
      <c r="F33" s="249" t="s">
        <v>4947</v>
      </c>
      <c r="G33" s="249" t="s">
        <v>4624</v>
      </c>
      <c r="H33" s="249" t="s">
        <v>4959</v>
      </c>
      <c r="I33" s="249" t="s">
        <v>4625</v>
      </c>
      <c r="J33" s="249" t="s">
        <v>4973</v>
      </c>
      <c r="K33" s="249" t="s">
        <v>4626</v>
      </c>
      <c r="L33" s="249" t="s">
        <v>4984</v>
      </c>
      <c r="M33" s="249" t="s">
        <v>4627</v>
      </c>
      <c r="N33" s="249" t="s">
        <v>4995</v>
      </c>
      <c r="O33" s="249" t="s">
        <v>4628</v>
      </c>
      <c r="P33" s="249" t="s">
        <v>5007</v>
      </c>
      <c r="Q33" s="249" t="s">
        <v>4629</v>
      </c>
      <c r="R33" s="249" t="s">
        <v>5025</v>
      </c>
      <c r="S33" s="249" t="s">
        <v>4686</v>
      </c>
      <c r="T33" s="249" t="s">
        <v>5035</v>
      </c>
      <c r="U33" s="249" t="str">
        <f>A33&amp;B33&amp;C33&amp;D33&amp;E33&amp;F33&amp;G33&amp;H33&amp;I33&amp;J33&amp;K33&amp;L33&amp;M33&amp;N33&amp;O33&amp;P33&amp;Q33&amp;R33&amp;S33&amp;T33</f>
        <v>1:300330;2:300331;3:300332;4:300333;5:300334;6:300335;7:300336;8:300337;9:300338;10:300339</v>
      </c>
    </row>
    <row r="34" spans="1:21" x14ac:dyDescent="0.2">
      <c r="A34" s="249" t="s">
        <v>4684</v>
      </c>
      <c r="B34" s="249" t="s">
        <v>4923</v>
      </c>
      <c r="C34" s="249" t="s">
        <v>4685</v>
      </c>
      <c r="D34" s="249" t="s">
        <v>4925</v>
      </c>
      <c r="E34" s="249" t="s">
        <v>4623</v>
      </c>
      <c r="F34" s="249" t="s">
        <v>4948</v>
      </c>
      <c r="G34" s="249" t="s">
        <v>4624</v>
      </c>
      <c r="H34" s="249" t="s">
        <v>4960</v>
      </c>
      <c r="I34" s="249" t="s">
        <v>4625</v>
      </c>
      <c r="J34" s="249" t="s">
        <v>4974</v>
      </c>
      <c r="K34" s="249" t="s">
        <v>4626</v>
      </c>
      <c r="L34" s="249" t="s">
        <v>4985</v>
      </c>
      <c r="M34" s="249" t="s">
        <v>4627</v>
      </c>
      <c r="N34" s="249" t="s">
        <v>4996</v>
      </c>
      <c r="O34" s="249" t="s">
        <v>4628</v>
      </c>
      <c r="P34" s="249" t="s">
        <v>5008</v>
      </c>
      <c r="Q34" s="249" t="s">
        <v>4629</v>
      </c>
      <c r="R34" s="249" t="s">
        <v>5026</v>
      </c>
      <c r="S34" s="249" t="s">
        <v>4686</v>
      </c>
      <c r="T34" s="249" t="s">
        <v>5036</v>
      </c>
      <c r="U34" s="249" t="str">
        <f t="shared" si="0"/>
        <v>1:300340;2:300341;3:300342;4:300343;5:300344;6:300345;7:300346;8:300347;9:300348;10:300349</v>
      </c>
    </row>
    <row r="35" spans="1:21" x14ac:dyDescent="0.2">
      <c r="A35" s="249" t="s">
        <v>4684</v>
      </c>
      <c r="B35" s="249" t="s">
        <v>4926</v>
      </c>
      <c r="C35" s="249" t="s">
        <v>4685</v>
      </c>
      <c r="D35" s="249" t="s">
        <v>4933</v>
      </c>
      <c r="E35" s="249" t="s">
        <v>4623</v>
      </c>
      <c r="F35" s="249" t="s">
        <v>4949</v>
      </c>
      <c r="G35" s="249" t="s">
        <v>4624</v>
      </c>
      <c r="H35" s="249" t="s">
        <v>4961</v>
      </c>
      <c r="I35" s="249" t="s">
        <v>4625</v>
      </c>
      <c r="J35" s="249" t="s">
        <v>4975</v>
      </c>
      <c r="K35" s="249" t="s">
        <v>4626</v>
      </c>
      <c r="L35" s="249" t="s">
        <v>4986</v>
      </c>
      <c r="M35" s="249" t="s">
        <v>4627</v>
      </c>
      <c r="N35" s="249" t="s">
        <v>4997</v>
      </c>
      <c r="O35" s="249" t="s">
        <v>4628</v>
      </c>
      <c r="P35" s="249" t="s">
        <v>5009</v>
      </c>
      <c r="Q35" s="249" t="s">
        <v>4629</v>
      </c>
      <c r="R35" s="249" t="s">
        <v>5027</v>
      </c>
      <c r="S35" s="249" t="s">
        <v>4686</v>
      </c>
      <c r="T35" s="249" t="s">
        <v>5037</v>
      </c>
      <c r="U35" s="249" t="str">
        <f t="shared" si="0"/>
        <v>1:300350;2:300351;3:300352;4:300353;5:300354;6:300355;7:300356;8:300357;9:300358;10:300359</v>
      </c>
    </row>
    <row r="36" spans="1:21" x14ac:dyDescent="0.2">
      <c r="A36" s="249" t="s">
        <v>4684</v>
      </c>
      <c r="B36" s="249" t="s">
        <v>4927</v>
      </c>
      <c r="C36" s="249" t="s">
        <v>4685</v>
      </c>
      <c r="D36" s="249" t="s">
        <v>4934</v>
      </c>
      <c r="E36" s="249" t="s">
        <v>4623</v>
      </c>
      <c r="F36" s="249" t="s">
        <v>4950</v>
      </c>
      <c r="G36" s="249" t="s">
        <v>4624</v>
      </c>
      <c r="H36" s="249" t="s">
        <v>4962</v>
      </c>
      <c r="I36" s="249" t="s">
        <v>4625</v>
      </c>
      <c r="J36" s="249" t="s">
        <v>4976</v>
      </c>
      <c r="K36" s="249" t="s">
        <v>4626</v>
      </c>
      <c r="L36" s="249" t="s">
        <v>4987</v>
      </c>
      <c r="M36" s="249" t="s">
        <v>4627</v>
      </c>
      <c r="N36" s="249" t="s">
        <v>4998</v>
      </c>
      <c r="O36" s="249" t="s">
        <v>4628</v>
      </c>
      <c r="P36" s="249" t="s">
        <v>5010</v>
      </c>
      <c r="Q36" s="249" t="s">
        <v>4629</v>
      </c>
      <c r="R36" s="249" t="s">
        <v>5028</v>
      </c>
      <c r="S36" s="249" t="s">
        <v>4686</v>
      </c>
      <c r="T36" s="249" t="s">
        <v>5038</v>
      </c>
      <c r="U36" s="249" t="str">
        <f t="shared" si="0"/>
        <v>1:300360;2:300361;3:300362;4:300363;5:300364;6:300365;7:300366;8:300367;9:300368;10:300369</v>
      </c>
    </row>
    <row r="37" spans="1:21" x14ac:dyDescent="0.2">
      <c r="A37" s="249" t="s">
        <v>4684</v>
      </c>
      <c r="B37" s="249" t="s">
        <v>4928</v>
      </c>
      <c r="C37" s="249" t="s">
        <v>4685</v>
      </c>
      <c r="D37" s="249" t="s">
        <v>4935</v>
      </c>
      <c r="E37" s="249" t="s">
        <v>4623</v>
      </c>
      <c r="F37" s="249" t="s">
        <v>4951</v>
      </c>
      <c r="G37" s="249" t="s">
        <v>4624</v>
      </c>
      <c r="H37" s="249" t="s">
        <v>4963</v>
      </c>
      <c r="I37" s="249" t="s">
        <v>4625</v>
      </c>
      <c r="J37" s="249" t="s">
        <v>4977</v>
      </c>
      <c r="K37" s="249" t="s">
        <v>4626</v>
      </c>
      <c r="L37" s="249" t="s">
        <v>4988</v>
      </c>
      <c r="M37" s="249" t="s">
        <v>4627</v>
      </c>
      <c r="N37" s="249" t="s">
        <v>4999</v>
      </c>
      <c r="O37" s="249" t="s">
        <v>4628</v>
      </c>
      <c r="P37" s="249" t="s">
        <v>5011</v>
      </c>
      <c r="Q37" s="249" t="s">
        <v>4629</v>
      </c>
      <c r="R37" s="249" t="s">
        <v>5029</v>
      </c>
      <c r="S37" s="249" t="s">
        <v>4686</v>
      </c>
      <c r="T37" s="249" t="s">
        <v>5039</v>
      </c>
      <c r="U37" s="249" t="str">
        <f t="shared" si="0"/>
        <v>1:300370;2:300371;3:300372;4:300373;5:300374;6:300375;7:300376;8:300377;9:300378;10:300379</v>
      </c>
    </row>
    <row r="38" spans="1:21" x14ac:dyDescent="0.2">
      <c r="A38" s="249" t="s">
        <v>4684</v>
      </c>
      <c r="B38" s="249" t="s">
        <v>4929</v>
      </c>
      <c r="C38" s="249" t="s">
        <v>4685</v>
      </c>
      <c r="D38" s="249" t="s">
        <v>4936</v>
      </c>
      <c r="E38" s="249" t="s">
        <v>4623</v>
      </c>
      <c r="F38" s="249" t="s">
        <v>4952</v>
      </c>
      <c r="G38" s="249" t="s">
        <v>4624</v>
      </c>
      <c r="H38" s="249" t="s">
        <v>4964</v>
      </c>
      <c r="I38" s="249" t="s">
        <v>4625</v>
      </c>
      <c r="J38" s="249" t="s">
        <v>4978</v>
      </c>
      <c r="K38" s="249" t="s">
        <v>4626</v>
      </c>
      <c r="L38" s="249" t="s">
        <v>4989</v>
      </c>
      <c r="M38" s="249" t="s">
        <v>4627</v>
      </c>
      <c r="N38" s="249" t="s">
        <v>5000</v>
      </c>
      <c r="O38" s="249" t="s">
        <v>4628</v>
      </c>
      <c r="P38" s="249" t="s">
        <v>5012</v>
      </c>
      <c r="Q38" s="249" t="s">
        <v>4629</v>
      </c>
      <c r="R38" s="249" t="s">
        <v>5030</v>
      </c>
      <c r="S38" s="249" t="s">
        <v>4686</v>
      </c>
      <c r="T38" s="249" t="s">
        <v>5040</v>
      </c>
      <c r="U38" s="249" t="str">
        <f t="shared" si="0"/>
        <v>1:300380;2:300381;3:300382;4:300383;5:300384;6:300385;7:300386;8:300387;9:300388;10:300389</v>
      </c>
    </row>
    <row r="39" spans="1:21" x14ac:dyDescent="0.2">
      <c r="A39" s="249" t="s">
        <v>4684</v>
      </c>
      <c r="B39" s="249" t="s">
        <v>4930</v>
      </c>
      <c r="C39" s="249" t="s">
        <v>4685</v>
      </c>
      <c r="D39" s="249" t="s">
        <v>4937</v>
      </c>
      <c r="E39" s="249" t="s">
        <v>4623</v>
      </c>
      <c r="F39" s="249" t="s">
        <v>4953</v>
      </c>
      <c r="G39" s="249" t="s">
        <v>4624</v>
      </c>
      <c r="H39" s="249" t="s">
        <v>4965</v>
      </c>
      <c r="I39" s="249" t="s">
        <v>4625</v>
      </c>
      <c r="J39" s="249" t="s">
        <v>4979</v>
      </c>
      <c r="K39" s="249" t="s">
        <v>4626</v>
      </c>
      <c r="L39" s="249" t="s">
        <v>4990</v>
      </c>
      <c r="M39" s="249" t="s">
        <v>4627</v>
      </c>
      <c r="N39" s="249" t="s">
        <v>5001</v>
      </c>
      <c r="O39" s="249" t="s">
        <v>4628</v>
      </c>
      <c r="P39" s="249" t="s">
        <v>5013</v>
      </c>
      <c r="Q39" s="249" t="s">
        <v>4629</v>
      </c>
      <c r="R39" s="249" t="s">
        <v>5031</v>
      </c>
      <c r="S39" s="249" t="s">
        <v>4686</v>
      </c>
      <c r="T39" s="249" t="s">
        <v>5041</v>
      </c>
      <c r="U39" s="249" t="str">
        <f t="shared" si="0"/>
        <v>1:300390;2:300391;3:300392;4:300393;5:300394;6:300395;7:300396;8:300397;9:300398;10:300399</v>
      </c>
    </row>
    <row r="40" spans="1:21" x14ac:dyDescent="0.2">
      <c r="A40" s="249" t="s">
        <v>4684</v>
      </c>
      <c r="B40" s="249" t="s">
        <v>4931</v>
      </c>
      <c r="C40" s="249" t="s">
        <v>4685</v>
      </c>
      <c r="D40" s="249" t="s">
        <v>4938</v>
      </c>
      <c r="E40" s="249" t="s">
        <v>4623</v>
      </c>
      <c r="F40" s="249" t="s">
        <v>4954</v>
      </c>
      <c r="G40" s="249" t="s">
        <v>4624</v>
      </c>
      <c r="H40" s="249" t="s">
        <v>4966</v>
      </c>
      <c r="I40" s="249" t="s">
        <v>4625</v>
      </c>
      <c r="J40" s="249" t="s">
        <v>4980</v>
      </c>
      <c r="K40" s="249" t="s">
        <v>4626</v>
      </c>
      <c r="L40" s="249" t="s">
        <v>4991</v>
      </c>
      <c r="M40" s="249" t="s">
        <v>4627</v>
      </c>
      <c r="N40" s="249" t="s">
        <v>5002</v>
      </c>
      <c r="O40" s="249" t="s">
        <v>4628</v>
      </c>
      <c r="P40" s="249" t="s">
        <v>5014</v>
      </c>
      <c r="Q40" s="249" t="s">
        <v>4629</v>
      </c>
      <c r="R40" s="249" t="s">
        <v>5032</v>
      </c>
      <c r="S40" s="249" t="s">
        <v>4686</v>
      </c>
      <c r="T40" s="249" t="s">
        <v>5042</v>
      </c>
      <c r="U40" s="249" t="str">
        <f t="shared" si="0"/>
        <v>1:300400;2:300401;3:300402;4:300403;5:300404;6:300405;7:300406;8:300407;9:300408;10:300409</v>
      </c>
    </row>
    <row r="41" spans="1:21" x14ac:dyDescent="0.2">
      <c r="A41" s="249" t="s">
        <v>4684</v>
      </c>
      <c r="B41" s="249" t="s">
        <v>4932</v>
      </c>
      <c r="C41" s="249" t="s">
        <v>4685</v>
      </c>
      <c r="D41" s="249" t="s">
        <v>4939</v>
      </c>
      <c r="E41" s="249" t="s">
        <v>4623</v>
      </c>
      <c r="F41" s="249" t="s">
        <v>4955</v>
      </c>
      <c r="G41" s="249" t="s">
        <v>4624</v>
      </c>
      <c r="H41" s="249" t="s">
        <v>4967</v>
      </c>
      <c r="I41" s="249" t="s">
        <v>4625</v>
      </c>
      <c r="J41" s="249" t="s">
        <v>4981</v>
      </c>
      <c r="K41" s="249" t="s">
        <v>4626</v>
      </c>
      <c r="L41" s="249" t="s">
        <v>4992</v>
      </c>
      <c r="M41" s="249" t="s">
        <v>4627</v>
      </c>
      <c r="N41" s="249" t="s">
        <v>5003</v>
      </c>
      <c r="O41" s="249" t="s">
        <v>4628</v>
      </c>
      <c r="P41" s="249" t="s">
        <v>5015</v>
      </c>
      <c r="Q41" s="249" t="s">
        <v>4629</v>
      </c>
      <c r="R41" s="249" t="s">
        <v>5033</v>
      </c>
      <c r="S41" s="249" t="s">
        <v>4686</v>
      </c>
      <c r="T41" s="249" t="s">
        <v>5043</v>
      </c>
      <c r="U41" s="249" t="str">
        <f t="shared" si="0"/>
        <v>1:300410;2:300411;3:300412;4:300413;5:300414;6:300415;7:300416;8:300417;9:300418;10:300419</v>
      </c>
    </row>
    <row r="46" spans="1:21" x14ac:dyDescent="0.2">
      <c r="A46" s="250">
        <v>45</v>
      </c>
      <c r="B46" s="1">
        <v>1.6</v>
      </c>
      <c r="C46" s="1">
        <f>A46*B46</f>
        <v>72</v>
      </c>
    </row>
    <row r="47" spans="1:21" x14ac:dyDescent="0.2">
      <c r="A47" s="251">
        <v>54</v>
      </c>
      <c r="B47" s="1">
        <v>1.6</v>
      </c>
      <c r="C47" s="1">
        <f t="shared" ref="C47:C55" si="1">A47*B47</f>
        <v>86.4</v>
      </c>
    </row>
    <row r="48" spans="1:21" x14ac:dyDescent="0.2">
      <c r="A48" s="250">
        <v>60</v>
      </c>
      <c r="B48" s="1">
        <v>1.6</v>
      </c>
      <c r="C48" s="1">
        <f t="shared" si="1"/>
        <v>96</v>
      </c>
    </row>
    <row r="49" spans="1:3" x14ac:dyDescent="0.2">
      <c r="A49" s="251">
        <v>75</v>
      </c>
      <c r="B49" s="1">
        <v>1.6</v>
      </c>
      <c r="C49" s="1">
        <f t="shared" si="1"/>
        <v>120</v>
      </c>
    </row>
    <row r="50" spans="1:3" x14ac:dyDescent="0.2">
      <c r="A50" s="250">
        <v>90</v>
      </c>
      <c r="B50" s="1">
        <v>1.6</v>
      </c>
      <c r="C50" s="1">
        <f t="shared" si="1"/>
        <v>144</v>
      </c>
    </row>
    <row r="51" spans="1:3" x14ac:dyDescent="0.2">
      <c r="A51" s="251">
        <v>99</v>
      </c>
      <c r="B51" s="1">
        <v>1.6</v>
      </c>
      <c r="C51" s="1">
        <f t="shared" si="1"/>
        <v>158.4</v>
      </c>
    </row>
    <row r="52" spans="1:3" x14ac:dyDescent="0.2">
      <c r="A52" s="250">
        <v>105</v>
      </c>
      <c r="B52" s="1">
        <v>1.6</v>
      </c>
      <c r="C52" s="1">
        <f t="shared" si="1"/>
        <v>168</v>
      </c>
    </row>
    <row r="53" spans="1:3" x14ac:dyDescent="0.2">
      <c r="A53" s="251">
        <v>120</v>
      </c>
      <c r="B53" s="1">
        <v>1.6</v>
      </c>
      <c r="C53" s="1">
        <f t="shared" si="1"/>
        <v>192</v>
      </c>
    </row>
    <row r="54" spans="1:3" x14ac:dyDescent="0.2">
      <c r="A54" s="250">
        <v>135</v>
      </c>
      <c r="B54" s="1">
        <v>1.6</v>
      </c>
      <c r="C54" s="1">
        <f t="shared" si="1"/>
        <v>216</v>
      </c>
    </row>
    <row r="55" spans="1:3" x14ac:dyDescent="0.2">
      <c r="A55" s="251">
        <v>150</v>
      </c>
      <c r="B55" s="1">
        <v>1.6</v>
      </c>
      <c r="C55" s="1">
        <f t="shared" si="1"/>
        <v>240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D1DE-8015-46C2-A780-1F7418507DDC}">
  <dimension ref="A1:W177"/>
  <sheetViews>
    <sheetView topLeftCell="A6" zoomScaleNormal="100" workbookViewId="0">
      <pane xSplit="3" topLeftCell="L1" activePane="topRight" state="frozen"/>
      <selection pane="topRight" activeCell="P1" sqref="P1:P1048576"/>
    </sheetView>
  </sheetViews>
  <sheetFormatPr defaultRowHeight="14.25" x14ac:dyDescent="0.2"/>
  <cols>
    <col min="1" max="1" width="19.25" bestFit="1" customWidth="1"/>
    <col min="2" max="2" width="21.375" bestFit="1" customWidth="1"/>
    <col min="3" max="4" width="21.375" hidden="1" customWidth="1"/>
    <col min="5" max="5" width="27.75" hidden="1" customWidth="1"/>
    <col min="6" max="6" width="37.5" hidden="1" customWidth="1"/>
    <col min="7" max="7" width="9" hidden="1" customWidth="1"/>
    <col min="8" max="11" width="21.375" hidden="1" customWidth="1"/>
    <col min="12" max="12" width="13" style="9" bestFit="1" customWidth="1"/>
    <col min="13" max="14" width="13" style="9" customWidth="1"/>
    <col min="15" max="15" width="13" style="9" bestFit="1" customWidth="1"/>
    <col min="16" max="16" width="13" style="9" customWidth="1"/>
    <col min="20" max="20" width="21.375" bestFit="1" customWidth="1"/>
    <col min="22" max="23" width="17.25" bestFit="1" customWidth="1"/>
  </cols>
  <sheetData>
    <row r="1" spans="1:23" x14ac:dyDescent="0.2">
      <c r="P1" s="63" t="s">
        <v>4416</v>
      </c>
    </row>
    <row r="2" spans="1:23" x14ac:dyDescent="0.2">
      <c r="A2" s="222" t="s">
        <v>4225</v>
      </c>
      <c r="B2" s="222" t="s">
        <v>4224</v>
      </c>
      <c r="C2" s="222" t="s">
        <v>4222</v>
      </c>
      <c r="D2" s="222" t="s">
        <v>4223</v>
      </c>
      <c r="E2" s="222" t="s">
        <v>4267</v>
      </c>
      <c r="F2" s="222" t="s">
        <v>4267</v>
      </c>
      <c r="G2" s="222" t="s">
        <v>4230</v>
      </c>
      <c r="H2" s="223" t="s">
        <v>4226</v>
      </c>
      <c r="I2" s="223" t="s">
        <v>4227</v>
      </c>
      <c r="J2" s="223" t="s">
        <v>4228</v>
      </c>
      <c r="K2" s="223" t="s">
        <v>4229</v>
      </c>
      <c r="L2" s="223" t="s">
        <v>4265</v>
      </c>
      <c r="M2" s="223" t="s">
        <v>4266</v>
      </c>
      <c r="N2" s="223" t="s">
        <v>4266</v>
      </c>
      <c r="O2" s="223" t="s">
        <v>4266</v>
      </c>
      <c r="P2" s="228" t="s">
        <v>4415</v>
      </c>
    </row>
    <row r="3" spans="1:23" ht="15" thickBot="1" x14ac:dyDescent="0.25">
      <c r="A3" s="300" t="s">
        <v>284</v>
      </c>
      <c r="B3" s="218" t="s">
        <v>320</v>
      </c>
      <c r="C3" s="217" t="s">
        <v>4221</v>
      </c>
      <c r="D3" s="219">
        <v>10541</v>
      </c>
      <c r="E3" s="219" t="str">
        <f>VLOOKUP(D3,怪物基本表!$D$7:$AO$276,38,FALSE)</f>
        <v>30001,30002</v>
      </c>
      <c r="F3" s="219" t="str">
        <f t="shared" ref="F3:F34" si="0">SUBSTITUTE(IFERROR(VLOOKUP(INT(LEFT($E3,5)),$S$3:$T$177,2,FALSE),"xxx")&amp;","&amp;IFERROR(VLOOKUP(INT(MID($E3,7,5)),$S$3:$T$177,2,FALSE),"xxx")&amp;IFERROR(VLOOKUP(INT(MID($E3,13,5)),$S$3:$T$177,2,FALSE),"xxx")&amp;IFERROR(VLOOKUP(INT(MID($E3,19,5)),$S$3:$T$177,2,FALSE),"xxx"),"x","")</f>
        <v>,</v>
      </c>
      <c r="G3" s="220" t="s">
        <v>4231</v>
      </c>
      <c r="H3" s="217"/>
      <c r="I3" s="217"/>
      <c r="J3" s="217"/>
      <c r="K3" s="50"/>
      <c r="L3" s="34" t="str">
        <f t="shared" ref="L3:L34" si="1">_xlfn.IFNA(VLOOKUP(H3,$V$3:$W$38,2,FALSE),"xxx")</f>
        <v>xxx</v>
      </c>
      <c r="M3" s="34" t="str">
        <f t="shared" ref="M3:M34" si="2">_xlfn.IFNA(VLOOKUP(I3,$V$3:$W$38,2,FALSE),"xxx")</f>
        <v>xxx</v>
      </c>
      <c r="N3" s="34" t="str">
        <f t="shared" ref="N3:N34" si="3">_xlfn.IFNA(VLOOKUP(J3,$V$3:$W$38,2,FALSE),"xxx")</f>
        <v>xxx</v>
      </c>
      <c r="O3" s="34" t="str">
        <f t="shared" ref="O3:O34" si="4">_xlfn.IFNA(VLOOKUP(K3,$V$3:$W$38,2,FALSE),"xxx")</f>
        <v>xxx</v>
      </c>
      <c r="P3" s="9" t="str">
        <f>$P$1&amp;M3&amp;","&amp;N3&amp;","&amp;O3</f>
        <v>1:xxx,xxx,xxx</v>
      </c>
      <c r="S3" s="50">
        <v>10001</v>
      </c>
      <c r="T3" s="50" t="s">
        <v>4193</v>
      </c>
      <c r="V3" s="221" t="s">
        <v>4263</v>
      </c>
      <c r="W3" s="221" t="s">
        <v>4262</v>
      </c>
    </row>
    <row r="4" spans="1:23" ht="15.75" thickTop="1" thickBot="1" x14ac:dyDescent="0.25">
      <c r="A4" s="300"/>
      <c r="B4" s="218" t="s">
        <v>322</v>
      </c>
      <c r="C4" s="50" t="s">
        <v>412</v>
      </c>
      <c r="D4" s="219">
        <v>10601</v>
      </c>
      <c r="E4" s="219" t="str">
        <f>VLOOKUP(D4,怪物基本表!$D$7:$AO$276,38,FALSE)</f>
        <v>30151,30010</v>
      </c>
      <c r="F4" s="219" t="str">
        <f t="shared" si="0"/>
        <v>,</v>
      </c>
      <c r="G4" s="220" t="s">
        <v>4231</v>
      </c>
      <c r="H4" s="50"/>
      <c r="I4" s="217" t="s">
        <v>4418</v>
      </c>
      <c r="J4" s="217" t="s">
        <v>4425</v>
      </c>
      <c r="K4" s="50"/>
      <c r="L4" s="34" t="str">
        <f t="shared" si="1"/>
        <v>xxx</v>
      </c>
      <c r="M4" s="34">
        <f t="shared" si="2"/>
        <v>13</v>
      </c>
      <c r="N4" s="34">
        <f t="shared" si="3"/>
        <v>3</v>
      </c>
      <c r="O4" s="34" t="str">
        <f t="shared" si="4"/>
        <v>xxx</v>
      </c>
      <c r="P4" s="9" t="str">
        <f t="shared" ref="P4:P57" si="5">$P$1&amp;M4&amp;","&amp;N4&amp;","&amp;O4</f>
        <v>1:13,3,xxx</v>
      </c>
      <c r="S4" s="50">
        <v>10002</v>
      </c>
      <c r="T4" s="50" t="s">
        <v>4195</v>
      </c>
      <c r="V4" s="221" t="s">
        <v>4234</v>
      </c>
      <c r="W4" s="221">
        <v>1</v>
      </c>
    </row>
    <row r="5" spans="1:23" ht="15.75" thickTop="1" thickBot="1" x14ac:dyDescent="0.25">
      <c r="A5" s="300"/>
      <c r="B5" s="218" t="s">
        <v>326</v>
      </c>
      <c r="C5" s="50" t="s">
        <v>412</v>
      </c>
      <c r="D5" s="219">
        <v>10611</v>
      </c>
      <c r="E5" s="219" t="str">
        <f>VLOOKUP(D5,怪物基本表!$D$7:$AO$276,38,FALSE)</f>
        <v>30070,30071</v>
      </c>
      <c r="F5" s="219" t="str">
        <f t="shared" si="0"/>
        <v>,</v>
      </c>
      <c r="G5" s="220" t="s">
        <v>4232</v>
      </c>
      <c r="H5" s="217" t="s">
        <v>4430</v>
      </c>
      <c r="I5" s="217" t="s">
        <v>4264</v>
      </c>
      <c r="J5" s="217" t="s">
        <v>4417</v>
      </c>
      <c r="K5" s="50"/>
      <c r="L5" s="34">
        <f t="shared" si="1"/>
        <v>35</v>
      </c>
      <c r="M5" s="34">
        <f t="shared" si="2"/>
        <v>18</v>
      </c>
      <c r="N5" s="34">
        <f t="shared" si="3"/>
        <v>22</v>
      </c>
      <c r="O5" s="34" t="str">
        <f t="shared" si="4"/>
        <v>xxx</v>
      </c>
      <c r="P5" s="9" t="str">
        <f t="shared" si="5"/>
        <v>1:18,22,xxx</v>
      </c>
      <c r="S5" s="50">
        <v>10003</v>
      </c>
      <c r="T5" s="50" t="s">
        <v>4268</v>
      </c>
      <c r="V5" s="221" t="s">
        <v>4235</v>
      </c>
      <c r="W5" s="221">
        <v>2</v>
      </c>
    </row>
    <row r="6" spans="1:23" ht="15.75" thickTop="1" thickBot="1" x14ac:dyDescent="0.25">
      <c r="A6" s="300"/>
      <c r="B6" s="218" t="s">
        <v>330</v>
      </c>
      <c r="C6" s="50" t="s">
        <v>412</v>
      </c>
      <c r="D6" s="219">
        <v>10621</v>
      </c>
      <c r="E6" s="219" t="str">
        <f>VLOOKUP(D6,怪物基本表!$D$7:$AO$276,38,FALSE)</f>
        <v>30082,30081</v>
      </c>
      <c r="F6" s="219" t="str">
        <f t="shared" si="0"/>
        <v>,</v>
      </c>
      <c r="G6" s="220" t="s">
        <v>4233</v>
      </c>
      <c r="H6" s="217" t="s">
        <v>4428</v>
      </c>
      <c r="I6" s="217" t="s">
        <v>4420</v>
      </c>
      <c r="J6" s="217" t="s">
        <v>4421</v>
      </c>
      <c r="K6" s="217" t="s">
        <v>4431</v>
      </c>
      <c r="L6" s="34">
        <f t="shared" si="1"/>
        <v>32</v>
      </c>
      <c r="M6" s="34">
        <f t="shared" si="2"/>
        <v>17</v>
      </c>
      <c r="N6" s="34">
        <f t="shared" si="3"/>
        <v>23</v>
      </c>
      <c r="O6" s="34">
        <f t="shared" si="4"/>
        <v>6</v>
      </c>
      <c r="P6" s="9" t="str">
        <f t="shared" si="5"/>
        <v>1:17,23,6</v>
      </c>
      <c r="S6" s="50">
        <v>10004</v>
      </c>
      <c r="T6" s="50" t="s">
        <v>4269</v>
      </c>
      <c r="V6" s="221" t="s">
        <v>4236</v>
      </c>
      <c r="W6" s="221">
        <v>3</v>
      </c>
    </row>
    <row r="7" spans="1:23" ht="15.75" thickTop="1" thickBot="1" x14ac:dyDescent="0.25">
      <c r="A7" s="300"/>
      <c r="B7" s="218" t="s">
        <v>333</v>
      </c>
      <c r="C7" s="50" t="s">
        <v>419</v>
      </c>
      <c r="D7" s="219">
        <v>10701</v>
      </c>
      <c r="E7" s="219" t="str">
        <f>VLOOKUP(D7,怪物基本表!$D$7:$AO$276,38,FALSE)</f>
        <v>30019,30020,300201</v>
      </c>
      <c r="F7" s="219" t="str">
        <f t="shared" si="0"/>
        <v>,</v>
      </c>
      <c r="G7" s="219"/>
      <c r="H7" s="50"/>
      <c r="I7" s="50"/>
      <c r="J7" s="50"/>
      <c r="K7" s="50"/>
      <c r="L7" s="34" t="str">
        <f t="shared" si="1"/>
        <v>xxx</v>
      </c>
      <c r="M7" s="34" t="str">
        <f t="shared" si="2"/>
        <v>xxx</v>
      </c>
      <c r="N7" s="34" t="str">
        <f t="shared" si="3"/>
        <v>xxx</v>
      </c>
      <c r="O7" s="34" t="str">
        <f t="shared" si="4"/>
        <v>xxx</v>
      </c>
      <c r="P7" s="9" t="str">
        <f t="shared" si="5"/>
        <v>1:xxx,xxx,xxx</v>
      </c>
      <c r="S7" s="50">
        <v>10005</v>
      </c>
      <c r="T7" s="50" t="s">
        <v>4270</v>
      </c>
      <c r="V7" s="221" t="s">
        <v>4237</v>
      </c>
      <c r="W7" s="221">
        <v>4</v>
      </c>
    </row>
    <row r="8" spans="1:23" ht="15.75" thickTop="1" thickBot="1" x14ac:dyDescent="0.25">
      <c r="A8" s="300"/>
      <c r="B8" s="218" t="s">
        <v>337</v>
      </c>
      <c r="C8" s="50" t="s">
        <v>419</v>
      </c>
      <c r="D8" s="219">
        <v>10711</v>
      </c>
      <c r="E8" s="219" t="str">
        <f>VLOOKUP(D8,怪物基本表!$D$7:$AO$276,38,FALSE)</f>
        <v>30039,30041,30042</v>
      </c>
      <c r="F8" s="219" t="str">
        <f t="shared" si="0"/>
        <v>,</v>
      </c>
      <c r="G8" s="219"/>
      <c r="H8" s="50"/>
      <c r="I8" s="50"/>
      <c r="J8" s="50"/>
      <c r="K8" s="50"/>
      <c r="L8" s="34" t="str">
        <f t="shared" si="1"/>
        <v>xxx</v>
      </c>
      <c r="M8" s="34" t="str">
        <f t="shared" si="2"/>
        <v>xxx</v>
      </c>
      <c r="N8" s="34" t="str">
        <f t="shared" si="3"/>
        <v>xxx</v>
      </c>
      <c r="O8" s="34" t="str">
        <f t="shared" si="4"/>
        <v>xxx</v>
      </c>
      <c r="P8" s="9" t="str">
        <f t="shared" si="5"/>
        <v>1:xxx,xxx,xxx</v>
      </c>
      <c r="S8" s="50">
        <v>10006</v>
      </c>
      <c r="T8" s="50" t="s">
        <v>4271</v>
      </c>
      <c r="V8" s="221" t="s">
        <v>4437</v>
      </c>
      <c r="W8" s="221">
        <v>5</v>
      </c>
    </row>
    <row r="9" spans="1:23" ht="15.75" thickTop="1" thickBot="1" x14ac:dyDescent="0.25">
      <c r="A9" s="300"/>
      <c r="B9" s="218" t="s">
        <v>342</v>
      </c>
      <c r="C9" s="50" t="s">
        <v>419</v>
      </c>
      <c r="D9" s="219">
        <v>10721</v>
      </c>
      <c r="E9" s="219" t="str">
        <f>VLOOKUP(D9,怪物基本表!$D$7:$AO$276,38,FALSE)</f>
        <v>31106,31101,31102,31103</v>
      </c>
      <c r="F9" s="219" t="str">
        <f t="shared" si="0"/>
        <v>,</v>
      </c>
      <c r="G9" s="219"/>
      <c r="H9" s="50"/>
      <c r="I9" s="50"/>
      <c r="J9" s="50"/>
      <c r="K9" s="50"/>
      <c r="L9" s="34" t="str">
        <f t="shared" si="1"/>
        <v>xxx</v>
      </c>
      <c r="M9" s="34" t="str">
        <f t="shared" si="2"/>
        <v>xxx</v>
      </c>
      <c r="N9" s="34" t="str">
        <f t="shared" si="3"/>
        <v>xxx</v>
      </c>
      <c r="O9" s="34" t="str">
        <f t="shared" si="4"/>
        <v>xxx</v>
      </c>
      <c r="P9" s="9" t="str">
        <f t="shared" si="5"/>
        <v>1:xxx,xxx,xxx</v>
      </c>
      <c r="S9" s="50">
        <v>10007</v>
      </c>
      <c r="T9" s="50" t="s">
        <v>586</v>
      </c>
      <c r="V9" s="221" t="s">
        <v>4238</v>
      </c>
      <c r="W9" s="221">
        <v>6</v>
      </c>
    </row>
    <row r="10" spans="1:23" ht="15.75" thickTop="1" thickBot="1" x14ac:dyDescent="0.25">
      <c r="A10" s="300"/>
      <c r="B10" s="218" t="s">
        <v>346</v>
      </c>
      <c r="C10" s="50" t="s">
        <v>419</v>
      </c>
      <c r="D10" s="219">
        <v>10731</v>
      </c>
      <c r="E10" s="219" t="str">
        <f>VLOOKUP(D10,怪物基本表!$D$7:$AO$276,38,FALSE)</f>
        <v>31114</v>
      </c>
      <c r="F10" s="219" t="str">
        <f t="shared" si="0"/>
        <v>,</v>
      </c>
      <c r="G10" s="219"/>
      <c r="H10" s="50"/>
      <c r="I10" s="50"/>
      <c r="J10" s="50"/>
      <c r="K10" s="50"/>
      <c r="L10" s="34" t="str">
        <f t="shared" si="1"/>
        <v>xxx</v>
      </c>
      <c r="M10" s="34" t="str">
        <f t="shared" si="2"/>
        <v>xxx</v>
      </c>
      <c r="N10" s="34" t="str">
        <f t="shared" si="3"/>
        <v>xxx</v>
      </c>
      <c r="O10" s="34" t="str">
        <f t="shared" si="4"/>
        <v>xxx</v>
      </c>
      <c r="P10" s="9" t="str">
        <f t="shared" si="5"/>
        <v>1:xxx,xxx,xxx</v>
      </c>
      <c r="S10" s="50">
        <v>100071</v>
      </c>
      <c r="T10" s="50" t="s">
        <v>244</v>
      </c>
      <c r="V10" s="221" t="s">
        <v>4239</v>
      </c>
      <c r="W10" s="221">
        <v>7</v>
      </c>
    </row>
    <row r="11" spans="1:23" ht="15.75" thickTop="1" thickBot="1" x14ac:dyDescent="0.25">
      <c r="A11" s="300"/>
      <c r="B11" s="218" t="s">
        <v>348</v>
      </c>
      <c r="C11" s="50"/>
      <c r="D11" s="219">
        <v>10991</v>
      </c>
      <c r="E11" s="219" t="str">
        <f>VLOOKUP(D11,怪物基本表!$D$7:$AO$276,38,FALSE)</f>
        <v>30070,30071</v>
      </c>
      <c r="F11" s="219" t="str">
        <f t="shared" si="0"/>
        <v>,</v>
      </c>
      <c r="G11" s="219"/>
      <c r="H11" s="50"/>
      <c r="I11" s="217"/>
      <c r="J11" s="50"/>
      <c r="K11" s="50"/>
      <c r="L11" s="34" t="str">
        <f t="shared" si="1"/>
        <v>xxx</v>
      </c>
      <c r="M11" s="34" t="str">
        <f t="shared" si="2"/>
        <v>xxx</v>
      </c>
      <c r="N11" s="34" t="str">
        <f t="shared" si="3"/>
        <v>xxx</v>
      </c>
      <c r="O11" s="34" t="str">
        <f t="shared" si="4"/>
        <v>xxx</v>
      </c>
      <c r="P11" s="9" t="str">
        <f t="shared" si="5"/>
        <v>1:xxx,xxx,xxx</v>
      </c>
      <c r="S11" s="50">
        <v>10008</v>
      </c>
      <c r="T11" s="50" t="s">
        <v>4272</v>
      </c>
      <c r="V11" s="221" t="s">
        <v>4240</v>
      </c>
      <c r="W11" s="221">
        <v>8</v>
      </c>
    </row>
    <row r="12" spans="1:23" ht="15.75" thickTop="1" thickBot="1" x14ac:dyDescent="0.25">
      <c r="A12" s="300" t="s">
        <v>373</v>
      </c>
      <c r="B12" s="218" t="s">
        <v>411</v>
      </c>
      <c r="C12" s="50" t="s">
        <v>412</v>
      </c>
      <c r="D12" s="219">
        <v>11601</v>
      </c>
      <c r="E12" s="219" t="str">
        <f>VLOOKUP(D12,怪物基本表!$D$7:$AO$276,38,FALSE)</f>
        <v>30001</v>
      </c>
      <c r="F12" s="219" t="str">
        <f t="shared" si="0"/>
        <v>,</v>
      </c>
      <c r="G12" s="219"/>
      <c r="H12" s="50"/>
      <c r="I12" s="217" t="s">
        <v>4418</v>
      </c>
      <c r="J12" s="217" t="s">
        <v>4419</v>
      </c>
      <c r="K12" s="50"/>
      <c r="L12" s="34" t="str">
        <f t="shared" si="1"/>
        <v>xxx</v>
      </c>
      <c r="M12" s="34">
        <f t="shared" si="2"/>
        <v>13</v>
      </c>
      <c r="N12" s="34">
        <f t="shared" si="3"/>
        <v>15</v>
      </c>
      <c r="O12" s="34" t="str">
        <f t="shared" si="4"/>
        <v>xxx</v>
      </c>
      <c r="P12" s="9" t="str">
        <f t="shared" si="5"/>
        <v>1:13,15,xxx</v>
      </c>
      <c r="S12" s="50">
        <v>10009</v>
      </c>
      <c r="T12" s="50" t="s">
        <v>4273</v>
      </c>
      <c r="V12" s="221" t="s">
        <v>4241</v>
      </c>
      <c r="W12" s="221">
        <v>9</v>
      </c>
    </row>
    <row r="13" spans="1:23" ht="15.75" thickTop="1" thickBot="1" x14ac:dyDescent="0.25">
      <c r="A13" s="300"/>
      <c r="B13" s="218" t="s">
        <v>414</v>
      </c>
      <c r="C13" s="50" t="s">
        <v>412</v>
      </c>
      <c r="D13" s="219">
        <v>11611</v>
      </c>
      <c r="E13" s="219" t="str">
        <f>VLOOKUP(D13,怪物基本表!$D$7:$AO$276,38,FALSE)</f>
        <v>30025</v>
      </c>
      <c r="F13" s="219" t="str">
        <f t="shared" si="0"/>
        <v>,</v>
      </c>
      <c r="G13" s="219"/>
      <c r="H13" s="50"/>
      <c r="I13" s="217" t="s">
        <v>4422</v>
      </c>
      <c r="J13" s="217" t="s">
        <v>4423</v>
      </c>
      <c r="K13" s="217" t="s">
        <v>4424</v>
      </c>
      <c r="L13" s="34" t="str">
        <f t="shared" si="1"/>
        <v>xxx</v>
      </c>
      <c r="M13" s="34">
        <f t="shared" si="2"/>
        <v>20</v>
      </c>
      <c r="N13" s="34">
        <f t="shared" si="3"/>
        <v>26</v>
      </c>
      <c r="O13" s="34">
        <f t="shared" si="4"/>
        <v>25</v>
      </c>
      <c r="P13" s="9" t="str">
        <f t="shared" si="5"/>
        <v>1:20,26,25</v>
      </c>
      <c r="S13" s="50">
        <v>10010</v>
      </c>
      <c r="T13" s="50" t="s">
        <v>4274</v>
      </c>
      <c r="V13" s="221" t="s">
        <v>4242</v>
      </c>
      <c r="W13" s="221">
        <v>10</v>
      </c>
    </row>
    <row r="14" spans="1:23" ht="15.75" thickTop="1" thickBot="1" x14ac:dyDescent="0.25">
      <c r="A14" s="300"/>
      <c r="B14" s="218" t="s">
        <v>415</v>
      </c>
      <c r="C14" s="50" t="s">
        <v>412</v>
      </c>
      <c r="D14" s="219">
        <v>11621</v>
      </c>
      <c r="E14" s="219" t="str">
        <f>VLOOKUP(D14,怪物基本表!$D$7:$AO$276,38,FALSE)</f>
        <v>30025</v>
      </c>
      <c r="F14" s="219" t="str">
        <f t="shared" si="0"/>
        <v>,</v>
      </c>
      <c r="G14" s="219"/>
      <c r="H14" s="217" t="s">
        <v>4427</v>
      </c>
      <c r="I14" s="217" t="s">
        <v>4422</v>
      </c>
      <c r="J14" s="217" t="s">
        <v>4424</v>
      </c>
      <c r="K14" s="217" t="s">
        <v>4438</v>
      </c>
      <c r="L14" s="34">
        <f t="shared" si="1"/>
        <v>34</v>
      </c>
      <c r="M14" s="34">
        <f t="shared" si="2"/>
        <v>20</v>
      </c>
      <c r="N14" s="34">
        <f t="shared" si="3"/>
        <v>25</v>
      </c>
      <c r="O14" s="34">
        <f t="shared" si="4"/>
        <v>11</v>
      </c>
      <c r="P14" s="9" t="str">
        <f t="shared" si="5"/>
        <v>1:20,25,11</v>
      </c>
      <c r="S14" s="50">
        <v>10011</v>
      </c>
      <c r="T14" s="50" t="s">
        <v>4275</v>
      </c>
      <c r="V14" s="221" t="s">
        <v>4243</v>
      </c>
      <c r="W14" s="221">
        <v>11</v>
      </c>
    </row>
    <row r="15" spans="1:23" ht="15.75" thickTop="1" thickBot="1" x14ac:dyDescent="0.25">
      <c r="A15" s="300"/>
      <c r="B15" s="218" t="s">
        <v>418</v>
      </c>
      <c r="C15" s="50" t="s">
        <v>419</v>
      </c>
      <c r="D15" s="219">
        <v>11701</v>
      </c>
      <c r="E15" s="219" t="str">
        <f>VLOOKUP(D15,怪物基本表!$D$7:$AO$276,38,FALSE)</f>
        <v>31201,31202</v>
      </c>
      <c r="F15" s="219" t="str">
        <f t="shared" si="0"/>
        <v>,</v>
      </c>
      <c r="G15" s="219"/>
      <c r="H15" s="50"/>
      <c r="I15" s="50"/>
      <c r="J15" s="50"/>
      <c r="K15" s="50"/>
      <c r="L15" s="34" t="str">
        <f t="shared" si="1"/>
        <v>xxx</v>
      </c>
      <c r="M15" s="34" t="str">
        <f t="shared" si="2"/>
        <v>xxx</v>
      </c>
      <c r="N15" s="34" t="str">
        <f t="shared" si="3"/>
        <v>xxx</v>
      </c>
      <c r="O15" s="34" t="str">
        <f t="shared" si="4"/>
        <v>xxx</v>
      </c>
      <c r="P15" s="9" t="str">
        <f t="shared" si="5"/>
        <v>1:xxx,xxx,xxx</v>
      </c>
      <c r="S15" s="50">
        <v>10012</v>
      </c>
      <c r="T15" s="50" t="s">
        <v>4276</v>
      </c>
      <c r="V15" s="221" t="s">
        <v>4498</v>
      </c>
      <c r="W15" s="221">
        <v>12</v>
      </c>
    </row>
    <row r="16" spans="1:23" ht="15.75" thickTop="1" thickBot="1" x14ac:dyDescent="0.25">
      <c r="A16" s="300"/>
      <c r="B16" s="218" t="s">
        <v>421</v>
      </c>
      <c r="C16" s="50" t="s">
        <v>419</v>
      </c>
      <c r="D16" s="219">
        <v>11711</v>
      </c>
      <c r="E16" s="219" t="str">
        <f>VLOOKUP(D16,怪物基本表!$D$7:$AO$276,38,FALSE)</f>
        <v>31211</v>
      </c>
      <c r="F16" s="219" t="str">
        <f t="shared" si="0"/>
        <v>,</v>
      </c>
      <c r="G16" s="219"/>
      <c r="H16" s="50"/>
      <c r="I16" s="50"/>
      <c r="J16" s="50"/>
      <c r="K16" s="50"/>
      <c r="L16" s="34" t="str">
        <f t="shared" si="1"/>
        <v>xxx</v>
      </c>
      <c r="M16" s="34" t="str">
        <f t="shared" si="2"/>
        <v>xxx</v>
      </c>
      <c r="N16" s="34" t="str">
        <f t="shared" si="3"/>
        <v>xxx</v>
      </c>
      <c r="O16" s="34" t="str">
        <f t="shared" si="4"/>
        <v>xxx</v>
      </c>
      <c r="P16" s="9" t="str">
        <f t="shared" si="5"/>
        <v>1:xxx,xxx,xxx</v>
      </c>
      <c r="S16" s="50">
        <v>10013</v>
      </c>
      <c r="T16" s="50" t="s">
        <v>4277</v>
      </c>
      <c r="V16" s="221" t="s">
        <v>4244</v>
      </c>
      <c r="W16" s="221">
        <v>13</v>
      </c>
    </row>
    <row r="17" spans="1:23" ht="15.75" thickTop="1" thickBot="1" x14ac:dyDescent="0.25">
      <c r="A17" s="300"/>
      <c r="B17" s="218" t="s">
        <v>423</v>
      </c>
      <c r="C17" s="50" t="s">
        <v>419</v>
      </c>
      <c r="D17" s="219">
        <v>11721</v>
      </c>
      <c r="E17" s="219" t="str">
        <f>VLOOKUP(D17,怪物基本表!$D$7:$AO$276,38,FALSE)</f>
        <v>31221,31222,31223,31224</v>
      </c>
      <c r="F17" s="219" t="str">
        <f t="shared" si="0"/>
        <v>,</v>
      </c>
      <c r="G17" s="219"/>
      <c r="H17" s="50"/>
      <c r="I17" s="50"/>
      <c r="J17" s="50"/>
      <c r="K17" s="50"/>
      <c r="L17" s="34" t="str">
        <f t="shared" si="1"/>
        <v>xxx</v>
      </c>
      <c r="M17" s="34" t="str">
        <f t="shared" si="2"/>
        <v>xxx</v>
      </c>
      <c r="N17" s="34" t="str">
        <f t="shared" si="3"/>
        <v>xxx</v>
      </c>
      <c r="O17" s="34" t="str">
        <f t="shared" si="4"/>
        <v>xxx</v>
      </c>
      <c r="P17" s="9" t="str">
        <f t="shared" si="5"/>
        <v>1:xxx,xxx,xxx</v>
      </c>
      <c r="S17" s="50">
        <v>10014</v>
      </c>
      <c r="T17" s="50" t="s">
        <v>4278</v>
      </c>
      <c r="V17" s="221" t="s">
        <v>4245</v>
      </c>
      <c r="W17" s="221">
        <v>14</v>
      </c>
    </row>
    <row r="18" spans="1:23" ht="15.75" thickTop="1" thickBot="1" x14ac:dyDescent="0.25">
      <c r="A18" s="300"/>
      <c r="B18" s="218" t="s">
        <v>426</v>
      </c>
      <c r="C18" s="50" t="s">
        <v>419</v>
      </c>
      <c r="D18" s="219">
        <v>11731</v>
      </c>
      <c r="E18" s="219" t="str">
        <f>VLOOKUP(D18,怪物基本表!$D$7:$AO$276,38,FALSE)</f>
        <v>31231,31232,31233</v>
      </c>
      <c r="F18" s="219" t="str">
        <f t="shared" si="0"/>
        <v>,</v>
      </c>
      <c r="G18" s="219"/>
      <c r="H18" s="50"/>
      <c r="I18" s="50"/>
      <c r="J18" s="50"/>
      <c r="K18" s="50"/>
      <c r="L18" s="34" t="str">
        <f t="shared" si="1"/>
        <v>xxx</v>
      </c>
      <c r="M18" s="34" t="str">
        <f t="shared" si="2"/>
        <v>xxx</v>
      </c>
      <c r="N18" s="34" t="str">
        <f t="shared" si="3"/>
        <v>xxx</v>
      </c>
      <c r="O18" s="34" t="str">
        <f t="shared" si="4"/>
        <v>xxx</v>
      </c>
      <c r="P18" s="9" t="str">
        <f t="shared" si="5"/>
        <v>1:xxx,xxx,xxx</v>
      </c>
      <c r="S18" s="50">
        <v>10015</v>
      </c>
      <c r="T18" s="50" t="s">
        <v>4279</v>
      </c>
      <c r="V18" s="221" t="s">
        <v>4246</v>
      </c>
      <c r="W18" s="221">
        <v>15</v>
      </c>
    </row>
    <row r="19" spans="1:23" ht="15.75" thickTop="1" thickBot="1" x14ac:dyDescent="0.25">
      <c r="A19" s="300"/>
      <c r="B19" s="218" t="s">
        <v>428</v>
      </c>
      <c r="C19" s="50"/>
      <c r="D19" s="219">
        <v>11901</v>
      </c>
      <c r="E19" s="219" t="str">
        <f>VLOOKUP(D19,怪物基本表!$D$7:$AO$276,38,FALSE)</f>
        <v>31211</v>
      </c>
      <c r="F19" s="219" t="str">
        <f t="shared" si="0"/>
        <v>,</v>
      </c>
      <c r="G19" s="219"/>
      <c r="H19" s="50"/>
      <c r="I19" s="50"/>
      <c r="J19" s="50"/>
      <c r="K19" s="50"/>
      <c r="L19" s="34" t="str">
        <f t="shared" si="1"/>
        <v>xxx</v>
      </c>
      <c r="M19" s="34" t="str">
        <f t="shared" si="2"/>
        <v>xxx</v>
      </c>
      <c r="N19" s="34" t="str">
        <f t="shared" si="3"/>
        <v>xxx</v>
      </c>
      <c r="O19" s="34" t="str">
        <f t="shared" si="4"/>
        <v>xxx</v>
      </c>
      <c r="P19" s="9" t="str">
        <f t="shared" si="5"/>
        <v>1:xxx,xxx,xxx</v>
      </c>
      <c r="S19" s="50">
        <v>10016</v>
      </c>
      <c r="T19" s="50" t="s">
        <v>4280</v>
      </c>
      <c r="V19" s="221" t="s">
        <v>4247</v>
      </c>
      <c r="W19" s="221">
        <v>16</v>
      </c>
    </row>
    <row r="20" spans="1:23" ht="15.75" thickTop="1" thickBot="1" x14ac:dyDescent="0.25">
      <c r="A20" s="300"/>
      <c r="B20" s="218" t="s">
        <v>429</v>
      </c>
      <c r="C20" s="50"/>
      <c r="D20" s="219">
        <v>11911</v>
      </c>
      <c r="E20" s="219" t="str">
        <f>VLOOKUP(D20,怪物基本表!$D$7:$AO$276,38,FALSE)</f>
        <v>31211</v>
      </c>
      <c r="F20" s="219" t="str">
        <f t="shared" si="0"/>
        <v>,</v>
      </c>
      <c r="G20" s="219"/>
      <c r="H20" s="50"/>
      <c r="I20" s="50"/>
      <c r="J20" s="50"/>
      <c r="K20" s="50"/>
      <c r="L20" s="34" t="str">
        <f t="shared" si="1"/>
        <v>xxx</v>
      </c>
      <c r="M20" s="34" t="str">
        <f t="shared" si="2"/>
        <v>xxx</v>
      </c>
      <c r="N20" s="34" t="str">
        <f t="shared" si="3"/>
        <v>xxx</v>
      </c>
      <c r="O20" s="34" t="str">
        <f t="shared" si="4"/>
        <v>xxx</v>
      </c>
      <c r="P20" s="9" t="str">
        <f t="shared" si="5"/>
        <v>1:xxx,xxx,xxx</v>
      </c>
      <c r="S20" s="50">
        <v>10018</v>
      </c>
      <c r="T20" s="50" t="s">
        <v>4281</v>
      </c>
      <c r="V20" s="221" t="s">
        <v>4248</v>
      </c>
      <c r="W20" s="221">
        <v>17</v>
      </c>
    </row>
    <row r="21" spans="1:23" ht="15.75" thickTop="1" thickBot="1" x14ac:dyDescent="0.25">
      <c r="A21" s="300"/>
      <c r="B21" s="218" t="s">
        <v>430</v>
      </c>
      <c r="C21" s="50"/>
      <c r="D21" s="219">
        <v>11921</v>
      </c>
      <c r="E21" s="219" t="str">
        <f>VLOOKUP(D21,怪物基本表!$D$7:$AO$276,38,FALSE)</f>
        <v>30070,30071</v>
      </c>
      <c r="F21" s="219" t="str">
        <f t="shared" si="0"/>
        <v>,</v>
      </c>
      <c r="G21" s="219"/>
      <c r="H21" s="50"/>
      <c r="I21" s="50"/>
      <c r="J21" s="50"/>
      <c r="K21" s="50"/>
      <c r="L21" s="34" t="str">
        <f t="shared" si="1"/>
        <v>xxx</v>
      </c>
      <c r="M21" s="34" t="str">
        <f t="shared" si="2"/>
        <v>xxx</v>
      </c>
      <c r="N21" s="34" t="str">
        <f t="shared" si="3"/>
        <v>xxx</v>
      </c>
      <c r="O21" s="34" t="str">
        <f t="shared" si="4"/>
        <v>xxx</v>
      </c>
      <c r="P21" s="9" t="str">
        <f t="shared" si="5"/>
        <v>1:xxx,xxx,xxx</v>
      </c>
      <c r="S21" s="50">
        <v>10021</v>
      </c>
      <c r="T21" s="50" t="s">
        <v>4282</v>
      </c>
      <c r="V21" s="221" t="s">
        <v>4249</v>
      </c>
      <c r="W21" s="221">
        <v>18</v>
      </c>
    </row>
    <row r="22" spans="1:23" ht="15.75" thickTop="1" thickBot="1" x14ac:dyDescent="0.25">
      <c r="A22" s="300" t="s">
        <v>431</v>
      </c>
      <c r="B22" s="218" t="s">
        <v>466</v>
      </c>
      <c r="C22" s="50" t="s">
        <v>412</v>
      </c>
      <c r="D22" s="219">
        <v>12601</v>
      </c>
      <c r="E22" s="219" t="str">
        <f>VLOOKUP(D22,怪物基本表!$D$7:$AO$276,38,FALSE)</f>
        <v>30082,30081</v>
      </c>
      <c r="F22" s="219" t="str">
        <f t="shared" si="0"/>
        <v>,</v>
      </c>
      <c r="G22" s="219"/>
      <c r="H22" s="217" t="s">
        <v>4423</v>
      </c>
      <c r="I22" s="217" t="s">
        <v>4424</v>
      </c>
      <c r="J22" s="217" t="s">
        <v>4429</v>
      </c>
      <c r="K22" s="50"/>
      <c r="L22" s="34">
        <f t="shared" si="1"/>
        <v>26</v>
      </c>
      <c r="M22" s="34">
        <f t="shared" si="2"/>
        <v>25</v>
      </c>
      <c r="N22" s="34">
        <f t="shared" si="3"/>
        <v>31</v>
      </c>
      <c r="O22" s="34" t="str">
        <f t="shared" si="4"/>
        <v>xxx</v>
      </c>
      <c r="P22" s="9" t="str">
        <f t="shared" si="5"/>
        <v>1:25,31,xxx</v>
      </c>
      <c r="S22" s="50">
        <v>10022</v>
      </c>
      <c r="T22" s="50" t="s">
        <v>4283</v>
      </c>
      <c r="V22" s="221" t="s">
        <v>4250</v>
      </c>
      <c r="W22" s="221">
        <v>19</v>
      </c>
    </row>
    <row r="23" spans="1:23" ht="15.75" thickTop="1" thickBot="1" x14ac:dyDescent="0.25">
      <c r="A23" s="300"/>
      <c r="B23" s="218" t="s">
        <v>452</v>
      </c>
      <c r="C23" s="50" t="s">
        <v>412</v>
      </c>
      <c r="D23" s="219">
        <v>12611</v>
      </c>
      <c r="E23" s="219" t="str">
        <f>VLOOKUP(D23,怪物基本表!$D$7:$AO$276,38,FALSE)</f>
        <v>30001</v>
      </c>
      <c r="F23" s="219" t="str">
        <f t="shared" si="0"/>
        <v>,</v>
      </c>
      <c r="G23" s="219"/>
      <c r="H23" s="217" t="s">
        <v>4423</v>
      </c>
      <c r="I23" s="217" t="s">
        <v>4418</v>
      </c>
      <c r="J23" s="217" t="s">
        <v>4425</v>
      </c>
      <c r="K23" s="50"/>
      <c r="L23" s="34">
        <f t="shared" si="1"/>
        <v>26</v>
      </c>
      <c r="M23" s="34">
        <f t="shared" si="2"/>
        <v>13</v>
      </c>
      <c r="N23" s="34">
        <f t="shared" si="3"/>
        <v>3</v>
      </c>
      <c r="O23" s="34" t="str">
        <f t="shared" si="4"/>
        <v>xxx</v>
      </c>
      <c r="P23" s="9" t="str">
        <f t="shared" si="5"/>
        <v>1:13,3,xxx</v>
      </c>
      <c r="S23" s="50">
        <v>10023</v>
      </c>
      <c r="T23" s="50" t="s">
        <v>4284</v>
      </c>
      <c r="V23" s="221" t="s">
        <v>4251</v>
      </c>
      <c r="W23" s="221">
        <v>20</v>
      </c>
    </row>
    <row r="24" spans="1:23" ht="15.75" thickTop="1" thickBot="1" x14ac:dyDescent="0.25">
      <c r="A24" s="300"/>
      <c r="B24" s="218" t="s">
        <v>453</v>
      </c>
      <c r="C24" s="50" t="s">
        <v>412</v>
      </c>
      <c r="D24" s="219">
        <v>12621</v>
      </c>
      <c r="E24" s="219" t="str">
        <f>VLOOKUP(D24,怪物基本表!$D$7:$AO$276,38,FALSE)</f>
        <v>30001</v>
      </c>
      <c r="F24" s="219" t="str">
        <f t="shared" si="0"/>
        <v>,</v>
      </c>
      <c r="G24" s="219"/>
      <c r="H24" s="217" t="s">
        <v>4429</v>
      </c>
      <c r="I24" s="217" t="s">
        <v>4418</v>
      </c>
      <c r="J24" s="217" t="s">
        <v>4426</v>
      </c>
      <c r="K24" s="50"/>
      <c r="L24" s="34">
        <f t="shared" si="1"/>
        <v>31</v>
      </c>
      <c r="M24" s="34">
        <f t="shared" si="2"/>
        <v>13</v>
      </c>
      <c r="N24" s="34">
        <f t="shared" si="3"/>
        <v>2</v>
      </c>
      <c r="O24" s="34" t="str">
        <f t="shared" si="4"/>
        <v>xxx</v>
      </c>
      <c r="P24" s="9" t="str">
        <f t="shared" si="5"/>
        <v>1:13,2,xxx</v>
      </c>
      <c r="S24" s="50">
        <v>10024</v>
      </c>
      <c r="T24" s="50" t="s">
        <v>4285</v>
      </c>
      <c r="V24" s="221" t="s">
        <v>4499</v>
      </c>
      <c r="W24" s="221">
        <v>21</v>
      </c>
    </row>
    <row r="25" spans="1:23" ht="15.75" thickTop="1" thickBot="1" x14ac:dyDescent="0.25">
      <c r="A25" s="300"/>
      <c r="B25" s="218" t="s">
        <v>469</v>
      </c>
      <c r="C25" s="50" t="s">
        <v>419</v>
      </c>
      <c r="D25" s="219">
        <v>12701</v>
      </c>
      <c r="E25" s="219" t="str">
        <f>VLOOKUP(D25,怪物基本表!$D$7:$AO$276,38,FALSE)</f>
        <v>31301,31302</v>
      </c>
      <c r="F25" s="219" t="str">
        <f t="shared" si="0"/>
        <v>,</v>
      </c>
      <c r="G25" s="219"/>
      <c r="H25" s="50"/>
      <c r="I25" s="50"/>
      <c r="J25" s="50"/>
      <c r="K25" s="50"/>
      <c r="L25" s="34" t="str">
        <f t="shared" si="1"/>
        <v>xxx</v>
      </c>
      <c r="M25" s="34" t="str">
        <f t="shared" si="2"/>
        <v>xxx</v>
      </c>
      <c r="N25" s="34" t="str">
        <f t="shared" si="3"/>
        <v>xxx</v>
      </c>
      <c r="O25" s="34" t="str">
        <f t="shared" si="4"/>
        <v>xxx</v>
      </c>
      <c r="P25" s="9" t="str">
        <f t="shared" si="5"/>
        <v>1:xxx,xxx,xxx</v>
      </c>
      <c r="S25" s="50">
        <v>10025</v>
      </c>
      <c r="T25" s="50" t="s">
        <v>4286</v>
      </c>
      <c r="V25" s="221" t="s">
        <v>4252</v>
      </c>
      <c r="W25" s="221">
        <v>22</v>
      </c>
    </row>
    <row r="26" spans="1:23" ht="15.75" thickTop="1" thickBot="1" x14ac:dyDescent="0.25">
      <c r="A26" s="300"/>
      <c r="B26" s="218" t="s">
        <v>471</v>
      </c>
      <c r="C26" s="50" t="s">
        <v>419</v>
      </c>
      <c r="D26" s="219">
        <v>12711</v>
      </c>
      <c r="E26" s="219" t="str">
        <f>VLOOKUP(D26,怪物基本表!$D$7:$AO$276,38,FALSE)</f>
        <v>31311,31312</v>
      </c>
      <c r="F26" s="219" t="str">
        <f t="shared" si="0"/>
        <v>,</v>
      </c>
      <c r="G26" s="219"/>
      <c r="H26" s="50"/>
      <c r="I26" s="50"/>
      <c r="J26" s="50"/>
      <c r="K26" s="50"/>
      <c r="L26" s="34" t="str">
        <f t="shared" si="1"/>
        <v>xxx</v>
      </c>
      <c r="M26" s="34" t="str">
        <f t="shared" si="2"/>
        <v>xxx</v>
      </c>
      <c r="N26" s="34" t="str">
        <f t="shared" si="3"/>
        <v>xxx</v>
      </c>
      <c r="O26" s="34" t="str">
        <f t="shared" si="4"/>
        <v>xxx</v>
      </c>
      <c r="P26" s="9" t="str">
        <f t="shared" si="5"/>
        <v>1:xxx,xxx,xxx</v>
      </c>
      <c r="S26" s="50">
        <v>10026</v>
      </c>
      <c r="T26" s="50" t="s">
        <v>4287</v>
      </c>
      <c r="V26" s="221" t="s">
        <v>4500</v>
      </c>
      <c r="W26" s="221">
        <v>23</v>
      </c>
    </row>
    <row r="27" spans="1:23" ht="15.75" thickTop="1" thickBot="1" x14ac:dyDescent="0.25">
      <c r="A27" s="300"/>
      <c r="B27" s="218" t="s">
        <v>473</v>
      </c>
      <c r="C27" s="50" t="s">
        <v>419</v>
      </c>
      <c r="D27" s="219">
        <v>12721</v>
      </c>
      <c r="E27" s="219" t="str">
        <f>VLOOKUP(D27,怪物基本表!$D$7:$AO$276,38,FALSE)</f>
        <v>31321,31322,31323</v>
      </c>
      <c r="F27" s="219" t="str">
        <f t="shared" si="0"/>
        <v>,</v>
      </c>
      <c r="G27" s="219"/>
      <c r="H27" s="50"/>
      <c r="I27" s="50"/>
      <c r="J27" s="50"/>
      <c r="K27" s="50"/>
      <c r="L27" s="34" t="str">
        <f t="shared" si="1"/>
        <v>xxx</v>
      </c>
      <c r="M27" s="34" t="str">
        <f t="shared" si="2"/>
        <v>xxx</v>
      </c>
      <c r="N27" s="34" t="str">
        <f t="shared" si="3"/>
        <v>xxx</v>
      </c>
      <c r="O27" s="34" t="str">
        <f t="shared" si="4"/>
        <v>xxx</v>
      </c>
      <c r="P27" s="9" t="str">
        <f t="shared" si="5"/>
        <v>1:xxx,xxx,xxx</v>
      </c>
      <c r="S27" s="50">
        <v>10027</v>
      </c>
      <c r="T27" s="50" t="s">
        <v>4288</v>
      </c>
      <c r="V27" s="221" t="s">
        <v>4253</v>
      </c>
      <c r="W27" s="221">
        <v>24</v>
      </c>
    </row>
    <row r="28" spans="1:23" ht="15.75" thickTop="1" thickBot="1" x14ac:dyDescent="0.25">
      <c r="A28" s="300"/>
      <c r="B28" s="218" t="s">
        <v>475</v>
      </c>
      <c r="C28" s="50" t="s">
        <v>419</v>
      </c>
      <c r="D28" s="219">
        <v>12731</v>
      </c>
      <c r="E28" s="219" t="str">
        <f>VLOOKUP(D28,怪物基本表!$D$7:$AO$276,38,FALSE)</f>
        <v>31331,31332,31333,31334</v>
      </c>
      <c r="F28" s="219" t="str">
        <f t="shared" si="0"/>
        <v>,</v>
      </c>
      <c r="G28" s="219"/>
      <c r="H28" s="50"/>
      <c r="I28" s="50"/>
      <c r="J28" s="50"/>
      <c r="K28" s="50"/>
      <c r="L28" s="34" t="str">
        <f t="shared" si="1"/>
        <v>xxx</v>
      </c>
      <c r="M28" s="34" t="str">
        <f t="shared" si="2"/>
        <v>xxx</v>
      </c>
      <c r="N28" s="34" t="str">
        <f t="shared" si="3"/>
        <v>xxx</v>
      </c>
      <c r="O28" s="34" t="str">
        <f t="shared" si="4"/>
        <v>xxx</v>
      </c>
      <c r="P28" s="9" t="str">
        <f t="shared" si="5"/>
        <v>1:xxx,xxx,xxx</v>
      </c>
      <c r="S28" s="50">
        <v>10028</v>
      </c>
      <c r="T28" s="50" t="s">
        <v>4289</v>
      </c>
      <c r="V28" s="221" t="s">
        <v>4254</v>
      </c>
      <c r="W28" s="221">
        <v>25</v>
      </c>
    </row>
    <row r="29" spans="1:23" ht="15.75" thickTop="1" thickBot="1" x14ac:dyDescent="0.25">
      <c r="A29" s="300"/>
      <c r="B29" s="218" t="s">
        <v>477</v>
      </c>
      <c r="C29" s="50"/>
      <c r="D29" s="219">
        <v>12901</v>
      </c>
      <c r="E29" s="219" t="str">
        <f>VLOOKUP(D29,怪物基本表!$D$7:$AO$276,38,FALSE)</f>
        <v>30070,30071</v>
      </c>
      <c r="F29" s="219" t="str">
        <f t="shared" si="0"/>
        <v>,</v>
      </c>
      <c r="G29" s="219"/>
      <c r="H29" s="50"/>
      <c r="I29" s="50"/>
      <c r="J29" s="50"/>
      <c r="K29" s="50"/>
      <c r="L29" s="34" t="str">
        <f t="shared" si="1"/>
        <v>xxx</v>
      </c>
      <c r="M29" s="34" t="str">
        <f t="shared" si="2"/>
        <v>xxx</v>
      </c>
      <c r="N29" s="34" t="str">
        <f t="shared" si="3"/>
        <v>xxx</v>
      </c>
      <c r="O29" s="34" t="str">
        <f t="shared" si="4"/>
        <v>xxx</v>
      </c>
      <c r="P29" s="9" t="str">
        <f t="shared" si="5"/>
        <v>1:xxx,xxx,xxx</v>
      </c>
      <c r="S29" s="50">
        <v>10029</v>
      </c>
      <c r="T29" s="50" t="s">
        <v>4290</v>
      </c>
      <c r="V29" s="221" t="s">
        <v>4255</v>
      </c>
      <c r="W29" s="221">
        <v>26</v>
      </c>
    </row>
    <row r="30" spans="1:23" ht="15.75" thickTop="1" thickBot="1" x14ac:dyDescent="0.25">
      <c r="A30" s="300" t="s">
        <v>478</v>
      </c>
      <c r="B30" s="218" t="s">
        <v>496</v>
      </c>
      <c r="C30" s="50" t="s">
        <v>412</v>
      </c>
      <c r="D30" s="219">
        <v>13601</v>
      </c>
      <c r="E30" s="219" t="str">
        <f>VLOOKUP(D30,怪物基本表!$D$7:$AO$276,38,FALSE)</f>
        <v>30001</v>
      </c>
      <c r="F30" s="219" t="str">
        <f t="shared" si="0"/>
        <v>,</v>
      </c>
      <c r="G30" s="219"/>
      <c r="H30" s="217" t="s">
        <v>4437</v>
      </c>
      <c r="I30" s="229" t="s">
        <v>4425</v>
      </c>
      <c r="J30" s="217" t="s">
        <v>4420</v>
      </c>
      <c r="K30" s="50"/>
      <c r="L30" s="34">
        <f t="shared" si="1"/>
        <v>5</v>
      </c>
      <c r="M30" s="34">
        <f t="shared" si="2"/>
        <v>3</v>
      </c>
      <c r="N30" s="34">
        <f t="shared" si="3"/>
        <v>17</v>
      </c>
      <c r="O30" s="34" t="str">
        <f t="shared" si="4"/>
        <v>xxx</v>
      </c>
      <c r="P30" s="9" t="str">
        <f t="shared" si="5"/>
        <v>1:3,17,xxx</v>
      </c>
      <c r="S30" s="50">
        <v>10030</v>
      </c>
      <c r="T30" s="50" t="s">
        <v>4291</v>
      </c>
      <c r="V30" s="221" t="s">
        <v>4501</v>
      </c>
      <c r="W30" s="221">
        <v>27</v>
      </c>
    </row>
    <row r="31" spans="1:23" ht="15.75" thickTop="1" thickBot="1" x14ac:dyDescent="0.25">
      <c r="A31" s="300"/>
      <c r="B31" s="218" t="s">
        <v>499</v>
      </c>
      <c r="C31" s="50" t="s">
        <v>412</v>
      </c>
      <c r="D31" s="219">
        <v>13611</v>
      </c>
      <c r="E31" s="219" t="str">
        <f>VLOOKUP(D31,怪物基本表!$D$7:$AO$276,38,FALSE)</f>
        <v>30001</v>
      </c>
      <c r="F31" s="219" t="str">
        <f t="shared" si="0"/>
        <v>,</v>
      </c>
      <c r="G31" s="219"/>
      <c r="H31" s="217" t="s">
        <v>4426</v>
      </c>
      <c r="I31" s="217" t="s">
        <v>4432</v>
      </c>
      <c r="J31" s="217" t="s">
        <v>4421</v>
      </c>
      <c r="K31" s="50"/>
      <c r="L31" s="34">
        <f t="shared" si="1"/>
        <v>2</v>
      </c>
      <c r="M31" s="34">
        <f t="shared" si="2"/>
        <v>1</v>
      </c>
      <c r="N31" s="34">
        <f t="shared" si="3"/>
        <v>23</v>
      </c>
      <c r="O31" s="34" t="str">
        <f t="shared" si="4"/>
        <v>xxx</v>
      </c>
      <c r="P31" s="9" t="str">
        <f t="shared" si="5"/>
        <v>1:1,23,xxx</v>
      </c>
      <c r="S31" s="50">
        <v>10031</v>
      </c>
      <c r="T31" s="50" t="s">
        <v>4292</v>
      </c>
      <c r="V31" s="221" t="s">
        <v>4502</v>
      </c>
      <c r="W31" s="221">
        <v>28</v>
      </c>
    </row>
    <row r="32" spans="1:23" ht="15.75" thickTop="1" thickBot="1" x14ac:dyDescent="0.25">
      <c r="A32" s="300"/>
      <c r="B32" s="218" t="s">
        <v>500</v>
      </c>
      <c r="C32" s="50" t="s">
        <v>412</v>
      </c>
      <c r="D32" s="219">
        <v>13621</v>
      </c>
      <c r="E32" s="219" t="str">
        <f>VLOOKUP(D32,怪物基本表!$D$7:$AO$276,38,FALSE)</f>
        <v>31211</v>
      </c>
      <c r="F32" s="219" t="str">
        <f t="shared" si="0"/>
        <v>,</v>
      </c>
      <c r="G32" s="219"/>
      <c r="H32" s="217" t="s">
        <v>4428</v>
      </c>
      <c r="I32" s="217" t="s">
        <v>4438</v>
      </c>
      <c r="J32" s="217" t="s">
        <v>4421</v>
      </c>
      <c r="K32" s="217" t="s">
        <v>4422</v>
      </c>
      <c r="L32" s="34">
        <f t="shared" si="1"/>
        <v>32</v>
      </c>
      <c r="M32" s="34">
        <f t="shared" si="2"/>
        <v>11</v>
      </c>
      <c r="N32" s="34">
        <f t="shared" si="3"/>
        <v>23</v>
      </c>
      <c r="O32" s="34">
        <f t="shared" si="4"/>
        <v>20</v>
      </c>
      <c r="P32" s="9" t="str">
        <f t="shared" si="5"/>
        <v>1:11,23,20</v>
      </c>
      <c r="S32" s="50">
        <v>10032</v>
      </c>
      <c r="T32" s="50" t="s">
        <v>4293</v>
      </c>
      <c r="V32" s="221" t="s">
        <v>4503</v>
      </c>
      <c r="W32" s="221">
        <v>29</v>
      </c>
    </row>
    <row r="33" spans="1:23" ht="15.75" thickTop="1" thickBot="1" x14ac:dyDescent="0.25">
      <c r="A33" s="300"/>
      <c r="B33" s="218" t="s">
        <v>501</v>
      </c>
      <c r="C33" s="50" t="s">
        <v>419</v>
      </c>
      <c r="D33" s="219">
        <v>13701</v>
      </c>
      <c r="E33" s="219" t="str">
        <f>VLOOKUP(D33,怪物基本表!$D$7:$AO$276,38,FALSE)</f>
        <v>31401,31402</v>
      </c>
      <c r="F33" s="219" t="str">
        <f t="shared" si="0"/>
        <v>,</v>
      </c>
      <c r="G33" s="219"/>
      <c r="H33" s="50"/>
      <c r="I33" s="50"/>
      <c r="J33" s="50"/>
      <c r="K33" s="50"/>
      <c r="L33" s="34" t="str">
        <f t="shared" si="1"/>
        <v>xxx</v>
      </c>
      <c r="M33" s="34" t="str">
        <f t="shared" si="2"/>
        <v>xxx</v>
      </c>
      <c r="N33" s="34" t="str">
        <f t="shared" si="3"/>
        <v>xxx</v>
      </c>
      <c r="O33" s="34" t="str">
        <f t="shared" si="4"/>
        <v>xxx</v>
      </c>
      <c r="P33" s="9" t="str">
        <f t="shared" si="5"/>
        <v>1:xxx,xxx,xxx</v>
      </c>
      <c r="S33" s="50">
        <v>10033</v>
      </c>
      <c r="T33" s="50" t="s">
        <v>4294</v>
      </c>
      <c r="V33" s="221" t="s">
        <v>4256</v>
      </c>
      <c r="W33" s="221">
        <v>30</v>
      </c>
    </row>
    <row r="34" spans="1:23" ht="15.75" thickTop="1" thickBot="1" x14ac:dyDescent="0.25">
      <c r="A34" s="300"/>
      <c r="B34" s="218" t="s">
        <v>503</v>
      </c>
      <c r="C34" s="50" t="s">
        <v>419</v>
      </c>
      <c r="D34" s="219">
        <v>13711</v>
      </c>
      <c r="E34" s="219" t="str">
        <f>VLOOKUP(D34,怪物基本表!$D$7:$AO$276,38,FALSE)</f>
        <v>31411,31412</v>
      </c>
      <c r="F34" s="219" t="str">
        <f t="shared" si="0"/>
        <v>,</v>
      </c>
      <c r="G34" s="219"/>
      <c r="H34" s="50"/>
      <c r="I34" s="50"/>
      <c r="J34" s="50"/>
      <c r="K34" s="50"/>
      <c r="L34" s="34" t="str">
        <f t="shared" si="1"/>
        <v>xxx</v>
      </c>
      <c r="M34" s="34" t="str">
        <f t="shared" si="2"/>
        <v>xxx</v>
      </c>
      <c r="N34" s="34" t="str">
        <f t="shared" si="3"/>
        <v>xxx</v>
      </c>
      <c r="O34" s="34" t="str">
        <f t="shared" si="4"/>
        <v>xxx</v>
      </c>
      <c r="P34" s="9" t="str">
        <f t="shared" si="5"/>
        <v>1:xxx,xxx,xxx</v>
      </c>
      <c r="S34" s="50">
        <v>10034</v>
      </c>
      <c r="T34" s="50" t="s">
        <v>4295</v>
      </c>
      <c r="V34" s="221" t="s">
        <v>4257</v>
      </c>
      <c r="W34" s="221">
        <v>31</v>
      </c>
    </row>
    <row r="35" spans="1:23" ht="15.75" thickTop="1" thickBot="1" x14ac:dyDescent="0.25">
      <c r="A35" s="300"/>
      <c r="B35" s="218" t="s">
        <v>505</v>
      </c>
      <c r="C35" s="50" t="s">
        <v>419</v>
      </c>
      <c r="D35" s="219">
        <v>13721</v>
      </c>
      <c r="E35" s="219" t="str">
        <f>VLOOKUP(D35,怪物基本表!$D$7:$AO$276,38,FALSE)</f>
        <v>31421,31422,31423</v>
      </c>
      <c r="F35" s="219" t="str">
        <f t="shared" ref="F35:F66" si="6">SUBSTITUTE(IFERROR(VLOOKUP(INT(LEFT($E35,5)),$S$3:$T$177,2,FALSE),"xxx")&amp;","&amp;IFERROR(VLOOKUP(INT(MID($E35,7,5)),$S$3:$T$177,2,FALSE),"xxx")&amp;IFERROR(VLOOKUP(INT(MID($E35,13,5)),$S$3:$T$177,2,FALSE),"xxx")&amp;IFERROR(VLOOKUP(INT(MID($E35,19,5)),$S$3:$T$177,2,FALSE),"xxx"),"x","")</f>
        <v>,</v>
      </c>
      <c r="G35" s="219"/>
      <c r="H35" s="50"/>
      <c r="I35" s="50"/>
      <c r="J35" s="50"/>
      <c r="K35" s="50"/>
      <c r="L35" s="34" t="str">
        <f t="shared" ref="L35:L98" si="7">_xlfn.IFNA(VLOOKUP(H35,$V$3:$W$38,2,FALSE),"xxx")</f>
        <v>xxx</v>
      </c>
      <c r="M35" s="34" t="str">
        <f t="shared" ref="M35:M58" si="8">_xlfn.IFNA(VLOOKUP(I35,$V$3:$W$38,2,FALSE),"xxx")</f>
        <v>xxx</v>
      </c>
      <c r="N35" s="34" t="str">
        <f t="shared" ref="N35:N57" si="9">_xlfn.IFNA(VLOOKUP(J35,$V$3:$W$38,2,FALSE),"xxx")</f>
        <v>xxx</v>
      </c>
      <c r="O35" s="34" t="str">
        <f t="shared" ref="O35:O57" si="10">_xlfn.IFNA(VLOOKUP(K35,$V$3:$W$38,2,FALSE),"xxx")</f>
        <v>xxx</v>
      </c>
      <c r="P35" s="9" t="str">
        <f t="shared" si="5"/>
        <v>1:xxx,xxx,xxx</v>
      </c>
      <c r="S35" s="50">
        <v>10035</v>
      </c>
      <c r="T35" s="50" t="s">
        <v>4296</v>
      </c>
      <c r="V35" s="221" t="s">
        <v>4258</v>
      </c>
      <c r="W35" s="221">
        <v>32</v>
      </c>
    </row>
    <row r="36" spans="1:23" ht="15.75" thickTop="1" thickBot="1" x14ac:dyDescent="0.25">
      <c r="A36" s="300"/>
      <c r="B36" s="218" t="s">
        <v>507</v>
      </c>
      <c r="C36" s="50" t="s">
        <v>419</v>
      </c>
      <c r="D36" s="219">
        <v>13731</v>
      </c>
      <c r="E36" s="219" t="str">
        <f>VLOOKUP(D36,怪物基本表!$D$7:$AO$276,38,FALSE)</f>
        <v>31431,31432,31433,31434</v>
      </c>
      <c r="F36" s="219" t="str">
        <f t="shared" si="6"/>
        <v>,</v>
      </c>
      <c r="G36" s="219"/>
      <c r="H36" s="50"/>
      <c r="I36" s="50"/>
      <c r="J36" s="50"/>
      <c r="K36" s="50"/>
      <c r="L36" s="34" t="str">
        <f t="shared" si="7"/>
        <v>xxx</v>
      </c>
      <c r="M36" s="34" t="str">
        <f t="shared" si="8"/>
        <v>xxx</v>
      </c>
      <c r="N36" s="34" t="str">
        <f t="shared" si="9"/>
        <v>xxx</v>
      </c>
      <c r="O36" s="34" t="str">
        <f t="shared" si="10"/>
        <v>xxx</v>
      </c>
      <c r="P36" s="9" t="str">
        <f t="shared" si="5"/>
        <v>1:xxx,xxx,xxx</v>
      </c>
      <c r="S36" s="50">
        <v>10036</v>
      </c>
      <c r="T36" s="50" t="s">
        <v>4297</v>
      </c>
      <c r="V36" s="221" t="s">
        <v>4259</v>
      </c>
      <c r="W36" s="221">
        <v>33</v>
      </c>
    </row>
    <row r="37" spans="1:23" ht="15.75" thickTop="1" thickBot="1" x14ac:dyDescent="0.25">
      <c r="A37" s="300"/>
      <c r="B37" s="218" t="s">
        <v>509</v>
      </c>
      <c r="C37" s="50"/>
      <c r="D37" s="219">
        <v>13901</v>
      </c>
      <c r="E37" s="219" t="str">
        <f>VLOOKUP(D37,怪物基本表!$D$7:$AO$276,38,FALSE)</f>
        <v>31411,31412</v>
      </c>
      <c r="F37" s="219" t="str">
        <f t="shared" si="6"/>
        <v>,</v>
      </c>
      <c r="G37" s="219"/>
      <c r="H37" s="50"/>
      <c r="I37" s="50"/>
      <c r="J37" s="50"/>
      <c r="K37" s="50"/>
      <c r="L37" s="34" t="str">
        <f t="shared" si="7"/>
        <v>xxx</v>
      </c>
      <c r="M37" s="34" t="str">
        <f t="shared" si="8"/>
        <v>xxx</v>
      </c>
      <c r="N37" s="34" t="str">
        <f t="shared" si="9"/>
        <v>xxx</v>
      </c>
      <c r="O37" s="34" t="str">
        <f t="shared" si="10"/>
        <v>xxx</v>
      </c>
      <c r="P37" s="9" t="str">
        <f t="shared" si="5"/>
        <v>1:xxx,xxx,xxx</v>
      </c>
      <c r="S37" s="50">
        <v>10037</v>
      </c>
      <c r="T37" s="50" t="s">
        <v>4298</v>
      </c>
      <c r="V37" s="221" t="s">
        <v>4260</v>
      </c>
      <c r="W37" s="221">
        <v>34</v>
      </c>
    </row>
    <row r="38" spans="1:23" ht="15.75" thickTop="1" thickBot="1" x14ac:dyDescent="0.25">
      <c r="A38" s="300"/>
      <c r="B38" s="218" t="s">
        <v>510</v>
      </c>
      <c r="C38" s="50"/>
      <c r="D38" s="219">
        <v>13902</v>
      </c>
      <c r="E38" s="219" t="str">
        <f>VLOOKUP(D38,怪物基本表!$D$7:$AO$276,38,FALSE)</f>
        <v>30070,30071</v>
      </c>
      <c r="F38" s="219" t="str">
        <f t="shared" si="6"/>
        <v>,</v>
      </c>
      <c r="G38" s="219"/>
      <c r="H38" s="50"/>
      <c r="I38" s="50"/>
      <c r="J38" s="50"/>
      <c r="K38" s="50"/>
      <c r="L38" s="34" t="str">
        <f t="shared" si="7"/>
        <v>xxx</v>
      </c>
      <c r="M38" s="34" t="str">
        <f t="shared" si="8"/>
        <v>xxx</v>
      </c>
      <c r="N38" s="34" t="str">
        <f t="shared" si="9"/>
        <v>xxx</v>
      </c>
      <c r="O38" s="34" t="str">
        <f t="shared" si="10"/>
        <v>xxx</v>
      </c>
      <c r="P38" s="9" t="str">
        <f t="shared" si="5"/>
        <v>1:xxx,xxx,xxx</v>
      </c>
      <c r="S38" s="50">
        <v>10038</v>
      </c>
      <c r="T38" s="50" t="s">
        <v>4299</v>
      </c>
      <c r="V38" s="221" t="s">
        <v>4261</v>
      </c>
      <c r="W38" s="221">
        <v>35</v>
      </c>
    </row>
    <row r="39" spans="1:23" ht="15.75" thickTop="1" thickBot="1" x14ac:dyDescent="0.25">
      <c r="A39" s="300"/>
      <c r="B39" s="218" t="s">
        <v>511</v>
      </c>
      <c r="C39" s="50"/>
      <c r="D39" s="219">
        <v>13903</v>
      </c>
      <c r="E39" s="219" t="str">
        <f>VLOOKUP(D39,怪物基本表!$D$7:$AO$276,38,FALSE)</f>
        <v>31421,31422,31423</v>
      </c>
      <c r="F39" s="219" t="str">
        <f t="shared" si="6"/>
        <v>,</v>
      </c>
      <c r="G39" s="219"/>
      <c r="H39" s="50"/>
      <c r="I39" s="50"/>
      <c r="J39" s="50"/>
      <c r="K39" s="50"/>
      <c r="L39" s="34" t="str">
        <f t="shared" si="7"/>
        <v>xxx</v>
      </c>
      <c r="M39" s="34" t="str">
        <f t="shared" si="8"/>
        <v>xxx</v>
      </c>
      <c r="N39" s="34" t="str">
        <f t="shared" si="9"/>
        <v>xxx</v>
      </c>
      <c r="O39" s="34" t="str">
        <f t="shared" si="10"/>
        <v>xxx</v>
      </c>
      <c r="P39" s="9" t="str">
        <f t="shared" si="5"/>
        <v>1:xxx,xxx,xxx</v>
      </c>
      <c r="S39" s="50">
        <v>10039</v>
      </c>
      <c r="T39" s="50" t="s">
        <v>4300</v>
      </c>
    </row>
    <row r="40" spans="1:23" ht="15.75" thickTop="1" thickBot="1" x14ac:dyDescent="0.25">
      <c r="A40" s="300" t="s">
        <v>512</v>
      </c>
      <c r="B40" s="218" t="s">
        <v>522</v>
      </c>
      <c r="C40" s="50" t="s">
        <v>412</v>
      </c>
      <c r="D40" s="219">
        <v>14601</v>
      </c>
      <c r="E40" s="219" t="str">
        <f>VLOOKUP(D40,怪物基本表!$D$7:$AO$276,38,FALSE)</f>
        <v>30001</v>
      </c>
      <c r="F40" s="219" t="str">
        <f t="shared" si="6"/>
        <v>,</v>
      </c>
      <c r="G40" s="219"/>
      <c r="H40" s="50"/>
      <c r="I40" s="217" t="s">
        <v>4423</v>
      </c>
      <c r="J40" s="217" t="s">
        <v>4417</v>
      </c>
      <c r="K40" s="50"/>
      <c r="L40" s="34" t="str">
        <f t="shared" si="7"/>
        <v>xxx</v>
      </c>
      <c r="M40" s="34">
        <f t="shared" si="8"/>
        <v>26</v>
      </c>
      <c r="N40" s="34">
        <f t="shared" si="9"/>
        <v>22</v>
      </c>
      <c r="O40" s="34" t="str">
        <f t="shared" si="10"/>
        <v>xxx</v>
      </c>
      <c r="P40" s="9" t="str">
        <f t="shared" si="5"/>
        <v>1:26,22,xxx</v>
      </c>
      <c r="S40" s="50">
        <v>10040</v>
      </c>
      <c r="T40" s="50" t="s">
        <v>4300</v>
      </c>
    </row>
    <row r="41" spans="1:23" ht="15.75" thickTop="1" thickBot="1" x14ac:dyDescent="0.25">
      <c r="A41" s="300"/>
      <c r="B41" s="218" t="s">
        <v>536</v>
      </c>
      <c r="C41" s="50" t="s">
        <v>412</v>
      </c>
      <c r="D41" s="219">
        <v>14611</v>
      </c>
      <c r="E41" s="219" t="str">
        <f>VLOOKUP(D41,怪物基本表!$D$7:$AO$276,38,FALSE)</f>
        <v>30001</v>
      </c>
      <c r="F41" s="219" t="str">
        <f t="shared" si="6"/>
        <v>,</v>
      </c>
      <c r="G41" s="219"/>
      <c r="H41" s="50"/>
      <c r="I41" s="217" t="s">
        <v>4424</v>
      </c>
      <c r="J41" s="217" t="s">
        <v>4417</v>
      </c>
      <c r="K41" s="50"/>
      <c r="L41" s="34" t="str">
        <f t="shared" si="7"/>
        <v>xxx</v>
      </c>
      <c r="M41" s="34">
        <f t="shared" si="8"/>
        <v>25</v>
      </c>
      <c r="N41" s="34">
        <f t="shared" si="9"/>
        <v>22</v>
      </c>
      <c r="O41" s="34" t="str">
        <f t="shared" si="10"/>
        <v>xxx</v>
      </c>
      <c r="P41" s="9" t="str">
        <f t="shared" si="5"/>
        <v>1:25,22,xxx</v>
      </c>
      <c r="S41" s="50">
        <v>10042</v>
      </c>
      <c r="T41" s="50" t="s">
        <v>4301</v>
      </c>
    </row>
    <row r="42" spans="1:23" ht="15.75" thickTop="1" thickBot="1" x14ac:dyDescent="0.25">
      <c r="A42" s="300"/>
      <c r="B42" s="218" t="s">
        <v>537</v>
      </c>
      <c r="C42" s="50" t="s">
        <v>412</v>
      </c>
      <c r="D42" s="219">
        <v>14621</v>
      </c>
      <c r="E42" s="219" t="str">
        <f>VLOOKUP(D42,怪物基本表!$D$7:$AO$276,38,FALSE)</f>
        <v>31211</v>
      </c>
      <c r="F42" s="219" t="str">
        <f t="shared" si="6"/>
        <v>,</v>
      </c>
      <c r="G42" s="219"/>
      <c r="H42" s="217" t="s">
        <v>4428</v>
      </c>
      <c r="I42" s="217" t="s">
        <v>4427</v>
      </c>
      <c r="J42" s="217" t="s">
        <v>4422</v>
      </c>
      <c r="K42" s="217" t="s">
        <v>4417</v>
      </c>
      <c r="L42" s="34">
        <f t="shared" si="7"/>
        <v>32</v>
      </c>
      <c r="M42" s="34">
        <f t="shared" si="8"/>
        <v>34</v>
      </c>
      <c r="N42" s="34">
        <f t="shared" si="9"/>
        <v>20</v>
      </c>
      <c r="O42" s="34">
        <f t="shared" si="10"/>
        <v>22</v>
      </c>
      <c r="P42" s="9" t="str">
        <f t="shared" si="5"/>
        <v>1:34,20,22</v>
      </c>
      <c r="S42" s="50">
        <v>10043</v>
      </c>
      <c r="T42" s="50" t="s">
        <v>4302</v>
      </c>
    </row>
    <row r="43" spans="1:23" ht="15.75" thickTop="1" thickBot="1" x14ac:dyDescent="0.25">
      <c r="A43" s="300"/>
      <c r="B43" s="218" t="s">
        <v>538</v>
      </c>
      <c r="C43" s="50" t="s">
        <v>419</v>
      </c>
      <c r="D43" s="219">
        <v>14701</v>
      </c>
      <c r="E43" s="219" t="str">
        <f>VLOOKUP(D43,怪物基本表!$D$7:$AO$276,38,FALSE)</f>
        <v>31501,31502</v>
      </c>
      <c r="F43" s="219" t="str">
        <f t="shared" si="6"/>
        <v>,</v>
      </c>
      <c r="G43" s="219"/>
      <c r="H43" s="50"/>
      <c r="I43" s="50"/>
      <c r="K43" s="50"/>
      <c r="L43" s="34" t="str">
        <f t="shared" si="7"/>
        <v>xxx</v>
      </c>
      <c r="M43" s="34" t="str">
        <f t="shared" si="8"/>
        <v>xxx</v>
      </c>
      <c r="N43" s="34" t="str">
        <f t="shared" si="9"/>
        <v>xxx</v>
      </c>
      <c r="O43" s="34" t="str">
        <f t="shared" si="10"/>
        <v>xxx</v>
      </c>
      <c r="P43" s="9" t="str">
        <f t="shared" si="5"/>
        <v>1:xxx,xxx,xxx</v>
      </c>
      <c r="S43" s="50">
        <v>10044</v>
      </c>
      <c r="T43" s="50" t="s">
        <v>4303</v>
      </c>
    </row>
    <row r="44" spans="1:23" ht="15.75" thickTop="1" thickBot="1" x14ac:dyDescent="0.25">
      <c r="A44" s="300"/>
      <c r="B44" s="218" t="s">
        <v>540</v>
      </c>
      <c r="C44" s="50" t="s">
        <v>419</v>
      </c>
      <c r="D44" s="219">
        <v>14711</v>
      </c>
      <c r="E44" s="219" t="str">
        <f>VLOOKUP(D44,怪物基本表!$D$7:$AO$276,38,FALSE)</f>
        <v>31511,31512,31513</v>
      </c>
      <c r="F44" s="219" t="str">
        <f t="shared" si="6"/>
        <v>,</v>
      </c>
      <c r="G44" s="219"/>
      <c r="H44" s="50"/>
      <c r="I44" s="50"/>
      <c r="J44" s="50"/>
      <c r="K44" s="50"/>
      <c r="L44" s="34" t="str">
        <f t="shared" si="7"/>
        <v>xxx</v>
      </c>
      <c r="M44" s="34" t="str">
        <f t="shared" si="8"/>
        <v>xxx</v>
      </c>
      <c r="N44" s="34" t="str">
        <f t="shared" si="9"/>
        <v>xxx</v>
      </c>
      <c r="O44" s="34" t="str">
        <f t="shared" si="10"/>
        <v>xxx</v>
      </c>
      <c r="P44" s="9" t="str">
        <f t="shared" si="5"/>
        <v>1:xxx,xxx,xxx</v>
      </c>
      <c r="S44" s="50">
        <v>10045</v>
      </c>
      <c r="T44" s="50" t="s">
        <v>4304</v>
      </c>
    </row>
    <row r="45" spans="1:23" ht="15.75" thickTop="1" thickBot="1" x14ac:dyDescent="0.25">
      <c r="A45" s="300"/>
      <c r="B45" s="218" t="s">
        <v>542</v>
      </c>
      <c r="C45" s="50" t="s">
        <v>419</v>
      </c>
      <c r="D45" s="219">
        <v>14721</v>
      </c>
      <c r="E45" s="219" t="str">
        <f>VLOOKUP(D45,怪物基本表!$D$7:$AO$276,38,FALSE)</f>
        <v>31521,31524,31523,31522</v>
      </c>
      <c r="F45" s="219" t="str">
        <f t="shared" si="6"/>
        <v>,</v>
      </c>
      <c r="G45" s="219"/>
      <c r="H45" s="50"/>
      <c r="I45" s="50"/>
      <c r="J45" s="50"/>
      <c r="K45" s="50"/>
      <c r="L45" s="34" t="str">
        <f t="shared" si="7"/>
        <v>xxx</v>
      </c>
      <c r="M45" s="34" t="str">
        <f t="shared" si="8"/>
        <v>xxx</v>
      </c>
      <c r="N45" s="34" t="str">
        <f t="shared" si="9"/>
        <v>xxx</v>
      </c>
      <c r="O45" s="34" t="str">
        <f t="shared" si="10"/>
        <v>xxx</v>
      </c>
      <c r="P45" s="9" t="str">
        <f t="shared" si="5"/>
        <v>1:xxx,xxx,xxx</v>
      </c>
      <c r="S45" s="50">
        <v>10046</v>
      </c>
      <c r="T45" s="50" t="s">
        <v>4305</v>
      </c>
    </row>
    <row r="46" spans="1:23" ht="15.75" thickTop="1" thickBot="1" x14ac:dyDescent="0.25">
      <c r="A46" s="300"/>
      <c r="B46" s="218" t="s">
        <v>546</v>
      </c>
      <c r="C46" s="50" t="s">
        <v>419</v>
      </c>
      <c r="D46" s="219">
        <v>14731</v>
      </c>
      <c r="E46" s="219" t="str">
        <f>VLOOKUP(D46,怪物基本表!$D$7:$AO$276,38,FALSE)</f>
        <v>31531,31532,31534,31535</v>
      </c>
      <c r="F46" s="219" t="str">
        <f t="shared" si="6"/>
        <v>,</v>
      </c>
      <c r="G46" s="219"/>
      <c r="H46" s="50"/>
      <c r="I46" s="50"/>
      <c r="J46" s="50"/>
      <c r="K46" s="50"/>
      <c r="L46" s="34" t="str">
        <f t="shared" si="7"/>
        <v>xxx</v>
      </c>
      <c r="M46" s="34" t="str">
        <f t="shared" si="8"/>
        <v>xxx</v>
      </c>
      <c r="N46" s="34" t="str">
        <f t="shared" si="9"/>
        <v>xxx</v>
      </c>
      <c r="O46" s="34" t="str">
        <f t="shared" si="10"/>
        <v>xxx</v>
      </c>
      <c r="P46" s="9" t="str">
        <f t="shared" si="5"/>
        <v>1:xxx,xxx,xxx</v>
      </c>
      <c r="S46" s="50">
        <v>10047</v>
      </c>
      <c r="T46" s="50" t="s">
        <v>4306</v>
      </c>
    </row>
    <row r="47" spans="1:23" ht="15.75" thickTop="1" thickBot="1" x14ac:dyDescent="0.25">
      <c r="A47" s="300"/>
      <c r="B47" s="218" t="s">
        <v>548</v>
      </c>
      <c r="C47" s="50"/>
      <c r="D47" s="219">
        <v>14801</v>
      </c>
      <c r="E47" s="219" t="str">
        <f>VLOOKUP(D47,怪物基本表!$D$7:$AO$276,38,FALSE)</f>
        <v>33121,33122,33123,33124</v>
      </c>
      <c r="F47" s="219" t="str">
        <f t="shared" si="6"/>
        <v>,</v>
      </c>
      <c r="G47" s="219"/>
      <c r="H47" s="50"/>
      <c r="I47" s="50"/>
      <c r="J47" s="50"/>
      <c r="K47" s="50"/>
      <c r="L47" s="34" t="str">
        <f t="shared" si="7"/>
        <v>xxx</v>
      </c>
      <c r="M47" s="34" t="str">
        <f t="shared" si="8"/>
        <v>xxx</v>
      </c>
      <c r="N47" s="34" t="str">
        <f t="shared" si="9"/>
        <v>xxx</v>
      </c>
      <c r="O47" s="34" t="str">
        <f t="shared" si="10"/>
        <v>xxx</v>
      </c>
      <c r="P47" s="9" t="str">
        <f t="shared" si="5"/>
        <v>1:xxx,xxx,xxx</v>
      </c>
      <c r="S47" s="50">
        <v>10048</v>
      </c>
      <c r="T47" s="50" t="s">
        <v>4307</v>
      </c>
    </row>
    <row r="48" spans="1:23" ht="15.75" thickTop="1" thickBot="1" x14ac:dyDescent="0.25">
      <c r="A48" s="300"/>
      <c r="B48" s="218" t="s">
        <v>548</v>
      </c>
      <c r="C48" s="50"/>
      <c r="D48" s="219">
        <v>14802</v>
      </c>
      <c r="E48" s="219" t="str">
        <f>VLOOKUP(D48,怪物基本表!$D$7:$AO$276,38,FALSE)</f>
        <v>33122</v>
      </c>
      <c r="F48" s="219" t="str">
        <f t="shared" si="6"/>
        <v>,</v>
      </c>
      <c r="G48" s="219"/>
      <c r="H48" s="50"/>
      <c r="I48" s="50"/>
      <c r="J48" s="50"/>
      <c r="K48" s="50"/>
      <c r="L48" s="34" t="str">
        <f t="shared" si="7"/>
        <v>xxx</v>
      </c>
      <c r="M48" s="34" t="str">
        <f t="shared" si="8"/>
        <v>xxx</v>
      </c>
      <c r="N48" s="34" t="str">
        <f t="shared" si="9"/>
        <v>xxx</v>
      </c>
      <c r="O48" s="34" t="str">
        <f t="shared" si="10"/>
        <v>xxx</v>
      </c>
      <c r="P48" s="9" t="str">
        <f t="shared" si="5"/>
        <v>1:xxx,xxx,xxx</v>
      </c>
      <c r="S48" s="50">
        <v>10049</v>
      </c>
      <c r="T48" s="50" t="s">
        <v>4308</v>
      </c>
    </row>
    <row r="49" spans="1:20" ht="15.75" thickTop="1" thickBot="1" x14ac:dyDescent="0.25">
      <c r="A49" s="300"/>
      <c r="B49" s="218" t="s">
        <v>548</v>
      </c>
      <c r="C49" s="50"/>
      <c r="D49" s="219">
        <v>14803</v>
      </c>
      <c r="E49" s="219" t="str">
        <f>VLOOKUP(D49,怪物基本表!$D$7:$AO$276,38,FALSE)</f>
        <v>33121</v>
      </c>
      <c r="F49" s="219" t="str">
        <f t="shared" si="6"/>
        <v>,</v>
      </c>
      <c r="G49" s="219"/>
      <c r="H49" s="50"/>
      <c r="I49" s="50"/>
      <c r="J49" s="50"/>
      <c r="K49" s="50"/>
      <c r="L49" s="34" t="str">
        <f t="shared" si="7"/>
        <v>xxx</v>
      </c>
      <c r="M49" s="34" t="str">
        <f t="shared" si="8"/>
        <v>xxx</v>
      </c>
      <c r="N49" s="34" t="str">
        <f t="shared" si="9"/>
        <v>xxx</v>
      </c>
      <c r="O49" s="34" t="str">
        <f t="shared" si="10"/>
        <v>xxx</v>
      </c>
      <c r="P49" s="9" t="str">
        <f t="shared" si="5"/>
        <v>1:xxx,xxx,xxx</v>
      </c>
      <c r="S49" s="50">
        <v>10050</v>
      </c>
      <c r="T49" s="50" t="s">
        <v>4309</v>
      </c>
    </row>
    <row r="50" spans="1:20" ht="15.75" thickTop="1" thickBot="1" x14ac:dyDescent="0.25">
      <c r="A50" s="300"/>
      <c r="B50" s="218" t="s">
        <v>554</v>
      </c>
      <c r="C50" s="50"/>
      <c r="D50" s="219">
        <v>14901</v>
      </c>
      <c r="E50" s="219" t="str">
        <f>VLOOKUP(D50,怪物基本表!$D$7:$AO$276,38,FALSE)</f>
        <v>30001</v>
      </c>
      <c r="F50" s="219" t="str">
        <f t="shared" si="6"/>
        <v>,</v>
      </c>
      <c r="G50" s="219"/>
      <c r="H50" s="50"/>
      <c r="I50" s="50"/>
      <c r="J50" s="50"/>
      <c r="K50" s="50"/>
      <c r="L50" s="34" t="str">
        <f t="shared" si="7"/>
        <v>xxx</v>
      </c>
      <c r="M50" s="34" t="str">
        <f t="shared" si="8"/>
        <v>xxx</v>
      </c>
      <c r="N50" s="34" t="str">
        <f t="shared" si="9"/>
        <v>xxx</v>
      </c>
      <c r="O50" s="34" t="str">
        <f t="shared" si="10"/>
        <v>xxx</v>
      </c>
      <c r="P50" s="9" t="str">
        <f t="shared" si="5"/>
        <v>1:xxx,xxx,xxx</v>
      </c>
      <c r="S50" s="50">
        <v>10051</v>
      </c>
      <c r="T50" s="50" t="s">
        <v>4310</v>
      </c>
    </row>
    <row r="51" spans="1:20" ht="15.75" thickTop="1" thickBot="1" x14ac:dyDescent="0.25">
      <c r="A51" s="300" t="s">
        <v>555</v>
      </c>
      <c r="B51" s="218" t="s">
        <v>567</v>
      </c>
      <c r="C51" s="50" t="s">
        <v>574</v>
      </c>
      <c r="D51" s="219">
        <v>40601</v>
      </c>
      <c r="E51" s="219" t="str">
        <f>VLOOKUP(D51,怪物基本表!$D$7:$AO$276,38,FALSE)</f>
        <v>31401,31402</v>
      </c>
      <c r="F51" s="219" t="str">
        <f t="shared" si="6"/>
        <v>,</v>
      </c>
      <c r="G51" s="219"/>
      <c r="H51" s="50" t="s">
        <v>4260</v>
      </c>
      <c r="I51" s="217" t="s">
        <v>4420</v>
      </c>
      <c r="J51" s="217" t="s">
        <v>4421</v>
      </c>
      <c r="K51" s="217" t="s">
        <v>4433</v>
      </c>
      <c r="L51" s="34">
        <f t="shared" si="7"/>
        <v>34</v>
      </c>
      <c r="M51" s="34">
        <f t="shared" si="8"/>
        <v>17</v>
      </c>
      <c r="N51" s="34">
        <f t="shared" si="9"/>
        <v>23</v>
      </c>
      <c r="O51" s="34">
        <f t="shared" si="10"/>
        <v>9</v>
      </c>
      <c r="P51" s="9" t="str">
        <f t="shared" si="5"/>
        <v>1:17,23,9</v>
      </c>
      <c r="S51" s="50">
        <v>10052</v>
      </c>
      <c r="T51" s="50" t="s">
        <v>4311</v>
      </c>
    </row>
    <row r="52" spans="1:20" ht="15.75" thickTop="1" thickBot="1" x14ac:dyDescent="0.25">
      <c r="A52" s="300"/>
      <c r="B52" s="218" t="s">
        <v>569</v>
      </c>
      <c r="C52" s="50" t="s">
        <v>574</v>
      </c>
      <c r="D52" s="219">
        <v>40611</v>
      </c>
      <c r="E52" s="219" t="str">
        <f>VLOOKUP(D52,怪物基本表!$D$7:$AO$276,38,FALSE)</f>
        <v>31411,31412</v>
      </c>
      <c r="F52" s="219" t="str">
        <f t="shared" si="6"/>
        <v>,</v>
      </c>
      <c r="G52" s="219"/>
      <c r="H52" s="217" t="s">
        <v>4430</v>
      </c>
      <c r="I52" s="217" t="s">
        <v>4420</v>
      </c>
      <c r="J52" s="217" t="s">
        <v>4421</v>
      </c>
      <c r="K52" s="217" t="s">
        <v>4434</v>
      </c>
      <c r="L52" s="34">
        <f t="shared" si="7"/>
        <v>35</v>
      </c>
      <c r="M52" s="34">
        <f t="shared" si="8"/>
        <v>17</v>
      </c>
      <c r="N52" s="34">
        <f t="shared" si="9"/>
        <v>23</v>
      </c>
      <c r="O52" s="34">
        <f t="shared" si="10"/>
        <v>10</v>
      </c>
      <c r="P52" s="9" t="str">
        <f t="shared" si="5"/>
        <v>1:17,23,10</v>
      </c>
      <c r="S52" s="50">
        <v>10053</v>
      </c>
      <c r="T52" s="50" t="s">
        <v>4312</v>
      </c>
    </row>
    <row r="53" spans="1:20" ht="15.75" thickTop="1" thickBot="1" x14ac:dyDescent="0.25">
      <c r="A53" s="300"/>
      <c r="B53" s="218" t="s">
        <v>337</v>
      </c>
      <c r="C53" s="50" t="s">
        <v>576</v>
      </c>
      <c r="D53" s="219">
        <v>40701</v>
      </c>
      <c r="E53" s="219" t="str">
        <f>VLOOKUP(D53,怪物基本表!$D$7:$AO$276,38,FALSE)</f>
        <v>30039,30041,30042</v>
      </c>
      <c r="F53" s="219" t="str">
        <f t="shared" si="6"/>
        <v>,</v>
      </c>
      <c r="G53" s="219"/>
      <c r="H53" s="50"/>
      <c r="I53" s="50"/>
      <c r="J53" s="50"/>
      <c r="K53" s="50"/>
      <c r="L53" s="34" t="str">
        <f t="shared" si="7"/>
        <v>xxx</v>
      </c>
      <c r="M53" s="34" t="str">
        <f t="shared" si="8"/>
        <v>xxx</v>
      </c>
      <c r="N53" s="34" t="str">
        <f t="shared" si="9"/>
        <v>xxx</v>
      </c>
      <c r="O53" s="34" t="str">
        <f t="shared" si="10"/>
        <v>xxx</v>
      </c>
      <c r="P53" s="9" t="str">
        <f t="shared" si="5"/>
        <v>1:xxx,xxx,xxx</v>
      </c>
      <c r="S53" s="50">
        <v>10054</v>
      </c>
      <c r="T53" s="50" t="s">
        <v>4313</v>
      </c>
    </row>
    <row r="54" spans="1:20" ht="15.75" thickTop="1" thickBot="1" x14ac:dyDescent="0.25">
      <c r="A54" s="300"/>
      <c r="B54" s="218" t="s">
        <v>578</v>
      </c>
      <c r="C54" s="50" t="s">
        <v>576</v>
      </c>
      <c r="D54" s="219">
        <v>40711</v>
      </c>
      <c r="E54" s="219" t="str">
        <f>VLOOKUP(D54,怪物基本表!$D$7:$AO$276,38,FALSE)</f>
        <v>33101,33102,33104</v>
      </c>
      <c r="F54" s="219" t="str">
        <f t="shared" si="6"/>
        <v>,</v>
      </c>
      <c r="G54" s="219"/>
      <c r="H54" s="50"/>
      <c r="I54" s="50"/>
      <c r="J54" s="50"/>
      <c r="K54" s="50"/>
      <c r="L54" s="34" t="str">
        <f t="shared" si="7"/>
        <v>xxx</v>
      </c>
      <c r="M54" s="34" t="str">
        <f t="shared" si="8"/>
        <v>xxx</v>
      </c>
      <c r="N54" s="34" t="str">
        <f t="shared" si="9"/>
        <v>xxx</v>
      </c>
      <c r="O54" s="34" t="str">
        <f t="shared" si="10"/>
        <v>xxx</v>
      </c>
      <c r="P54" s="9" t="str">
        <f t="shared" si="5"/>
        <v>1:xxx,xxx,xxx</v>
      </c>
      <c r="S54" s="50">
        <v>10055</v>
      </c>
      <c r="T54" s="50" t="s">
        <v>4314</v>
      </c>
    </row>
    <row r="55" spans="1:20" ht="15.75" thickTop="1" thickBot="1" x14ac:dyDescent="0.25">
      <c r="A55" s="300" t="s">
        <v>580</v>
      </c>
      <c r="B55" s="218" t="s">
        <v>582</v>
      </c>
      <c r="C55" s="50" t="s">
        <v>574</v>
      </c>
      <c r="D55" s="219">
        <v>41601</v>
      </c>
      <c r="E55" s="219" t="str">
        <f>VLOOKUP(D55,怪物基本表!$D$7:$AO$276,38,FALSE)</f>
        <v>30001</v>
      </c>
      <c r="F55" s="219" t="str">
        <f t="shared" si="6"/>
        <v>,</v>
      </c>
      <c r="G55" s="219"/>
      <c r="H55" s="50"/>
      <c r="I55" s="217" t="s">
        <v>4435</v>
      </c>
      <c r="J55" s="217" t="s">
        <v>4436</v>
      </c>
      <c r="K55" s="217" t="s">
        <v>4428</v>
      </c>
      <c r="L55" s="34" t="str">
        <f t="shared" si="7"/>
        <v>xxx</v>
      </c>
      <c r="M55" s="34">
        <f t="shared" si="8"/>
        <v>30</v>
      </c>
      <c r="N55" s="34">
        <f t="shared" si="9"/>
        <v>33</v>
      </c>
      <c r="O55" s="34">
        <f t="shared" si="10"/>
        <v>32</v>
      </c>
      <c r="P55" s="9" t="str">
        <f t="shared" si="5"/>
        <v>1:30,33,32</v>
      </c>
      <c r="S55" s="50">
        <v>10056</v>
      </c>
      <c r="T55" s="50" t="s">
        <v>4315</v>
      </c>
    </row>
    <row r="56" spans="1:20" ht="15.75" thickTop="1" thickBot="1" x14ac:dyDescent="0.25">
      <c r="A56" s="300"/>
      <c r="B56" s="218" t="s">
        <v>582</v>
      </c>
      <c r="C56" s="50" t="s">
        <v>574</v>
      </c>
      <c r="D56" s="219">
        <v>41611</v>
      </c>
      <c r="E56" s="219" t="str">
        <f>VLOOKUP(D56,怪物基本表!$D$7:$AO$276,38,FALSE)</f>
        <v>30001</v>
      </c>
      <c r="F56" s="219" t="str">
        <f t="shared" si="6"/>
        <v>,</v>
      </c>
      <c r="G56" s="219"/>
      <c r="H56" s="50"/>
      <c r="I56" s="217" t="s">
        <v>4427</v>
      </c>
      <c r="J56" s="217" t="s">
        <v>4430</v>
      </c>
      <c r="K56" s="217" t="s">
        <v>4429</v>
      </c>
      <c r="L56" s="34" t="str">
        <f t="shared" si="7"/>
        <v>xxx</v>
      </c>
      <c r="M56" s="34">
        <f t="shared" si="8"/>
        <v>34</v>
      </c>
      <c r="N56" s="34">
        <f t="shared" si="9"/>
        <v>35</v>
      </c>
      <c r="O56" s="34">
        <f t="shared" si="10"/>
        <v>31</v>
      </c>
      <c r="P56" s="9" t="str">
        <f t="shared" si="5"/>
        <v>1:34,35,31</v>
      </c>
      <c r="S56" s="50">
        <v>10057</v>
      </c>
      <c r="T56" s="50" t="s">
        <v>4316</v>
      </c>
    </row>
    <row r="57" spans="1:20" ht="15.75" thickTop="1" thickBot="1" x14ac:dyDescent="0.25">
      <c r="A57" s="300"/>
      <c r="B57" s="218" t="s">
        <v>583</v>
      </c>
      <c r="C57" s="50" t="s">
        <v>576</v>
      </c>
      <c r="D57" s="219">
        <v>41701</v>
      </c>
      <c r="E57" s="219" t="str">
        <f>VLOOKUP(D57,怪物基本表!$D$7:$AO$276,38,FALSE)</f>
        <v>33111,33112,33113,33114</v>
      </c>
      <c r="F57" s="219" t="str">
        <f t="shared" si="6"/>
        <v>,</v>
      </c>
      <c r="G57" s="219"/>
      <c r="H57" s="50"/>
      <c r="I57" s="50"/>
      <c r="J57" s="50"/>
      <c r="K57" s="50"/>
      <c r="L57" s="34" t="str">
        <f t="shared" si="7"/>
        <v>xxx</v>
      </c>
      <c r="M57" s="34" t="str">
        <f t="shared" si="8"/>
        <v>xxx</v>
      </c>
      <c r="N57" s="34" t="str">
        <f t="shared" si="9"/>
        <v>xxx</v>
      </c>
      <c r="O57" s="34" t="str">
        <f t="shared" si="10"/>
        <v>xxx</v>
      </c>
      <c r="P57" s="9" t="str">
        <f t="shared" si="5"/>
        <v>1:xxx,xxx,xxx</v>
      </c>
      <c r="S57" s="50">
        <v>10058</v>
      </c>
      <c r="T57" s="50" t="s">
        <v>4317</v>
      </c>
    </row>
    <row r="58" spans="1:20" ht="15.75" customHeight="1" thickTop="1" x14ac:dyDescent="0.2">
      <c r="A58" s="301" t="s">
        <v>284</v>
      </c>
      <c r="B58" s="218" t="s">
        <v>285</v>
      </c>
      <c r="C58" s="50"/>
      <c r="D58" s="219">
        <v>10001</v>
      </c>
      <c r="E58" s="219" t="str">
        <f>VLOOKUP(D58,怪物基本表!$D$7:$AO$276,38,FALSE)</f>
        <v>30001,30002</v>
      </c>
      <c r="F58" s="219" t="str">
        <f t="shared" si="6"/>
        <v>,</v>
      </c>
      <c r="G58" s="219"/>
      <c r="H58" s="217" t="s">
        <v>4432</v>
      </c>
      <c r="I58" s="21" t="s">
        <v>4425</v>
      </c>
      <c r="J58" s="217"/>
      <c r="K58" s="217"/>
      <c r="L58" s="34">
        <f t="shared" si="7"/>
        <v>1</v>
      </c>
      <c r="M58" s="34">
        <f t="shared" si="8"/>
        <v>3</v>
      </c>
      <c r="N58" s="34" t="str">
        <f t="shared" ref="N58" si="11">_xlfn.IFNA(VLOOKUP(J58,$V$3:$W$38,2,FALSE),"xxx")</f>
        <v>xxx</v>
      </c>
      <c r="O58" s="34" t="str">
        <f t="shared" ref="O58" si="12">_xlfn.IFNA(VLOOKUP(K58,$V$3:$W$38,2,FALSE),"xxx")</f>
        <v>xxx</v>
      </c>
      <c r="P58" s="9" t="str">
        <f t="shared" ref="P58:P119" si="13">$P$1&amp;M58&amp;","&amp;N58&amp;","&amp;O58</f>
        <v>1:3,xxx,xxx</v>
      </c>
      <c r="S58" s="50">
        <v>10059</v>
      </c>
      <c r="T58" s="50" t="s">
        <v>4318</v>
      </c>
    </row>
    <row r="59" spans="1:20" ht="15.75" customHeight="1" x14ac:dyDescent="0.2">
      <c r="A59" s="302"/>
      <c r="B59" s="218" t="s">
        <v>288</v>
      </c>
      <c r="C59" s="50"/>
      <c r="D59" s="219">
        <v>10011</v>
      </c>
      <c r="E59" s="219" t="str">
        <f>VLOOKUP(D59,怪物基本表!$D$7:$AO$276,38,FALSE)</f>
        <v>30001,30002</v>
      </c>
      <c r="F59" s="219" t="str">
        <f t="shared" si="6"/>
        <v>,</v>
      </c>
      <c r="G59" s="219"/>
      <c r="H59" s="50" t="s">
        <v>4236</v>
      </c>
      <c r="I59" s="25" t="s">
        <v>4437</v>
      </c>
      <c r="J59" s="217"/>
      <c r="K59" s="217"/>
      <c r="L59" s="34">
        <f t="shared" si="7"/>
        <v>3</v>
      </c>
      <c r="M59" s="34">
        <f t="shared" ref="M59:M122" si="14">_xlfn.IFNA(VLOOKUP(I59,$V$3:$W$38,2,FALSE),"xxx")</f>
        <v>5</v>
      </c>
      <c r="N59" s="34" t="str">
        <f t="shared" ref="N59:N122" si="15">_xlfn.IFNA(VLOOKUP(J59,$V$3:$W$38,2,FALSE),"xxx")</f>
        <v>xxx</v>
      </c>
      <c r="O59" s="34" t="str">
        <f t="shared" ref="O59:O122" si="16">_xlfn.IFNA(VLOOKUP(K59,$V$3:$W$38,2,FALSE),"xxx")</f>
        <v>xxx</v>
      </c>
      <c r="P59" s="9" t="str">
        <f t="shared" si="13"/>
        <v>1:5,xxx,xxx</v>
      </c>
      <c r="S59" s="50">
        <v>10060</v>
      </c>
      <c r="T59" s="50" t="s">
        <v>4318</v>
      </c>
    </row>
    <row r="60" spans="1:20" ht="15.75" customHeight="1" x14ac:dyDescent="0.2">
      <c r="A60" s="302"/>
      <c r="B60" s="218" t="s">
        <v>290</v>
      </c>
      <c r="C60" s="50"/>
      <c r="D60" s="219">
        <v>10021</v>
      </c>
      <c r="E60" s="219" t="str">
        <f>VLOOKUP(D60,怪物基本表!$D$7:$AO$276,38,FALSE)</f>
        <v>30013,30014</v>
      </c>
      <c r="F60" s="219" t="str">
        <f t="shared" si="6"/>
        <v>,</v>
      </c>
      <c r="G60" s="219"/>
      <c r="H60" s="217" t="s">
        <v>4432</v>
      </c>
      <c r="I60" s="217" t="s">
        <v>4438</v>
      </c>
      <c r="J60" s="50"/>
      <c r="K60" s="50"/>
      <c r="L60" s="34">
        <f t="shared" si="7"/>
        <v>1</v>
      </c>
      <c r="M60" s="34">
        <f t="shared" si="14"/>
        <v>11</v>
      </c>
      <c r="N60" s="34" t="str">
        <f t="shared" si="15"/>
        <v>xxx</v>
      </c>
      <c r="O60" s="34" t="str">
        <f t="shared" si="16"/>
        <v>xxx</v>
      </c>
      <c r="P60" s="9" t="str">
        <f t="shared" si="13"/>
        <v>1:11,xxx,xxx</v>
      </c>
      <c r="S60" s="50">
        <v>10061</v>
      </c>
      <c r="T60" s="50" t="s">
        <v>4318</v>
      </c>
    </row>
    <row r="61" spans="1:20" ht="15.75" customHeight="1" x14ac:dyDescent="0.2">
      <c r="A61" s="302"/>
      <c r="B61" s="218" t="s">
        <v>295</v>
      </c>
      <c r="C61" s="50"/>
      <c r="D61" s="219">
        <v>10031</v>
      </c>
      <c r="E61" s="219" t="str">
        <f>VLOOKUP(D61,怪物基本表!$D$7:$AO$276,38,FALSE)</f>
        <v>46041</v>
      </c>
      <c r="F61" s="219" t="str">
        <f t="shared" si="6"/>
        <v>,</v>
      </c>
      <c r="G61" s="219"/>
      <c r="H61" s="217" t="s">
        <v>4505</v>
      </c>
      <c r="I61" s="217" t="s">
        <v>4431</v>
      </c>
      <c r="J61" s="217"/>
      <c r="K61" s="217"/>
      <c r="L61" s="34">
        <f t="shared" si="7"/>
        <v>4</v>
      </c>
      <c r="M61" s="34">
        <f t="shared" si="14"/>
        <v>6</v>
      </c>
      <c r="N61" s="34" t="str">
        <f t="shared" si="15"/>
        <v>xxx</v>
      </c>
      <c r="O61" s="34" t="str">
        <f t="shared" si="16"/>
        <v>xxx</v>
      </c>
      <c r="P61" s="9" t="str">
        <f t="shared" si="13"/>
        <v>1:6,xxx,xxx</v>
      </c>
      <c r="S61" s="50">
        <v>10062</v>
      </c>
      <c r="T61" s="50" t="s">
        <v>4318</v>
      </c>
    </row>
    <row r="62" spans="1:20" ht="15.75" customHeight="1" x14ac:dyDescent="0.2">
      <c r="A62" s="302"/>
      <c r="B62" s="218" t="s">
        <v>298</v>
      </c>
      <c r="C62" s="50"/>
      <c r="D62" s="219">
        <v>10041</v>
      </c>
      <c r="E62" s="219" t="str">
        <f>VLOOKUP(D62,怪物基本表!$D$7:$AO$276,38,FALSE)</f>
        <v>30073</v>
      </c>
      <c r="F62" s="219" t="str">
        <f t="shared" si="6"/>
        <v>,</v>
      </c>
      <c r="G62" s="219"/>
      <c r="H62" s="217" t="s">
        <v>4504</v>
      </c>
      <c r="I62" s="217" t="s">
        <v>4419</v>
      </c>
      <c r="J62" s="217"/>
      <c r="K62" s="217"/>
      <c r="L62" s="34">
        <f t="shared" si="7"/>
        <v>14</v>
      </c>
      <c r="M62" s="34">
        <f t="shared" si="14"/>
        <v>15</v>
      </c>
      <c r="N62" s="34" t="str">
        <f t="shared" si="15"/>
        <v>xxx</v>
      </c>
      <c r="O62" s="34" t="str">
        <f t="shared" si="16"/>
        <v>xxx</v>
      </c>
      <c r="P62" s="9" t="str">
        <f t="shared" si="13"/>
        <v>1:15,xxx,xxx</v>
      </c>
      <c r="S62" s="50">
        <v>10063</v>
      </c>
      <c r="T62" s="50" t="s">
        <v>4318</v>
      </c>
    </row>
    <row r="63" spans="1:20" ht="15.75" customHeight="1" x14ac:dyDescent="0.2">
      <c r="A63" s="302"/>
      <c r="B63" s="218" t="s">
        <v>301</v>
      </c>
      <c r="C63" s="50"/>
      <c r="D63" s="219">
        <v>10051</v>
      </c>
      <c r="E63" s="219" t="str">
        <f>VLOOKUP(D63,怪物基本表!$D$7:$AO$276,38,FALSE)</f>
        <v>30001,30002</v>
      </c>
      <c r="F63" s="219" t="str">
        <f t="shared" si="6"/>
        <v>,</v>
      </c>
      <c r="G63" s="219"/>
      <c r="H63" s="217" t="s">
        <v>4438</v>
      </c>
      <c r="I63" s="217" t="s">
        <v>4506</v>
      </c>
      <c r="J63" s="50"/>
      <c r="K63" s="50"/>
      <c r="L63" s="34">
        <f t="shared" si="7"/>
        <v>11</v>
      </c>
      <c r="M63" s="34">
        <f t="shared" si="14"/>
        <v>27</v>
      </c>
      <c r="N63" s="34" t="str">
        <f t="shared" si="15"/>
        <v>xxx</v>
      </c>
      <c r="O63" s="34" t="str">
        <f t="shared" si="16"/>
        <v>xxx</v>
      </c>
      <c r="P63" s="9" t="str">
        <f t="shared" si="13"/>
        <v>1:27,xxx,xxx</v>
      </c>
      <c r="S63" s="50">
        <v>10064</v>
      </c>
      <c r="T63" s="50" t="s">
        <v>4318</v>
      </c>
    </row>
    <row r="64" spans="1:20" ht="15.75" customHeight="1" x14ac:dyDescent="0.2">
      <c r="A64" s="302"/>
      <c r="B64" s="218" t="s">
        <v>303</v>
      </c>
      <c r="C64" s="50"/>
      <c r="D64" s="219">
        <v>10061</v>
      </c>
      <c r="E64" s="219" t="str">
        <f>VLOOKUP(D64,怪物基本表!$D$7:$AO$276,38,FALSE)</f>
        <v>30009,30010</v>
      </c>
      <c r="F64" s="219" t="str">
        <f t="shared" si="6"/>
        <v>,</v>
      </c>
      <c r="G64" s="219"/>
      <c r="H64" s="217" t="s">
        <v>4432</v>
      </c>
      <c r="I64" s="217" t="s">
        <v>4438</v>
      </c>
      <c r="J64" s="217"/>
      <c r="K64" s="217"/>
      <c r="L64" s="34">
        <f t="shared" si="7"/>
        <v>1</v>
      </c>
      <c r="M64" s="34">
        <f t="shared" si="14"/>
        <v>11</v>
      </c>
      <c r="N64" s="34" t="str">
        <f t="shared" si="15"/>
        <v>xxx</v>
      </c>
      <c r="O64" s="34" t="str">
        <f t="shared" si="16"/>
        <v>xxx</v>
      </c>
      <c r="P64" s="9" t="str">
        <f t="shared" si="13"/>
        <v>1:11,xxx,xxx</v>
      </c>
      <c r="S64" s="50">
        <v>10065</v>
      </c>
      <c r="T64" s="50" t="s">
        <v>4318</v>
      </c>
    </row>
    <row r="65" spans="1:20" ht="15.75" customHeight="1" x14ac:dyDescent="0.2">
      <c r="A65" s="302"/>
      <c r="B65" s="218" t="s">
        <v>306</v>
      </c>
      <c r="C65" s="50"/>
      <c r="D65" s="219">
        <v>10071</v>
      </c>
      <c r="E65" s="219" t="str">
        <f>VLOOKUP(D65,怪物基本表!$D$7:$AO$276,38,FALSE)</f>
        <v>30013,30014</v>
      </c>
      <c r="F65" s="219" t="str">
        <f t="shared" si="6"/>
        <v>,</v>
      </c>
      <c r="G65" s="219"/>
      <c r="H65" s="217" t="s">
        <v>4424</v>
      </c>
      <c r="I65" s="217" t="s">
        <v>4510</v>
      </c>
      <c r="J65" s="217"/>
      <c r="K65" s="217"/>
      <c r="L65" s="34">
        <f t="shared" si="7"/>
        <v>25</v>
      </c>
      <c r="M65" s="34">
        <f t="shared" si="14"/>
        <v>8</v>
      </c>
      <c r="N65" s="34" t="str">
        <f t="shared" si="15"/>
        <v>xxx</v>
      </c>
      <c r="O65" s="34" t="str">
        <f t="shared" si="16"/>
        <v>xxx</v>
      </c>
      <c r="P65" s="9" t="str">
        <f t="shared" si="13"/>
        <v>1:8,xxx,xxx</v>
      </c>
      <c r="S65" s="50">
        <v>10066</v>
      </c>
      <c r="T65" s="50" t="s">
        <v>4318</v>
      </c>
    </row>
    <row r="66" spans="1:20" ht="15.75" customHeight="1" x14ac:dyDescent="0.2">
      <c r="A66" s="302"/>
      <c r="B66" s="218" t="s">
        <v>307</v>
      </c>
      <c r="C66" s="50"/>
      <c r="D66" s="219">
        <v>10501</v>
      </c>
      <c r="E66" s="219" t="str">
        <f>VLOOKUP(D66,怪物基本表!$D$7:$AO$276,38,FALSE)</f>
        <v>30022</v>
      </c>
      <c r="F66" s="219" t="str">
        <f t="shared" si="6"/>
        <v>,</v>
      </c>
      <c r="G66" s="219"/>
      <c r="H66" s="217" t="s">
        <v>4437</v>
      </c>
      <c r="I66" s="217" t="s">
        <v>4434</v>
      </c>
      <c r="J66" s="50"/>
      <c r="K66" s="50"/>
      <c r="L66" s="34">
        <f t="shared" si="7"/>
        <v>5</v>
      </c>
      <c r="M66" s="34">
        <f t="shared" si="14"/>
        <v>10</v>
      </c>
      <c r="N66" s="34" t="str">
        <f t="shared" si="15"/>
        <v>xxx</v>
      </c>
      <c r="O66" s="34" t="str">
        <f t="shared" si="16"/>
        <v>xxx</v>
      </c>
      <c r="P66" s="9" t="str">
        <f t="shared" si="13"/>
        <v>1:10,xxx,xxx</v>
      </c>
      <c r="S66" s="50">
        <v>10067</v>
      </c>
      <c r="T66" s="50" t="s">
        <v>4318</v>
      </c>
    </row>
    <row r="67" spans="1:20" ht="15.75" customHeight="1" x14ac:dyDescent="0.2">
      <c r="A67" s="302"/>
      <c r="B67" s="218" t="s">
        <v>310</v>
      </c>
      <c r="C67" s="50"/>
      <c r="D67" s="219">
        <v>10511</v>
      </c>
      <c r="E67" s="219" t="str">
        <f>VLOOKUP(D67,怪物基本表!$D$7:$AO$276,38,FALSE)</f>
        <v>30025</v>
      </c>
      <c r="F67" s="219" t="str">
        <f t="shared" ref="F67:F98" si="17">SUBSTITUTE(IFERROR(VLOOKUP(INT(LEFT($E67,5)),$S$3:$T$177,2,FALSE),"xxx")&amp;","&amp;IFERROR(VLOOKUP(INT(MID($E67,7,5)),$S$3:$T$177,2,FALSE),"xxx")&amp;IFERROR(VLOOKUP(INT(MID($E67,13,5)),$S$3:$T$177,2,FALSE),"xxx")&amp;IFERROR(VLOOKUP(INT(MID($E67,19,5)),$S$3:$T$177,2,FALSE),"xxx"),"x","")</f>
        <v>,</v>
      </c>
      <c r="G67" s="219"/>
      <c r="H67" s="217" t="s">
        <v>4437</v>
      </c>
      <c r="I67" s="217" t="s">
        <v>4434</v>
      </c>
      <c r="J67" s="217" t="s">
        <v>4511</v>
      </c>
      <c r="K67" s="217"/>
      <c r="L67" s="34">
        <f t="shared" si="7"/>
        <v>5</v>
      </c>
      <c r="M67" s="34">
        <f t="shared" si="14"/>
        <v>10</v>
      </c>
      <c r="N67" s="34">
        <f t="shared" si="15"/>
        <v>16</v>
      </c>
      <c r="O67" s="34" t="str">
        <f t="shared" si="16"/>
        <v>xxx</v>
      </c>
      <c r="P67" s="9" t="str">
        <f t="shared" si="13"/>
        <v>1:10,16,xxx</v>
      </c>
      <c r="S67" s="50">
        <v>10068</v>
      </c>
      <c r="T67" s="50" t="s">
        <v>4318</v>
      </c>
    </row>
    <row r="68" spans="1:20" ht="15.75" customHeight="1" x14ac:dyDescent="0.2">
      <c r="A68" s="302"/>
      <c r="B68" s="218" t="s">
        <v>314</v>
      </c>
      <c r="C68" s="50"/>
      <c r="D68" s="219">
        <v>10521</v>
      </c>
      <c r="E68" s="219" t="str">
        <f>VLOOKUP(D68,怪物基本表!$D$7:$AO$276,38,FALSE)</f>
        <v>30001,30002</v>
      </c>
      <c r="F68" s="219" t="str">
        <f t="shared" si="17"/>
        <v>,</v>
      </c>
      <c r="G68" s="219"/>
      <c r="H68" s="217" t="s">
        <v>4437</v>
      </c>
      <c r="I68" s="217" t="s">
        <v>4418</v>
      </c>
      <c r="J68" s="21" t="s">
        <v>4423</v>
      </c>
      <c r="K68" s="217"/>
      <c r="L68" s="34">
        <f t="shared" si="7"/>
        <v>5</v>
      </c>
      <c r="M68" s="34">
        <f t="shared" si="14"/>
        <v>13</v>
      </c>
      <c r="N68" s="34">
        <f t="shared" si="15"/>
        <v>26</v>
      </c>
      <c r="O68" s="34" t="str">
        <f t="shared" si="16"/>
        <v>xxx</v>
      </c>
      <c r="P68" s="9" t="str">
        <f t="shared" si="13"/>
        <v>1:13,26,xxx</v>
      </c>
      <c r="S68" s="50">
        <v>10069</v>
      </c>
      <c r="T68" s="50" t="s">
        <v>4318</v>
      </c>
    </row>
    <row r="69" spans="1:20" ht="15.75" customHeight="1" thickBot="1" x14ac:dyDescent="0.25">
      <c r="A69" s="302"/>
      <c r="B69" s="218" t="s">
        <v>315</v>
      </c>
      <c r="C69" s="50"/>
      <c r="D69" s="219">
        <v>10531</v>
      </c>
      <c r="E69" s="219" t="str">
        <f>VLOOKUP(D69,怪物基本表!$D$7:$AO$276,38,FALSE)</f>
        <v>30026,30027</v>
      </c>
      <c r="F69" s="219" t="str">
        <f t="shared" si="17"/>
        <v>,</v>
      </c>
      <c r="G69" s="219"/>
      <c r="H69" s="217" t="s">
        <v>4434</v>
      </c>
      <c r="I69" s="217" t="s">
        <v>4418</v>
      </c>
      <c r="J69" s="217" t="s">
        <v>4426</v>
      </c>
      <c r="K69" s="50"/>
      <c r="L69" s="34">
        <f t="shared" si="7"/>
        <v>10</v>
      </c>
      <c r="M69" s="34">
        <f t="shared" si="14"/>
        <v>13</v>
      </c>
      <c r="N69" s="34">
        <f t="shared" si="15"/>
        <v>2</v>
      </c>
      <c r="O69" s="34" t="str">
        <f t="shared" si="16"/>
        <v>xxx</v>
      </c>
      <c r="P69" s="9" t="str">
        <f t="shared" si="13"/>
        <v>1:13,2,xxx</v>
      </c>
      <c r="S69" s="50">
        <v>10070</v>
      </c>
      <c r="T69" s="50" t="s">
        <v>4318</v>
      </c>
    </row>
    <row r="70" spans="1:20" ht="15.75" customHeight="1" thickTop="1" x14ac:dyDescent="0.2">
      <c r="A70" s="301" t="s">
        <v>373</v>
      </c>
      <c r="B70" s="218" t="s">
        <v>374</v>
      </c>
      <c r="C70" s="50" t="s">
        <v>375</v>
      </c>
      <c r="D70" s="219">
        <v>11001</v>
      </c>
      <c r="E70" s="219" t="str">
        <f>VLOOKUP(D70,怪物基本表!$D$7:$AO$276,38,FALSE)</f>
        <v>30001</v>
      </c>
      <c r="F70" s="219" t="str">
        <f t="shared" si="17"/>
        <v>,</v>
      </c>
      <c r="G70" s="219"/>
      <c r="H70" s="217" t="s">
        <v>4432</v>
      </c>
      <c r="I70" s="217" t="s">
        <v>4425</v>
      </c>
      <c r="J70" s="50"/>
      <c r="K70" s="50"/>
      <c r="L70" s="34">
        <f t="shared" si="7"/>
        <v>1</v>
      </c>
      <c r="M70" s="34">
        <f t="shared" si="14"/>
        <v>3</v>
      </c>
      <c r="N70" s="34" t="str">
        <f t="shared" si="15"/>
        <v>xxx</v>
      </c>
      <c r="O70" s="34" t="str">
        <f t="shared" si="16"/>
        <v>xxx</v>
      </c>
      <c r="P70" s="9" t="str">
        <f t="shared" si="13"/>
        <v>1:3,xxx,xxx</v>
      </c>
      <c r="S70" s="50">
        <v>20028</v>
      </c>
      <c r="T70" s="50" t="s">
        <v>4320</v>
      </c>
    </row>
    <row r="71" spans="1:20" ht="15.75" customHeight="1" x14ac:dyDescent="0.2">
      <c r="A71" s="302"/>
      <c r="B71" s="218" t="s">
        <v>378</v>
      </c>
      <c r="C71" s="50" t="s">
        <v>379</v>
      </c>
      <c r="D71" s="219">
        <v>11011</v>
      </c>
      <c r="E71" s="219" t="str">
        <f>VLOOKUP(D71,怪物基本表!$D$7:$AO$276,38,FALSE)</f>
        <v>30001</v>
      </c>
      <c r="F71" s="219" t="str">
        <f t="shared" si="17"/>
        <v>,</v>
      </c>
      <c r="G71" s="219"/>
      <c r="H71" s="217" t="s">
        <v>4437</v>
      </c>
      <c r="I71" s="217" t="s">
        <v>4434</v>
      </c>
      <c r="J71" s="217"/>
      <c r="K71" s="217"/>
      <c r="L71" s="34">
        <f t="shared" si="7"/>
        <v>5</v>
      </c>
      <c r="M71" s="34">
        <f t="shared" si="14"/>
        <v>10</v>
      </c>
      <c r="N71" s="34" t="str">
        <f t="shared" si="15"/>
        <v>xxx</v>
      </c>
      <c r="O71" s="34" t="str">
        <f t="shared" si="16"/>
        <v>xxx</v>
      </c>
      <c r="P71" s="9" t="str">
        <f t="shared" si="13"/>
        <v>1:10,xxx,xxx</v>
      </c>
      <c r="S71" s="50">
        <v>200281</v>
      </c>
      <c r="T71" s="50" t="s">
        <v>4321</v>
      </c>
    </row>
    <row r="72" spans="1:20" ht="15.75" customHeight="1" x14ac:dyDescent="0.2">
      <c r="A72" s="302"/>
      <c r="B72" s="218" t="s">
        <v>381</v>
      </c>
      <c r="C72" s="50" t="s">
        <v>382</v>
      </c>
      <c r="D72" s="219">
        <v>11021</v>
      </c>
      <c r="E72" s="219" t="str">
        <f>VLOOKUP(D72,怪物基本表!$D$7:$AO$276,38,FALSE)</f>
        <v>30001</v>
      </c>
      <c r="F72" s="219" t="str">
        <f t="shared" si="17"/>
        <v>,</v>
      </c>
      <c r="G72" s="219"/>
      <c r="H72" s="217" t="s">
        <v>4418</v>
      </c>
      <c r="I72" s="217" t="s">
        <v>4511</v>
      </c>
      <c r="J72" s="217"/>
      <c r="K72" s="217"/>
      <c r="L72" s="34">
        <f t="shared" si="7"/>
        <v>13</v>
      </c>
      <c r="M72" s="34">
        <f t="shared" si="14"/>
        <v>16</v>
      </c>
      <c r="N72" s="34" t="str">
        <f t="shared" si="15"/>
        <v>xxx</v>
      </c>
      <c r="O72" s="34" t="str">
        <f t="shared" si="16"/>
        <v>xxx</v>
      </c>
      <c r="P72" s="9" t="str">
        <f t="shared" si="13"/>
        <v>1:16,xxx,xxx</v>
      </c>
      <c r="S72" s="50">
        <v>20029</v>
      </c>
      <c r="T72" s="50" t="s">
        <v>4322</v>
      </c>
    </row>
    <row r="73" spans="1:20" ht="15.75" customHeight="1" x14ac:dyDescent="0.2">
      <c r="A73" s="302"/>
      <c r="B73" s="218" t="s">
        <v>383</v>
      </c>
      <c r="C73" s="50" t="s">
        <v>384</v>
      </c>
      <c r="D73" s="219">
        <v>11031</v>
      </c>
      <c r="E73" s="219" t="str">
        <f>VLOOKUP(D73,怪物基本表!$D$7:$AO$276,38,FALSE)</f>
        <v>30001</v>
      </c>
      <c r="F73" s="219" t="str">
        <f t="shared" si="17"/>
        <v>,</v>
      </c>
      <c r="G73" s="219"/>
      <c r="H73" s="217" t="s">
        <v>4506</v>
      </c>
      <c r="I73" s="217" t="s">
        <v>4514</v>
      </c>
      <c r="J73" s="50"/>
      <c r="K73" s="50"/>
      <c r="L73" s="34">
        <f t="shared" si="7"/>
        <v>27</v>
      </c>
      <c r="M73" s="34">
        <f t="shared" si="14"/>
        <v>12</v>
      </c>
      <c r="N73" s="34" t="str">
        <f t="shared" si="15"/>
        <v>xxx</v>
      </c>
      <c r="O73" s="34" t="str">
        <f t="shared" si="16"/>
        <v>xxx</v>
      </c>
      <c r="P73" s="9" t="str">
        <f t="shared" si="13"/>
        <v>1:12,xxx,xxx</v>
      </c>
      <c r="S73" s="50">
        <v>200291</v>
      </c>
      <c r="T73" s="50" t="s">
        <v>4323</v>
      </c>
    </row>
    <row r="74" spans="1:20" ht="15.75" customHeight="1" x14ac:dyDescent="0.2">
      <c r="A74" s="302"/>
      <c r="B74" s="218" t="s">
        <v>385</v>
      </c>
      <c r="C74" s="50" t="s">
        <v>386</v>
      </c>
      <c r="D74" s="219">
        <v>11201</v>
      </c>
      <c r="E74" s="219" t="str">
        <f>VLOOKUP(D74,怪物基本表!$D$7:$AO$276,38,FALSE)</f>
        <v>30001</v>
      </c>
      <c r="F74" s="219" t="str">
        <f t="shared" si="17"/>
        <v>,</v>
      </c>
      <c r="G74" s="219"/>
      <c r="H74" s="217" t="s">
        <v>4432</v>
      </c>
      <c r="I74" s="217" t="s">
        <v>4426</v>
      </c>
      <c r="J74" s="217"/>
      <c r="K74" s="217"/>
      <c r="L74" s="34">
        <f t="shared" si="7"/>
        <v>1</v>
      </c>
      <c r="M74" s="34">
        <f t="shared" si="14"/>
        <v>2</v>
      </c>
      <c r="N74" s="34" t="str">
        <f t="shared" si="15"/>
        <v>xxx</v>
      </c>
      <c r="O74" s="34" t="str">
        <f t="shared" si="16"/>
        <v>xxx</v>
      </c>
      <c r="P74" s="9" t="str">
        <f t="shared" si="13"/>
        <v>1:2,xxx,xxx</v>
      </c>
      <c r="S74" s="50">
        <v>200292</v>
      </c>
      <c r="T74" s="50" t="s">
        <v>4324</v>
      </c>
    </row>
    <row r="75" spans="1:20" ht="15.75" customHeight="1" x14ac:dyDescent="0.2">
      <c r="A75" s="302"/>
      <c r="B75" s="218" t="s">
        <v>387</v>
      </c>
      <c r="C75" s="50" t="s">
        <v>388</v>
      </c>
      <c r="D75" s="219">
        <v>11211</v>
      </c>
      <c r="E75" s="219" t="str">
        <f>VLOOKUP(D75,怪物基本表!$D$7:$AO$276,38,FALSE)</f>
        <v>30001</v>
      </c>
      <c r="F75" s="219" t="str">
        <f t="shared" si="17"/>
        <v>,</v>
      </c>
      <c r="G75" s="219"/>
      <c r="H75" s="217" t="s">
        <v>4507</v>
      </c>
      <c r="I75" s="217" t="s">
        <v>4438</v>
      </c>
      <c r="J75" s="217"/>
      <c r="K75" s="217"/>
      <c r="L75" s="34">
        <f t="shared" si="7"/>
        <v>21</v>
      </c>
      <c r="M75" s="34">
        <f t="shared" si="14"/>
        <v>11</v>
      </c>
      <c r="N75" s="34" t="str">
        <f t="shared" si="15"/>
        <v>xxx</v>
      </c>
      <c r="O75" s="34" t="str">
        <f t="shared" si="16"/>
        <v>xxx</v>
      </c>
      <c r="P75" s="9" t="str">
        <f t="shared" si="13"/>
        <v>1:11,xxx,xxx</v>
      </c>
      <c r="S75" s="50">
        <v>20030</v>
      </c>
      <c r="T75" s="50" t="s">
        <v>4325</v>
      </c>
    </row>
    <row r="76" spans="1:20" ht="15.75" customHeight="1" x14ac:dyDescent="0.2">
      <c r="A76" s="302"/>
      <c r="B76" s="218" t="s">
        <v>389</v>
      </c>
      <c r="C76" s="50" t="s">
        <v>390</v>
      </c>
      <c r="D76" s="219">
        <v>11221</v>
      </c>
      <c r="E76" s="219" t="str">
        <f>VLOOKUP(D76,怪物基本表!$D$7:$AO$276,38,FALSE)</f>
        <v>30013,30014</v>
      </c>
      <c r="F76" s="219" t="str">
        <f t="shared" si="17"/>
        <v>,</v>
      </c>
      <c r="G76" s="219"/>
      <c r="H76" s="217" t="s">
        <v>4505</v>
      </c>
      <c r="I76" s="217" t="s">
        <v>4431</v>
      </c>
      <c r="J76" s="50"/>
      <c r="K76" s="50"/>
      <c r="L76" s="34">
        <f t="shared" si="7"/>
        <v>4</v>
      </c>
      <c r="M76" s="34">
        <f t="shared" si="14"/>
        <v>6</v>
      </c>
      <c r="N76" s="34" t="str">
        <f t="shared" si="15"/>
        <v>xxx</v>
      </c>
      <c r="O76" s="34" t="str">
        <f t="shared" si="16"/>
        <v>xxx</v>
      </c>
      <c r="P76" s="9" t="str">
        <f t="shared" si="13"/>
        <v>1:6,xxx,xxx</v>
      </c>
      <c r="S76" s="50">
        <v>200301</v>
      </c>
      <c r="T76" s="50" t="s">
        <v>4326</v>
      </c>
    </row>
    <row r="77" spans="1:20" ht="15.75" customHeight="1" x14ac:dyDescent="0.2">
      <c r="A77" s="302"/>
      <c r="B77" s="218" t="s">
        <v>391</v>
      </c>
      <c r="C77" s="50" t="s">
        <v>392</v>
      </c>
      <c r="D77" s="219">
        <v>11231</v>
      </c>
      <c r="E77" s="219" t="str">
        <f>VLOOKUP(D77,怪物基本表!$D$7:$AO$276,38,FALSE)</f>
        <v>30151,30010</v>
      </c>
      <c r="F77" s="219" t="str">
        <f t="shared" si="17"/>
        <v>,</v>
      </c>
      <c r="G77" s="219"/>
      <c r="H77" s="217" t="s">
        <v>4508</v>
      </c>
      <c r="I77" s="217" t="s">
        <v>4425</v>
      </c>
      <c r="J77" s="217"/>
      <c r="K77" s="217"/>
      <c r="L77" s="34">
        <f t="shared" si="7"/>
        <v>7</v>
      </c>
      <c r="M77" s="34">
        <f t="shared" si="14"/>
        <v>3</v>
      </c>
      <c r="N77" s="34" t="str">
        <f t="shared" si="15"/>
        <v>xxx</v>
      </c>
      <c r="O77" s="34" t="str">
        <f t="shared" si="16"/>
        <v>xxx</v>
      </c>
      <c r="P77" s="9" t="str">
        <f t="shared" si="13"/>
        <v>1:3,xxx,xxx</v>
      </c>
      <c r="S77" s="50">
        <v>20031</v>
      </c>
      <c r="T77" s="50" t="s">
        <v>4327</v>
      </c>
    </row>
    <row r="78" spans="1:20" ht="15.75" customHeight="1" x14ac:dyDescent="0.2">
      <c r="A78" s="302"/>
      <c r="B78" s="218" t="s">
        <v>393</v>
      </c>
      <c r="C78" s="50" t="s">
        <v>379</v>
      </c>
      <c r="D78" s="219">
        <v>11241</v>
      </c>
      <c r="E78" s="219" t="str">
        <f>VLOOKUP(D78,怪物基本表!$D$7:$AO$276,38,FALSE)</f>
        <v>30025</v>
      </c>
      <c r="F78" s="219" t="str">
        <f t="shared" si="17"/>
        <v>,</v>
      </c>
      <c r="G78" s="219"/>
      <c r="H78" s="217" t="s">
        <v>4437</v>
      </c>
      <c r="I78" s="217" t="s">
        <v>4511</v>
      </c>
      <c r="J78" s="217"/>
      <c r="K78" s="217"/>
      <c r="L78" s="34">
        <f t="shared" si="7"/>
        <v>5</v>
      </c>
      <c r="M78" s="34">
        <f t="shared" si="14"/>
        <v>16</v>
      </c>
      <c r="N78" s="34" t="str">
        <f t="shared" si="15"/>
        <v>xxx</v>
      </c>
      <c r="O78" s="34" t="str">
        <f t="shared" si="16"/>
        <v>xxx</v>
      </c>
      <c r="P78" s="9" t="str">
        <f t="shared" si="13"/>
        <v>1:16,xxx,xxx</v>
      </c>
      <c r="S78" s="50">
        <v>20032</v>
      </c>
      <c r="T78" s="50" t="s">
        <v>4328</v>
      </c>
    </row>
    <row r="79" spans="1:20" ht="15.75" customHeight="1" x14ac:dyDescent="0.2">
      <c r="A79" s="302"/>
      <c r="B79" s="218" t="s">
        <v>4490</v>
      </c>
      <c r="C79" s="50" t="s">
        <v>394</v>
      </c>
      <c r="D79" s="219">
        <v>11251</v>
      </c>
      <c r="E79" s="219" t="str">
        <f>VLOOKUP(D79,怪物基本表!$D$7:$AO$276,38,FALSE)</f>
        <v>30095</v>
      </c>
      <c r="F79" s="219" t="str">
        <f t="shared" si="17"/>
        <v>,</v>
      </c>
      <c r="G79" s="219"/>
      <c r="H79" s="217" t="s">
        <v>4423</v>
      </c>
      <c r="I79" s="217" t="s">
        <v>4424</v>
      </c>
      <c r="J79" s="50"/>
      <c r="K79" s="50"/>
      <c r="L79" s="34">
        <f t="shared" si="7"/>
        <v>26</v>
      </c>
      <c r="M79" s="34">
        <f t="shared" si="14"/>
        <v>25</v>
      </c>
      <c r="N79" s="34" t="str">
        <f t="shared" si="15"/>
        <v>xxx</v>
      </c>
      <c r="O79" s="34" t="str">
        <f t="shared" si="16"/>
        <v>xxx</v>
      </c>
      <c r="P79" s="9" t="str">
        <f t="shared" si="13"/>
        <v>1:25,xxx,xxx</v>
      </c>
      <c r="S79" s="50">
        <v>20033</v>
      </c>
      <c r="T79" s="50" t="s">
        <v>4329</v>
      </c>
    </row>
    <row r="80" spans="1:20" ht="15.75" customHeight="1" x14ac:dyDescent="0.2">
      <c r="A80" s="302"/>
      <c r="B80" s="218" t="s">
        <v>4491</v>
      </c>
      <c r="C80" s="50" t="s">
        <v>394</v>
      </c>
      <c r="D80" s="219">
        <v>11252</v>
      </c>
      <c r="E80" s="219" t="str">
        <f>VLOOKUP(D80,怪物基本表!$D$7:$AO$276,38,FALSE)</f>
        <v>30095</v>
      </c>
      <c r="F80" s="219" t="str">
        <f t="shared" si="17"/>
        <v>,</v>
      </c>
      <c r="G80" s="219"/>
      <c r="H80" s="217" t="s">
        <v>4423</v>
      </c>
      <c r="I80" s="217" t="s">
        <v>4424</v>
      </c>
      <c r="J80" s="217"/>
      <c r="K80" s="217"/>
      <c r="L80" s="34">
        <f t="shared" si="7"/>
        <v>26</v>
      </c>
      <c r="M80" s="34">
        <f t="shared" si="14"/>
        <v>25</v>
      </c>
      <c r="N80" s="34" t="str">
        <f t="shared" si="15"/>
        <v>xxx</v>
      </c>
      <c r="O80" s="34" t="str">
        <f t="shared" si="16"/>
        <v>xxx</v>
      </c>
      <c r="P80" s="9" t="str">
        <f t="shared" si="13"/>
        <v>1:25,xxx,xxx</v>
      </c>
      <c r="S80" s="50">
        <v>200331</v>
      </c>
      <c r="T80" s="50" t="s">
        <v>4330</v>
      </c>
    </row>
    <row r="81" spans="1:20" ht="15.75" customHeight="1" x14ac:dyDescent="0.2">
      <c r="A81" s="302"/>
      <c r="B81" s="218" t="s">
        <v>4492</v>
      </c>
      <c r="C81" s="50" t="s">
        <v>4493</v>
      </c>
      <c r="D81" s="219">
        <v>11261</v>
      </c>
      <c r="E81" s="219" t="str">
        <f>VLOOKUP(D81,怪物基本表!$D$7:$AO$276,38,FALSE)</f>
        <v>30001</v>
      </c>
      <c r="F81" s="219" t="str">
        <f t="shared" si="17"/>
        <v>,</v>
      </c>
      <c r="G81" s="219"/>
      <c r="H81" s="217" t="s">
        <v>4424</v>
      </c>
      <c r="I81" s="217" t="s">
        <v>4423</v>
      </c>
      <c r="J81" s="217"/>
      <c r="K81" s="217"/>
      <c r="L81" s="34">
        <f t="shared" si="7"/>
        <v>25</v>
      </c>
      <c r="M81" s="34">
        <f t="shared" si="14"/>
        <v>26</v>
      </c>
      <c r="N81" s="34" t="str">
        <f t="shared" si="15"/>
        <v>xxx</v>
      </c>
      <c r="O81" s="34" t="str">
        <f t="shared" si="16"/>
        <v>xxx</v>
      </c>
      <c r="P81" s="9" t="str">
        <f t="shared" si="13"/>
        <v>1:26,xxx,xxx</v>
      </c>
      <c r="S81" s="50">
        <v>20034</v>
      </c>
      <c r="T81" s="50" t="s">
        <v>4331</v>
      </c>
    </row>
    <row r="82" spans="1:20" ht="15.75" customHeight="1" x14ac:dyDescent="0.2">
      <c r="A82" s="302"/>
      <c r="B82" s="218" t="s">
        <v>4494</v>
      </c>
      <c r="C82" s="50" t="s">
        <v>4493</v>
      </c>
      <c r="D82" s="219">
        <v>11262</v>
      </c>
      <c r="E82" s="219" t="str">
        <f>VLOOKUP(D82,怪物基本表!$D$7:$AO$276,38,FALSE)</f>
        <v>30001</v>
      </c>
      <c r="F82" s="219" t="str">
        <f t="shared" si="17"/>
        <v>,</v>
      </c>
      <c r="G82" s="219"/>
      <c r="H82" s="217" t="s">
        <v>4424</v>
      </c>
      <c r="I82" s="217" t="s">
        <v>4423</v>
      </c>
      <c r="J82" s="50"/>
      <c r="K82" s="50"/>
      <c r="L82" s="34">
        <f t="shared" si="7"/>
        <v>25</v>
      </c>
      <c r="M82" s="34">
        <f t="shared" si="14"/>
        <v>26</v>
      </c>
      <c r="N82" s="34" t="str">
        <f t="shared" si="15"/>
        <v>xxx</v>
      </c>
      <c r="O82" s="34" t="str">
        <f t="shared" si="16"/>
        <v>xxx</v>
      </c>
      <c r="P82" s="9" t="str">
        <f t="shared" si="13"/>
        <v>1:26,xxx,xxx</v>
      </c>
      <c r="S82" s="50">
        <v>20035</v>
      </c>
      <c r="T82" s="50" t="s">
        <v>4332</v>
      </c>
    </row>
    <row r="83" spans="1:20" ht="15.75" customHeight="1" x14ac:dyDescent="0.2">
      <c r="A83" s="302"/>
      <c r="B83" s="218" t="s">
        <v>395</v>
      </c>
      <c r="C83" s="50" t="s">
        <v>396</v>
      </c>
      <c r="D83" s="219">
        <v>11401</v>
      </c>
      <c r="E83" s="219" t="str">
        <f>VLOOKUP(D83,怪物基本表!$D$7:$AO$276,38,FALSE)</f>
        <v>30001</v>
      </c>
      <c r="F83" s="219" t="str">
        <f t="shared" si="17"/>
        <v>,</v>
      </c>
      <c r="G83" s="219"/>
      <c r="H83" s="50" t="s">
        <v>4234</v>
      </c>
      <c r="I83" s="217" t="s">
        <v>4508</v>
      </c>
      <c r="J83" s="217" t="s">
        <v>4511</v>
      </c>
      <c r="K83" s="217"/>
      <c r="L83" s="34">
        <f t="shared" si="7"/>
        <v>1</v>
      </c>
      <c r="M83" s="34">
        <f t="shared" si="14"/>
        <v>7</v>
      </c>
      <c r="N83" s="34">
        <f t="shared" si="15"/>
        <v>16</v>
      </c>
      <c r="O83" s="34" t="str">
        <f t="shared" si="16"/>
        <v>xxx</v>
      </c>
      <c r="P83" s="9" t="str">
        <f t="shared" si="13"/>
        <v>1:7,16,xxx</v>
      </c>
      <c r="S83" s="50">
        <v>20036</v>
      </c>
      <c r="T83" s="50" t="s">
        <v>4333</v>
      </c>
    </row>
    <row r="84" spans="1:20" ht="15.75" customHeight="1" x14ac:dyDescent="0.2">
      <c r="A84" s="302"/>
      <c r="B84" s="218" t="s">
        <v>397</v>
      </c>
      <c r="C84" s="50" t="s">
        <v>398</v>
      </c>
      <c r="D84" s="219">
        <v>11411</v>
      </c>
      <c r="E84" s="219" t="str">
        <f>VLOOKUP(D84,怪物基本表!$D$7:$AO$276,38,FALSE)</f>
        <v>46001</v>
      </c>
      <c r="F84" s="219" t="str">
        <f t="shared" si="17"/>
        <v>,</v>
      </c>
      <c r="G84" s="219"/>
      <c r="H84" s="217" t="s">
        <v>4509</v>
      </c>
      <c r="I84" s="217" t="s">
        <v>4513</v>
      </c>
      <c r="J84" s="217" t="s">
        <v>4435</v>
      </c>
      <c r="K84" s="217"/>
      <c r="L84" s="34">
        <f t="shared" si="7"/>
        <v>19</v>
      </c>
      <c r="M84" s="34">
        <f t="shared" si="14"/>
        <v>24</v>
      </c>
      <c r="N84" s="34">
        <f t="shared" si="15"/>
        <v>30</v>
      </c>
      <c r="O84" s="34" t="str">
        <f t="shared" si="16"/>
        <v>xxx</v>
      </c>
      <c r="P84" s="9" t="str">
        <f t="shared" si="13"/>
        <v>1:24,30,xxx</v>
      </c>
      <c r="S84" s="50">
        <v>20037</v>
      </c>
      <c r="T84" s="50" t="s">
        <v>4334</v>
      </c>
    </row>
    <row r="85" spans="1:20" ht="15.75" customHeight="1" x14ac:dyDescent="0.2">
      <c r="A85" s="302"/>
      <c r="B85" s="218" t="s">
        <v>400</v>
      </c>
      <c r="C85" s="50" t="s">
        <v>401</v>
      </c>
      <c r="D85" s="219">
        <v>11421</v>
      </c>
      <c r="E85" s="219" t="str">
        <f>VLOOKUP(D85,怪物基本表!$D$7:$AO$276,38,FALSE)</f>
        <v>30083</v>
      </c>
      <c r="F85" s="219" t="str">
        <f t="shared" si="17"/>
        <v>,</v>
      </c>
      <c r="G85" s="219"/>
      <c r="H85" s="217" t="s">
        <v>4431</v>
      </c>
      <c r="I85" s="50" t="s">
        <v>4258</v>
      </c>
      <c r="J85" s="50" t="s">
        <v>4256</v>
      </c>
      <c r="K85" s="50"/>
      <c r="L85" s="34">
        <f t="shared" si="7"/>
        <v>6</v>
      </c>
      <c r="M85" s="34">
        <f t="shared" si="14"/>
        <v>32</v>
      </c>
      <c r="N85" s="34">
        <f t="shared" si="15"/>
        <v>30</v>
      </c>
      <c r="O85" s="34" t="str">
        <f t="shared" si="16"/>
        <v>xxx</v>
      </c>
      <c r="P85" s="9" t="str">
        <f t="shared" si="13"/>
        <v>1:32,30,xxx</v>
      </c>
      <c r="S85" s="50">
        <v>20038</v>
      </c>
      <c r="T85" s="50" t="s">
        <v>4335</v>
      </c>
    </row>
    <row r="86" spans="1:20" ht="15.75" customHeight="1" x14ac:dyDescent="0.2">
      <c r="A86" s="302"/>
      <c r="B86" s="218" t="s">
        <v>403</v>
      </c>
      <c r="C86" s="50" t="s">
        <v>404</v>
      </c>
      <c r="D86" s="219">
        <v>11431</v>
      </c>
      <c r="E86" s="219" t="str">
        <f>VLOOKUP(D86,怪物基本表!$D$7:$AO$276,38,FALSE)</f>
        <v>30001</v>
      </c>
      <c r="F86" s="219" t="str">
        <f t="shared" si="17"/>
        <v>,</v>
      </c>
      <c r="G86" s="219"/>
      <c r="H86" s="217" t="s">
        <v>4437</v>
      </c>
      <c r="I86" s="217" t="s">
        <v>4513</v>
      </c>
      <c r="J86" s="217" t="s">
        <v>4425</v>
      </c>
      <c r="K86" s="217"/>
      <c r="L86" s="34">
        <f t="shared" si="7"/>
        <v>5</v>
      </c>
      <c r="M86" s="34">
        <f t="shared" si="14"/>
        <v>24</v>
      </c>
      <c r="N86" s="34">
        <f t="shared" si="15"/>
        <v>3</v>
      </c>
      <c r="O86" s="34" t="str">
        <f t="shared" si="16"/>
        <v>xxx</v>
      </c>
      <c r="P86" s="9" t="str">
        <f t="shared" si="13"/>
        <v>1:24,3,xxx</v>
      </c>
      <c r="S86" s="50">
        <v>20039</v>
      </c>
      <c r="T86" s="50" t="s">
        <v>4336</v>
      </c>
    </row>
    <row r="87" spans="1:20" ht="15.75" customHeight="1" x14ac:dyDescent="0.2">
      <c r="A87" s="302"/>
      <c r="B87" s="218" t="s">
        <v>405</v>
      </c>
      <c r="C87" s="50" t="s">
        <v>406</v>
      </c>
      <c r="D87" s="219">
        <v>11441</v>
      </c>
      <c r="E87" s="219" t="str">
        <f>VLOOKUP(D87,怪物基本表!$D$7:$AO$276,38,FALSE)</f>
        <v>30001</v>
      </c>
      <c r="F87" s="219" t="str">
        <f t="shared" si="17"/>
        <v>,</v>
      </c>
      <c r="G87" s="219"/>
      <c r="H87" s="217" t="s">
        <v>4438</v>
      </c>
      <c r="I87" s="217" t="s">
        <v>4419</v>
      </c>
      <c r="J87" s="217" t="s">
        <v>4436</v>
      </c>
      <c r="K87" s="217"/>
      <c r="L87" s="34">
        <f t="shared" si="7"/>
        <v>11</v>
      </c>
      <c r="M87" s="34">
        <f t="shared" si="14"/>
        <v>15</v>
      </c>
      <c r="N87" s="34">
        <f t="shared" si="15"/>
        <v>33</v>
      </c>
      <c r="O87" s="34" t="str">
        <f t="shared" si="16"/>
        <v>xxx</v>
      </c>
      <c r="P87" s="9" t="str">
        <f t="shared" si="13"/>
        <v>1:15,33,xxx</v>
      </c>
      <c r="S87" s="50">
        <v>200391</v>
      </c>
      <c r="T87" s="50" t="s">
        <v>4337</v>
      </c>
    </row>
    <row r="88" spans="1:20" ht="15.75" customHeight="1" thickBot="1" x14ac:dyDescent="0.25">
      <c r="A88" s="302"/>
      <c r="B88" s="218" t="s">
        <v>407</v>
      </c>
      <c r="C88" s="50" t="s">
        <v>408</v>
      </c>
      <c r="D88" s="219">
        <v>11451</v>
      </c>
      <c r="E88" s="219" t="str">
        <f>VLOOKUP(D88,怪物基本表!$D$7:$AO$276,38,FALSE)</f>
        <v>30001</v>
      </c>
      <c r="F88" s="219" t="str">
        <f t="shared" si="17"/>
        <v>,</v>
      </c>
      <c r="G88" s="219"/>
      <c r="H88" s="217" t="s">
        <v>4418</v>
      </c>
      <c r="I88" s="217" t="s">
        <v>4506</v>
      </c>
      <c r="J88" s="217" t="s">
        <v>4426</v>
      </c>
      <c r="K88" s="50"/>
      <c r="L88" s="34">
        <f t="shared" si="7"/>
        <v>13</v>
      </c>
      <c r="M88" s="34">
        <f t="shared" si="14"/>
        <v>27</v>
      </c>
      <c r="N88" s="34">
        <f t="shared" si="15"/>
        <v>2</v>
      </c>
      <c r="O88" s="34" t="str">
        <f t="shared" si="16"/>
        <v>xxx</v>
      </c>
      <c r="P88" s="9" t="str">
        <f t="shared" si="13"/>
        <v>1:27,2,xxx</v>
      </c>
      <c r="S88" s="50">
        <v>200392</v>
      </c>
      <c r="T88" s="50" t="s">
        <v>4337</v>
      </c>
    </row>
    <row r="89" spans="1:20" ht="15.75" customHeight="1" thickTop="1" x14ac:dyDescent="0.2">
      <c r="A89" s="301" t="s">
        <v>431</v>
      </c>
      <c r="B89" s="218" t="s">
        <v>432</v>
      </c>
      <c r="C89" s="50" t="s">
        <v>375</v>
      </c>
      <c r="D89" s="219">
        <v>12101</v>
      </c>
      <c r="E89" s="219" t="str">
        <f>VLOOKUP(D89,怪物基本表!$D$7:$AO$276,38,FALSE)</f>
        <v>30001</v>
      </c>
      <c r="F89" s="219" t="str">
        <f t="shared" si="17"/>
        <v>,</v>
      </c>
      <c r="G89" s="219"/>
      <c r="H89" s="217" t="s">
        <v>4426</v>
      </c>
      <c r="I89" s="217" t="s">
        <v>4508</v>
      </c>
      <c r="J89" s="217"/>
      <c r="K89" s="217"/>
      <c r="L89" s="34">
        <f t="shared" si="7"/>
        <v>2</v>
      </c>
      <c r="M89" s="34">
        <f t="shared" si="14"/>
        <v>7</v>
      </c>
      <c r="N89" s="34" t="str">
        <f t="shared" si="15"/>
        <v>xxx</v>
      </c>
      <c r="O89" s="34" t="str">
        <f t="shared" si="16"/>
        <v>xxx</v>
      </c>
      <c r="P89" s="9" t="str">
        <f t="shared" si="13"/>
        <v>1:7,xxx,xxx</v>
      </c>
      <c r="S89" s="50">
        <v>20047</v>
      </c>
      <c r="T89" s="50" t="s">
        <v>4338</v>
      </c>
    </row>
    <row r="90" spans="1:20" ht="15.75" customHeight="1" x14ac:dyDescent="0.2">
      <c r="A90" s="302"/>
      <c r="B90" s="218" t="s">
        <v>435</v>
      </c>
      <c r="C90" s="50" t="s">
        <v>379</v>
      </c>
      <c r="D90" s="219">
        <v>12111</v>
      </c>
      <c r="E90" s="219" t="str">
        <f>VLOOKUP(D90,怪物基本表!$D$7:$AO$276,38,FALSE)</f>
        <v>30001</v>
      </c>
      <c r="F90" s="219" t="str">
        <f t="shared" si="17"/>
        <v>,</v>
      </c>
      <c r="G90" s="219"/>
      <c r="H90" s="217" t="s">
        <v>4437</v>
      </c>
      <c r="I90" s="217" t="s">
        <v>4508</v>
      </c>
      <c r="J90" s="217"/>
      <c r="K90" s="217"/>
      <c r="L90" s="34">
        <f t="shared" si="7"/>
        <v>5</v>
      </c>
      <c r="M90" s="34">
        <f t="shared" si="14"/>
        <v>7</v>
      </c>
      <c r="N90" s="34" t="str">
        <f t="shared" si="15"/>
        <v>xxx</v>
      </c>
      <c r="O90" s="34" t="str">
        <f t="shared" si="16"/>
        <v>xxx</v>
      </c>
      <c r="P90" s="9" t="str">
        <f t="shared" si="13"/>
        <v>1:7,xxx,xxx</v>
      </c>
      <c r="S90" s="50">
        <v>200471</v>
      </c>
      <c r="T90" s="50" t="s">
        <v>4339</v>
      </c>
    </row>
    <row r="91" spans="1:20" ht="15.75" customHeight="1" x14ac:dyDescent="0.2">
      <c r="A91" s="302"/>
      <c r="B91" s="218" t="s">
        <v>437</v>
      </c>
      <c r="C91" s="50" t="s">
        <v>382</v>
      </c>
      <c r="D91" s="219">
        <v>12121</v>
      </c>
      <c r="E91" s="219" t="str">
        <f>VLOOKUP(D91,怪物基本表!$D$7:$AO$276,38,FALSE)</f>
        <v>30001</v>
      </c>
      <c r="F91" s="219" t="str">
        <f t="shared" si="17"/>
        <v>,</v>
      </c>
      <c r="G91" s="219"/>
      <c r="H91" s="217" t="s">
        <v>4418</v>
      </c>
      <c r="I91" s="217" t="s">
        <v>4426</v>
      </c>
      <c r="J91" s="50"/>
      <c r="K91" s="50"/>
      <c r="L91" s="34">
        <f t="shared" si="7"/>
        <v>13</v>
      </c>
      <c r="M91" s="34">
        <f t="shared" si="14"/>
        <v>2</v>
      </c>
      <c r="N91" s="34" t="str">
        <f t="shared" si="15"/>
        <v>xxx</v>
      </c>
      <c r="O91" s="34" t="str">
        <f t="shared" si="16"/>
        <v>xxx</v>
      </c>
      <c r="P91" s="9" t="str">
        <f t="shared" si="13"/>
        <v>1:2,xxx,xxx</v>
      </c>
      <c r="S91" s="50">
        <v>20048</v>
      </c>
      <c r="T91" s="50" t="s">
        <v>4340</v>
      </c>
    </row>
    <row r="92" spans="1:20" ht="15.75" customHeight="1" x14ac:dyDescent="0.2">
      <c r="A92" s="302"/>
      <c r="B92" s="218" t="s">
        <v>438</v>
      </c>
      <c r="C92" s="50" t="s">
        <v>384</v>
      </c>
      <c r="D92" s="219">
        <v>12131</v>
      </c>
      <c r="E92" s="219" t="str">
        <f>VLOOKUP(D92,怪物基本表!$D$7:$AO$276,38,FALSE)</f>
        <v>30001</v>
      </c>
      <c r="F92" s="219" t="str">
        <f t="shared" si="17"/>
        <v>,</v>
      </c>
      <c r="G92" s="219"/>
      <c r="H92" s="217" t="s">
        <v>4423</v>
      </c>
      <c r="I92" s="217" t="s">
        <v>4506</v>
      </c>
      <c r="J92" s="217"/>
      <c r="K92" s="217"/>
      <c r="L92" s="34">
        <f t="shared" si="7"/>
        <v>26</v>
      </c>
      <c r="M92" s="34">
        <f t="shared" si="14"/>
        <v>27</v>
      </c>
      <c r="N92" s="34" t="str">
        <f t="shared" si="15"/>
        <v>xxx</v>
      </c>
      <c r="O92" s="34" t="str">
        <f t="shared" si="16"/>
        <v>xxx</v>
      </c>
      <c r="P92" s="9" t="str">
        <f t="shared" si="13"/>
        <v>1:27,xxx,xxx</v>
      </c>
      <c r="S92" s="50">
        <v>20049</v>
      </c>
      <c r="T92" s="50" t="s">
        <v>4341</v>
      </c>
    </row>
    <row r="93" spans="1:20" ht="15.75" customHeight="1" x14ac:dyDescent="0.2">
      <c r="A93" s="302"/>
      <c r="B93" s="218" t="s">
        <v>439</v>
      </c>
      <c r="C93" s="50" t="s">
        <v>386</v>
      </c>
      <c r="D93" s="219">
        <v>12201</v>
      </c>
      <c r="E93" s="219" t="str">
        <f>VLOOKUP(D93,怪物基本表!$D$7:$AO$276,38,FALSE)</f>
        <v>30033,30034</v>
      </c>
      <c r="F93" s="219" t="str">
        <f t="shared" si="17"/>
        <v>,</v>
      </c>
      <c r="G93" s="219"/>
      <c r="H93" s="217" t="s">
        <v>4432</v>
      </c>
      <c r="I93" s="217" t="s">
        <v>4511</v>
      </c>
      <c r="J93" s="217"/>
      <c r="K93" s="217"/>
      <c r="L93" s="34">
        <f t="shared" si="7"/>
        <v>1</v>
      </c>
      <c r="M93" s="34">
        <f t="shared" si="14"/>
        <v>16</v>
      </c>
      <c r="N93" s="34" t="str">
        <f t="shared" si="15"/>
        <v>xxx</v>
      </c>
      <c r="O93" s="34" t="str">
        <f t="shared" si="16"/>
        <v>xxx</v>
      </c>
      <c r="P93" s="9" t="str">
        <f t="shared" si="13"/>
        <v>1:16,xxx,xxx</v>
      </c>
      <c r="S93" s="50">
        <v>200491</v>
      </c>
      <c r="T93" s="50" t="s">
        <v>4342</v>
      </c>
    </row>
    <row r="94" spans="1:20" ht="15.75" customHeight="1" x14ac:dyDescent="0.2">
      <c r="A94" s="302"/>
      <c r="B94" s="218" t="s">
        <v>442</v>
      </c>
      <c r="C94" s="50" t="s">
        <v>443</v>
      </c>
      <c r="D94" s="219">
        <v>12211</v>
      </c>
      <c r="E94" s="219" t="str">
        <f>VLOOKUP(D94,怪物基本表!$D$7:$AO$276,38,FALSE)</f>
        <v>30033,30034</v>
      </c>
      <c r="F94" s="219" t="str">
        <f t="shared" si="17"/>
        <v>,</v>
      </c>
      <c r="G94" s="219"/>
      <c r="H94" s="217" t="s">
        <v>4437</v>
      </c>
      <c r="I94" s="217" t="s">
        <v>4419</v>
      </c>
      <c r="J94" s="217" t="s">
        <v>4434</v>
      </c>
      <c r="K94" s="50"/>
      <c r="L94" s="34">
        <f t="shared" si="7"/>
        <v>5</v>
      </c>
      <c r="M94" s="34">
        <f t="shared" si="14"/>
        <v>15</v>
      </c>
      <c r="N94" s="34">
        <f t="shared" si="15"/>
        <v>10</v>
      </c>
      <c r="O94" s="34" t="str">
        <f t="shared" si="16"/>
        <v>xxx</v>
      </c>
      <c r="P94" s="9" t="str">
        <f t="shared" si="13"/>
        <v>1:15,10,xxx</v>
      </c>
      <c r="S94" s="50">
        <v>200492</v>
      </c>
      <c r="T94" s="50" t="s">
        <v>4343</v>
      </c>
    </row>
    <row r="95" spans="1:20" ht="15.75" customHeight="1" x14ac:dyDescent="0.2">
      <c r="A95" s="302"/>
      <c r="B95" s="218" t="s">
        <v>4495</v>
      </c>
      <c r="C95" s="50" t="s">
        <v>382</v>
      </c>
      <c r="D95" s="219">
        <v>12221</v>
      </c>
      <c r="E95" s="219" t="str">
        <f>VLOOKUP(D95,怪物基本表!$D$7:$AO$276,38,FALSE)</f>
        <v>30001</v>
      </c>
      <c r="F95" s="219" t="str">
        <f t="shared" si="17"/>
        <v>,</v>
      </c>
      <c r="G95" s="219"/>
      <c r="H95" s="217" t="s">
        <v>4426</v>
      </c>
      <c r="I95" s="217" t="s">
        <v>4512</v>
      </c>
      <c r="J95" s="217" t="s">
        <v>4501</v>
      </c>
      <c r="K95" s="217"/>
      <c r="L95" s="34">
        <f t="shared" si="7"/>
        <v>2</v>
      </c>
      <c r="M95" s="34">
        <f t="shared" si="14"/>
        <v>28</v>
      </c>
      <c r="N95" s="34">
        <f t="shared" si="15"/>
        <v>27</v>
      </c>
      <c r="O95" s="34" t="str">
        <f t="shared" si="16"/>
        <v>xxx</v>
      </c>
      <c r="P95" s="9" t="str">
        <f t="shared" si="13"/>
        <v>1:28,27,xxx</v>
      </c>
      <c r="S95" s="50">
        <v>200493</v>
      </c>
      <c r="T95" s="50" t="s">
        <v>4344</v>
      </c>
    </row>
    <row r="96" spans="1:20" ht="15.75" customHeight="1" x14ac:dyDescent="0.2">
      <c r="A96" s="302"/>
      <c r="B96" s="218" t="s">
        <v>446</v>
      </c>
      <c r="C96" s="50" t="s">
        <v>447</v>
      </c>
      <c r="D96" s="219">
        <v>12231</v>
      </c>
      <c r="E96" s="219" t="str">
        <f>VLOOKUP(D96,怪物基本表!$D$7:$AO$276,38,FALSE)</f>
        <v>30001</v>
      </c>
      <c r="F96" s="219" t="str">
        <f t="shared" si="17"/>
        <v>,</v>
      </c>
      <c r="G96" s="219"/>
      <c r="H96" s="217" t="s">
        <v>4432</v>
      </c>
      <c r="I96" s="217" t="s">
        <v>4419</v>
      </c>
      <c r="J96" s="217"/>
      <c r="K96" s="217"/>
      <c r="L96" s="34">
        <f t="shared" si="7"/>
        <v>1</v>
      </c>
      <c r="M96" s="34">
        <f t="shared" si="14"/>
        <v>15</v>
      </c>
      <c r="N96" s="34" t="str">
        <f t="shared" si="15"/>
        <v>xxx</v>
      </c>
      <c r="O96" s="34" t="str">
        <f t="shared" si="16"/>
        <v>xxx</v>
      </c>
      <c r="P96" s="9" t="str">
        <f t="shared" si="13"/>
        <v>1:15,xxx,xxx</v>
      </c>
      <c r="S96" s="50">
        <v>20050</v>
      </c>
      <c r="T96" s="50" t="s">
        <v>4345</v>
      </c>
    </row>
    <row r="97" spans="1:20" ht="15.75" customHeight="1" x14ac:dyDescent="0.2">
      <c r="A97" s="302"/>
      <c r="B97" s="218" t="s">
        <v>448</v>
      </c>
      <c r="C97" s="50" t="s">
        <v>449</v>
      </c>
      <c r="D97" s="219">
        <v>12241</v>
      </c>
      <c r="E97" s="219" t="str">
        <f>VLOOKUP(D97,怪物基本表!$D$7:$AO$276,38,FALSE)</f>
        <v>46041</v>
      </c>
      <c r="F97" s="219" t="str">
        <f t="shared" si="17"/>
        <v>,</v>
      </c>
      <c r="G97" s="219"/>
      <c r="H97" s="217" t="s">
        <v>4423</v>
      </c>
      <c r="I97" s="217" t="s">
        <v>4505</v>
      </c>
      <c r="J97" s="50"/>
      <c r="K97" s="50"/>
      <c r="L97" s="34">
        <f t="shared" si="7"/>
        <v>26</v>
      </c>
      <c r="M97" s="34">
        <f t="shared" si="14"/>
        <v>4</v>
      </c>
      <c r="N97" s="34" t="str">
        <f t="shared" si="15"/>
        <v>xxx</v>
      </c>
      <c r="O97" s="34" t="str">
        <f t="shared" si="16"/>
        <v>xxx</v>
      </c>
      <c r="P97" s="9" t="str">
        <f t="shared" si="13"/>
        <v>1:4,xxx,xxx</v>
      </c>
      <c r="S97" s="50">
        <v>200501</v>
      </c>
      <c r="T97" s="50" t="s">
        <v>4346</v>
      </c>
    </row>
    <row r="98" spans="1:20" ht="15.75" customHeight="1" x14ac:dyDescent="0.2">
      <c r="A98" s="302"/>
      <c r="B98" s="218" t="s">
        <v>450</v>
      </c>
      <c r="C98" s="50" t="s">
        <v>449</v>
      </c>
      <c r="D98" s="219">
        <v>12251</v>
      </c>
      <c r="E98" s="219" t="str">
        <f>VLOOKUP(D98,怪物基本表!$D$7:$AO$276,38,FALSE)</f>
        <v>46011</v>
      </c>
      <c r="F98" s="219" t="str">
        <f t="shared" si="17"/>
        <v>,</v>
      </c>
      <c r="G98" s="219"/>
      <c r="H98" s="50" t="s">
        <v>4255</v>
      </c>
      <c r="I98" s="217" t="s">
        <v>4505</v>
      </c>
      <c r="J98" s="217"/>
      <c r="K98" s="217"/>
      <c r="L98" s="34">
        <f t="shared" si="7"/>
        <v>26</v>
      </c>
      <c r="M98" s="34">
        <f t="shared" si="14"/>
        <v>4</v>
      </c>
      <c r="N98" s="34" t="str">
        <f t="shared" si="15"/>
        <v>xxx</v>
      </c>
      <c r="O98" s="34" t="str">
        <f t="shared" si="16"/>
        <v>xxx</v>
      </c>
      <c r="P98" s="9" t="str">
        <f t="shared" si="13"/>
        <v>1:4,xxx,xxx</v>
      </c>
      <c r="S98" s="50">
        <v>20051</v>
      </c>
      <c r="T98" s="50" t="s">
        <v>4347</v>
      </c>
    </row>
    <row r="99" spans="1:20" ht="15.75" customHeight="1" x14ac:dyDescent="0.2">
      <c r="A99" s="302"/>
      <c r="B99" s="218" t="s">
        <v>452</v>
      </c>
      <c r="C99" s="50" t="s">
        <v>396</v>
      </c>
      <c r="D99" s="219">
        <v>12401</v>
      </c>
      <c r="E99" s="219" t="str">
        <f>VLOOKUP(D99,怪物基本表!$D$7:$AO$276,38,FALSE)</f>
        <v>30001</v>
      </c>
      <c r="F99" s="219" t="str">
        <f t="shared" ref="F99:F127" si="18">SUBSTITUTE(IFERROR(VLOOKUP(INT(LEFT($E99,5)),$S$3:$T$177,2,FALSE),"xxx")&amp;","&amp;IFERROR(VLOOKUP(INT(MID($E99,7,5)),$S$3:$T$177,2,FALSE),"xxx")&amp;IFERROR(VLOOKUP(INT(MID($E99,13,5)),$S$3:$T$177,2,FALSE),"xxx")&amp;IFERROR(VLOOKUP(INT(MID($E99,19,5)),$S$3:$T$177,2,FALSE),"xxx"),"x","")</f>
        <v>,</v>
      </c>
      <c r="G99" s="219"/>
      <c r="H99" s="217" t="s">
        <v>4423</v>
      </c>
      <c r="I99" s="217" t="s">
        <v>4426</v>
      </c>
      <c r="J99" s="217" t="s">
        <v>4430</v>
      </c>
      <c r="K99" s="217"/>
      <c r="L99" s="34">
        <f t="shared" ref="L99:L127" si="19">_xlfn.IFNA(VLOOKUP(H99,$V$3:$W$38,2,FALSE),"xxx")</f>
        <v>26</v>
      </c>
      <c r="M99" s="34">
        <f t="shared" si="14"/>
        <v>2</v>
      </c>
      <c r="N99" s="34">
        <f t="shared" si="15"/>
        <v>35</v>
      </c>
      <c r="O99" s="34" t="str">
        <f t="shared" si="16"/>
        <v>xxx</v>
      </c>
      <c r="P99" s="9" t="str">
        <f t="shared" si="13"/>
        <v>1:2,35,xxx</v>
      </c>
      <c r="S99" s="50">
        <v>20052</v>
      </c>
      <c r="T99" s="50" t="s">
        <v>603</v>
      </c>
    </row>
    <row r="100" spans="1:20" ht="15.75" customHeight="1" x14ac:dyDescent="0.2">
      <c r="A100" s="302"/>
      <c r="B100" s="218" t="s">
        <v>453</v>
      </c>
      <c r="C100" s="50" t="s">
        <v>454</v>
      </c>
      <c r="D100" s="219">
        <v>12411</v>
      </c>
      <c r="E100" s="219" t="str">
        <f>VLOOKUP(D100,怪物基本表!$D$7:$AO$276,38,FALSE)</f>
        <v>30001</v>
      </c>
      <c r="F100" s="219" t="str">
        <f t="shared" si="18"/>
        <v>,</v>
      </c>
      <c r="G100" s="219"/>
      <c r="H100" s="217" t="s">
        <v>4432</v>
      </c>
      <c r="I100" s="217" t="s">
        <v>4423</v>
      </c>
      <c r="J100" s="217" t="s">
        <v>4435</v>
      </c>
      <c r="K100" s="50"/>
      <c r="L100" s="34">
        <f t="shared" si="19"/>
        <v>1</v>
      </c>
      <c r="M100" s="34">
        <f t="shared" si="14"/>
        <v>26</v>
      </c>
      <c r="N100" s="34">
        <f t="shared" si="15"/>
        <v>30</v>
      </c>
      <c r="O100" s="34" t="str">
        <f t="shared" si="16"/>
        <v>xxx</v>
      </c>
      <c r="P100" s="9" t="str">
        <f t="shared" si="13"/>
        <v>1:26,30,xxx</v>
      </c>
      <c r="S100" s="50">
        <v>200521</v>
      </c>
      <c r="T100" s="50" t="s">
        <v>4348</v>
      </c>
    </row>
    <row r="101" spans="1:20" ht="15.75" customHeight="1" thickBot="1" x14ac:dyDescent="0.25">
      <c r="A101" s="302"/>
      <c r="B101" s="218" t="s">
        <v>455</v>
      </c>
      <c r="C101" s="50" t="s">
        <v>456</v>
      </c>
      <c r="D101" s="219">
        <v>12421</v>
      </c>
      <c r="E101" s="219" t="str">
        <f>VLOOKUP(D101,怪物基本表!$D$7:$AO$276,38,FALSE)</f>
        <v>30001</v>
      </c>
      <c r="F101" s="219" t="str">
        <f t="shared" si="18"/>
        <v>,</v>
      </c>
      <c r="G101" s="219"/>
      <c r="H101" s="217" t="s">
        <v>4437</v>
      </c>
      <c r="I101" s="217" t="s">
        <v>4427</v>
      </c>
      <c r="J101" s="217" t="s">
        <v>4436</v>
      </c>
      <c r="K101" s="217"/>
      <c r="L101" s="34">
        <f t="shared" si="19"/>
        <v>5</v>
      </c>
      <c r="M101" s="34">
        <f t="shared" si="14"/>
        <v>34</v>
      </c>
      <c r="N101" s="34">
        <f t="shared" si="15"/>
        <v>33</v>
      </c>
      <c r="O101" s="34" t="str">
        <f t="shared" si="16"/>
        <v>xxx</v>
      </c>
      <c r="P101" s="9" t="str">
        <f t="shared" si="13"/>
        <v>1:34,33,xxx</v>
      </c>
      <c r="S101" s="50">
        <v>200522</v>
      </c>
      <c r="T101" s="50" t="s">
        <v>4349</v>
      </c>
    </row>
    <row r="102" spans="1:20" ht="15.75" customHeight="1" thickTop="1" x14ac:dyDescent="0.2">
      <c r="A102" s="301" t="s">
        <v>478</v>
      </c>
      <c r="B102" s="218" t="s">
        <v>479</v>
      </c>
      <c r="C102" s="50" t="s">
        <v>480</v>
      </c>
      <c r="D102" s="219">
        <v>13101</v>
      </c>
      <c r="E102" s="219" t="str">
        <f>VLOOKUP(D102,怪物基本表!$D$7:$AO$276,38,FALSE)</f>
        <v>30001</v>
      </c>
      <c r="F102" s="219" t="str">
        <f t="shared" si="18"/>
        <v>,</v>
      </c>
      <c r="G102" s="219"/>
      <c r="H102" s="217" t="s">
        <v>4432</v>
      </c>
      <c r="I102" s="217" t="s">
        <v>4241</v>
      </c>
      <c r="J102" s="217"/>
      <c r="K102" s="217"/>
      <c r="L102" s="34">
        <f t="shared" si="19"/>
        <v>1</v>
      </c>
      <c r="M102" s="34">
        <f t="shared" si="14"/>
        <v>9</v>
      </c>
      <c r="N102" s="34" t="str">
        <f t="shared" si="15"/>
        <v>xxx</v>
      </c>
      <c r="O102" s="34" t="str">
        <f t="shared" si="16"/>
        <v>xxx</v>
      </c>
      <c r="P102" s="9" t="str">
        <f t="shared" si="13"/>
        <v>1:9,xxx,xxx</v>
      </c>
      <c r="S102" s="50">
        <v>20057</v>
      </c>
      <c r="T102" s="50" t="s">
        <v>4350</v>
      </c>
    </row>
    <row r="103" spans="1:20" ht="15.75" customHeight="1" x14ac:dyDescent="0.2">
      <c r="A103" s="302"/>
      <c r="B103" s="218" t="s">
        <v>481</v>
      </c>
      <c r="C103" s="50" t="s">
        <v>482</v>
      </c>
      <c r="D103" s="219">
        <v>13111</v>
      </c>
      <c r="E103" s="219" t="str">
        <f>VLOOKUP(D103,怪物基本表!$D$7:$AO$276,38,FALSE)</f>
        <v>30001</v>
      </c>
      <c r="F103" s="219" t="str">
        <f t="shared" si="18"/>
        <v>,</v>
      </c>
      <c r="G103" s="219"/>
      <c r="H103" s="217" t="s">
        <v>4437</v>
      </c>
      <c r="I103" s="217" t="s">
        <v>4433</v>
      </c>
      <c r="J103" s="217"/>
      <c r="K103" s="217"/>
      <c r="L103" s="34">
        <f t="shared" si="19"/>
        <v>5</v>
      </c>
      <c r="M103" s="34">
        <f t="shared" si="14"/>
        <v>9</v>
      </c>
      <c r="N103" s="34" t="str">
        <f t="shared" si="15"/>
        <v>xxx</v>
      </c>
      <c r="O103" s="34" t="str">
        <f t="shared" si="16"/>
        <v>xxx</v>
      </c>
      <c r="P103" s="9" t="str">
        <f t="shared" si="13"/>
        <v>1:9,xxx,xxx</v>
      </c>
      <c r="S103" s="50">
        <v>200571</v>
      </c>
      <c r="T103" s="50" t="s">
        <v>4331</v>
      </c>
    </row>
    <row r="104" spans="1:20" ht="15.75" customHeight="1" x14ac:dyDescent="0.2">
      <c r="A104" s="302"/>
      <c r="B104" s="218" t="s">
        <v>483</v>
      </c>
      <c r="C104" s="50" t="s">
        <v>382</v>
      </c>
      <c r="D104" s="219">
        <v>13121</v>
      </c>
      <c r="E104" s="219" t="str">
        <f>VLOOKUP(D104,怪物基本表!$D$7:$AO$276,38,FALSE)</f>
        <v>30001</v>
      </c>
      <c r="F104" s="219" t="str">
        <f t="shared" si="18"/>
        <v>,</v>
      </c>
      <c r="G104" s="219"/>
      <c r="H104" s="217" t="s">
        <v>4426</v>
      </c>
      <c r="I104" s="217" t="s">
        <v>4418</v>
      </c>
      <c r="J104" s="50"/>
      <c r="K104" s="50"/>
      <c r="L104" s="34">
        <f t="shared" si="19"/>
        <v>2</v>
      </c>
      <c r="M104" s="34">
        <f t="shared" si="14"/>
        <v>13</v>
      </c>
      <c r="N104" s="34" t="str">
        <f t="shared" si="15"/>
        <v>xxx</v>
      </c>
      <c r="O104" s="34" t="str">
        <f t="shared" si="16"/>
        <v>xxx</v>
      </c>
      <c r="P104" s="9" t="str">
        <f t="shared" si="13"/>
        <v>1:13,xxx,xxx</v>
      </c>
      <c r="S104" s="50">
        <v>20058</v>
      </c>
      <c r="T104" s="50" t="s">
        <v>609</v>
      </c>
    </row>
    <row r="105" spans="1:20" ht="15.75" customHeight="1" x14ac:dyDescent="0.2">
      <c r="A105" s="302"/>
      <c r="B105" s="218" t="s">
        <v>4496</v>
      </c>
      <c r="C105" s="50" t="s">
        <v>386</v>
      </c>
      <c r="D105" s="219">
        <v>13201</v>
      </c>
      <c r="E105" s="219" t="str">
        <f>VLOOKUP(D105,怪物基本表!$D$7:$AO$276,38,FALSE)</f>
        <v>31511,46081</v>
      </c>
      <c r="F105" s="219" t="str">
        <f t="shared" si="18"/>
        <v>,</v>
      </c>
      <c r="G105" s="219"/>
      <c r="H105" s="217" t="s">
        <v>4432</v>
      </c>
      <c r="I105" s="217" t="s">
        <v>4418</v>
      </c>
      <c r="J105" s="217" t="s">
        <v>4435</v>
      </c>
      <c r="K105" s="217"/>
      <c r="L105" s="34">
        <f t="shared" si="19"/>
        <v>1</v>
      </c>
      <c r="M105" s="34">
        <f t="shared" si="14"/>
        <v>13</v>
      </c>
      <c r="N105" s="34">
        <f t="shared" si="15"/>
        <v>30</v>
      </c>
      <c r="O105" s="34" t="str">
        <f t="shared" si="16"/>
        <v>xxx</v>
      </c>
      <c r="P105" s="9" t="str">
        <f t="shared" si="13"/>
        <v>1:13,30,xxx</v>
      </c>
      <c r="S105" s="50">
        <v>200581</v>
      </c>
      <c r="T105" s="50" t="s">
        <v>4351</v>
      </c>
    </row>
    <row r="106" spans="1:20" ht="15.75" customHeight="1" x14ac:dyDescent="0.2">
      <c r="A106" s="302"/>
      <c r="B106" s="218" t="s">
        <v>485</v>
      </c>
      <c r="C106" s="50" t="s">
        <v>386</v>
      </c>
      <c r="D106" s="219">
        <v>13211</v>
      </c>
      <c r="E106" s="219" t="str">
        <f>VLOOKUP(D106,怪物基本表!$D$7:$AO$276,38,FALSE)</f>
        <v>30001</v>
      </c>
      <c r="F106" s="219" t="str">
        <f t="shared" si="18"/>
        <v>,</v>
      </c>
      <c r="G106" s="219"/>
      <c r="H106" s="217" t="s">
        <v>4432</v>
      </c>
      <c r="I106" s="217" t="s">
        <v>4418</v>
      </c>
      <c r="J106" s="217" t="s">
        <v>4427</v>
      </c>
      <c r="K106" s="217"/>
      <c r="L106" s="34">
        <f t="shared" si="19"/>
        <v>1</v>
      </c>
      <c r="M106" s="34">
        <f t="shared" si="14"/>
        <v>13</v>
      </c>
      <c r="N106" s="34">
        <f t="shared" si="15"/>
        <v>34</v>
      </c>
      <c r="O106" s="34" t="str">
        <f t="shared" si="16"/>
        <v>xxx</v>
      </c>
      <c r="P106" s="9" t="str">
        <f t="shared" si="13"/>
        <v>1:13,34,xxx</v>
      </c>
      <c r="S106" s="50">
        <v>200582</v>
      </c>
      <c r="T106" s="50" t="s">
        <v>4352</v>
      </c>
    </row>
    <row r="107" spans="1:20" ht="15.75" customHeight="1" x14ac:dyDescent="0.2">
      <c r="A107" s="302"/>
      <c r="B107" s="218" t="s">
        <v>486</v>
      </c>
      <c r="C107" s="50" t="s">
        <v>382</v>
      </c>
      <c r="D107" s="219">
        <v>13221</v>
      </c>
      <c r="E107" s="219" t="str">
        <f>VLOOKUP(D107,怪物基本表!$D$7:$AO$276,38,FALSE)</f>
        <v>30001</v>
      </c>
      <c r="F107" s="219" t="str">
        <f t="shared" si="18"/>
        <v>,</v>
      </c>
      <c r="G107" s="219"/>
      <c r="H107" s="217" t="s">
        <v>4426</v>
      </c>
      <c r="I107" s="217" t="s">
        <v>4511</v>
      </c>
      <c r="J107" s="217" t="s">
        <v>4428</v>
      </c>
      <c r="K107" s="50"/>
      <c r="L107" s="34">
        <f t="shared" si="19"/>
        <v>2</v>
      </c>
      <c r="M107" s="34">
        <f t="shared" si="14"/>
        <v>16</v>
      </c>
      <c r="N107" s="34">
        <f t="shared" si="15"/>
        <v>32</v>
      </c>
      <c r="O107" s="34" t="str">
        <f t="shared" si="16"/>
        <v>xxx</v>
      </c>
      <c r="P107" s="9" t="str">
        <f t="shared" si="13"/>
        <v>1:16,32,xxx</v>
      </c>
      <c r="S107" s="50">
        <v>200583</v>
      </c>
      <c r="T107" s="50" t="s">
        <v>4353</v>
      </c>
    </row>
    <row r="108" spans="1:20" ht="15.75" customHeight="1" x14ac:dyDescent="0.2">
      <c r="A108" s="302"/>
      <c r="B108" s="218" t="s">
        <v>487</v>
      </c>
      <c r="C108" s="50" t="s">
        <v>382</v>
      </c>
      <c r="D108" s="219">
        <v>13231</v>
      </c>
      <c r="E108" s="219" t="str">
        <f>VLOOKUP(D108,怪物基本表!$D$7:$AO$276,38,FALSE)</f>
        <v>30001</v>
      </c>
      <c r="F108" s="219" t="str">
        <f t="shared" si="18"/>
        <v>,</v>
      </c>
      <c r="G108" s="219"/>
      <c r="H108" s="217" t="s">
        <v>4426</v>
      </c>
      <c r="I108" s="217" t="s">
        <v>4247</v>
      </c>
      <c r="J108" s="217" t="s">
        <v>4428</v>
      </c>
      <c r="K108" s="217"/>
      <c r="L108" s="34">
        <f t="shared" si="19"/>
        <v>2</v>
      </c>
      <c r="M108" s="34">
        <f t="shared" si="14"/>
        <v>16</v>
      </c>
      <c r="N108" s="34">
        <f t="shared" si="15"/>
        <v>32</v>
      </c>
      <c r="O108" s="34" t="str">
        <f t="shared" si="16"/>
        <v>xxx</v>
      </c>
      <c r="P108" s="9" t="str">
        <f t="shared" si="13"/>
        <v>1:16,32,xxx</v>
      </c>
      <c r="S108" s="50">
        <v>200584</v>
      </c>
      <c r="T108" s="50" t="s">
        <v>4354</v>
      </c>
    </row>
    <row r="109" spans="1:20" ht="15.75" customHeight="1" x14ac:dyDescent="0.2">
      <c r="A109" s="302"/>
      <c r="B109" s="218" t="s">
        <v>488</v>
      </c>
      <c r="C109" s="50" t="s">
        <v>449</v>
      </c>
      <c r="D109" s="219">
        <v>13241</v>
      </c>
      <c r="E109" s="219" t="str">
        <f>VLOOKUP(D109,怪物基本表!$D$7:$AO$276,38,FALSE)</f>
        <v>30083</v>
      </c>
      <c r="F109" s="219" t="str">
        <f t="shared" si="18"/>
        <v>,</v>
      </c>
      <c r="G109" s="219"/>
      <c r="H109" s="233" t="s">
        <v>4505</v>
      </c>
      <c r="I109" s="217" t="s">
        <v>4431</v>
      </c>
      <c r="J109" s="217" t="s">
        <v>4420</v>
      </c>
      <c r="K109" s="217"/>
      <c r="L109" s="34">
        <f t="shared" si="19"/>
        <v>4</v>
      </c>
      <c r="M109" s="34">
        <f t="shared" si="14"/>
        <v>6</v>
      </c>
      <c r="N109" s="34">
        <f t="shared" si="15"/>
        <v>17</v>
      </c>
      <c r="O109" s="34" t="str">
        <f t="shared" si="16"/>
        <v>xxx</v>
      </c>
      <c r="P109" s="9" t="str">
        <f t="shared" si="13"/>
        <v>1:6,17,xxx</v>
      </c>
      <c r="S109" s="50">
        <v>200585</v>
      </c>
      <c r="T109" s="50" t="s">
        <v>4355</v>
      </c>
    </row>
    <row r="110" spans="1:20" ht="15.75" customHeight="1" x14ac:dyDescent="0.2">
      <c r="A110" s="302"/>
      <c r="B110" s="218" t="s">
        <v>489</v>
      </c>
      <c r="C110" s="50" t="s">
        <v>449</v>
      </c>
      <c r="D110" s="219">
        <v>13251</v>
      </c>
      <c r="E110" s="219" t="str">
        <f>VLOOKUP(D110,怪物基本表!$D$7:$AO$276,38,FALSE)</f>
        <v>46041</v>
      </c>
      <c r="F110" s="219" t="str">
        <f t="shared" si="18"/>
        <v>,</v>
      </c>
      <c r="G110" s="219"/>
      <c r="H110" s="217" t="s">
        <v>4505</v>
      </c>
      <c r="I110" s="217" t="s">
        <v>4431</v>
      </c>
      <c r="J110" s="217" t="s">
        <v>4423</v>
      </c>
      <c r="K110" s="50"/>
      <c r="L110" s="34">
        <f t="shared" si="19"/>
        <v>4</v>
      </c>
      <c r="M110" s="34">
        <f t="shared" si="14"/>
        <v>6</v>
      </c>
      <c r="N110" s="34">
        <f t="shared" si="15"/>
        <v>26</v>
      </c>
      <c r="O110" s="34" t="str">
        <f t="shared" si="16"/>
        <v>xxx</v>
      </c>
      <c r="P110" s="9" t="str">
        <f t="shared" si="13"/>
        <v>1:6,26,xxx</v>
      </c>
      <c r="S110" s="50">
        <v>200586</v>
      </c>
      <c r="T110" s="50" t="s">
        <v>4356</v>
      </c>
    </row>
    <row r="111" spans="1:20" ht="15.75" customHeight="1" x14ac:dyDescent="0.2">
      <c r="A111" s="302"/>
      <c r="B111" s="218" t="s">
        <v>490</v>
      </c>
      <c r="C111" s="50" t="s">
        <v>449</v>
      </c>
      <c r="D111" s="219">
        <v>13261</v>
      </c>
      <c r="E111" s="219" t="str">
        <f>VLOOKUP(D111,怪物基本表!$D$7:$AO$276,38,FALSE)</f>
        <v>31211</v>
      </c>
      <c r="F111" s="219" t="str">
        <f t="shared" si="18"/>
        <v>,</v>
      </c>
      <c r="G111" s="219"/>
      <c r="H111" s="217" t="s">
        <v>4505</v>
      </c>
      <c r="I111" s="217" t="s">
        <v>4435</v>
      </c>
      <c r="J111" s="217" t="s">
        <v>4426</v>
      </c>
      <c r="K111" s="217"/>
      <c r="L111" s="34">
        <f t="shared" si="19"/>
        <v>4</v>
      </c>
      <c r="M111" s="34">
        <f t="shared" si="14"/>
        <v>30</v>
      </c>
      <c r="N111" s="34">
        <f t="shared" si="15"/>
        <v>2</v>
      </c>
      <c r="O111" s="34" t="str">
        <f t="shared" si="16"/>
        <v>xxx</v>
      </c>
      <c r="P111" s="9" t="str">
        <f t="shared" si="13"/>
        <v>1:30,2,xxx</v>
      </c>
      <c r="S111" s="50">
        <v>20059</v>
      </c>
      <c r="T111" s="50" t="s">
        <v>4357</v>
      </c>
    </row>
    <row r="112" spans="1:20" ht="15.75" customHeight="1" x14ac:dyDescent="0.2">
      <c r="A112" s="302"/>
      <c r="B112" s="218" t="s">
        <v>491</v>
      </c>
      <c r="C112" s="50" t="s">
        <v>443</v>
      </c>
      <c r="D112" s="219">
        <v>13271</v>
      </c>
      <c r="E112" s="219" t="str">
        <f>VLOOKUP(D112,怪物基本表!$D$7:$AO$276,38,FALSE)</f>
        <v>30001</v>
      </c>
      <c r="F112" s="219" t="str">
        <f t="shared" si="18"/>
        <v>,</v>
      </c>
      <c r="G112" s="219"/>
      <c r="H112" s="217" t="s">
        <v>4437</v>
      </c>
      <c r="I112" s="217" t="s">
        <v>4432</v>
      </c>
      <c r="J112" s="217" t="s">
        <v>4436</v>
      </c>
      <c r="K112" s="217"/>
      <c r="L112" s="34">
        <f t="shared" si="19"/>
        <v>5</v>
      </c>
      <c r="M112" s="34">
        <f t="shared" si="14"/>
        <v>1</v>
      </c>
      <c r="N112" s="34">
        <f t="shared" si="15"/>
        <v>33</v>
      </c>
      <c r="O112" s="34" t="str">
        <f t="shared" si="16"/>
        <v>xxx</v>
      </c>
      <c r="P112" s="9" t="str">
        <f t="shared" si="13"/>
        <v>1:1,33,xxx</v>
      </c>
      <c r="S112" s="50">
        <v>200591</v>
      </c>
      <c r="T112" s="50" t="s">
        <v>4358</v>
      </c>
    </row>
    <row r="113" spans="1:20" ht="15.75" customHeight="1" thickBot="1" x14ac:dyDescent="0.25">
      <c r="A113" s="302"/>
      <c r="B113" s="218" t="s">
        <v>492</v>
      </c>
      <c r="C113" s="50" t="s">
        <v>443</v>
      </c>
      <c r="D113" s="219">
        <v>13281</v>
      </c>
      <c r="E113" s="219" t="str">
        <f>VLOOKUP(D113,怪物基本表!$D$7:$AO$276,38,FALSE)</f>
        <v>30001</v>
      </c>
      <c r="F113" s="219" t="str">
        <f t="shared" si="18"/>
        <v>,</v>
      </c>
      <c r="G113" s="219"/>
      <c r="H113" s="217" t="s">
        <v>4437</v>
      </c>
      <c r="I113" s="217" t="s">
        <v>4432</v>
      </c>
      <c r="J113" s="217" t="s">
        <v>4430</v>
      </c>
      <c r="K113" s="50"/>
      <c r="L113" s="34">
        <f t="shared" si="19"/>
        <v>5</v>
      </c>
      <c r="M113" s="34">
        <f t="shared" si="14"/>
        <v>1</v>
      </c>
      <c r="N113" s="34">
        <f t="shared" si="15"/>
        <v>35</v>
      </c>
      <c r="O113" s="34" t="str">
        <f t="shared" si="16"/>
        <v>xxx</v>
      </c>
      <c r="P113" s="9" t="str">
        <f t="shared" si="13"/>
        <v>1:1,35,xxx</v>
      </c>
      <c r="S113" s="50">
        <v>20060</v>
      </c>
      <c r="T113" s="50" t="s">
        <v>4359</v>
      </c>
    </row>
    <row r="114" spans="1:20" ht="15.75" customHeight="1" thickTop="1" x14ac:dyDescent="0.2">
      <c r="A114" s="301" t="s">
        <v>512</v>
      </c>
      <c r="B114" s="218" t="s">
        <v>513</v>
      </c>
      <c r="C114" s="50" t="s">
        <v>480</v>
      </c>
      <c r="D114" s="219">
        <v>14101</v>
      </c>
      <c r="E114" s="219" t="str">
        <f>VLOOKUP(D114,怪物基本表!$D$7:$AO$276,38,FALSE)</f>
        <v>30001</v>
      </c>
      <c r="F114" s="219" t="str">
        <f t="shared" si="18"/>
        <v>,</v>
      </c>
      <c r="G114" s="219"/>
      <c r="H114" s="217" t="s">
        <v>4432</v>
      </c>
      <c r="I114" s="217" t="s">
        <v>4418</v>
      </c>
      <c r="J114" s="50"/>
      <c r="K114" s="50"/>
      <c r="L114" s="34">
        <f t="shared" si="19"/>
        <v>1</v>
      </c>
      <c r="M114" s="34">
        <f t="shared" si="14"/>
        <v>13</v>
      </c>
      <c r="N114" s="34" t="str">
        <f t="shared" si="15"/>
        <v>xxx</v>
      </c>
      <c r="O114" s="34" t="str">
        <f t="shared" si="16"/>
        <v>xxx</v>
      </c>
      <c r="P114" s="9" t="str">
        <f t="shared" si="13"/>
        <v>1:13,xxx,xxx</v>
      </c>
      <c r="S114" s="50">
        <v>200643</v>
      </c>
      <c r="T114" s="50" t="s">
        <v>244</v>
      </c>
    </row>
    <row r="115" spans="1:20" ht="15.75" customHeight="1" x14ac:dyDescent="0.2">
      <c r="A115" s="302"/>
      <c r="B115" s="218" t="s">
        <v>514</v>
      </c>
      <c r="C115" s="50" t="s">
        <v>482</v>
      </c>
      <c r="D115" s="219">
        <v>14111</v>
      </c>
      <c r="E115" s="219" t="str">
        <f>VLOOKUP(D115,怪物基本表!$D$7:$AO$276,38,FALSE)</f>
        <v>30001</v>
      </c>
      <c r="F115" s="219" t="str">
        <f t="shared" si="18"/>
        <v>,</v>
      </c>
      <c r="G115" s="219"/>
      <c r="H115" s="217" t="s">
        <v>4437</v>
      </c>
      <c r="I115" s="217" t="s">
        <v>4511</v>
      </c>
      <c r="J115" s="217"/>
      <c r="K115" s="217"/>
      <c r="L115" s="34">
        <f t="shared" si="19"/>
        <v>5</v>
      </c>
      <c r="M115" s="34">
        <f t="shared" si="14"/>
        <v>16</v>
      </c>
      <c r="N115" s="34" t="str">
        <f t="shared" si="15"/>
        <v>xxx</v>
      </c>
      <c r="O115" s="34" t="str">
        <f t="shared" si="16"/>
        <v>xxx</v>
      </c>
      <c r="P115" s="9" t="str">
        <f t="shared" si="13"/>
        <v>1:16,xxx,xxx</v>
      </c>
      <c r="S115" s="50">
        <v>20066</v>
      </c>
      <c r="T115" s="50" t="s">
        <v>4360</v>
      </c>
    </row>
    <row r="116" spans="1:20" ht="15.75" customHeight="1" x14ac:dyDescent="0.2">
      <c r="A116" s="302"/>
      <c r="B116" s="218" t="s">
        <v>515</v>
      </c>
      <c r="C116" s="50" t="s">
        <v>382</v>
      </c>
      <c r="D116" s="219">
        <v>14121</v>
      </c>
      <c r="E116" s="219" t="str">
        <f>VLOOKUP(D116,怪物基本表!$D$7:$AO$276,38,FALSE)</f>
        <v>30001</v>
      </c>
      <c r="F116" s="219" t="str">
        <f t="shared" si="18"/>
        <v>,</v>
      </c>
      <c r="G116" s="219"/>
      <c r="H116" s="217" t="s">
        <v>4510</v>
      </c>
      <c r="I116" s="217" t="s">
        <v>4426</v>
      </c>
      <c r="J116" s="217"/>
      <c r="K116" s="217"/>
      <c r="L116" s="34">
        <f t="shared" si="19"/>
        <v>8</v>
      </c>
      <c r="M116" s="34">
        <f t="shared" si="14"/>
        <v>2</v>
      </c>
      <c r="N116" s="34" t="str">
        <f t="shared" si="15"/>
        <v>xxx</v>
      </c>
      <c r="O116" s="34" t="str">
        <f t="shared" si="16"/>
        <v>xxx</v>
      </c>
      <c r="P116" s="9" t="str">
        <f t="shared" si="13"/>
        <v>1:2,xxx,xxx</v>
      </c>
      <c r="S116" s="50">
        <v>200661</v>
      </c>
      <c r="T116" s="50" t="s">
        <v>4361</v>
      </c>
    </row>
    <row r="117" spans="1:20" ht="15.75" customHeight="1" x14ac:dyDescent="0.2">
      <c r="A117" s="302"/>
      <c r="B117" s="218" t="s">
        <v>516</v>
      </c>
      <c r="C117" s="50" t="s">
        <v>386</v>
      </c>
      <c r="D117" s="219">
        <v>14201</v>
      </c>
      <c r="E117" s="219" t="str">
        <f>VLOOKUP(D117,怪物基本表!$D$7:$AO$276,38,FALSE)</f>
        <v>30001</v>
      </c>
      <c r="F117" s="219" t="str">
        <f t="shared" si="18"/>
        <v>,</v>
      </c>
      <c r="G117" s="219"/>
      <c r="H117" s="217" t="s">
        <v>4511</v>
      </c>
      <c r="I117" s="217" t="s">
        <v>4419</v>
      </c>
      <c r="J117" s="50"/>
      <c r="K117" s="50"/>
      <c r="L117" s="34">
        <f t="shared" si="19"/>
        <v>16</v>
      </c>
      <c r="M117" s="34">
        <f t="shared" si="14"/>
        <v>15</v>
      </c>
      <c r="N117" s="34" t="str">
        <f t="shared" si="15"/>
        <v>xxx</v>
      </c>
      <c r="O117" s="34" t="str">
        <f t="shared" si="16"/>
        <v>xxx</v>
      </c>
      <c r="P117" s="9" t="str">
        <f t="shared" si="13"/>
        <v>1:15,xxx,xxx</v>
      </c>
      <c r="S117" s="50">
        <v>20067</v>
      </c>
      <c r="T117" s="50" t="s">
        <v>616</v>
      </c>
    </row>
    <row r="118" spans="1:20" ht="15.75" customHeight="1" x14ac:dyDescent="0.2">
      <c r="A118" s="302"/>
      <c r="B118" s="218" t="s">
        <v>517</v>
      </c>
      <c r="C118" s="50" t="s">
        <v>443</v>
      </c>
      <c r="D118" s="219">
        <v>14211</v>
      </c>
      <c r="E118" s="219" t="str">
        <f>VLOOKUP(D118,怪物基本表!$D$7:$AO$276,38,FALSE)</f>
        <v>30001</v>
      </c>
      <c r="F118" s="219" t="str">
        <f t="shared" si="18"/>
        <v>,</v>
      </c>
      <c r="G118" s="219"/>
      <c r="H118" s="217" t="s">
        <v>4437</v>
      </c>
      <c r="I118" s="217" t="s">
        <v>4427</v>
      </c>
      <c r="J118" s="217" t="s">
        <v>4417</v>
      </c>
      <c r="K118" s="217"/>
      <c r="L118" s="34">
        <f t="shared" si="19"/>
        <v>5</v>
      </c>
      <c r="M118" s="34">
        <f t="shared" si="14"/>
        <v>34</v>
      </c>
      <c r="N118" s="34">
        <f t="shared" si="15"/>
        <v>22</v>
      </c>
      <c r="O118" s="34" t="str">
        <f t="shared" si="16"/>
        <v>xxx</v>
      </c>
      <c r="P118" s="9" t="str">
        <f t="shared" si="13"/>
        <v>1:34,22,xxx</v>
      </c>
      <c r="S118" s="50">
        <v>20068</v>
      </c>
      <c r="T118" s="50" t="s">
        <v>4362</v>
      </c>
    </row>
    <row r="119" spans="1:20" ht="15.75" customHeight="1" x14ac:dyDescent="0.2">
      <c r="A119" s="302"/>
      <c r="B119" s="218" t="s">
        <v>518</v>
      </c>
      <c r="C119" s="50" t="s">
        <v>519</v>
      </c>
      <c r="D119" s="219">
        <v>14221</v>
      </c>
      <c r="E119" s="219" t="str">
        <f>VLOOKUP(D119,怪物基本表!$D$7:$AO$276,38,FALSE)</f>
        <v>46061</v>
      </c>
      <c r="F119" s="219" t="str">
        <f t="shared" si="18"/>
        <v>,</v>
      </c>
      <c r="G119" s="219"/>
      <c r="H119" s="217" t="s">
        <v>4512</v>
      </c>
      <c r="I119" s="217" t="s">
        <v>4417</v>
      </c>
      <c r="J119" s="217" t="s">
        <v>4435</v>
      </c>
      <c r="K119" s="217"/>
      <c r="L119" s="34">
        <f t="shared" si="19"/>
        <v>28</v>
      </c>
      <c r="M119" s="34">
        <f t="shared" si="14"/>
        <v>22</v>
      </c>
      <c r="N119" s="34">
        <f t="shared" si="15"/>
        <v>30</v>
      </c>
      <c r="O119" s="34" t="str">
        <f t="shared" si="16"/>
        <v>xxx</v>
      </c>
      <c r="P119" s="9" t="str">
        <f t="shared" si="13"/>
        <v>1:22,30,xxx</v>
      </c>
      <c r="S119" s="50">
        <v>20069</v>
      </c>
      <c r="T119" s="50" t="s">
        <v>617</v>
      </c>
    </row>
    <row r="120" spans="1:20" ht="15.75" customHeight="1" x14ac:dyDescent="0.2">
      <c r="A120" s="302"/>
      <c r="B120" s="218" t="s">
        <v>521</v>
      </c>
      <c r="C120" s="50" t="s">
        <v>382</v>
      </c>
      <c r="D120" s="219">
        <v>14231</v>
      </c>
      <c r="E120" s="219" t="str">
        <f>VLOOKUP(D120,怪物基本表!$D$7:$AO$276,38,FALSE)</f>
        <v>30001</v>
      </c>
      <c r="F120" s="219" t="str">
        <f t="shared" si="18"/>
        <v>,</v>
      </c>
      <c r="G120" s="219"/>
      <c r="H120" s="217" t="s">
        <v>4506</v>
      </c>
      <c r="I120" s="217" t="s">
        <v>4511</v>
      </c>
      <c r="J120" s="50"/>
      <c r="K120" s="50"/>
      <c r="L120" s="34">
        <f t="shared" si="19"/>
        <v>27</v>
      </c>
      <c r="M120" s="34">
        <f t="shared" si="14"/>
        <v>16</v>
      </c>
      <c r="N120" s="34" t="str">
        <f t="shared" si="15"/>
        <v>xxx</v>
      </c>
      <c r="O120" s="34" t="str">
        <f t="shared" si="16"/>
        <v>xxx</v>
      </c>
      <c r="P120" s="9" t="str">
        <f t="shared" ref="P120:P127" si="20">$P$1&amp;M120&amp;","&amp;N120&amp;","&amp;O120</f>
        <v>1:16,xxx,xxx</v>
      </c>
      <c r="S120" s="50">
        <v>20070</v>
      </c>
      <c r="T120" s="50" t="s">
        <v>4363</v>
      </c>
    </row>
    <row r="121" spans="1:20" ht="15.75" customHeight="1" x14ac:dyDescent="0.2">
      <c r="A121" s="302"/>
      <c r="B121" s="218" t="s">
        <v>522</v>
      </c>
      <c r="C121" s="50" t="s">
        <v>449</v>
      </c>
      <c r="D121" s="219">
        <v>14241</v>
      </c>
      <c r="E121" s="219" t="str">
        <f>VLOOKUP(D121,怪物基本表!$D$7:$AO$276,38,FALSE)</f>
        <v>30083</v>
      </c>
      <c r="F121" s="219" t="str">
        <f t="shared" si="18"/>
        <v>,</v>
      </c>
      <c r="G121" s="219"/>
      <c r="H121" s="217" t="s">
        <v>4264</v>
      </c>
      <c r="I121" s="217" t="s">
        <v>4417</v>
      </c>
      <c r="J121" s="217"/>
      <c r="K121" s="217"/>
      <c r="L121" s="34">
        <f t="shared" si="19"/>
        <v>18</v>
      </c>
      <c r="M121" s="34">
        <f t="shared" si="14"/>
        <v>22</v>
      </c>
      <c r="N121" s="34" t="str">
        <f t="shared" si="15"/>
        <v>xxx</v>
      </c>
      <c r="O121" s="34" t="str">
        <f t="shared" si="16"/>
        <v>xxx</v>
      </c>
      <c r="P121" s="9" t="str">
        <f t="shared" si="20"/>
        <v>1:22,xxx,xxx</v>
      </c>
      <c r="S121" s="50">
        <v>20071</v>
      </c>
      <c r="T121" s="50" t="s">
        <v>618</v>
      </c>
    </row>
    <row r="122" spans="1:20" ht="15.75" customHeight="1" x14ac:dyDescent="0.2">
      <c r="A122" s="302"/>
      <c r="B122" s="218" t="s">
        <v>523</v>
      </c>
      <c r="C122" s="50" t="s">
        <v>449</v>
      </c>
      <c r="D122" s="219">
        <v>14251</v>
      </c>
      <c r="E122" s="219" t="str">
        <f>VLOOKUP(D122,怪物基本表!$D$7:$AO$276,38,FALSE)</f>
        <v>46071</v>
      </c>
      <c r="F122" s="219" t="str">
        <f t="shared" si="18"/>
        <v>,</v>
      </c>
      <c r="G122" s="219"/>
      <c r="H122" s="217" t="s">
        <v>4264</v>
      </c>
      <c r="I122" s="217" t="s">
        <v>4505</v>
      </c>
      <c r="J122" s="217"/>
      <c r="K122" s="217"/>
      <c r="L122" s="34">
        <f t="shared" si="19"/>
        <v>18</v>
      </c>
      <c r="M122" s="34">
        <f t="shared" si="14"/>
        <v>4</v>
      </c>
      <c r="N122" s="34" t="str">
        <f t="shared" si="15"/>
        <v>xxx</v>
      </c>
      <c r="O122" s="34" t="str">
        <f t="shared" si="16"/>
        <v>xxx</v>
      </c>
      <c r="P122" s="9" t="str">
        <f t="shared" si="20"/>
        <v>1:4,xxx,xxx</v>
      </c>
      <c r="S122" s="50">
        <v>20072</v>
      </c>
      <c r="T122" s="50" t="s">
        <v>4364</v>
      </c>
    </row>
    <row r="123" spans="1:20" ht="15.75" customHeight="1" x14ac:dyDescent="0.2">
      <c r="A123" s="302"/>
      <c r="B123" s="218" t="s">
        <v>525</v>
      </c>
      <c r="C123" s="50" t="s">
        <v>449</v>
      </c>
      <c r="D123" s="219">
        <v>14261</v>
      </c>
      <c r="E123" s="219" t="str">
        <f>VLOOKUP(D123,怪物基本表!$D$7:$AO$276,38,FALSE)</f>
        <v>31211</v>
      </c>
      <c r="F123" s="219" t="str">
        <f t="shared" si="18"/>
        <v>,</v>
      </c>
      <c r="G123" s="219"/>
      <c r="H123" s="217" t="s">
        <v>4264</v>
      </c>
      <c r="I123" s="217" t="s">
        <v>4505</v>
      </c>
      <c r="J123" s="50"/>
      <c r="K123" s="50"/>
      <c r="L123" s="34">
        <f t="shared" si="19"/>
        <v>18</v>
      </c>
      <c r="M123" s="34">
        <f t="shared" ref="M123:M127" si="21">_xlfn.IFNA(VLOOKUP(I123,$V$3:$W$38,2,FALSE),"xxx")</f>
        <v>4</v>
      </c>
      <c r="N123" s="34" t="str">
        <f t="shared" ref="N123:N127" si="22">_xlfn.IFNA(VLOOKUP(J123,$V$3:$W$38,2,FALSE),"xxx")</f>
        <v>xxx</v>
      </c>
      <c r="O123" s="34" t="str">
        <f t="shared" ref="O123:O127" si="23">_xlfn.IFNA(VLOOKUP(K123,$V$3:$W$38,2,FALSE),"xxx")</f>
        <v>xxx</v>
      </c>
      <c r="P123" s="9" t="str">
        <f t="shared" si="20"/>
        <v>1:4,xxx,xxx</v>
      </c>
      <c r="S123" s="50">
        <v>20073</v>
      </c>
      <c r="T123" s="50" t="s">
        <v>619</v>
      </c>
    </row>
    <row r="124" spans="1:20" ht="15.75" customHeight="1" x14ac:dyDescent="0.2">
      <c r="A124" s="302"/>
      <c r="B124" s="218" t="s">
        <v>527</v>
      </c>
      <c r="C124" s="50" t="s">
        <v>528</v>
      </c>
      <c r="D124" s="219">
        <v>14401</v>
      </c>
      <c r="E124" s="219" t="str">
        <f>VLOOKUP(D124,怪物基本表!$D$7:$AO$276,38,FALSE)</f>
        <v>30001</v>
      </c>
      <c r="F124" s="219" t="str">
        <f t="shared" si="18"/>
        <v>,</v>
      </c>
      <c r="G124" s="219"/>
      <c r="H124" s="217" t="s">
        <v>4512</v>
      </c>
      <c r="I124" s="217" t="s">
        <v>4418</v>
      </c>
      <c r="J124" s="217" t="s">
        <v>4417</v>
      </c>
      <c r="K124" s="217"/>
      <c r="L124" s="34">
        <f t="shared" si="19"/>
        <v>28</v>
      </c>
      <c r="M124" s="34">
        <f t="shared" si="21"/>
        <v>13</v>
      </c>
      <c r="N124" s="34">
        <f t="shared" si="22"/>
        <v>22</v>
      </c>
      <c r="O124" s="34" t="str">
        <f t="shared" si="23"/>
        <v>xxx</v>
      </c>
      <c r="P124" s="9" t="str">
        <f t="shared" si="20"/>
        <v>1:13,22,xxx</v>
      </c>
      <c r="S124" s="50">
        <v>20074</v>
      </c>
      <c r="T124" s="50" t="s">
        <v>4365</v>
      </c>
    </row>
    <row r="125" spans="1:20" ht="15.75" customHeight="1" x14ac:dyDescent="0.2">
      <c r="A125" s="302"/>
      <c r="B125" s="218" t="s">
        <v>527</v>
      </c>
      <c r="C125" s="50" t="s">
        <v>529</v>
      </c>
      <c r="D125" s="219">
        <v>14411</v>
      </c>
      <c r="E125" s="219" t="str">
        <f>VLOOKUP(D125,怪物基本表!$D$7:$AO$276,38,FALSE)</f>
        <v>30001</v>
      </c>
      <c r="F125" s="219" t="str">
        <f t="shared" si="18"/>
        <v>,</v>
      </c>
      <c r="G125" s="219"/>
      <c r="H125" s="217" t="s">
        <v>4437</v>
      </c>
      <c r="I125" s="217" t="s">
        <v>4430</v>
      </c>
      <c r="J125" s="217" t="s">
        <v>4417</v>
      </c>
      <c r="K125" s="217"/>
      <c r="L125" s="34">
        <f t="shared" si="19"/>
        <v>5</v>
      </c>
      <c r="M125" s="34">
        <f t="shared" si="21"/>
        <v>35</v>
      </c>
      <c r="N125" s="34">
        <f t="shared" si="22"/>
        <v>22</v>
      </c>
      <c r="O125" s="34" t="str">
        <f t="shared" si="23"/>
        <v>xxx</v>
      </c>
      <c r="P125" s="9" t="str">
        <f t="shared" si="20"/>
        <v>1:35,22,xxx</v>
      </c>
      <c r="S125" s="50">
        <v>20075</v>
      </c>
      <c r="T125" s="50" t="s">
        <v>624</v>
      </c>
    </row>
    <row r="126" spans="1:20" ht="15.75" customHeight="1" x14ac:dyDescent="0.2">
      <c r="A126" s="302"/>
      <c r="B126" s="218" t="s">
        <v>530</v>
      </c>
      <c r="C126" s="50" t="s">
        <v>456</v>
      </c>
      <c r="D126" s="219">
        <v>14421</v>
      </c>
      <c r="E126" s="219" t="str">
        <f>VLOOKUP(D126,怪物基本表!$D$7:$AO$276,38,FALSE)</f>
        <v>30001</v>
      </c>
      <c r="F126" s="219" t="str">
        <f t="shared" si="18"/>
        <v>,</v>
      </c>
      <c r="G126" s="219"/>
      <c r="H126" s="217" t="s">
        <v>4437</v>
      </c>
      <c r="I126" s="217" t="s">
        <v>4436</v>
      </c>
      <c r="J126" s="217" t="s">
        <v>4434</v>
      </c>
      <c r="K126" s="50"/>
      <c r="L126" s="34">
        <f t="shared" si="19"/>
        <v>5</v>
      </c>
      <c r="M126" s="34">
        <f t="shared" si="21"/>
        <v>33</v>
      </c>
      <c r="N126" s="34">
        <f t="shared" si="22"/>
        <v>10</v>
      </c>
      <c r="O126" s="34" t="str">
        <f t="shared" si="23"/>
        <v>xxx</v>
      </c>
      <c r="P126" s="9" t="str">
        <f t="shared" si="20"/>
        <v>1:33,10,xxx</v>
      </c>
      <c r="S126" s="50">
        <v>20076</v>
      </c>
      <c r="T126" s="50" t="s">
        <v>4366</v>
      </c>
    </row>
    <row r="127" spans="1:20" ht="15.75" customHeight="1" x14ac:dyDescent="0.2">
      <c r="A127" s="302"/>
      <c r="B127" s="218" t="s">
        <v>4497</v>
      </c>
      <c r="C127" s="50" t="s">
        <v>386</v>
      </c>
      <c r="D127" s="219">
        <v>14431</v>
      </c>
      <c r="E127" s="219" t="str">
        <f>VLOOKUP(D127,怪物基本表!$D$7:$AO$276,38,FALSE)</f>
        <v>30001</v>
      </c>
      <c r="F127" s="219" t="str">
        <f t="shared" si="18"/>
        <v>,</v>
      </c>
      <c r="G127" s="219"/>
      <c r="H127" s="50" t="s">
        <v>4498</v>
      </c>
      <c r="I127" s="217" t="s">
        <v>4434</v>
      </c>
      <c r="J127" s="217" t="s">
        <v>4438</v>
      </c>
      <c r="K127" s="217"/>
      <c r="L127" s="34">
        <f t="shared" si="19"/>
        <v>12</v>
      </c>
      <c r="M127" s="34">
        <f t="shared" si="21"/>
        <v>10</v>
      </c>
      <c r="N127" s="34">
        <f t="shared" si="22"/>
        <v>11</v>
      </c>
      <c r="O127" s="34" t="str">
        <f t="shared" si="23"/>
        <v>xxx</v>
      </c>
      <c r="P127" s="9" t="str">
        <f t="shared" si="20"/>
        <v>1:10,11,xxx</v>
      </c>
      <c r="S127" s="50">
        <v>20077</v>
      </c>
      <c r="T127" s="50" t="s">
        <v>627</v>
      </c>
    </row>
    <row r="128" spans="1:20" x14ac:dyDescent="0.2">
      <c r="S128" s="50">
        <v>50007</v>
      </c>
      <c r="T128" s="50" t="s">
        <v>4368</v>
      </c>
    </row>
    <row r="129" spans="19:20" x14ac:dyDescent="0.2">
      <c r="S129" s="50">
        <v>50008</v>
      </c>
      <c r="T129" s="50" t="s">
        <v>4369</v>
      </c>
    </row>
    <row r="130" spans="19:20" x14ac:dyDescent="0.2">
      <c r="S130" s="50">
        <v>50009</v>
      </c>
      <c r="T130" s="50" t="s">
        <v>4370</v>
      </c>
    </row>
    <row r="131" spans="19:20" x14ac:dyDescent="0.2">
      <c r="S131" s="50">
        <v>50010</v>
      </c>
      <c r="T131" s="50" t="s">
        <v>4371</v>
      </c>
    </row>
    <row r="132" spans="19:20" x14ac:dyDescent="0.2">
      <c r="S132" s="50">
        <v>50011</v>
      </c>
      <c r="T132" s="50" t="s">
        <v>4372</v>
      </c>
    </row>
    <row r="133" spans="19:20" x14ac:dyDescent="0.2">
      <c r="S133" s="50">
        <v>51001</v>
      </c>
      <c r="T133" s="50" t="s">
        <v>4373</v>
      </c>
    </row>
    <row r="134" spans="19:20" x14ac:dyDescent="0.2">
      <c r="S134" s="50">
        <v>51002</v>
      </c>
      <c r="T134" s="50" t="s">
        <v>4374</v>
      </c>
    </row>
    <row r="135" spans="19:20" x14ac:dyDescent="0.2">
      <c r="S135" s="50">
        <v>51003</v>
      </c>
      <c r="T135" s="50" t="s">
        <v>4375</v>
      </c>
    </row>
    <row r="136" spans="19:20" x14ac:dyDescent="0.2">
      <c r="S136" s="50">
        <v>51004</v>
      </c>
      <c r="T136" s="50" t="s">
        <v>4376</v>
      </c>
    </row>
    <row r="137" spans="19:20" x14ac:dyDescent="0.2">
      <c r="S137" s="50">
        <v>51005</v>
      </c>
      <c r="T137" s="50" t="s">
        <v>4377</v>
      </c>
    </row>
    <row r="138" spans="19:20" x14ac:dyDescent="0.2">
      <c r="S138" s="50">
        <v>53003</v>
      </c>
      <c r="T138" s="50" t="s">
        <v>4378</v>
      </c>
    </row>
    <row r="139" spans="19:20" x14ac:dyDescent="0.2">
      <c r="S139" s="50">
        <v>53004</v>
      </c>
      <c r="T139" s="50" t="s">
        <v>4379</v>
      </c>
    </row>
    <row r="140" spans="19:20" x14ac:dyDescent="0.2">
      <c r="S140" s="50">
        <v>53006</v>
      </c>
      <c r="T140" s="50" t="s">
        <v>4380</v>
      </c>
    </row>
    <row r="141" spans="19:20" x14ac:dyDescent="0.2">
      <c r="S141" s="50">
        <v>54001</v>
      </c>
      <c r="T141" s="50" t="s">
        <v>4381</v>
      </c>
    </row>
    <row r="142" spans="19:20" x14ac:dyDescent="0.2">
      <c r="S142" s="50">
        <v>54002</v>
      </c>
      <c r="T142" s="50" t="s">
        <v>4382</v>
      </c>
    </row>
    <row r="143" spans="19:20" x14ac:dyDescent="0.2">
      <c r="S143" s="50">
        <v>54003</v>
      </c>
      <c r="T143" s="50" t="s">
        <v>4383</v>
      </c>
    </row>
    <row r="144" spans="19:20" x14ac:dyDescent="0.2">
      <c r="S144" s="50">
        <v>54004</v>
      </c>
      <c r="T144" s="50" t="s">
        <v>4384</v>
      </c>
    </row>
    <row r="145" spans="19:20" x14ac:dyDescent="0.2">
      <c r="S145" s="50">
        <v>54005</v>
      </c>
      <c r="T145" s="50" t="s">
        <v>4385</v>
      </c>
    </row>
    <row r="146" spans="19:20" x14ac:dyDescent="0.2">
      <c r="S146" s="50">
        <v>54006</v>
      </c>
      <c r="T146" s="50" t="s">
        <v>4319</v>
      </c>
    </row>
    <row r="147" spans="19:20" x14ac:dyDescent="0.2">
      <c r="S147" s="50">
        <v>54007</v>
      </c>
      <c r="T147" s="50" t="s">
        <v>4386</v>
      </c>
    </row>
    <row r="148" spans="19:20" x14ac:dyDescent="0.2">
      <c r="S148" s="50">
        <v>54008</v>
      </c>
      <c r="T148" s="50" t="s">
        <v>4387</v>
      </c>
    </row>
    <row r="149" spans="19:20" x14ac:dyDescent="0.2">
      <c r="S149" s="50">
        <v>54009</v>
      </c>
      <c r="T149" s="50" t="s">
        <v>4388</v>
      </c>
    </row>
    <row r="150" spans="19:20" x14ac:dyDescent="0.2">
      <c r="S150" s="50">
        <v>54010</v>
      </c>
      <c r="T150" s="50" t="s">
        <v>4389</v>
      </c>
    </row>
    <row r="151" spans="19:20" x14ac:dyDescent="0.2">
      <c r="S151" s="50">
        <v>54011</v>
      </c>
      <c r="T151" s="50" t="s">
        <v>4390</v>
      </c>
    </row>
    <row r="152" spans="19:20" x14ac:dyDescent="0.2">
      <c r="S152" s="50">
        <v>54012</v>
      </c>
      <c r="T152" s="50" t="s">
        <v>4391</v>
      </c>
    </row>
    <row r="153" spans="19:20" x14ac:dyDescent="0.2">
      <c r="S153" s="50">
        <v>54013</v>
      </c>
      <c r="T153" s="50" t="s">
        <v>4392</v>
      </c>
    </row>
    <row r="154" spans="19:20" x14ac:dyDescent="0.2">
      <c r="S154" s="50">
        <v>54014</v>
      </c>
      <c r="T154" s="50" t="s">
        <v>4393</v>
      </c>
    </row>
    <row r="155" spans="19:20" x14ac:dyDescent="0.2">
      <c r="S155" s="50">
        <v>60001</v>
      </c>
      <c r="T155" s="50" t="s">
        <v>4297</v>
      </c>
    </row>
    <row r="156" spans="19:20" x14ac:dyDescent="0.2">
      <c r="S156" s="50">
        <v>60002</v>
      </c>
      <c r="T156" s="50" t="s">
        <v>4394</v>
      </c>
    </row>
    <row r="157" spans="19:20" x14ac:dyDescent="0.2">
      <c r="S157" s="50">
        <v>60003</v>
      </c>
      <c r="T157" s="50" t="s">
        <v>4395</v>
      </c>
    </row>
    <row r="158" spans="19:20" x14ac:dyDescent="0.2">
      <c r="S158" s="50">
        <v>60004</v>
      </c>
      <c r="T158" s="50" t="s">
        <v>4396</v>
      </c>
    </row>
    <row r="159" spans="19:20" x14ac:dyDescent="0.2">
      <c r="S159" s="50">
        <v>60006</v>
      </c>
      <c r="T159" s="50" t="s">
        <v>4397</v>
      </c>
    </row>
    <row r="160" spans="19:20" x14ac:dyDescent="0.2">
      <c r="S160" s="50">
        <v>60007</v>
      </c>
      <c r="T160" s="50" t="s">
        <v>4367</v>
      </c>
    </row>
    <row r="161" spans="19:20" x14ac:dyDescent="0.2">
      <c r="S161" s="50">
        <v>61001</v>
      </c>
      <c r="T161" s="50" t="s">
        <v>4398</v>
      </c>
    </row>
    <row r="162" spans="19:20" x14ac:dyDescent="0.2">
      <c r="S162" s="50">
        <v>61002</v>
      </c>
      <c r="T162" s="50" t="s">
        <v>4399</v>
      </c>
    </row>
    <row r="163" spans="19:20" x14ac:dyDescent="0.2">
      <c r="S163" s="50">
        <v>61003</v>
      </c>
      <c r="T163" s="50" t="s">
        <v>4400</v>
      </c>
    </row>
    <row r="164" spans="19:20" x14ac:dyDescent="0.2">
      <c r="S164" s="50">
        <v>61004</v>
      </c>
      <c r="T164" s="50" t="s">
        <v>4401</v>
      </c>
    </row>
    <row r="165" spans="19:20" x14ac:dyDescent="0.2">
      <c r="S165" s="50">
        <v>61005</v>
      </c>
      <c r="T165" s="50" t="s">
        <v>4402</v>
      </c>
    </row>
    <row r="166" spans="19:20" x14ac:dyDescent="0.2">
      <c r="S166" s="50">
        <v>61006</v>
      </c>
      <c r="T166" s="50" t="s">
        <v>4403</v>
      </c>
    </row>
    <row r="167" spans="19:20" x14ac:dyDescent="0.2">
      <c r="S167" s="50">
        <v>61007</v>
      </c>
      <c r="T167" s="50" t="s">
        <v>4404</v>
      </c>
    </row>
    <row r="168" spans="19:20" x14ac:dyDescent="0.2">
      <c r="S168" s="50">
        <v>61008</v>
      </c>
      <c r="T168" s="50" t="s">
        <v>4405</v>
      </c>
    </row>
    <row r="169" spans="19:20" x14ac:dyDescent="0.2">
      <c r="S169" s="50">
        <v>61009</v>
      </c>
      <c r="T169" s="50" t="s">
        <v>4406</v>
      </c>
    </row>
    <row r="170" spans="19:20" x14ac:dyDescent="0.2">
      <c r="S170" s="50">
        <v>61010</v>
      </c>
      <c r="T170" s="50" t="s">
        <v>4407</v>
      </c>
    </row>
    <row r="171" spans="19:20" x14ac:dyDescent="0.2">
      <c r="S171" s="50">
        <v>61011</v>
      </c>
      <c r="T171" s="50" t="s">
        <v>4408</v>
      </c>
    </row>
    <row r="172" spans="19:20" x14ac:dyDescent="0.2">
      <c r="S172" s="50">
        <v>61012</v>
      </c>
      <c r="T172" s="50" t="s">
        <v>4409</v>
      </c>
    </row>
    <row r="173" spans="19:20" x14ac:dyDescent="0.2">
      <c r="S173" s="50">
        <v>61013</v>
      </c>
      <c r="T173" s="50" t="s">
        <v>4410</v>
      </c>
    </row>
    <row r="174" spans="19:20" x14ac:dyDescent="0.2">
      <c r="S174" s="50">
        <v>61014</v>
      </c>
      <c r="T174" s="50" t="s">
        <v>4411</v>
      </c>
    </row>
    <row r="175" spans="19:20" x14ac:dyDescent="0.2">
      <c r="S175" s="50">
        <v>61015</v>
      </c>
      <c r="T175" s="50" t="s">
        <v>4412</v>
      </c>
    </row>
    <row r="176" spans="19:20" x14ac:dyDescent="0.2">
      <c r="S176" s="50">
        <v>61016</v>
      </c>
      <c r="T176" s="50" t="s">
        <v>4413</v>
      </c>
    </row>
    <row r="177" spans="19:20" x14ac:dyDescent="0.2">
      <c r="S177" s="50">
        <v>61017</v>
      </c>
      <c r="T177" s="50" t="s">
        <v>4414</v>
      </c>
    </row>
  </sheetData>
  <mergeCells count="12">
    <mergeCell ref="A58:A69"/>
    <mergeCell ref="A70:A88"/>
    <mergeCell ref="A89:A101"/>
    <mergeCell ref="A102:A113"/>
    <mergeCell ref="A114:A127"/>
    <mergeCell ref="A55:A57"/>
    <mergeCell ref="A3:A11"/>
    <mergeCell ref="A12:A21"/>
    <mergeCell ref="A22:A29"/>
    <mergeCell ref="A30:A39"/>
    <mergeCell ref="A40:A50"/>
    <mergeCell ref="A51:A54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S904"/>
  <sheetViews>
    <sheetView workbookViewId="0">
      <selection activeCell="H16" sqref="H16"/>
    </sheetView>
  </sheetViews>
  <sheetFormatPr defaultColWidth="9" defaultRowHeight="14.25" x14ac:dyDescent="0.2"/>
  <sheetData>
    <row r="3" spans="3:19" x14ac:dyDescent="0.2">
      <c r="C3">
        <v>0</v>
      </c>
      <c r="D3">
        <v>0</v>
      </c>
      <c r="E3">
        <v>1</v>
      </c>
      <c r="F3" t="s">
        <v>230</v>
      </c>
      <c r="G3" t="s">
        <v>230</v>
      </c>
      <c r="H3" t="s">
        <v>230</v>
      </c>
      <c r="I3">
        <v>999</v>
      </c>
      <c r="J3">
        <v>0</v>
      </c>
      <c r="K3">
        <v>0</v>
      </c>
      <c r="L3">
        <v>0</v>
      </c>
      <c r="M3">
        <v>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</row>
    <row r="4" spans="3:19" x14ac:dyDescent="0.2">
      <c r="C4">
        <v>1</v>
      </c>
      <c r="D4">
        <v>1</v>
      </c>
      <c r="E4">
        <v>1</v>
      </c>
      <c r="F4" t="s">
        <v>914</v>
      </c>
      <c r="G4" t="s">
        <v>915</v>
      </c>
      <c r="H4" t="s">
        <v>915</v>
      </c>
      <c r="I4">
        <v>999</v>
      </c>
      <c r="J4">
        <v>0</v>
      </c>
      <c r="K4">
        <v>0</v>
      </c>
      <c r="L4">
        <v>0</v>
      </c>
      <c r="M4">
        <v>0</v>
      </c>
      <c r="N4">
        <v>100000000</v>
      </c>
      <c r="O4">
        <v>100000000</v>
      </c>
      <c r="P4">
        <v>100000000</v>
      </c>
      <c r="Q4">
        <v>100000000</v>
      </c>
      <c r="R4">
        <v>100000000</v>
      </c>
      <c r="S4">
        <v>100000000</v>
      </c>
    </row>
    <row r="5" spans="3:19" x14ac:dyDescent="0.2">
      <c r="C5">
        <v>2</v>
      </c>
      <c r="D5">
        <v>2</v>
      </c>
      <c r="E5">
        <v>1</v>
      </c>
      <c r="F5" t="s">
        <v>916</v>
      </c>
      <c r="G5" t="s">
        <v>916</v>
      </c>
      <c r="H5" t="s">
        <v>916</v>
      </c>
      <c r="I5">
        <v>999</v>
      </c>
      <c r="J5">
        <v>0</v>
      </c>
      <c r="K5">
        <v>0</v>
      </c>
      <c r="L5">
        <v>0</v>
      </c>
      <c r="M5">
        <v>0</v>
      </c>
      <c r="N5">
        <v>100000</v>
      </c>
      <c r="O5">
        <v>100000</v>
      </c>
      <c r="P5">
        <v>100000</v>
      </c>
      <c r="Q5">
        <v>100000</v>
      </c>
      <c r="R5">
        <v>100000</v>
      </c>
      <c r="S5">
        <v>100000</v>
      </c>
    </row>
    <row r="6" spans="3:19" x14ac:dyDescent="0.2">
      <c r="C6">
        <v>3</v>
      </c>
      <c r="D6">
        <v>3</v>
      </c>
      <c r="E6">
        <v>1</v>
      </c>
      <c r="F6" t="s">
        <v>917</v>
      </c>
      <c r="G6" t="s">
        <v>917</v>
      </c>
      <c r="H6" t="s">
        <v>917</v>
      </c>
      <c r="I6">
        <v>999</v>
      </c>
      <c r="J6">
        <v>0</v>
      </c>
      <c r="K6">
        <v>0</v>
      </c>
      <c r="L6">
        <v>0</v>
      </c>
      <c r="M6">
        <v>0</v>
      </c>
      <c r="N6">
        <v>100000</v>
      </c>
      <c r="O6">
        <v>100000</v>
      </c>
      <c r="P6">
        <v>100000</v>
      </c>
      <c r="Q6">
        <v>100000</v>
      </c>
      <c r="R6">
        <v>100000</v>
      </c>
      <c r="S6">
        <v>100000</v>
      </c>
    </row>
    <row r="7" spans="3:19" x14ac:dyDescent="0.2">
      <c r="C7">
        <v>4</v>
      </c>
      <c r="D7">
        <v>4</v>
      </c>
      <c r="E7">
        <v>1</v>
      </c>
      <c r="F7" t="s">
        <v>918</v>
      </c>
      <c r="G7" t="s">
        <v>918</v>
      </c>
      <c r="H7" t="s">
        <v>918</v>
      </c>
      <c r="I7">
        <v>999</v>
      </c>
      <c r="J7">
        <v>0</v>
      </c>
      <c r="K7">
        <v>0</v>
      </c>
      <c r="L7">
        <v>0</v>
      </c>
      <c r="M7">
        <v>0</v>
      </c>
      <c r="N7">
        <v>1000</v>
      </c>
      <c r="O7">
        <v>1000</v>
      </c>
      <c r="P7">
        <v>1000</v>
      </c>
      <c r="Q7">
        <v>1000</v>
      </c>
      <c r="R7">
        <v>1000</v>
      </c>
      <c r="S7">
        <v>1000</v>
      </c>
    </row>
    <row r="8" spans="3:19" x14ac:dyDescent="0.2">
      <c r="C8">
        <v>5</v>
      </c>
      <c r="D8">
        <v>5</v>
      </c>
      <c r="E8">
        <v>1</v>
      </c>
      <c r="F8" t="s">
        <v>919</v>
      </c>
      <c r="G8" t="s">
        <v>919</v>
      </c>
      <c r="H8" t="s">
        <v>919</v>
      </c>
      <c r="I8">
        <v>999</v>
      </c>
      <c r="J8">
        <v>0</v>
      </c>
      <c r="K8">
        <v>0</v>
      </c>
      <c r="L8">
        <v>0</v>
      </c>
      <c r="M8">
        <v>0</v>
      </c>
      <c r="N8">
        <v>1000</v>
      </c>
      <c r="O8">
        <v>1000</v>
      </c>
      <c r="P8">
        <v>1000</v>
      </c>
      <c r="Q8">
        <v>1000</v>
      </c>
      <c r="R8">
        <v>1000</v>
      </c>
      <c r="S8">
        <v>1000</v>
      </c>
    </row>
    <row r="9" spans="3:19" x14ac:dyDescent="0.2">
      <c r="C9">
        <v>6</v>
      </c>
      <c r="D9">
        <v>6</v>
      </c>
      <c r="E9">
        <v>1</v>
      </c>
      <c r="F9" t="s">
        <v>920</v>
      </c>
      <c r="G9" t="s">
        <v>920</v>
      </c>
      <c r="H9" t="s">
        <v>920</v>
      </c>
      <c r="I9">
        <v>999</v>
      </c>
      <c r="J9">
        <v>0</v>
      </c>
      <c r="K9">
        <v>0</v>
      </c>
      <c r="L9">
        <v>0</v>
      </c>
      <c r="M9">
        <v>0</v>
      </c>
      <c r="N9">
        <v>1000</v>
      </c>
      <c r="O9">
        <v>1000</v>
      </c>
      <c r="P9">
        <v>1000</v>
      </c>
      <c r="Q9">
        <v>1000</v>
      </c>
      <c r="R9">
        <v>1000</v>
      </c>
      <c r="S9">
        <v>1000</v>
      </c>
    </row>
    <row r="10" spans="3:19" x14ac:dyDescent="0.2">
      <c r="C10">
        <v>7</v>
      </c>
      <c r="D10">
        <v>7</v>
      </c>
      <c r="E10">
        <v>1</v>
      </c>
      <c r="F10" t="s">
        <v>921</v>
      </c>
      <c r="G10" t="s">
        <v>921</v>
      </c>
      <c r="H10" t="s">
        <v>921</v>
      </c>
      <c r="I10">
        <v>999</v>
      </c>
      <c r="J10">
        <v>0</v>
      </c>
      <c r="K10">
        <v>0</v>
      </c>
      <c r="L10">
        <v>0</v>
      </c>
      <c r="M10">
        <v>0</v>
      </c>
      <c r="N10">
        <v>1000</v>
      </c>
      <c r="O10">
        <v>1000</v>
      </c>
      <c r="P10">
        <v>1000</v>
      </c>
      <c r="Q10">
        <v>1000</v>
      </c>
      <c r="R10">
        <v>1000</v>
      </c>
      <c r="S10">
        <v>1000</v>
      </c>
    </row>
    <row r="11" spans="3:19" x14ac:dyDescent="0.2">
      <c r="C11">
        <v>8</v>
      </c>
      <c r="D11">
        <v>8</v>
      </c>
      <c r="E11">
        <v>1</v>
      </c>
      <c r="F11" t="s">
        <v>922</v>
      </c>
      <c r="G11" t="s">
        <v>922</v>
      </c>
      <c r="H11" t="s">
        <v>922</v>
      </c>
      <c r="I11">
        <v>999</v>
      </c>
      <c r="J11">
        <v>0</v>
      </c>
      <c r="K11">
        <v>0</v>
      </c>
      <c r="L11">
        <v>0</v>
      </c>
      <c r="M11">
        <v>0</v>
      </c>
      <c r="N11">
        <v>1000</v>
      </c>
      <c r="O11">
        <v>1000</v>
      </c>
      <c r="P11">
        <v>1000</v>
      </c>
      <c r="Q11">
        <v>1000</v>
      </c>
      <c r="R11">
        <v>1000</v>
      </c>
      <c r="S11">
        <v>1000</v>
      </c>
    </row>
    <row r="12" spans="3:19" x14ac:dyDescent="0.2">
      <c r="C12">
        <v>9</v>
      </c>
      <c r="D12">
        <v>9</v>
      </c>
      <c r="E12">
        <v>1</v>
      </c>
      <c r="F12" t="s">
        <v>923</v>
      </c>
      <c r="G12" t="s">
        <v>923</v>
      </c>
      <c r="H12" t="s">
        <v>923</v>
      </c>
      <c r="I12">
        <v>999</v>
      </c>
      <c r="J12">
        <v>0</v>
      </c>
      <c r="K12">
        <v>0</v>
      </c>
      <c r="L12">
        <v>0</v>
      </c>
      <c r="M12">
        <v>0</v>
      </c>
      <c r="N12">
        <v>1000</v>
      </c>
      <c r="O12">
        <v>1000</v>
      </c>
      <c r="P12">
        <v>1000</v>
      </c>
      <c r="Q12">
        <v>1000</v>
      </c>
      <c r="R12">
        <v>1000</v>
      </c>
      <c r="S12">
        <v>1000</v>
      </c>
    </row>
    <row r="13" spans="3:19" x14ac:dyDescent="0.2">
      <c r="C13">
        <v>10</v>
      </c>
      <c r="D13">
        <v>10</v>
      </c>
      <c r="E13">
        <v>1</v>
      </c>
      <c r="F13" t="s">
        <v>924</v>
      </c>
      <c r="G13" t="s">
        <v>924</v>
      </c>
      <c r="H13" t="s">
        <v>924</v>
      </c>
      <c r="I13">
        <v>999</v>
      </c>
      <c r="J13">
        <v>0</v>
      </c>
      <c r="K13">
        <v>0</v>
      </c>
      <c r="L13">
        <v>0</v>
      </c>
      <c r="M13">
        <v>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</row>
    <row r="14" spans="3:19" x14ac:dyDescent="0.2">
      <c r="C14">
        <v>11</v>
      </c>
      <c r="D14">
        <v>11</v>
      </c>
      <c r="E14">
        <v>1</v>
      </c>
      <c r="F14" t="s">
        <v>925</v>
      </c>
      <c r="G14" t="s">
        <v>925</v>
      </c>
      <c r="H14" t="s">
        <v>925</v>
      </c>
      <c r="I14">
        <v>999</v>
      </c>
      <c r="J14">
        <v>0</v>
      </c>
      <c r="K14">
        <v>0</v>
      </c>
      <c r="L14">
        <v>0</v>
      </c>
      <c r="M14">
        <v>0</v>
      </c>
      <c r="N14">
        <v>1000</v>
      </c>
      <c r="O14">
        <v>1000</v>
      </c>
      <c r="P14">
        <v>1000</v>
      </c>
      <c r="Q14">
        <v>1000</v>
      </c>
      <c r="R14">
        <v>1000</v>
      </c>
      <c r="S14">
        <v>1000</v>
      </c>
    </row>
    <row r="15" spans="3:19" x14ac:dyDescent="0.2">
      <c r="C15">
        <v>12</v>
      </c>
      <c r="D15">
        <v>12</v>
      </c>
      <c r="E15">
        <v>1</v>
      </c>
      <c r="F15" t="s">
        <v>926</v>
      </c>
      <c r="G15" t="s">
        <v>926</v>
      </c>
      <c r="H15" t="s">
        <v>926</v>
      </c>
      <c r="I15">
        <v>999</v>
      </c>
      <c r="J15">
        <v>0</v>
      </c>
      <c r="K15">
        <v>0</v>
      </c>
      <c r="L15">
        <v>0</v>
      </c>
      <c r="M15">
        <v>0</v>
      </c>
      <c r="N15">
        <v>1000</v>
      </c>
      <c r="O15">
        <v>1000</v>
      </c>
      <c r="P15">
        <v>1000</v>
      </c>
      <c r="Q15">
        <v>1000</v>
      </c>
      <c r="R15">
        <v>1000</v>
      </c>
      <c r="S15">
        <v>1000</v>
      </c>
    </row>
    <row r="16" spans="3:19" x14ac:dyDescent="0.2">
      <c r="C16">
        <v>13</v>
      </c>
      <c r="D16">
        <v>13</v>
      </c>
      <c r="E16">
        <v>1</v>
      </c>
      <c r="F16" t="s">
        <v>927</v>
      </c>
      <c r="G16" t="s">
        <v>927</v>
      </c>
      <c r="H16" t="s">
        <v>927</v>
      </c>
      <c r="I16">
        <v>999</v>
      </c>
      <c r="J16">
        <v>0</v>
      </c>
      <c r="K16">
        <v>0</v>
      </c>
      <c r="L16">
        <v>0</v>
      </c>
      <c r="M16">
        <v>0</v>
      </c>
      <c r="N16">
        <v>1000</v>
      </c>
      <c r="O16">
        <v>1000</v>
      </c>
      <c r="P16">
        <v>1000</v>
      </c>
      <c r="Q16">
        <v>1000</v>
      </c>
      <c r="R16">
        <v>1000</v>
      </c>
      <c r="S16">
        <v>1000</v>
      </c>
    </row>
    <row r="17" spans="3:19" x14ac:dyDescent="0.2">
      <c r="C17">
        <v>14</v>
      </c>
      <c r="D17">
        <v>14</v>
      </c>
      <c r="E17">
        <v>1</v>
      </c>
      <c r="F17" t="s">
        <v>928</v>
      </c>
      <c r="G17" t="s">
        <v>928</v>
      </c>
      <c r="H17" t="s">
        <v>928</v>
      </c>
      <c r="I17">
        <v>999</v>
      </c>
      <c r="J17">
        <v>0</v>
      </c>
      <c r="K17">
        <v>0</v>
      </c>
      <c r="L17">
        <v>0</v>
      </c>
      <c r="M17">
        <v>0</v>
      </c>
      <c r="N17">
        <v>1000</v>
      </c>
      <c r="O17">
        <v>1000</v>
      </c>
      <c r="P17">
        <v>1000</v>
      </c>
      <c r="Q17">
        <v>1000</v>
      </c>
      <c r="R17">
        <v>1000</v>
      </c>
      <c r="S17">
        <v>1000</v>
      </c>
    </row>
    <row r="18" spans="3:19" x14ac:dyDescent="0.2">
      <c r="C18">
        <v>15</v>
      </c>
      <c r="D18">
        <v>15</v>
      </c>
      <c r="E18">
        <v>1</v>
      </c>
      <c r="F18" t="s">
        <v>929</v>
      </c>
      <c r="G18" t="s">
        <v>929</v>
      </c>
      <c r="H18" t="s">
        <v>929</v>
      </c>
      <c r="I18">
        <v>999</v>
      </c>
      <c r="J18">
        <v>0</v>
      </c>
      <c r="K18">
        <v>0</v>
      </c>
      <c r="L18">
        <v>0</v>
      </c>
      <c r="M18">
        <v>0</v>
      </c>
      <c r="N18">
        <v>1000</v>
      </c>
      <c r="O18">
        <v>1000</v>
      </c>
      <c r="P18">
        <v>1000</v>
      </c>
      <c r="Q18">
        <v>1000</v>
      </c>
      <c r="R18">
        <v>1000</v>
      </c>
      <c r="S18">
        <v>1000</v>
      </c>
    </row>
    <row r="19" spans="3:19" x14ac:dyDescent="0.2">
      <c r="C19">
        <v>16</v>
      </c>
      <c r="D19">
        <v>16</v>
      </c>
      <c r="E19">
        <v>1</v>
      </c>
      <c r="F19" t="s">
        <v>930</v>
      </c>
      <c r="G19" t="s">
        <v>930</v>
      </c>
      <c r="H19" t="s">
        <v>930</v>
      </c>
      <c r="I19">
        <v>999</v>
      </c>
      <c r="J19">
        <v>0</v>
      </c>
      <c r="K19">
        <v>0</v>
      </c>
      <c r="L19">
        <v>0</v>
      </c>
      <c r="M19">
        <v>0</v>
      </c>
      <c r="N19">
        <v>1000</v>
      </c>
      <c r="O19">
        <v>1000</v>
      </c>
      <c r="P19">
        <v>1000</v>
      </c>
      <c r="Q19">
        <v>1000</v>
      </c>
      <c r="R19">
        <v>1000</v>
      </c>
      <c r="S19">
        <v>1000</v>
      </c>
    </row>
    <row r="20" spans="3:19" x14ac:dyDescent="0.2">
      <c r="C20">
        <v>17</v>
      </c>
      <c r="D20">
        <v>17</v>
      </c>
      <c r="E20">
        <v>1</v>
      </c>
      <c r="F20" t="s">
        <v>931</v>
      </c>
      <c r="G20" t="s">
        <v>931</v>
      </c>
      <c r="H20" t="s">
        <v>931</v>
      </c>
      <c r="I20">
        <v>999</v>
      </c>
      <c r="J20">
        <v>0</v>
      </c>
      <c r="K20">
        <v>0</v>
      </c>
      <c r="L20">
        <v>0</v>
      </c>
      <c r="M20">
        <v>0</v>
      </c>
      <c r="N20">
        <v>1000</v>
      </c>
      <c r="O20">
        <v>1000</v>
      </c>
      <c r="P20">
        <v>1000</v>
      </c>
      <c r="Q20">
        <v>1000</v>
      </c>
      <c r="R20">
        <v>1000</v>
      </c>
      <c r="S20">
        <v>1000</v>
      </c>
    </row>
    <row r="21" spans="3:19" x14ac:dyDescent="0.2">
      <c r="C21">
        <v>18</v>
      </c>
      <c r="D21">
        <v>18</v>
      </c>
      <c r="E21">
        <v>1</v>
      </c>
      <c r="F21" t="s">
        <v>932</v>
      </c>
      <c r="G21" t="s">
        <v>932</v>
      </c>
      <c r="H21" t="s">
        <v>932</v>
      </c>
      <c r="I21">
        <v>999</v>
      </c>
      <c r="J21">
        <v>0</v>
      </c>
      <c r="K21">
        <v>0</v>
      </c>
      <c r="L21">
        <v>0</v>
      </c>
      <c r="M21">
        <v>0</v>
      </c>
      <c r="N21">
        <v>1000</v>
      </c>
      <c r="O21">
        <v>1000</v>
      </c>
      <c r="P21">
        <v>1000</v>
      </c>
      <c r="Q21">
        <v>1000</v>
      </c>
      <c r="R21">
        <v>1000</v>
      </c>
      <c r="S21">
        <v>1000</v>
      </c>
    </row>
    <row r="22" spans="3:19" x14ac:dyDescent="0.2">
      <c r="C22">
        <v>19</v>
      </c>
      <c r="D22">
        <v>19</v>
      </c>
      <c r="E22">
        <v>1</v>
      </c>
      <c r="F22" t="s">
        <v>933</v>
      </c>
      <c r="G22" t="s">
        <v>933</v>
      </c>
      <c r="H22" t="s">
        <v>933</v>
      </c>
      <c r="I22">
        <v>999</v>
      </c>
      <c r="J22">
        <v>0</v>
      </c>
      <c r="K22">
        <v>0</v>
      </c>
      <c r="L22">
        <v>0</v>
      </c>
      <c r="M22">
        <v>0</v>
      </c>
      <c r="N22">
        <v>1000</v>
      </c>
      <c r="O22">
        <v>1000</v>
      </c>
      <c r="P22">
        <v>1000</v>
      </c>
      <c r="Q22">
        <v>1000</v>
      </c>
      <c r="R22">
        <v>1000</v>
      </c>
      <c r="S22">
        <v>1000</v>
      </c>
    </row>
    <row r="23" spans="3:19" x14ac:dyDescent="0.2">
      <c r="C23">
        <v>20</v>
      </c>
      <c r="D23">
        <v>20</v>
      </c>
      <c r="E23">
        <v>1</v>
      </c>
      <c r="F23" t="s">
        <v>934</v>
      </c>
      <c r="G23" t="s">
        <v>934</v>
      </c>
      <c r="H23" t="s">
        <v>934</v>
      </c>
      <c r="I23">
        <v>999</v>
      </c>
      <c r="J23">
        <v>0</v>
      </c>
      <c r="K23">
        <v>0</v>
      </c>
      <c r="L23">
        <v>0</v>
      </c>
      <c r="M23">
        <v>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1000</v>
      </c>
    </row>
    <row r="24" spans="3:19" x14ac:dyDescent="0.2">
      <c r="C24">
        <v>21</v>
      </c>
      <c r="D24">
        <v>10000</v>
      </c>
      <c r="E24">
        <v>1</v>
      </c>
      <c r="F24" t="s">
        <v>935</v>
      </c>
      <c r="G24" t="s">
        <v>935</v>
      </c>
      <c r="H24" t="s">
        <v>935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3:19" x14ac:dyDescent="0.2">
      <c r="C25">
        <v>1000</v>
      </c>
      <c r="D25">
        <v>1000</v>
      </c>
      <c r="E25">
        <v>1</v>
      </c>
      <c r="F25" t="s">
        <v>936</v>
      </c>
      <c r="G25" t="s">
        <v>937</v>
      </c>
      <c r="H25" t="s">
        <v>938</v>
      </c>
      <c r="I25">
        <v>5</v>
      </c>
      <c r="J25">
        <v>5</v>
      </c>
      <c r="N25">
        <v>86</v>
      </c>
      <c r="O25">
        <v>129</v>
      </c>
      <c r="P25">
        <v>70</v>
      </c>
      <c r="Q25">
        <v>100</v>
      </c>
      <c r="R25">
        <v>70</v>
      </c>
      <c r="S25">
        <v>100</v>
      </c>
    </row>
    <row r="26" spans="3:19" x14ac:dyDescent="0.2">
      <c r="C26">
        <v>1001</v>
      </c>
      <c r="D26">
        <v>1001</v>
      </c>
      <c r="E26">
        <v>1</v>
      </c>
      <c r="F26" t="s">
        <v>939</v>
      </c>
      <c r="G26" t="s">
        <v>940</v>
      </c>
      <c r="H26" t="s">
        <v>941</v>
      </c>
      <c r="I26">
        <v>5</v>
      </c>
      <c r="J26">
        <v>5</v>
      </c>
      <c r="N26">
        <v>87</v>
      </c>
      <c r="O26">
        <v>127</v>
      </c>
      <c r="P26">
        <v>70</v>
      </c>
      <c r="Q26">
        <v>100</v>
      </c>
      <c r="R26">
        <v>70</v>
      </c>
      <c r="S26">
        <v>100</v>
      </c>
    </row>
    <row r="27" spans="3:19" x14ac:dyDescent="0.2">
      <c r="C27">
        <v>1002</v>
      </c>
      <c r="D27">
        <v>1002</v>
      </c>
      <c r="E27">
        <v>1</v>
      </c>
      <c r="F27" t="s">
        <v>942</v>
      </c>
      <c r="G27" t="s">
        <v>943</v>
      </c>
      <c r="H27" t="s">
        <v>944</v>
      </c>
      <c r="I27">
        <v>5</v>
      </c>
      <c r="J27">
        <v>5</v>
      </c>
      <c r="N27">
        <v>89</v>
      </c>
      <c r="O27">
        <v>124</v>
      </c>
      <c r="P27">
        <v>70</v>
      </c>
      <c r="Q27">
        <v>100</v>
      </c>
      <c r="R27">
        <v>70</v>
      </c>
      <c r="S27">
        <v>100</v>
      </c>
    </row>
    <row r="28" spans="3:19" x14ac:dyDescent="0.2">
      <c r="C28">
        <v>1003</v>
      </c>
      <c r="D28">
        <v>1003</v>
      </c>
      <c r="E28">
        <v>1</v>
      </c>
      <c r="F28" t="s">
        <v>945</v>
      </c>
      <c r="G28" t="s">
        <v>946</v>
      </c>
      <c r="H28" t="s">
        <v>947</v>
      </c>
      <c r="I28">
        <v>5</v>
      </c>
      <c r="J28">
        <v>5</v>
      </c>
      <c r="N28">
        <v>93</v>
      </c>
      <c r="O28">
        <v>133</v>
      </c>
      <c r="P28">
        <v>70</v>
      </c>
      <c r="Q28">
        <v>100</v>
      </c>
      <c r="R28">
        <v>70</v>
      </c>
      <c r="S28">
        <v>100</v>
      </c>
    </row>
    <row r="29" spans="3:19" x14ac:dyDescent="0.2">
      <c r="C29">
        <v>1004</v>
      </c>
      <c r="D29">
        <v>1004</v>
      </c>
      <c r="E29">
        <v>1</v>
      </c>
      <c r="F29" t="s">
        <v>948</v>
      </c>
      <c r="G29" t="s">
        <v>949</v>
      </c>
      <c r="H29" t="s">
        <v>950</v>
      </c>
      <c r="I29">
        <v>5</v>
      </c>
      <c r="J29">
        <v>5</v>
      </c>
      <c r="N29">
        <v>94</v>
      </c>
      <c r="O29">
        <v>131</v>
      </c>
      <c r="P29">
        <v>70</v>
      </c>
      <c r="Q29">
        <v>100</v>
      </c>
      <c r="R29">
        <v>70</v>
      </c>
      <c r="S29">
        <v>100</v>
      </c>
    </row>
    <row r="30" spans="3:19" x14ac:dyDescent="0.2">
      <c r="C30">
        <v>1005</v>
      </c>
      <c r="D30">
        <v>1005</v>
      </c>
      <c r="E30">
        <v>1</v>
      </c>
      <c r="F30" t="s">
        <v>951</v>
      </c>
      <c r="G30" t="s">
        <v>952</v>
      </c>
      <c r="H30" t="s">
        <v>953</v>
      </c>
      <c r="I30">
        <v>5</v>
      </c>
      <c r="J30">
        <v>5</v>
      </c>
      <c r="K30">
        <v>100</v>
      </c>
      <c r="L30">
        <v>75</v>
      </c>
      <c r="M30">
        <v>50</v>
      </c>
      <c r="N30">
        <v>101</v>
      </c>
      <c r="O30">
        <v>181</v>
      </c>
      <c r="P30">
        <v>105</v>
      </c>
      <c r="Q30">
        <v>150</v>
      </c>
      <c r="R30">
        <v>105</v>
      </c>
      <c r="S30">
        <v>150</v>
      </c>
    </row>
    <row r="31" spans="3:19" x14ac:dyDescent="0.2">
      <c r="C31">
        <v>1006</v>
      </c>
      <c r="D31">
        <v>1006</v>
      </c>
      <c r="E31">
        <v>1</v>
      </c>
      <c r="F31" t="s">
        <v>954</v>
      </c>
      <c r="G31" t="s">
        <v>955</v>
      </c>
      <c r="H31" t="s">
        <v>956</v>
      </c>
      <c r="I31">
        <v>5</v>
      </c>
      <c r="J31">
        <v>5</v>
      </c>
      <c r="K31">
        <v>100</v>
      </c>
      <c r="L31">
        <v>75</v>
      </c>
      <c r="M31">
        <v>50</v>
      </c>
      <c r="N31">
        <v>101</v>
      </c>
      <c r="O31">
        <v>186</v>
      </c>
      <c r="P31">
        <v>105</v>
      </c>
      <c r="Q31">
        <v>150</v>
      </c>
      <c r="R31">
        <v>105</v>
      </c>
      <c r="S31">
        <v>150</v>
      </c>
    </row>
    <row r="32" spans="3:19" x14ac:dyDescent="0.2">
      <c r="C32">
        <v>1007</v>
      </c>
      <c r="D32">
        <v>1007</v>
      </c>
      <c r="E32">
        <v>1</v>
      </c>
      <c r="F32" t="s">
        <v>957</v>
      </c>
      <c r="G32" t="s">
        <v>958</v>
      </c>
      <c r="H32" t="s">
        <v>959</v>
      </c>
      <c r="I32">
        <v>5</v>
      </c>
      <c r="J32">
        <v>5</v>
      </c>
      <c r="K32">
        <v>100</v>
      </c>
      <c r="L32">
        <v>75</v>
      </c>
      <c r="M32">
        <v>50</v>
      </c>
      <c r="N32">
        <v>108</v>
      </c>
      <c r="O32">
        <v>197</v>
      </c>
      <c r="P32">
        <v>105</v>
      </c>
      <c r="Q32">
        <v>150</v>
      </c>
      <c r="R32">
        <v>105</v>
      </c>
      <c r="S32">
        <v>150</v>
      </c>
    </row>
    <row r="33" spans="3:19" x14ac:dyDescent="0.2">
      <c r="C33">
        <v>1008</v>
      </c>
      <c r="D33">
        <v>1008</v>
      </c>
      <c r="E33">
        <v>1</v>
      </c>
      <c r="F33" t="s">
        <v>960</v>
      </c>
      <c r="G33" t="s">
        <v>961</v>
      </c>
      <c r="H33" t="s">
        <v>962</v>
      </c>
      <c r="I33">
        <v>5</v>
      </c>
      <c r="J33">
        <v>5</v>
      </c>
      <c r="K33">
        <v>100</v>
      </c>
      <c r="L33">
        <v>75</v>
      </c>
      <c r="M33">
        <v>50</v>
      </c>
      <c r="N33">
        <v>107</v>
      </c>
      <c r="O33">
        <v>192</v>
      </c>
      <c r="P33">
        <v>105</v>
      </c>
      <c r="Q33">
        <v>150</v>
      </c>
      <c r="R33">
        <v>105</v>
      </c>
      <c r="S33">
        <v>150</v>
      </c>
    </row>
    <row r="34" spans="3:19" x14ac:dyDescent="0.2">
      <c r="C34">
        <v>1009</v>
      </c>
      <c r="D34">
        <v>1009</v>
      </c>
      <c r="E34">
        <v>1</v>
      </c>
      <c r="F34" t="s">
        <v>963</v>
      </c>
      <c r="G34" t="s">
        <v>964</v>
      </c>
      <c r="H34" t="s">
        <v>965</v>
      </c>
      <c r="I34">
        <v>5</v>
      </c>
      <c r="J34">
        <v>5</v>
      </c>
      <c r="K34">
        <v>100</v>
      </c>
      <c r="L34">
        <v>75</v>
      </c>
      <c r="M34">
        <v>50</v>
      </c>
      <c r="N34">
        <v>109</v>
      </c>
      <c r="O34">
        <v>192</v>
      </c>
      <c r="P34">
        <v>105</v>
      </c>
      <c r="Q34">
        <v>150</v>
      </c>
      <c r="R34">
        <v>105</v>
      </c>
      <c r="S34">
        <v>150</v>
      </c>
    </row>
    <row r="35" spans="3:19" x14ac:dyDescent="0.2">
      <c r="C35">
        <v>1010</v>
      </c>
      <c r="D35">
        <v>1010</v>
      </c>
      <c r="E35">
        <v>1</v>
      </c>
      <c r="F35" t="s">
        <v>966</v>
      </c>
      <c r="G35" t="s">
        <v>967</v>
      </c>
      <c r="H35" t="s">
        <v>968</v>
      </c>
      <c r="I35">
        <v>5</v>
      </c>
      <c r="J35">
        <v>5</v>
      </c>
      <c r="K35">
        <v>100</v>
      </c>
      <c r="L35">
        <v>85</v>
      </c>
      <c r="M35">
        <v>75</v>
      </c>
      <c r="N35">
        <v>66</v>
      </c>
      <c r="O35">
        <v>127</v>
      </c>
      <c r="P35">
        <v>65</v>
      </c>
      <c r="Q35">
        <v>120</v>
      </c>
      <c r="R35">
        <v>65</v>
      </c>
      <c r="S35">
        <v>120</v>
      </c>
    </row>
    <row r="36" spans="3:19" x14ac:dyDescent="0.2">
      <c r="C36">
        <v>1011</v>
      </c>
      <c r="D36">
        <v>1011</v>
      </c>
      <c r="E36">
        <v>1</v>
      </c>
      <c r="F36" t="s">
        <v>969</v>
      </c>
      <c r="G36" t="s">
        <v>970</v>
      </c>
      <c r="H36" t="s">
        <v>971</v>
      </c>
      <c r="I36">
        <v>5</v>
      </c>
      <c r="J36">
        <v>5</v>
      </c>
      <c r="K36">
        <v>100</v>
      </c>
      <c r="L36">
        <v>85</v>
      </c>
      <c r="M36">
        <v>75</v>
      </c>
      <c r="N36">
        <v>67</v>
      </c>
      <c r="O36">
        <v>130</v>
      </c>
      <c r="P36">
        <v>65</v>
      </c>
      <c r="Q36">
        <v>120</v>
      </c>
      <c r="R36">
        <v>65</v>
      </c>
      <c r="S36">
        <v>120</v>
      </c>
    </row>
    <row r="37" spans="3:19" x14ac:dyDescent="0.2">
      <c r="C37">
        <v>1012</v>
      </c>
      <c r="D37">
        <v>1012</v>
      </c>
      <c r="E37">
        <v>1</v>
      </c>
      <c r="F37" t="s">
        <v>972</v>
      </c>
      <c r="G37" t="s">
        <v>973</v>
      </c>
      <c r="H37" t="s">
        <v>974</v>
      </c>
      <c r="I37">
        <v>5</v>
      </c>
      <c r="J37">
        <v>5</v>
      </c>
      <c r="K37">
        <v>100</v>
      </c>
      <c r="L37">
        <v>85</v>
      </c>
      <c r="M37">
        <v>75</v>
      </c>
      <c r="N37">
        <v>62</v>
      </c>
      <c r="O37">
        <v>124</v>
      </c>
      <c r="P37">
        <v>65</v>
      </c>
      <c r="Q37">
        <v>120</v>
      </c>
      <c r="R37">
        <v>65</v>
      </c>
      <c r="S37">
        <v>120</v>
      </c>
    </row>
    <row r="38" spans="3:19" x14ac:dyDescent="0.2">
      <c r="C38">
        <v>1013</v>
      </c>
      <c r="D38">
        <v>1013</v>
      </c>
      <c r="E38">
        <v>1</v>
      </c>
      <c r="F38" t="s">
        <v>975</v>
      </c>
      <c r="G38" t="s">
        <v>976</v>
      </c>
      <c r="H38" t="s">
        <v>977</v>
      </c>
      <c r="I38">
        <v>5</v>
      </c>
      <c r="J38">
        <v>5</v>
      </c>
      <c r="K38">
        <v>100</v>
      </c>
      <c r="L38">
        <v>85</v>
      </c>
      <c r="M38">
        <v>75</v>
      </c>
      <c r="N38">
        <v>67</v>
      </c>
      <c r="O38">
        <v>128</v>
      </c>
      <c r="P38">
        <v>65</v>
      </c>
      <c r="Q38">
        <v>120</v>
      </c>
      <c r="R38">
        <v>65</v>
      </c>
      <c r="S38">
        <v>120</v>
      </c>
    </row>
    <row r="39" spans="3:19" x14ac:dyDescent="0.2">
      <c r="C39">
        <v>1014</v>
      </c>
      <c r="D39">
        <v>1014</v>
      </c>
      <c r="E39">
        <v>1</v>
      </c>
      <c r="F39" t="s">
        <v>978</v>
      </c>
      <c r="G39" t="s">
        <v>979</v>
      </c>
      <c r="H39" t="s">
        <v>980</v>
      </c>
      <c r="I39">
        <v>5</v>
      </c>
      <c r="J39">
        <v>5</v>
      </c>
      <c r="K39">
        <v>100</v>
      </c>
      <c r="L39">
        <v>85</v>
      </c>
      <c r="M39">
        <v>75</v>
      </c>
      <c r="N39">
        <v>65</v>
      </c>
      <c r="O39">
        <v>126</v>
      </c>
      <c r="P39">
        <v>65</v>
      </c>
      <c r="Q39">
        <v>120</v>
      </c>
      <c r="R39">
        <v>65</v>
      </c>
      <c r="S39">
        <v>120</v>
      </c>
    </row>
    <row r="40" spans="3:19" x14ac:dyDescent="0.2">
      <c r="C40">
        <v>1015</v>
      </c>
      <c r="D40">
        <v>1015</v>
      </c>
      <c r="E40">
        <v>1</v>
      </c>
      <c r="F40" t="s">
        <v>981</v>
      </c>
      <c r="G40" t="s">
        <v>982</v>
      </c>
      <c r="H40" t="s">
        <v>983</v>
      </c>
      <c r="I40">
        <v>5</v>
      </c>
      <c r="J40">
        <v>5</v>
      </c>
      <c r="K40">
        <v>100</v>
      </c>
      <c r="L40">
        <v>100</v>
      </c>
      <c r="M40">
        <v>100</v>
      </c>
      <c r="N40">
        <v>19</v>
      </c>
      <c r="O40">
        <v>46</v>
      </c>
      <c r="P40">
        <v>20</v>
      </c>
      <c r="Q40">
        <v>45</v>
      </c>
      <c r="R40">
        <v>20</v>
      </c>
      <c r="S40">
        <v>45</v>
      </c>
    </row>
    <row r="41" spans="3:19" x14ac:dyDescent="0.2">
      <c r="C41">
        <v>1016</v>
      </c>
      <c r="D41">
        <v>1016</v>
      </c>
      <c r="E41">
        <v>1</v>
      </c>
      <c r="F41" t="s">
        <v>984</v>
      </c>
      <c r="G41" t="s">
        <v>985</v>
      </c>
      <c r="H41" t="s">
        <v>986</v>
      </c>
      <c r="I41">
        <v>5</v>
      </c>
      <c r="J41">
        <v>5</v>
      </c>
      <c r="K41">
        <v>100</v>
      </c>
      <c r="L41">
        <v>100</v>
      </c>
      <c r="M41">
        <v>100</v>
      </c>
      <c r="N41">
        <v>21</v>
      </c>
      <c r="O41">
        <v>41</v>
      </c>
      <c r="P41">
        <v>20</v>
      </c>
      <c r="Q41">
        <v>45</v>
      </c>
      <c r="R41">
        <v>20</v>
      </c>
      <c r="S41">
        <v>45</v>
      </c>
    </row>
    <row r="42" spans="3:19" x14ac:dyDescent="0.2">
      <c r="C42">
        <v>1017</v>
      </c>
      <c r="D42">
        <v>1017</v>
      </c>
      <c r="E42">
        <v>1</v>
      </c>
      <c r="F42" t="s">
        <v>987</v>
      </c>
      <c r="G42" t="s">
        <v>988</v>
      </c>
      <c r="H42" t="s">
        <v>989</v>
      </c>
      <c r="I42">
        <v>5</v>
      </c>
      <c r="J42">
        <v>5</v>
      </c>
      <c r="K42">
        <v>100</v>
      </c>
      <c r="L42">
        <v>100</v>
      </c>
      <c r="M42">
        <v>100</v>
      </c>
      <c r="N42">
        <v>21</v>
      </c>
      <c r="O42">
        <v>45</v>
      </c>
      <c r="P42">
        <v>20</v>
      </c>
      <c r="Q42">
        <v>45</v>
      </c>
      <c r="R42">
        <v>20</v>
      </c>
      <c r="S42">
        <v>45</v>
      </c>
    </row>
    <row r="43" spans="3:19" x14ac:dyDescent="0.2">
      <c r="C43">
        <v>1018</v>
      </c>
      <c r="D43">
        <v>1018</v>
      </c>
      <c r="E43">
        <v>1</v>
      </c>
      <c r="F43" t="s">
        <v>990</v>
      </c>
      <c r="G43" t="s">
        <v>991</v>
      </c>
      <c r="H43" t="s">
        <v>992</v>
      </c>
      <c r="I43">
        <v>5</v>
      </c>
      <c r="J43">
        <v>5</v>
      </c>
      <c r="K43">
        <v>100</v>
      </c>
      <c r="L43">
        <v>100</v>
      </c>
      <c r="M43">
        <v>100</v>
      </c>
      <c r="N43">
        <v>22</v>
      </c>
      <c r="O43">
        <v>44</v>
      </c>
      <c r="P43">
        <v>20</v>
      </c>
      <c r="Q43">
        <v>45</v>
      </c>
      <c r="R43">
        <v>20</v>
      </c>
      <c r="S43">
        <v>45</v>
      </c>
    </row>
    <row r="44" spans="3:19" x14ac:dyDescent="0.2">
      <c r="C44">
        <v>1019</v>
      </c>
      <c r="D44">
        <v>1019</v>
      </c>
      <c r="E44">
        <v>1</v>
      </c>
      <c r="F44" t="s">
        <v>993</v>
      </c>
      <c r="G44" t="s">
        <v>994</v>
      </c>
      <c r="H44" t="s">
        <v>995</v>
      </c>
      <c r="I44">
        <v>5</v>
      </c>
      <c r="J44">
        <v>5</v>
      </c>
      <c r="K44">
        <v>100</v>
      </c>
      <c r="L44">
        <v>85</v>
      </c>
      <c r="M44">
        <v>75</v>
      </c>
      <c r="N44">
        <v>21</v>
      </c>
      <c r="O44">
        <v>61</v>
      </c>
      <c r="P44">
        <v>25</v>
      </c>
      <c r="Q44">
        <v>55</v>
      </c>
      <c r="R44">
        <v>25</v>
      </c>
      <c r="S44">
        <v>55</v>
      </c>
    </row>
    <row r="45" spans="3:19" x14ac:dyDescent="0.2">
      <c r="C45">
        <v>1020</v>
      </c>
      <c r="D45">
        <v>1020</v>
      </c>
      <c r="E45">
        <v>1</v>
      </c>
      <c r="F45" t="s">
        <v>996</v>
      </c>
      <c r="G45" t="s">
        <v>997</v>
      </c>
      <c r="H45" t="s">
        <v>998</v>
      </c>
      <c r="I45">
        <v>5</v>
      </c>
      <c r="J45">
        <v>5</v>
      </c>
      <c r="K45">
        <v>100</v>
      </c>
      <c r="L45">
        <v>85</v>
      </c>
      <c r="M45">
        <v>75</v>
      </c>
      <c r="N45">
        <v>24</v>
      </c>
      <c r="O45">
        <v>54</v>
      </c>
      <c r="P45">
        <v>25</v>
      </c>
      <c r="Q45">
        <v>55</v>
      </c>
      <c r="R45">
        <v>25</v>
      </c>
      <c r="S45">
        <v>55</v>
      </c>
    </row>
    <row r="46" spans="3:19" x14ac:dyDescent="0.2">
      <c r="C46">
        <v>1021</v>
      </c>
      <c r="D46">
        <v>1021</v>
      </c>
      <c r="E46">
        <v>1</v>
      </c>
      <c r="F46" t="s">
        <v>999</v>
      </c>
      <c r="G46" t="s">
        <v>1000</v>
      </c>
      <c r="H46" t="s">
        <v>1001</v>
      </c>
      <c r="I46">
        <v>5</v>
      </c>
      <c r="J46">
        <v>5</v>
      </c>
      <c r="K46">
        <v>100</v>
      </c>
      <c r="L46">
        <v>85</v>
      </c>
      <c r="M46">
        <v>75</v>
      </c>
      <c r="N46">
        <v>18</v>
      </c>
      <c r="O46">
        <v>53</v>
      </c>
      <c r="P46">
        <v>25</v>
      </c>
      <c r="Q46">
        <v>55</v>
      </c>
      <c r="R46">
        <v>25</v>
      </c>
      <c r="S46">
        <v>55</v>
      </c>
    </row>
    <row r="47" spans="3:19" x14ac:dyDescent="0.2">
      <c r="C47">
        <v>1022</v>
      </c>
      <c r="D47">
        <v>1022</v>
      </c>
      <c r="E47">
        <v>1</v>
      </c>
      <c r="F47" t="s">
        <v>1002</v>
      </c>
      <c r="G47" t="s">
        <v>1003</v>
      </c>
      <c r="H47" t="s">
        <v>1004</v>
      </c>
      <c r="I47">
        <v>5</v>
      </c>
      <c r="J47">
        <v>5</v>
      </c>
      <c r="K47">
        <v>100</v>
      </c>
      <c r="L47">
        <v>85</v>
      </c>
      <c r="M47">
        <v>75</v>
      </c>
      <c r="N47">
        <v>23</v>
      </c>
      <c r="O47">
        <v>55</v>
      </c>
      <c r="P47">
        <v>25</v>
      </c>
      <c r="Q47">
        <v>55</v>
      </c>
      <c r="R47">
        <v>25</v>
      </c>
      <c r="S47">
        <v>55</v>
      </c>
    </row>
    <row r="48" spans="3:19" x14ac:dyDescent="0.2">
      <c r="C48">
        <v>1023</v>
      </c>
      <c r="D48">
        <v>1023</v>
      </c>
      <c r="E48">
        <v>1</v>
      </c>
      <c r="F48" t="s">
        <v>1005</v>
      </c>
      <c r="G48" t="s">
        <v>1006</v>
      </c>
      <c r="H48" t="s">
        <v>1007</v>
      </c>
      <c r="I48">
        <v>5</v>
      </c>
      <c r="J48">
        <v>5</v>
      </c>
      <c r="K48">
        <v>100</v>
      </c>
      <c r="L48">
        <v>85</v>
      </c>
      <c r="M48">
        <v>75</v>
      </c>
      <c r="N48">
        <v>21</v>
      </c>
      <c r="O48">
        <v>55</v>
      </c>
      <c r="P48">
        <v>25</v>
      </c>
      <c r="Q48">
        <v>55</v>
      </c>
      <c r="R48">
        <v>25</v>
      </c>
      <c r="S48">
        <v>55</v>
      </c>
    </row>
    <row r="49" spans="3:19" x14ac:dyDescent="0.2">
      <c r="C49">
        <v>1024</v>
      </c>
      <c r="D49">
        <v>1024</v>
      </c>
      <c r="E49">
        <v>1</v>
      </c>
      <c r="F49" t="s">
        <v>1008</v>
      </c>
      <c r="G49" t="s">
        <v>1009</v>
      </c>
      <c r="H49" t="s">
        <v>1010</v>
      </c>
      <c r="I49">
        <v>5</v>
      </c>
      <c r="J49">
        <v>5</v>
      </c>
      <c r="K49">
        <v>100</v>
      </c>
      <c r="L49">
        <v>100</v>
      </c>
      <c r="M49">
        <v>100</v>
      </c>
      <c r="N49">
        <v>139</v>
      </c>
      <c r="O49">
        <v>224</v>
      </c>
      <c r="P49">
        <v>145</v>
      </c>
      <c r="Q49">
        <v>210</v>
      </c>
      <c r="R49">
        <v>145</v>
      </c>
      <c r="S49">
        <v>210</v>
      </c>
    </row>
    <row r="50" spans="3:19" x14ac:dyDescent="0.2">
      <c r="C50">
        <v>1025</v>
      </c>
      <c r="D50">
        <v>1025</v>
      </c>
      <c r="E50">
        <v>1</v>
      </c>
      <c r="F50" t="s">
        <v>1011</v>
      </c>
      <c r="G50" t="s">
        <v>1012</v>
      </c>
      <c r="H50" t="s">
        <v>1013</v>
      </c>
      <c r="I50">
        <v>5</v>
      </c>
      <c r="J50">
        <v>5</v>
      </c>
      <c r="K50">
        <v>100</v>
      </c>
      <c r="L50">
        <v>100</v>
      </c>
      <c r="M50">
        <v>100</v>
      </c>
      <c r="N50">
        <v>146</v>
      </c>
      <c r="O50">
        <v>236</v>
      </c>
      <c r="P50">
        <v>145</v>
      </c>
      <c r="Q50">
        <v>210</v>
      </c>
      <c r="R50">
        <v>145</v>
      </c>
      <c r="S50">
        <v>210</v>
      </c>
    </row>
    <row r="51" spans="3:19" x14ac:dyDescent="0.2">
      <c r="C51">
        <v>1026</v>
      </c>
      <c r="D51">
        <v>1026</v>
      </c>
      <c r="E51">
        <v>1</v>
      </c>
      <c r="F51" t="s">
        <v>1014</v>
      </c>
      <c r="G51" t="s">
        <v>1015</v>
      </c>
      <c r="H51" t="s">
        <v>1016</v>
      </c>
      <c r="I51">
        <v>5</v>
      </c>
      <c r="J51">
        <v>5</v>
      </c>
      <c r="K51">
        <v>100</v>
      </c>
      <c r="L51">
        <v>100</v>
      </c>
      <c r="M51">
        <v>100</v>
      </c>
      <c r="N51">
        <v>143</v>
      </c>
      <c r="O51">
        <v>231</v>
      </c>
      <c r="P51">
        <v>145</v>
      </c>
      <c r="Q51">
        <v>210</v>
      </c>
      <c r="R51">
        <v>145</v>
      </c>
      <c r="S51">
        <v>210</v>
      </c>
    </row>
    <row r="52" spans="3:19" x14ac:dyDescent="0.2">
      <c r="C52">
        <v>1027</v>
      </c>
      <c r="D52">
        <v>1027</v>
      </c>
      <c r="E52">
        <v>1</v>
      </c>
      <c r="F52" t="s">
        <v>1017</v>
      </c>
      <c r="G52" t="s">
        <v>1018</v>
      </c>
      <c r="H52" t="s">
        <v>1019</v>
      </c>
      <c r="I52">
        <v>5</v>
      </c>
      <c r="J52">
        <v>5</v>
      </c>
      <c r="K52">
        <v>100</v>
      </c>
      <c r="L52">
        <v>100</v>
      </c>
      <c r="M52">
        <v>100</v>
      </c>
      <c r="N52">
        <v>142</v>
      </c>
      <c r="O52">
        <v>230</v>
      </c>
      <c r="P52">
        <v>145</v>
      </c>
      <c r="Q52">
        <v>210</v>
      </c>
      <c r="R52">
        <v>145</v>
      </c>
      <c r="S52">
        <v>210</v>
      </c>
    </row>
    <row r="53" spans="3:19" x14ac:dyDescent="0.2">
      <c r="C53">
        <v>1028</v>
      </c>
      <c r="D53">
        <v>1028</v>
      </c>
      <c r="E53">
        <v>1</v>
      </c>
      <c r="F53" t="s">
        <v>1020</v>
      </c>
      <c r="G53" t="s">
        <v>1021</v>
      </c>
      <c r="H53" t="s">
        <v>1022</v>
      </c>
      <c r="I53">
        <v>5</v>
      </c>
      <c r="J53">
        <v>5</v>
      </c>
      <c r="K53">
        <v>100</v>
      </c>
      <c r="L53">
        <v>100</v>
      </c>
      <c r="M53">
        <v>100</v>
      </c>
      <c r="N53">
        <v>129</v>
      </c>
      <c r="O53">
        <v>215</v>
      </c>
      <c r="P53">
        <v>145</v>
      </c>
      <c r="Q53">
        <v>210</v>
      </c>
      <c r="R53">
        <v>145</v>
      </c>
      <c r="S53">
        <v>210</v>
      </c>
    </row>
    <row r="54" spans="3:19" x14ac:dyDescent="0.2">
      <c r="C54">
        <v>1029</v>
      </c>
      <c r="D54">
        <v>1029</v>
      </c>
      <c r="E54">
        <v>1</v>
      </c>
      <c r="F54" t="s">
        <v>1023</v>
      </c>
      <c r="G54" t="s">
        <v>1024</v>
      </c>
      <c r="H54" t="s">
        <v>1025</v>
      </c>
      <c r="I54">
        <v>5</v>
      </c>
      <c r="J54">
        <v>5</v>
      </c>
      <c r="K54">
        <v>100</v>
      </c>
      <c r="L54">
        <v>75</v>
      </c>
      <c r="M54">
        <v>66</v>
      </c>
      <c r="N54">
        <v>136</v>
      </c>
      <c r="O54">
        <v>211</v>
      </c>
      <c r="P54">
        <v>135</v>
      </c>
      <c r="Q54">
        <v>180</v>
      </c>
      <c r="R54">
        <v>135</v>
      </c>
      <c r="S54">
        <v>180</v>
      </c>
    </row>
    <row r="55" spans="3:19" x14ac:dyDescent="0.2">
      <c r="C55">
        <v>1030</v>
      </c>
      <c r="D55">
        <v>1030</v>
      </c>
      <c r="E55">
        <v>1</v>
      </c>
      <c r="F55" t="s">
        <v>1026</v>
      </c>
      <c r="G55" t="s">
        <v>1027</v>
      </c>
      <c r="H55" t="s">
        <v>1028</v>
      </c>
      <c r="I55">
        <v>5</v>
      </c>
      <c r="J55">
        <v>5</v>
      </c>
      <c r="K55">
        <v>100</v>
      </c>
      <c r="L55">
        <v>75</v>
      </c>
      <c r="M55">
        <v>66</v>
      </c>
      <c r="N55">
        <v>134</v>
      </c>
      <c r="O55">
        <v>212</v>
      </c>
      <c r="P55">
        <v>135</v>
      </c>
      <c r="Q55">
        <v>180</v>
      </c>
      <c r="R55">
        <v>135</v>
      </c>
      <c r="S55">
        <v>180</v>
      </c>
    </row>
    <row r="56" spans="3:19" x14ac:dyDescent="0.2">
      <c r="C56">
        <v>1031</v>
      </c>
      <c r="D56">
        <v>1031</v>
      </c>
      <c r="E56">
        <v>1</v>
      </c>
      <c r="F56" t="s">
        <v>1029</v>
      </c>
      <c r="G56" t="s">
        <v>1030</v>
      </c>
      <c r="H56" t="s">
        <v>1031</v>
      </c>
      <c r="I56">
        <v>5</v>
      </c>
      <c r="J56">
        <v>5</v>
      </c>
      <c r="K56">
        <v>100</v>
      </c>
      <c r="L56">
        <v>75</v>
      </c>
      <c r="M56">
        <v>66</v>
      </c>
      <c r="N56">
        <v>135</v>
      </c>
      <c r="O56">
        <v>211</v>
      </c>
      <c r="P56">
        <v>135</v>
      </c>
      <c r="Q56">
        <v>180</v>
      </c>
      <c r="R56">
        <v>135</v>
      </c>
      <c r="S56">
        <v>180</v>
      </c>
    </row>
    <row r="57" spans="3:19" x14ac:dyDescent="0.2">
      <c r="C57">
        <v>1032</v>
      </c>
      <c r="D57">
        <v>1032</v>
      </c>
      <c r="E57">
        <v>1</v>
      </c>
      <c r="F57" t="s">
        <v>1032</v>
      </c>
      <c r="G57" t="s">
        <v>1033</v>
      </c>
      <c r="H57" t="s">
        <v>1034</v>
      </c>
      <c r="I57">
        <v>5</v>
      </c>
      <c r="J57">
        <v>5</v>
      </c>
      <c r="K57">
        <v>100</v>
      </c>
      <c r="L57">
        <v>75</v>
      </c>
      <c r="M57">
        <v>66</v>
      </c>
      <c r="N57">
        <v>135</v>
      </c>
      <c r="O57">
        <v>211</v>
      </c>
      <c r="P57">
        <v>135</v>
      </c>
      <c r="Q57">
        <v>180</v>
      </c>
      <c r="R57">
        <v>135</v>
      </c>
      <c r="S57">
        <v>180</v>
      </c>
    </row>
    <row r="58" spans="3:19" x14ac:dyDescent="0.2">
      <c r="C58">
        <v>1033</v>
      </c>
      <c r="D58">
        <v>1033</v>
      </c>
      <c r="E58">
        <v>1</v>
      </c>
      <c r="F58" t="s">
        <v>1035</v>
      </c>
      <c r="G58" t="s">
        <v>1036</v>
      </c>
      <c r="H58" t="s">
        <v>1037</v>
      </c>
      <c r="I58">
        <v>5</v>
      </c>
      <c r="J58">
        <v>5</v>
      </c>
      <c r="K58">
        <v>100</v>
      </c>
      <c r="L58">
        <v>75</v>
      </c>
      <c r="M58">
        <v>66</v>
      </c>
      <c r="N58">
        <v>134</v>
      </c>
      <c r="O58">
        <v>210</v>
      </c>
      <c r="P58">
        <v>135</v>
      </c>
      <c r="Q58">
        <v>180</v>
      </c>
      <c r="R58">
        <v>135</v>
      </c>
      <c r="S58">
        <v>180</v>
      </c>
    </row>
    <row r="59" spans="3:19" x14ac:dyDescent="0.2">
      <c r="C59">
        <v>1034</v>
      </c>
      <c r="D59">
        <v>1034</v>
      </c>
      <c r="E59">
        <v>1</v>
      </c>
      <c r="F59" t="s">
        <v>935</v>
      </c>
      <c r="G59" t="s">
        <v>1038</v>
      </c>
      <c r="H59" t="s">
        <v>935</v>
      </c>
      <c r="I59">
        <v>5</v>
      </c>
      <c r="J59">
        <v>0</v>
      </c>
    </row>
    <row r="60" spans="3:19" x14ac:dyDescent="0.2">
      <c r="C60">
        <v>1035</v>
      </c>
      <c r="D60">
        <v>1035</v>
      </c>
      <c r="E60">
        <v>1</v>
      </c>
      <c r="F60" t="s">
        <v>935</v>
      </c>
      <c r="G60" t="s">
        <v>1038</v>
      </c>
      <c r="H60" t="s">
        <v>935</v>
      </c>
      <c r="I60">
        <v>5</v>
      </c>
      <c r="J60">
        <v>0</v>
      </c>
    </row>
    <row r="61" spans="3:19" x14ac:dyDescent="0.2">
      <c r="C61">
        <v>1036</v>
      </c>
      <c r="D61">
        <v>1036</v>
      </c>
      <c r="E61">
        <v>1</v>
      </c>
      <c r="F61" t="s">
        <v>935</v>
      </c>
      <c r="G61" t="s">
        <v>1038</v>
      </c>
      <c r="H61" t="s">
        <v>935</v>
      </c>
      <c r="I61">
        <v>5</v>
      </c>
      <c r="J61">
        <v>0</v>
      </c>
    </row>
    <row r="62" spans="3:19" x14ac:dyDescent="0.2">
      <c r="C62">
        <v>1037</v>
      </c>
      <c r="D62">
        <v>1037</v>
      </c>
      <c r="E62">
        <v>1</v>
      </c>
      <c r="F62" t="s">
        <v>935</v>
      </c>
      <c r="G62" t="s">
        <v>1038</v>
      </c>
      <c r="H62" t="s">
        <v>935</v>
      </c>
      <c r="I62">
        <v>5</v>
      </c>
      <c r="J62">
        <v>0</v>
      </c>
    </row>
    <row r="63" spans="3:19" x14ac:dyDescent="0.2">
      <c r="C63">
        <v>1038</v>
      </c>
      <c r="D63">
        <v>1038</v>
      </c>
      <c r="E63">
        <v>1</v>
      </c>
      <c r="F63" t="s">
        <v>1039</v>
      </c>
      <c r="G63" t="s">
        <v>1040</v>
      </c>
      <c r="H63" t="s">
        <v>1041</v>
      </c>
      <c r="I63">
        <v>5</v>
      </c>
      <c r="J63">
        <v>5</v>
      </c>
      <c r="K63">
        <v>100</v>
      </c>
      <c r="L63">
        <v>66</v>
      </c>
      <c r="M63">
        <v>33</v>
      </c>
      <c r="N63">
        <v>83</v>
      </c>
      <c r="O63">
        <v>165</v>
      </c>
      <c r="P63">
        <v>65</v>
      </c>
      <c r="Q63">
        <v>90</v>
      </c>
      <c r="R63">
        <v>65</v>
      </c>
      <c r="S63">
        <v>90</v>
      </c>
    </row>
    <row r="64" spans="3:19" x14ac:dyDescent="0.2">
      <c r="C64">
        <v>1039</v>
      </c>
      <c r="D64">
        <v>1039</v>
      </c>
      <c r="E64">
        <v>1</v>
      </c>
      <c r="F64" t="s">
        <v>1042</v>
      </c>
      <c r="G64" t="s">
        <v>1043</v>
      </c>
      <c r="H64" t="s">
        <v>1044</v>
      </c>
      <c r="I64">
        <v>5</v>
      </c>
      <c r="J64">
        <v>5</v>
      </c>
      <c r="K64">
        <v>100</v>
      </c>
      <c r="L64">
        <v>66</v>
      </c>
      <c r="M64">
        <v>33</v>
      </c>
      <c r="N64">
        <v>87</v>
      </c>
      <c r="O64">
        <v>173</v>
      </c>
      <c r="P64">
        <v>65</v>
      </c>
      <c r="Q64">
        <v>90</v>
      </c>
      <c r="R64">
        <v>65</v>
      </c>
      <c r="S64">
        <v>90</v>
      </c>
    </row>
    <row r="65" spans="3:19" x14ac:dyDescent="0.2">
      <c r="C65">
        <v>1040</v>
      </c>
      <c r="D65">
        <v>1040</v>
      </c>
      <c r="E65">
        <v>1</v>
      </c>
      <c r="F65" t="s">
        <v>1045</v>
      </c>
      <c r="G65" t="s">
        <v>1046</v>
      </c>
      <c r="H65" t="s">
        <v>1047</v>
      </c>
      <c r="I65">
        <v>5</v>
      </c>
      <c r="J65">
        <v>5</v>
      </c>
      <c r="K65">
        <v>100</v>
      </c>
      <c r="L65">
        <v>66</v>
      </c>
      <c r="M65">
        <v>33</v>
      </c>
      <c r="N65">
        <v>86</v>
      </c>
      <c r="O65">
        <v>173</v>
      </c>
      <c r="P65">
        <v>65</v>
      </c>
      <c r="Q65">
        <v>90</v>
      </c>
      <c r="R65">
        <v>65</v>
      </c>
      <c r="S65">
        <v>90</v>
      </c>
    </row>
    <row r="66" spans="3:19" x14ac:dyDescent="0.2">
      <c r="C66">
        <v>1041</v>
      </c>
      <c r="D66">
        <v>1041</v>
      </c>
      <c r="E66">
        <v>1</v>
      </c>
      <c r="F66" t="s">
        <v>1048</v>
      </c>
      <c r="G66" t="s">
        <v>1049</v>
      </c>
      <c r="H66" t="s">
        <v>1050</v>
      </c>
      <c r="I66">
        <v>5</v>
      </c>
      <c r="J66">
        <v>5</v>
      </c>
      <c r="K66">
        <v>100</v>
      </c>
      <c r="L66">
        <v>66</v>
      </c>
      <c r="M66">
        <v>33</v>
      </c>
      <c r="N66">
        <v>86</v>
      </c>
      <c r="O66">
        <v>172</v>
      </c>
      <c r="P66">
        <v>65</v>
      </c>
      <c r="Q66">
        <v>90</v>
      </c>
      <c r="R66">
        <v>65</v>
      </c>
      <c r="S66">
        <v>90</v>
      </c>
    </row>
    <row r="67" spans="3:19" x14ac:dyDescent="0.2">
      <c r="C67">
        <v>1042</v>
      </c>
      <c r="D67">
        <v>1042</v>
      </c>
      <c r="E67">
        <v>1</v>
      </c>
      <c r="F67" t="s">
        <v>1051</v>
      </c>
      <c r="G67" t="s">
        <v>1052</v>
      </c>
      <c r="H67" t="s">
        <v>1053</v>
      </c>
      <c r="I67">
        <v>5</v>
      </c>
      <c r="J67">
        <v>5</v>
      </c>
      <c r="K67">
        <v>100</v>
      </c>
      <c r="L67">
        <v>66</v>
      </c>
      <c r="M67">
        <v>33</v>
      </c>
      <c r="N67">
        <v>85</v>
      </c>
      <c r="O67">
        <v>172</v>
      </c>
      <c r="P67">
        <v>65</v>
      </c>
      <c r="Q67">
        <v>90</v>
      </c>
      <c r="R67">
        <v>65</v>
      </c>
      <c r="S67">
        <v>90</v>
      </c>
    </row>
    <row r="68" spans="3:19" x14ac:dyDescent="0.2">
      <c r="C68">
        <v>1043</v>
      </c>
      <c r="D68">
        <v>1043</v>
      </c>
      <c r="E68">
        <v>1</v>
      </c>
      <c r="F68" t="s">
        <v>1054</v>
      </c>
      <c r="G68" t="s">
        <v>1055</v>
      </c>
      <c r="H68" t="s">
        <v>1056</v>
      </c>
      <c r="I68">
        <v>5</v>
      </c>
      <c r="J68">
        <v>5</v>
      </c>
      <c r="K68">
        <v>100</v>
      </c>
      <c r="L68">
        <v>100</v>
      </c>
      <c r="M68">
        <v>100</v>
      </c>
      <c r="N68">
        <v>58</v>
      </c>
      <c r="O68">
        <v>101</v>
      </c>
      <c r="P68">
        <v>60</v>
      </c>
      <c r="Q68">
        <v>100</v>
      </c>
      <c r="R68">
        <v>60</v>
      </c>
      <c r="S68">
        <v>100</v>
      </c>
    </row>
    <row r="69" spans="3:19" x14ac:dyDescent="0.2">
      <c r="C69">
        <v>1044</v>
      </c>
      <c r="D69">
        <v>1044</v>
      </c>
      <c r="E69">
        <v>1</v>
      </c>
      <c r="F69" t="s">
        <v>1057</v>
      </c>
      <c r="G69" t="s">
        <v>1058</v>
      </c>
      <c r="H69" t="s">
        <v>1059</v>
      </c>
      <c r="I69">
        <v>5</v>
      </c>
      <c r="J69">
        <v>5</v>
      </c>
      <c r="K69">
        <v>100</v>
      </c>
      <c r="L69">
        <v>100</v>
      </c>
      <c r="M69">
        <v>100</v>
      </c>
      <c r="N69">
        <v>62</v>
      </c>
      <c r="O69">
        <v>101</v>
      </c>
      <c r="P69">
        <v>60</v>
      </c>
      <c r="Q69">
        <v>100</v>
      </c>
      <c r="R69">
        <v>60</v>
      </c>
      <c r="S69">
        <v>100</v>
      </c>
    </row>
    <row r="70" spans="3:19" x14ac:dyDescent="0.2">
      <c r="C70">
        <v>1045</v>
      </c>
      <c r="D70">
        <v>1045</v>
      </c>
      <c r="E70">
        <v>1</v>
      </c>
      <c r="F70" t="s">
        <v>1060</v>
      </c>
      <c r="G70" t="s">
        <v>1061</v>
      </c>
      <c r="H70" t="s">
        <v>1062</v>
      </c>
      <c r="I70">
        <v>5</v>
      </c>
      <c r="J70">
        <v>5</v>
      </c>
      <c r="K70">
        <v>100</v>
      </c>
      <c r="L70">
        <v>100</v>
      </c>
      <c r="M70">
        <v>100</v>
      </c>
      <c r="N70">
        <v>67</v>
      </c>
      <c r="O70">
        <v>112</v>
      </c>
      <c r="P70">
        <v>60</v>
      </c>
      <c r="Q70">
        <v>100</v>
      </c>
      <c r="R70">
        <v>60</v>
      </c>
      <c r="S70">
        <v>100</v>
      </c>
    </row>
    <row r="71" spans="3:19" x14ac:dyDescent="0.2">
      <c r="C71">
        <v>1046</v>
      </c>
      <c r="D71">
        <v>1046</v>
      </c>
      <c r="E71">
        <v>1</v>
      </c>
      <c r="F71" t="s">
        <v>1063</v>
      </c>
      <c r="G71" t="s">
        <v>1064</v>
      </c>
      <c r="H71" t="s">
        <v>1065</v>
      </c>
      <c r="I71">
        <v>5</v>
      </c>
      <c r="J71">
        <v>5</v>
      </c>
      <c r="K71">
        <v>100</v>
      </c>
      <c r="L71">
        <v>100</v>
      </c>
      <c r="M71">
        <v>100</v>
      </c>
      <c r="N71">
        <v>66</v>
      </c>
      <c r="O71">
        <v>111</v>
      </c>
      <c r="P71">
        <v>60</v>
      </c>
      <c r="Q71">
        <v>100</v>
      </c>
      <c r="R71">
        <v>60</v>
      </c>
      <c r="S71">
        <v>100</v>
      </c>
    </row>
    <row r="72" spans="3:19" x14ac:dyDescent="0.2">
      <c r="C72">
        <v>1047</v>
      </c>
      <c r="D72">
        <v>1047</v>
      </c>
      <c r="E72">
        <v>1</v>
      </c>
      <c r="F72" t="s">
        <v>1066</v>
      </c>
      <c r="G72" t="s">
        <v>1067</v>
      </c>
      <c r="H72" t="s">
        <v>1068</v>
      </c>
      <c r="I72">
        <v>5</v>
      </c>
      <c r="J72">
        <v>5</v>
      </c>
      <c r="K72">
        <v>100</v>
      </c>
      <c r="L72">
        <v>100</v>
      </c>
      <c r="M72">
        <v>100</v>
      </c>
      <c r="N72">
        <v>65</v>
      </c>
      <c r="O72">
        <v>107</v>
      </c>
      <c r="P72">
        <v>60</v>
      </c>
      <c r="Q72">
        <v>100</v>
      </c>
      <c r="R72">
        <v>60</v>
      </c>
      <c r="S72">
        <v>100</v>
      </c>
    </row>
    <row r="73" spans="3:19" x14ac:dyDescent="0.2">
      <c r="C73">
        <v>1048</v>
      </c>
      <c r="D73">
        <v>1048</v>
      </c>
      <c r="E73">
        <v>1</v>
      </c>
      <c r="F73" t="s">
        <v>1069</v>
      </c>
      <c r="G73" t="s">
        <v>1070</v>
      </c>
      <c r="H73" t="s">
        <v>1071</v>
      </c>
      <c r="I73">
        <v>5</v>
      </c>
      <c r="J73">
        <v>5</v>
      </c>
      <c r="K73">
        <v>100</v>
      </c>
      <c r="L73">
        <v>100</v>
      </c>
      <c r="M73">
        <v>100</v>
      </c>
      <c r="N73">
        <v>108</v>
      </c>
      <c r="O73">
        <v>151</v>
      </c>
      <c r="P73">
        <v>90</v>
      </c>
      <c r="Q73">
        <v>135</v>
      </c>
      <c r="R73">
        <v>90</v>
      </c>
      <c r="S73">
        <v>135</v>
      </c>
    </row>
    <row r="74" spans="3:19" x14ac:dyDescent="0.2">
      <c r="C74">
        <v>1049</v>
      </c>
      <c r="D74">
        <v>1049</v>
      </c>
      <c r="E74">
        <v>1</v>
      </c>
      <c r="F74" t="s">
        <v>1069</v>
      </c>
      <c r="G74" t="s">
        <v>1070</v>
      </c>
      <c r="H74" t="s">
        <v>1071</v>
      </c>
      <c r="I74">
        <v>5</v>
      </c>
      <c r="J74">
        <v>5</v>
      </c>
      <c r="K74">
        <v>100</v>
      </c>
      <c r="L74">
        <v>100</v>
      </c>
      <c r="M74">
        <v>100</v>
      </c>
      <c r="N74">
        <v>108</v>
      </c>
      <c r="O74">
        <v>151</v>
      </c>
      <c r="P74">
        <v>90</v>
      </c>
      <c r="Q74">
        <v>135</v>
      </c>
      <c r="R74">
        <v>90</v>
      </c>
      <c r="S74">
        <v>135</v>
      </c>
    </row>
    <row r="75" spans="3:19" x14ac:dyDescent="0.2">
      <c r="C75">
        <v>1050</v>
      </c>
      <c r="D75">
        <v>1050</v>
      </c>
      <c r="E75">
        <v>1</v>
      </c>
      <c r="F75" t="s">
        <v>1072</v>
      </c>
      <c r="G75" t="s">
        <v>1073</v>
      </c>
      <c r="H75" t="s">
        <v>1074</v>
      </c>
      <c r="I75">
        <v>5</v>
      </c>
      <c r="J75">
        <v>5</v>
      </c>
      <c r="K75">
        <v>100</v>
      </c>
      <c r="L75">
        <v>100</v>
      </c>
      <c r="M75">
        <v>100</v>
      </c>
      <c r="N75">
        <v>107</v>
      </c>
      <c r="O75">
        <v>151</v>
      </c>
      <c r="P75">
        <v>90</v>
      </c>
      <c r="Q75">
        <v>135</v>
      </c>
      <c r="R75">
        <v>90</v>
      </c>
      <c r="S75">
        <v>135</v>
      </c>
    </row>
    <row r="76" spans="3:19" x14ac:dyDescent="0.2">
      <c r="C76">
        <v>1051</v>
      </c>
      <c r="D76">
        <v>1051</v>
      </c>
      <c r="E76">
        <v>1</v>
      </c>
      <c r="F76" t="s">
        <v>1075</v>
      </c>
      <c r="G76" t="s">
        <v>1076</v>
      </c>
      <c r="H76" t="s">
        <v>1077</v>
      </c>
      <c r="I76">
        <v>5</v>
      </c>
      <c r="J76">
        <v>5</v>
      </c>
      <c r="K76">
        <v>100</v>
      </c>
      <c r="L76">
        <v>100</v>
      </c>
      <c r="M76">
        <v>100</v>
      </c>
      <c r="N76">
        <v>107</v>
      </c>
      <c r="O76">
        <v>151</v>
      </c>
      <c r="P76">
        <v>90</v>
      </c>
      <c r="Q76">
        <v>135</v>
      </c>
      <c r="R76">
        <v>90</v>
      </c>
      <c r="S76">
        <v>135</v>
      </c>
    </row>
    <row r="77" spans="3:19" x14ac:dyDescent="0.2">
      <c r="C77">
        <v>1052</v>
      </c>
      <c r="D77">
        <v>1052</v>
      </c>
      <c r="E77">
        <v>1</v>
      </c>
      <c r="F77" t="s">
        <v>1078</v>
      </c>
      <c r="G77" t="s">
        <v>1079</v>
      </c>
      <c r="H77" t="s">
        <v>1080</v>
      </c>
      <c r="I77">
        <v>5</v>
      </c>
      <c r="J77">
        <v>5</v>
      </c>
      <c r="K77">
        <v>100</v>
      </c>
      <c r="L77">
        <v>100</v>
      </c>
      <c r="M77">
        <v>100</v>
      </c>
      <c r="N77">
        <v>107</v>
      </c>
      <c r="O77">
        <v>151</v>
      </c>
      <c r="P77">
        <v>90</v>
      </c>
      <c r="Q77">
        <v>135</v>
      </c>
      <c r="R77">
        <v>90</v>
      </c>
      <c r="S77">
        <v>135</v>
      </c>
    </row>
    <row r="78" spans="3:19" x14ac:dyDescent="0.2">
      <c r="C78">
        <v>1053</v>
      </c>
      <c r="D78">
        <v>1053</v>
      </c>
      <c r="E78">
        <v>1</v>
      </c>
      <c r="F78" t="s">
        <v>1081</v>
      </c>
      <c r="G78" t="s">
        <v>1082</v>
      </c>
      <c r="H78" t="s">
        <v>1083</v>
      </c>
      <c r="I78">
        <v>5</v>
      </c>
      <c r="J78">
        <v>5</v>
      </c>
      <c r="K78">
        <v>100</v>
      </c>
      <c r="L78">
        <v>90</v>
      </c>
      <c r="M78">
        <v>80</v>
      </c>
      <c r="N78">
        <v>110</v>
      </c>
      <c r="O78">
        <v>137</v>
      </c>
      <c r="P78">
        <v>100</v>
      </c>
      <c r="Q78">
        <v>130</v>
      </c>
      <c r="R78">
        <v>100</v>
      </c>
      <c r="S78">
        <v>130</v>
      </c>
    </row>
    <row r="79" spans="3:19" x14ac:dyDescent="0.2">
      <c r="C79">
        <v>1054</v>
      </c>
      <c r="D79">
        <v>1054</v>
      </c>
      <c r="E79">
        <v>1</v>
      </c>
      <c r="F79" t="s">
        <v>1084</v>
      </c>
      <c r="G79" t="s">
        <v>1085</v>
      </c>
      <c r="H79" t="s">
        <v>1086</v>
      </c>
      <c r="I79">
        <v>5</v>
      </c>
      <c r="J79">
        <v>5</v>
      </c>
      <c r="K79">
        <v>100</v>
      </c>
      <c r="L79">
        <v>90</v>
      </c>
      <c r="M79">
        <v>80</v>
      </c>
      <c r="N79">
        <v>114</v>
      </c>
      <c r="O79">
        <v>141</v>
      </c>
      <c r="P79">
        <v>100</v>
      </c>
      <c r="Q79">
        <v>130</v>
      </c>
      <c r="R79">
        <v>100</v>
      </c>
      <c r="S79">
        <v>130</v>
      </c>
    </row>
    <row r="80" spans="3:19" x14ac:dyDescent="0.2">
      <c r="C80">
        <v>1055</v>
      </c>
      <c r="D80">
        <v>1055</v>
      </c>
      <c r="E80">
        <v>1</v>
      </c>
      <c r="F80" t="s">
        <v>1087</v>
      </c>
      <c r="G80" t="s">
        <v>1088</v>
      </c>
      <c r="H80" t="s">
        <v>1089</v>
      </c>
      <c r="I80">
        <v>5</v>
      </c>
      <c r="J80">
        <v>5</v>
      </c>
      <c r="K80">
        <v>100</v>
      </c>
      <c r="L80">
        <v>90</v>
      </c>
      <c r="M80">
        <v>80</v>
      </c>
      <c r="N80">
        <v>112</v>
      </c>
      <c r="O80">
        <v>136</v>
      </c>
      <c r="P80">
        <v>100</v>
      </c>
      <c r="Q80">
        <v>130</v>
      </c>
      <c r="R80">
        <v>100</v>
      </c>
      <c r="S80">
        <v>130</v>
      </c>
    </row>
    <row r="81" spans="3:19" x14ac:dyDescent="0.2">
      <c r="C81">
        <v>1056</v>
      </c>
      <c r="D81">
        <v>1056</v>
      </c>
      <c r="E81">
        <v>1</v>
      </c>
      <c r="F81" t="s">
        <v>1090</v>
      </c>
      <c r="G81" t="s">
        <v>1091</v>
      </c>
      <c r="H81" t="s">
        <v>1092</v>
      </c>
      <c r="I81">
        <v>5</v>
      </c>
      <c r="J81">
        <v>5</v>
      </c>
      <c r="K81">
        <v>100</v>
      </c>
      <c r="L81">
        <v>90</v>
      </c>
      <c r="M81">
        <v>80</v>
      </c>
      <c r="N81">
        <v>116</v>
      </c>
      <c r="O81">
        <v>143</v>
      </c>
      <c r="P81">
        <v>100</v>
      </c>
      <c r="Q81">
        <v>130</v>
      </c>
      <c r="R81">
        <v>100</v>
      </c>
      <c r="S81">
        <v>130</v>
      </c>
    </row>
    <row r="82" spans="3:19" x14ac:dyDescent="0.2">
      <c r="C82">
        <v>1057</v>
      </c>
      <c r="D82">
        <v>1057</v>
      </c>
      <c r="E82">
        <v>1</v>
      </c>
      <c r="F82" t="s">
        <v>1093</v>
      </c>
      <c r="G82" t="s">
        <v>1094</v>
      </c>
      <c r="H82" t="s">
        <v>1095</v>
      </c>
      <c r="I82">
        <v>5</v>
      </c>
      <c r="J82">
        <v>5</v>
      </c>
      <c r="K82">
        <v>100</v>
      </c>
      <c r="L82">
        <v>90</v>
      </c>
      <c r="M82">
        <v>80</v>
      </c>
      <c r="N82">
        <v>119</v>
      </c>
      <c r="O82">
        <v>146</v>
      </c>
      <c r="P82">
        <v>100</v>
      </c>
      <c r="Q82">
        <v>130</v>
      </c>
      <c r="R82">
        <v>100</v>
      </c>
      <c r="S82">
        <v>130</v>
      </c>
    </row>
    <row r="83" spans="3:19" x14ac:dyDescent="0.2">
      <c r="C83">
        <v>1058</v>
      </c>
      <c r="D83">
        <v>1058</v>
      </c>
      <c r="E83">
        <v>1</v>
      </c>
      <c r="F83" t="s">
        <v>1096</v>
      </c>
      <c r="G83" t="s">
        <v>1097</v>
      </c>
      <c r="H83" t="s">
        <v>1098</v>
      </c>
      <c r="I83">
        <v>5</v>
      </c>
      <c r="J83">
        <v>5</v>
      </c>
      <c r="K83">
        <v>100</v>
      </c>
      <c r="L83">
        <v>75</v>
      </c>
      <c r="M83">
        <v>66</v>
      </c>
      <c r="N83">
        <v>58</v>
      </c>
      <c r="O83">
        <v>101</v>
      </c>
      <c r="P83">
        <v>55</v>
      </c>
      <c r="Q83">
        <v>90</v>
      </c>
      <c r="R83">
        <v>55</v>
      </c>
      <c r="S83">
        <v>90</v>
      </c>
    </row>
    <row r="84" spans="3:19" x14ac:dyDescent="0.2">
      <c r="C84">
        <v>1059</v>
      </c>
      <c r="D84">
        <v>1059</v>
      </c>
      <c r="E84">
        <v>1</v>
      </c>
      <c r="F84" t="s">
        <v>1099</v>
      </c>
      <c r="G84" t="s">
        <v>1100</v>
      </c>
      <c r="H84" t="s">
        <v>1101</v>
      </c>
      <c r="I84">
        <v>5</v>
      </c>
      <c r="J84">
        <v>5</v>
      </c>
      <c r="K84">
        <v>100</v>
      </c>
      <c r="L84">
        <v>75</v>
      </c>
      <c r="M84">
        <v>66</v>
      </c>
      <c r="N84">
        <v>61</v>
      </c>
      <c r="O84">
        <v>101</v>
      </c>
      <c r="P84">
        <v>55</v>
      </c>
      <c r="Q84">
        <v>90</v>
      </c>
      <c r="R84">
        <v>55</v>
      </c>
      <c r="S84">
        <v>90</v>
      </c>
    </row>
    <row r="85" spans="3:19" x14ac:dyDescent="0.2">
      <c r="C85">
        <v>1060</v>
      </c>
      <c r="D85">
        <v>1060</v>
      </c>
      <c r="E85">
        <v>1</v>
      </c>
      <c r="F85" t="s">
        <v>1102</v>
      </c>
      <c r="G85" t="s">
        <v>1103</v>
      </c>
      <c r="H85" t="s">
        <v>1104</v>
      </c>
      <c r="I85">
        <v>5</v>
      </c>
      <c r="J85">
        <v>5</v>
      </c>
      <c r="K85">
        <v>100</v>
      </c>
      <c r="L85">
        <v>75</v>
      </c>
      <c r="M85">
        <v>66</v>
      </c>
      <c r="N85">
        <v>66</v>
      </c>
      <c r="O85">
        <v>111</v>
      </c>
      <c r="P85">
        <v>55</v>
      </c>
      <c r="Q85">
        <v>90</v>
      </c>
      <c r="R85">
        <v>55</v>
      </c>
      <c r="S85">
        <v>90</v>
      </c>
    </row>
    <row r="86" spans="3:19" x14ac:dyDescent="0.2">
      <c r="C86">
        <v>1061</v>
      </c>
      <c r="D86">
        <v>1061</v>
      </c>
      <c r="E86">
        <v>1</v>
      </c>
      <c r="F86" t="s">
        <v>1105</v>
      </c>
      <c r="G86" t="s">
        <v>1106</v>
      </c>
      <c r="H86" t="s">
        <v>1107</v>
      </c>
      <c r="I86">
        <v>5</v>
      </c>
      <c r="J86">
        <v>5</v>
      </c>
      <c r="K86">
        <v>100</v>
      </c>
      <c r="L86">
        <v>75</v>
      </c>
      <c r="M86">
        <v>66</v>
      </c>
      <c r="N86">
        <v>67</v>
      </c>
      <c r="O86">
        <v>109</v>
      </c>
      <c r="P86">
        <v>55</v>
      </c>
      <c r="Q86">
        <v>90</v>
      </c>
      <c r="R86">
        <v>55</v>
      </c>
      <c r="S86">
        <v>90</v>
      </c>
    </row>
    <row r="87" spans="3:19" x14ac:dyDescent="0.2">
      <c r="C87">
        <v>1062</v>
      </c>
      <c r="D87">
        <v>1062</v>
      </c>
      <c r="E87">
        <v>1</v>
      </c>
      <c r="F87" t="s">
        <v>1108</v>
      </c>
      <c r="G87" t="s">
        <v>1109</v>
      </c>
      <c r="H87" t="s">
        <v>1110</v>
      </c>
      <c r="I87">
        <v>5</v>
      </c>
      <c r="J87">
        <v>5</v>
      </c>
      <c r="K87">
        <v>100</v>
      </c>
      <c r="L87">
        <v>75</v>
      </c>
      <c r="M87">
        <v>66</v>
      </c>
      <c r="N87">
        <v>65</v>
      </c>
      <c r="O87">
        <v>107</v>
      </c>
      <c r="P87">
        <v>55</v>
      </c>
      <c r="Q87">
        <v>90</v>
      </c>
      <c r="R87">
        <v>55</v>
      </c>
      <c r="S87">
        <v>90</v>
      </c>
    </row>
    <row r="88" spans="3:19" x14ac:dyDescent="0.2">
      <c r="C88">
        <v>1063</v>
      </c>
      <c r="D88">
        <v>1063</v>
      </c>
      <c r="E88">
        <v>1</v>
      </c>
      <c r="F88" t="s">
        <v>1111</v>
      </c>
      <c r="G88" t="s">
        <v>1112</v>
      </c>
      <c r="H88" t="s">
        <v>1113</v>
      </c>
      <c r="I88">
        <v>5</v>
      </c>
      <c r="J88">
        <v>5</v>
      </c>
      <c r="K88">
        <v>100</v>
      </c>
      <c r="L88">
        <v>100</v>
      </c>
      <c r="M88">
        <v>100</v>
      </c>
      <c r="N88">
        <v>21</v>
      </c>
      <c r="O88">
        <v>81</v>
      </c>
      <c r="P88">
        <v>20</v>
      </c>
      <c r="Q88">
        <v>70</v>
      </c>
      <c r="R88">
        <v>20</v>
      </c>
      <c r="S88">
        <v>70</v>
      </c>
    </row>
    <row r="89" spans="3:19" x14ac:dyDescent="0.2">
      <c r="C89">
        <v>1064</v>
      </c>
      <c r="D89">
        <v>1064</v>
      </c>
      <c r="E89">
        <v>1</v>
      </c>
      <c r="F89" t="s">
        <v>1114</v>
      </c>
      <c r="G89" t="s">
        <v>1115</v>
      </c>
      <c r="H89" t="s">
        <v>1116</v>
      </c>
      <c r="I89">
        <v>5</v>
      </c>
      <c r="J89">
        <v>5</v>
      </c>
      <c r="K89">
        <v>100</v>
      </c>
      <c r="L89">
        <v>100</v>
      </c>
      <c r="M89">
        <v>100</v>
      </c>
      <c r="N89">
        <v>24</v>
      </c>
      <c r="O89">
        <v>85</v>
      </c>
      <c r="P89">
        <v>20</v>
      </c>
      <c r="Q89">
        <v>70</v>
      </c>
      <c r="R89">
        <v>20</v>
      </c>
      <c r="S89">
        <v>70</v>
      </c>
    </row>
    <row r="90" spans="3:19" x14ac:dyDescent="0.2">
      <c r="C90">
        <v>1065</v>
      </c>
      <c r="D90">
        <v>1065</v>
      </c>
      <c r="E90">
        <v>1</v>
      </c>
      <c r="F90" t="s">
        <v>1117</v>
      </c>
      <c r="G90" t="s">
        <v>1118</v>
      </c>
      <c r="H90" t="s">
        <v>1119</v>
      </c>
      <c r="I90">
        <v>5</v>
      </c>
      <c r="J90">
        <v>5</v>
      </c>
      <c r="K90">
        <v>100</v>
      </c>
      <c r="L90">
        <v>100</v>
      </c>
      <c r="M90">
        <v>100</v>
      </c>
      <c r="N90">
        <v>23</v>
      </c>
      <c r="O90">
        <v>89</v>
      </c>
      <c r="P90">
        <v>20</v>
      </c>
      <c r="Q90">
        <v>70</v>
      </c>
      <c r="R90">
        <v>20</v>
      </c>
      <c r="S90">
        <v>70</v>
      </c>
    </row>
    <row r="91" spans="3:19" x14ac:dyDescent="0.2">
      <c r="C91">
        <v>1066</v>
      </c>
      <c r="D91">
        <v>1066</v>
      </c>
      <c r="E91">
        <v>1</v>
      </c>
      <c r="F91" t="s">
        <v>1120</v>
      </c>
      <c r="G91" t="s">
        <v>1121</v>
      </c>
      <c r="H91" t="s">
        <v>1122</v>
      </c>
      <c r="I91">
        <v>5</v>
      </c>
      <c r="J91">
        <v>5</v>
      </c>
      <c r="K91">
        <v>100</v>
      </c>
      <c r="L91">
        <v>100</v>
      </c>
      <c r="M91">
        <v>100</v>
      </c>
      <c r="N91">
        <v>21</v>
      </c>
      <c r="O91">
        <v>86</v>
      </c>
      <c r="P91">
        <v>20</v>
      </c>
      <c r="Q91">
        <v>70</v>
      </c>
      <c r="R91">
        <v>20</v>
      </c>
      <c r="S91">
        <v>70</v>
      </c>
    </row>
    <row r="92" spans="3:19" x14ac:dyDescent="0.2">
      <c r="C92">
        <v>1067</v>
      </c>
      <c r="D92">
        <v>1067</v>
      </c>
      <c r="E92">
        <v>1</v>
      </c>
      <c r="F92" t="s">
        <v>1123</v>
      </c>
      <c r="G92" t="s">
        <v>1124</v>
      </c>
      <c r="H92" t="s">
        <v>1125</v>
      </c>
      <c r="I92">
        <v>5</v>
      </c>
      <c r="J92">
        <v>5</v>
      </c>
      <c r="K92">
        <v>100</v>
      </c>
      <c r="L92">
        <v>100</v>
      </c>
      <c r="M92">
        <v>100</v>
      </c>
      <c r="N92">
        <v>22</v>
      </c>
      <c r="O92">
        <v>87</v>
      </c>
      <c r="P92">
        <v>20</v>
      </c>
      <c r="Q92">
        <v>70</v>
      </c>
      <c r="R92">
        <v>20</v>
      </c>
      <c r="S92">
        <v>70</v>
      </c>
    </row>
    <row r="93" spans="3:19" x14ac:dyDescent="0.2">
      <c r="C93">
        <v>1068</v>
      </c>
      <c r="D93">
        <v>1068</v>
      </c>
      <c r="E93">
        <v>1</v>
      </c>
      <c r="F93" t="s">
        <v>1126</v>
      </c>
      <c r="G93" t="s">
        <v>1127</v>
      </c>
      <c r="H93" t="s">
        <v>1128</v>
      </c>
      <c r="I93">
        <v>5</v>
      </c>
      <c r="J93">
        <v>5</v>
      </c>
      <c r="K93">
        <v>100</v>
      </c>
      <c r="L93">
        <v>75</v>
      </c>
      <c r="M93">
        <v>50</v>
      </c>
      <c r="N93">
        <v>139</v>
      </c>
      <c r="O93">
        <v>174</v>
      </c>
      <c r="P93">
        <v>110</v>
      </c>
      <c r="Q93">
        <v>150</v>
      </c>
      <c r="R93">
        <v>110</v>
      </c>
      <c r="S93">
        <v>150</v>
      </c>
    </row>
    <row r="94" spans="3:19" x14ac:dyDescent="0.2">
      <c r="C94">
        <v>1069</v>
      </c>
      <c r="D94">
        <v>1069</v>
      </c>
      <c r="E94">
        <v>1</v>
      </c>
      <c r="F94" t="s">
        <v>1129</v>
      </c>
      <c r="G94" t="s">
        <v>1127</v>
      </c>
      <c r="H94" t="s">
        <v>1130</v>
      </c>
      <c r="I94">
        <v>5</v>
      </c>
      <c r="J94">
        <v>5</v>
      </c>
      <c r="K94">
        <v>100</v>
      </c>
      <c r="L94">
        <v>75</v>
      </c>
      <c r="M94">
        <v>50</v>
      </c>
      <c r="N94">
        <v>139</v>
      </c>
      <c r="O94">
        <v>173</v>
      </c>
      <c r="P94">
        <v>110</v>
      </c>
      <c r="Q94">
        <v>150</v>
      </c>
      <c r="R94">
        <v>110</v>
      </c>
      <c r="S94">
        <v>150</v>
      </c>
    </row>
    <row r="95" spans="3:19" x14ac:dyDescent="0.2">
      <c r="C95">
        <v>1070</v>
      </c>
      <c r="D95">
        <v>1070</v>
      </c>
      <c r="E95">
        <v>1</v>
      </c>
      <c r="F95" t="s">
        <v>1131</v>
      </c>
      <c r="G95" t="s">
        <v>1132</v>
      </c>
      <c r="H95" t="s">
        <v>1133</v>
      </c>
      <c r="I95">
        <v>5</v>
      </c>
      <c r="J95">
        <v>5</v>
      </c>
      <c r="K95">
        <v>100</v>
      </c>
      <c r="L95">
        <v>75</v>
      </c>
      <c r="M95">
        <v>50</v>
      </c>
      <c r="N95">
        <v>141</v>
      </c>
      <c r="O95">
        <v>173</v>
      </c>
      <c r="P95">
        <v>110</v>
      </c>
      <c r="Q95">
        <v>150</v>
      </c>
      <c r="R95">
        <v>110</v>
      </c>
      <c r="S95">
        <v>150</v>
      </c>
    </row>
    <row r="96" spans="3:19" x14ac:dyDescent="0.2">
      <c r="C96">
        <v>1071</v>
      </c>
      <c r="D96">
        <v>1071</v>
      </c>
      <c r="E96">
        <v>1</v>
      </c>
      <c r="F96" t="s">
        <v>1134</v>
      </c>
      <c r="G96" t="s">
        <v>1135</v>
      </c>
      <c r="H96" t="s">
        <v>1136</v>
      </c>
      <c r="I96">
        <v>5</v>
      </c>
      <c r="J96">
        <v>5</v>
      </c>
      <c r="K96">
        <v>100</v>
      </c>
      <c r="L96">
        <v>75</v>
      </c>
      <c r="M96">
        <v>50</v>
      </c>
      <c r="N96">
        <v>139</v>
      </c>
      <c r="O96">
        <v>171</v>
      </c>
      <c r="P96">
        <v>110</v>
      </c>
      <c r="Q96">
        <v>150</v>
      </c>
      <c r="R96">
        <v>110</v>
      </c>
      <c r="S96">
        <v>150</v>
      </c>
    </row>
    <row r="97" spans="3:19" x14ac:dyDescent="0.2">
      <c r="C97">
        <v>1072</v>
      </c>
      <c r="D97">
        <v>1072</v>
      </c>
      <c r="E97">
        <v>1</v>
      </c>
      <c r="F97" t="s">
        <v>1137</v>
      </c>
      <c r="G97" t="s">
        <v>1138</v>
      </c>
      <c r="H97" t="s">
        <v>1139</v>
      </c>
      <c r="I97">
        <v>5</v>
      </c>
      <c r="J97">
        <v>5</v>
      </c>
      <c r="K97">
        <v>100</v>
      </c>
      <c r="L97">
        <v>75</v>
      </c>
      <c r="M97">
        <v>50</v>
      </c>
      <c r="N97">
        <v>140</v>
      </c>
      <c r="O97">
        <v>172</v>
      </c>
      <c r="P97">
        <v>110</v>
      </c>
      <c r="Q97">
        <v>150</v>
      </c>
      <c r="R97">
        <v>110</v>
      </c>
      <c r="S97">
        <v>150</v>
      </c>
    </row>
    <row r="98" spans="3:19" x14ac:dyDescent="0.2">
      <c r="C98">
        <v>1073</v>
      </c>
      <c r="D98">
        <v>1073</v>
      </c>
      <c r="E98">
        <v>1</v>
      </c>
      <c r="F98" t="s">
        <v>1140</v>
      </c>
      <c r="G98" t="s">
        <v>1141</v>
      </c>
      <c r="H98" t="s">
        <v>1142</v>
      </c>
      <c r="I98">
        <v>5</v>
      </c>
      <c r="J98">
        <v>5</v>
      </c>
      <c r="K98">
        <v>100</v>
      </c>
      <c r="L98">
        <v>75</v>
      </c>
      <c r="M98">
        <v>50</v>
      </c>
      <c r="N98">
        <v>67</v>
      </c>
      <c r="O98">
        <v>109</v>
      </c>
      <c r="P98">
        <v>75</v>
      </c>
      <c r="Q98">
        <v>110</v>
      </c>
      <c r="R98">
        <v>75</v>
      </c>
      <c r="S98">
        <v>110</v>
      </c>
    </row>
    <row r="99" spans="3:19" x14ac:dyDescent="0.2">
      <c r="C99">
        <v>1074</v>
      </c>
      <c r="D99">
        <v>1074</v>
      </c>
      <c r="E99">
        <v>1</v>
      </c>
      <c r="F99" t="s">
        <v>1143</v>
      </c>
      <c r="G99" t="s">
        <v>1144</v>
      </c>
      <c r="H99" t="s">
        <v>1145</v>
      </c>
      <c r="I99">
        <v>5</v>
      </c>
      <c r="J99">
        <v>5</v>
      </c>
      <c r="K99">
        <v>100</v>
      </c>
      <c r="L99">
        <v>75</v>
      </c>
      <c r="M99">
        <v>50</v>
      </c>
      <c r="N99">
        <v>66</v>
      </c>
      <c r="O99">
        <v>107</v>
      </c>
      <c r="P99">
        <v>75</v>
      </c>
      <c r="Q99">
        <v>110</v>
      </c>
      <c r="R99">
        <v>75</v>
      </c>
      <c r="S99">
        <v>110</v>
      </c>
    </row>
    <row r="100" spans="3:19" x14ac:dyDescent="0.2">
      <c r="C100">
        <v>1075</v>
      </c>
      <c r="D100">
        <v>1075</v>
      </c>
      <c r="E100">
        <v>1</v>
      </c>
      <c r="F100" t="s">
        <v>1146</v>
      </c>
      <c r="G100" t="s">
        <v>1147</v>
      </c>
      <c r="H100" t="s">
        <v>1148</v>
      </c>
      <c r="I100">
        <v>5</v>
      </c>
      <c r="J100">
        <v>5</v>
      </c>
      <c r="K100">
        <v>100</v>
      </c>
      <c r="L100">
        <v>75</v>
      </c>
      <c r="M100">
        <v>50</v>
      </c>
      <c r="N100">
        <v>66</v>
      </c>
      <c r="O100">
        <v>108</v>
      </c>
      <c r="P100">
        <v>75</v>
      </c>
      <c r="Q100">
        <v>110</v>
      </c>
      <c r="R100">
        <v>75</v>
      </c>
      <c r="S100">
        <v>110</v>
      </c>
    </row>
    <row r="101" spans="3:19" x14ac:dyDescent="0.2">
      <c r="C101">
        <v>1076</v>
      </c>
      <c r="D101">
        <v>1076</v>
      </c>
      <c r="E101">
        <v>1</v>
      </c>
      <c r="F101" t="s">
        <v>1149</v>
      </c>
      <c r="G101" t="s">
        <v>1150</v>
      </c>
      <c r="H101" t="s">
        <v>1151</v>
      </c>
      <c r="I101">
        <v>5</v>
      </c>
      <c r="J101">
        <v>5</v>
      </c>
      <c r="K101">
        <v>100</v>
      </c>
      <c r="L101">
        <v>75</v>
      </c>
      <c r="M101">
        <v>50</v>
      </c>
      <c r="N101">
        <v>66</v>
      </c>
      <c r="O101">
        <v>107</v>
      </c>
      <c r="P101">
        <v>75</v>
      </c>
      <c r="Q101">
        <v>110</v>
      </c>
      <c r="R101">
        <v>75</v>
      </c>
      <c r="S101">
        <v>110</v>
      </c>
    </row>
    <row r="102" spans="3:19" x14ac:dyDescent="0.2">
      <c r="C102">
        <v>1077</v>
      </c>
      <c r="D102">
        <v>1077</v>
      </c>
      <c r="E102">
        <v>1</v>
      </c>
      <c r="F102" t="s">
        <v>1152</v>
      </c>
      <c r="G102" t="s">
        <v>1153</v>
      </c>
      <c r="H102" t="s">
        <v>1154</v>
      </c>
      <c r="I102">
        <v>5</v>
      </c>
      <c r="J102">
        <v>5</v>
      </c>
      <c r="K102">
        <v>100</v>
      </c>
      <c r="L102">
        <v>75</v>
      </c>
      <c r="M102">
        <v>50</v>
      </c>
      <c r="N102">
        <v>65</v>
      </c>
      <c r="O102">
        <v>107</v>
      </c>
      <c r="P102">
        <v>75</v>
      </c>
      <c r="Q102">
        <v>110</v>
      </c>
      <c r="R102">
        <v>75</v>
      </c>
      <c r="S102">
        <v>110</v>
      </c>
    </row>
    <row r="103" spans="3:19" x14ac:dyDescent="0.2">
      <c r="C103">
        <v>1078</v>
      </c>
      <c r="D103">
        <v>1078</v>
      </c>
      <c r="E103">
        <v>1</v>
      </c>
      <c r="F103" t="s">
        <v>1155</v>
      </c>
      <c r="G103" t="s">
        <v>1156</v>
      </c>
      <c r="H103" t="s">
        <v>1157</v>
      </c>
      <c r="I103">
        <v>5</v>
      </c>
      <c r="J103">
        <v>5</v>
      </c>
      <c r="K103">
        <v>100</v>
      </c>
      <c r="L103">
        <v>85</v>
      </c>
      <c r="M103">
        <v>75</v>
      </c>
      <c r="N103">
        <v>67</v>
      </c>
      <c r="O103">
        <v>194</v>
      </c>
      <c r="P103">
        <v>40</v>
      </c>
      <c r="Q103">
        <v>80</v>
      </c>
      <c r="R103">
        <v>40</v>
      </c>
      <c r="S103">
        <v>80</v>
      </c>
    </row>
    <row r="104" spans="3:19" x14ac:dyDescent="0.2">
      <c r="C104">
        <v>1079</v>
      </c>
      <c r="D104">
        <v>1079</v>
      </c>
      <c r="E104">
        <v>1</v>
      </c>
      <c r="F104" t="s">
        <v>1158</v>
      </c>
      <c r="G104" t="s">
        <v>1159</v>
      </c>
      <c r="H104" t="s">
        <v>1160</v>
      </c>
      <c r="I104">
        <v>5</v>
      </c>
      <c r="J104">
        <v>5</v>
      </c>
      <c r="K104">
        <v>100</v>
      </c>
      <c r="L104">
        <v>85</v>
      </c>
      <c r="M104">
        <v>75</v>
      </c>
      <c r="N104">
        <v>66</v>
      </c>
      <c r="O104">
        <v>194</v>
      </c>
      <c r="P104">
        <v>40</v>
      </c>
      <c r="Q104">
        <v>80</v>
      </c>
      <c r="R104">
        <v>40</v>
      </c>
      <c r="S104">
        <v>80</v>
      </c>
    </row>
    <row r="105" spans="3:19" x14ac:dyDescent="0.2">
      <c r="C105">
        <v>1080</v>
      </c>
      <c r="D105">
        <v>1080</v>
      </c>
      <c r="E105">
        <v>1</v>
      </c>
      <c r="F105" t="s">
        <v>1161</v>
      </c>
      <c r="G105" t="s">
        <v>1162</v>
      </c>
      <c r="H105" t="s">
        <v>1163</v>
      </c>
      <c r="I105">
        <v>5</v>
      </c>
      <c r="J105">
        <v>5</v>
      </c>
      <c r="K105">
        <v>100</v>
      </c>
      <c r="L105">
        <v>85</v>
      </c>
      <c r="M105">
        <v>75</v>
      </c>
      <c r="N105">
        <v>64</v>
      </c>
      <c r="O105">
        <v>192</v>
      </c>
      <c r="P105">
        <v>40</v>
      </c>
      <c r="Q105">
        <v>80</v>
      </c>
      <c r="R105">
        <v>40</v>
      </c>
      <c r="S105">
        <v>80</v>
      </c>
    </row>
    <row r="106" spans="3:19" x14ac:dyDescent="0.2">
      <c r="C106">
        <v>1081</v>
      </c>
      <c r="D106">
        <v>1081</v>
      </c>
      <c r="E106">
        <v>1</v>
      </c>
      <c r="F106" t="s">
        <v>1164</v>
      </c>
      <c r="G106" t="s">
        <v>1165</v>
      </c>
      <c r="H106" t="s">
        <v>1166</v>
      </c>
      <c r="I106">
        <v>5</v>
      </c>
      <c r="J106">
        <v>5</v>
      </c>
      <c r="K106">
        <v>100</v>
      </c>
      <c r="L106">
        <v>85</v>
      </c>
      <c r="M106">
        <v>75</v>
      </c>
      <c r="N106">
        <v>66</v>
      </c>
      <c r="O106">
        <v>192</v>
      </c>
      <c r="P106">
        <v>40</v>
      </c>
      <c r="Q106">
        <v>80</v>
      </c>
      <c r="R106">
        <v>40</v>
      </c>
      <c r="S106">
        <v>80</v>
      </c>
    </row>
    <row r="107" spans="3:19" x14ac:dyDescent="0.2">
      <c r="C107">
        <v>1082</v>
      </c>
      <c r="D107">
        <v>1082</v>
      </c>
      <c r="E107">
        <v>1</v>
      </c>
      <c r="F107" t="s">
        <v>1167</v>
      </c>
      <c r="G107" t="s">
        <v>1168</v>
      </c>
      <c r="H107" t="s">
        <v>1169</v>
      </c>
      <c r="I107">
        <v>5</v>
      </c>
      <c r="J107">
        <v>5</v>
      </c>
      <c r="K107">
        <v>100</v>
      </c>
      <c r="L107">
        <v>85</v>
      </c>
      <c r="M107">
        <v>75</v>
      </c>
      <c r="N107">
        <v>65</v>
      </c>
      <c r="O107">
        <v>193</v>
      </c>
      <c r="P107">
        <v>40</v>
      </c>
      <c r="Q107">
        <v>80</v>
      </c>
      <c r="R107">
        <v>40</v>
      </c>
      <c r="S107">
        <v>80</v>
      </c>
    </row>
    <row r="108" spans="3:19" x14ac:dyDescent="0.2">
      <c r="C108">
        <v>1083</v>
      </c>
      <c r="D108">
        <v>1083</v>
      </c>
      <c r="E108">
        <v>1</v>
      </c>
      <c r="F108" t="s">
        <v>1170</v>
      </c>
      <c r="G108" t="s">
        <v>1171</v>
      </c>
      <c r="H108" t="s">
        <v>1172</v>
      </c>
      <c r="I108">
        <v>5</v>
      </c>
      <c r="J108">
        <v>5</v>
      </c>
      <c r="K108">
        <v>100</v>
      </c>
      <c r="L108">
        <v>100</v>
      </c>
      <c r="M108">
        <v>100</v>
      </c>
      <c r="N108">
        <v>57</v>
      </c>
      <c r="O108">
        <v>97</v>
      </c>
      <c r="P108">
        <v>60</v>
      </c>
      <c r="Q108">
        <v>100</v>
      </c>
      <c r="R108">
        <v>60</v>
      </c>
      <c r="S108">
        <v>100</v>
      </c>
    </row>
    <row r="109" spans="3:19" x14ac:dyDescent="0.2">
      <c r="C109">
        <v>1084</v>
      </c>
      <c r="D109">
        <v>1084</v>
      </c>
      <c r="E109">
        <v>1</v>
      </c>
      <c r="F109" t="s">
        <v>1173</v>
      </c>
      <c r="G109" t="s">
        <v>1174</v>
      </c>
      <c r="H109" t="s">
        <v>1175</v>
      </c>
      <c r="I109">
        <v>5</v>
      </c>
      <c r="J109">
        <v>5</v>
      </c>
      <c r="K109">
        <v>100</v>
      </c>
      <c r="L109">
        <v>100</v>
      </c>
      <c r="M109">
        <v>100</v>
      </c>
      <c r="N109">
        <v>57</v>
      </c>
      <c r="O109">
        <v>97</v>
      </c>
      <c r="P109">
        <v>60</v>
      </c>
      <c r="Q109">
        <v>100</v>
      </c>
      <c r="R109">
        <v>60</v>
      </c>
      <c r="S109">
        <v>100</v>
      </c>
    </row>
    <row r="110" spans="3:19" x14ac:dyDescent="0.2">
      <c r="C110">
        <v>1085</v>
      </c>
      <c r="D110">
        <v>1085</v>
      </c>
      <c r="E110">
        <v>1</v>
      </c>
      <c r="F110" t="s">
        <v>1176</v>
      </c>
      <c r="G110" t="s">
        <v>1177</v>
      </c>
      <c r="H110" t="s">
        <v>1178</v>
      </c>
      <c r="I110">
        <v>5</v>
      </c>
      <c r="J110">
        <v>5</v>
      </c>
      <c r="K110">
        <v>100</v>
      </c>
      <c r="L110">
        <v>100</v>
      </c>
      <c r="M110">
        <v>100</v>
      </c>
      <c r="N110">
        <v>59</v>
      </c>
      <c r="O110">
        <v>95</v>
      </c>
      <c r="P110">
        <v>60</v>
      </c>
      <c r="Q110">
        <v>100</v>
      </c>
      <c r="R110">
        <v>60</v>
      </c>
      <c r="S110">
        <v>100</v>
      </c>
    </row>
    <row r="111" spans="3:19" x14ac:dyDescent="0.2">
      <c r="C111">
        <v>1086</v>
      </c>
      <c r="D111">
        <v>1086</v>
      </c>
      <c r="E111">
        <v>1</v>
      </c>
      <c r="F111" t="s">
        <v>1179</v>
      </c>
      <c r="G111" t="s">
        <v>1180</v>
      </c>
      <c r="H111" t="s">
        <v>1181</v>
      </c>
      <c r="I111">
        <v>5</v>
      </c>
      <c r="J111">
        <v>5</v>
      </c>
      <c r="K111">
        <v>100</v>
      </c>
      <c r="L111">
        <v>100</v>
      </c>
      <c r="M111">
        <v>100</v>
      </c>
      <c r="N111">
        <v>58</v>
      </c>
      <c r="O111">
        <v>96</v>
      </c>
      <c r="P111">
        <v>60</v>
      </c>
      <c r="Q111">
        <v>100</v>
      </c>
      <c r="R111">
        <v>60</v>
      </c>
      <c r="S111">
        <v>100</v>
      </c>
    </row>
    <row r="112" spans="3:19" x14ac:dyDescent="0.2">
      <c r="C112">
        <v>1087</v>
      </c>
      <c r="D112">
        <v>1087</v>
      </c>
      <c r="E112">
        <v>1</v>
      </c>
      <c r="F112" t="s">
        <v>1182</v>
      </c>
      <c r="G112" t="s">
        <v>1183</v>
      </c>
      <c r="H112" t="s">
        <v>1184</v>
      </c>
      <c r="I112">
        <v>5</v>
      </c>
      <c r="J112">
        <v>5</v>
      </c>
      <c r="N112">
        <v>21</v>
      </c>
      <c r="O112">
        <v>45</v>
      </c>
      <c r="P112">
        <v>20</v>
      </c>
      <c r="Q112">
        <v>40</v>
      </c>
      <c r="R112">
        <v>20</v>
      </c>
      <c r="S112">
        <v>40</v>
      </c>
    </row>
    <row r="113" spans="3:19" x14ac:dyDescent="0.2">
      <c r="C113">
        <v>1088</v>
      </c>
      <c r="D113">
        <v>1088</v>
      </c>
      <c r="E113">
        <v>1</v>
      </c>
      <c r="F113" t="s">
        <v>1185</v>
      </c>
      <c r="G113" t="s">
        <v>1186</v>
      </c>
      <c r="H113" t="s">
        <v>1184</v>
      </c>
      <c r="I113">
        <v>5</v>
      </c>
      <c r="J113">
        <v>5</v>
      </c>
      <c r="N113">
        <v>23</v>
      </c>
      <c r="O113">
        <v>45</v>
      </c>
      <c r="P113">
        <v>20</v>
      </c>
      <c r="Q113">
        <v>40</v>
      </c>
      <c r="R113">
        <v>20</v>
      </c>
      <c r="S113">
        <v>40</v>
      </c>
    </row>
    <row r="114" spans="3:19" x14ac:dyDescent="0.2">
      <c r="C114">
        <v>1089</v>
      </c>
      <c r="D114">
        <v>1089</v>
      </c>
      <c r="E114">
        <v>1</v>
      </c>
      <c r="F114" t="s">
        <v>1187</v>
      </c>
      <c r="G114" t="s">
        <v>1188</v>
      </c>
      <c r="H114" t="s">
        <v>1189</v>
      </c>
      <c r="I114">
        <v>5</v>
      </c>
      <c r="J114">
        <v>5</v>
      </c>
      <c r="N114">
        <v>21</v>
      </c>
      <c r="O114">
        <v>44</v>
      </c>
      <c r="P114">
        <v>20</v>
      </c>
      <c r="Q114">
        <v>40</v>
      </c>
      <c r="R114">
        <v>20</v>
      </c>
      <c r="S114">
        <v>40</v>
      </c>
    </row>
    <row r="115" spans="3:19" x14ac:dyDescent="0.2">
      <c r="C115">
        <v>1090</v>
      </c>
      <c r="D115">
        <v>1090</v>
      </c>
      <c r="E115">
        <v>1</v>
      </c>
      <c r="F115" t="s">
        <v>1190</v>
      </c>
      <c r="G115" t="s">
        <v>1191</v>
      </c>
      <c r="H115" t="s">
        <v>1192</v>
      </c>
      <c r="I115">
        <v>5</v>
      </c>
      <c r="J115">
        <v>5</v>
      </c>
      <c r="N115">
        <v>22</v>
      </c>
      <c r="O115">
        <v>44</v>
      </c>
      <c r="P115">
        <v>20</v>
      </c>
      <c r="Q115">
        <v>40</v>
      </c>
      <c r="R115">
        <v>20</v>
      </c>
      <c r="S115">
        <v>40</v>
      </c>
    </row>
    <row r="116" spans="3:19" x14ac:dyDescent="0.2">
      <c r="C116">
        <v>1091</v>
      </c>
      <c r="D116">
        <v>1091</v>
      </c>
      <c r="E116">
        <v>1</v>
      </c>
      <c r="F116" t="s">
        <v>1193</v>
      </c>
      <c r="G116" t="s">
        <v>1194</v>
      </c>
      <c r="H116" t="s">
        <v>1195</v>
      </c>
      <c r="I116">
        <v>5</v>
      </c>
      <c r="J116">
        <v>5</v>
      </c>
      <c r="K116">
        <v>100</v>
      </c>
      <c r="L116">
        <v>75</v>
      </c>
      <c r="M116">
        <v>50</v>
      </c>
      <c r="N116">
        <v>67</v>
      </c>
      <c r="O116">
        <v>111</v>
      </c>
      <c r="P116">
        <v>70</v>
      </c>
      <c r="Q116">
        <v>110</v>
      </c>
      <c r="R116">
        <v>70</v>
      </c>
      <c r="S116">
        <v>110</v>
      </c>
    </row>
    <row r="117" spans="3:19" x14ac:dyDescent="0.2">
      <c r="C117">
        <v>1092</v>
      </c>
      <c r="D117">
        <v>1092</v>
      </c>
      <c r="E117">
        <v>1</v>
      </c>
      <c r="F117" t="s">
        <v>1196</v>
      </c>
      <c r="G117" t="s">
        <v>1197</v>
      </c>
      <c r="H117" t="s">
        <v>1198</v>
      </c>
      <c r="I117">
        <v>8</v>
      </c>
      <c r="J117">
        <v>5</v>
      </c>
      <c r="K117">
        <v>100</v>
      </c>
      <c r="L117">
        <v>75</v>
      </c>
      <c r="M117">
        <v>50</v>
      </c>
      <c r="N117">
        <v>68</v>
      </c>
      <c r="O117">
        <v>112</v>
      </c>
      <c r="P117">
        <v>70</v>
      </c>
      <c r="Q117">
        <v>110</v>
      </c>
      <c r="R117">
        <v>70</v>
      </c>
      <c r="S117">
        <v>110</v>
      </c>
    </row>
    <row r="118" spans="3:19" x14ac:dyDescent="0.2">
      <c r="C118">
        <v>1093</v>
      </c>
      <c r="D118">
        <v>1093</v>
      </c>
      <c r="E118">
        <v>1</v>
      </c>
      <c r="F118" t="s">
        <v>1199</v>
      </c>
      <c r="G118" t="s">
        <v>1197</v>
      </c>
      <c r="H118" t="s">
        <v>1200</v>
      </c>
      <c r="I118">
        <v>10</v>
      </c>
      <c r="J118">
        <v>5</v>
      </c>
      <c r="K118">
        <v>100</v>
      </c>
      <c r="L118">
        <v>75</v>
      </c>
      <c r="M118">
        <v>50</v>
      </c>
      <c r="N118">
        <v>67</v>
      </c>
      <c r="O118">
        <v>112</v>
      </c>
      <c r="P118">
        <v>70</v>
      </c>
      <c r="Q118">
        <v>110</v>
      </c>
      <c r="R118">
        <v>70</v>
      </c>
      <c r="S118">
        <v>110</v>
      </c>
    </row>
    <row r="119" spans="3:19" x14ac:dyDescent="0.2">
      <c r="C119">
        <v>1094</v>
      </c>
      <c r="D119">
        <v>1094</v>
      </c>
      <c r="E119">
        <v>1</v>
      </c>
      <c r="F119" t="s">
        <v>1201</v>
      </c>
      <c r="G119" t="s">
        <v>1202</v>
      </c>
      <c r="H119" t="s">
        <v>1203</v>
      </c>
      <c r="I119">
        <v>13</v>
      </c>
      <c r="J119">
        <v>5</v>
      </c>
      <c r="K119">
        <v>100</v>
      </c>
      <c r="L119">
        <v>75</v>
      </c>
      <c r="M119">
        <v>50</v>
      </c>
      <c r="N119">
        <v>68</v>
      </c>
      <c r="O119">
        <v>111</v>
      </c>
      <c r="P119">
        <v>70</v>
      </c>
      <c r="Q119">
        <v>110</v>
      </c>
      <c r="R119">
        <v>70</v>
      </c>
      <c r="S119">
        <v>110</v>
      </c>
    </row>
    <row r="120" spans="3:19" x14ac:dyDescent="0.2">
      <c r="C120">
        <v>1095</v>
      </c>
      <c r="D120">
        <v>1095</v>
      </c>
      <c r="E120">
        <v>1</v>
      </c>
      <c r="F120" t="s">
        <v>1078</v>
      </c>
      <c r="G120" t="s">
        <v>1204</v>
      </c>
      <c r="H120" t="s">
        <v>1205</v>
      </c>
      <c r="I120">
        <v>15</v>
      </c>
      <c r="J120">
        <v>5</v>
      </c>
      <c r="K120">
        <v>100</v>
      </c>
      <c r="L120">
        <v>75</v>
      </c>
      <c r="M120">
        <v>50</v>
      </c>
      <c r="N120">
        <v>67</v>
      </c>
      <c r="O120">
        <v>111</v>
      </c>
      <c r="P120">
        <v>70</v>
      </c>
      <c r="Q120">
        <v>110</v>
      </c>
      <c r="R120">
        <v>70</v>
      </c>
      <c r="S120">
        <v>110</v>
      </c>
    </row>
    <row r="121" spans="3:19" x14ac:dyDescent="0.2">
      <c r="C121">
        <v>1096</v>
      </c>
      <c r="D121">
        <v>1096</v>
      </c>
      <c r="E121">
        <v>1</v>
      </c>
      <c r="F121" t="s">
        <v>1206</v>
      </c>
      <c r="G121" t="s">
        <v>1207</v>
      </c>
      <c r="H121" t="s">
        <v>1208</v>
      </c>
      <c r="I121">
        <v>5</v>
      </c>
      <c r="J121">
        <v>5</v>
      </c>
      <c r="K121">
        <v>100</v>
      </c>
      <c r="L121">
        <v>66</v>
      </c>
      <c r="M121">
        <v>33</v>
      </c>
      <c r="N121">
        <v>68</v>
      </c>
      <c r="O121">
        <v>158</v>
      </c>
      <c r="P121">
        <v>100</v>
      </c>
      <c r="Q121">
        <v>140</v>
      </c>
      <c r="R121">
        <v>100</v>
      </c>
      <c r="S121">
        <v>140</v>
      </c>
    </row>
    <row r="122" spans="3:19" x14ac:dyDescent="0.2">
      <c r="C122">
        <v>1097</v>
      </c>
      <c r="D122">
        <v>1097</v>
      </c>
      <c r="E122">
        <v>1</v>
      </c>
      <c r="F122" t="s">
        <v>1209</v>
      </c>
      <c r="G122" t="s">
        <v>1210</v>
      </c>
      <c r="H122" t="s">
        <v>1211</v>
      </c>
      <c r="I122">
        <v>5</v>
      </c>
      <c r="J122">
        <v>5</v>
      </c>
      <c r="K122">
        <v>100</v>
      </c>
      <c r="L122">
        <v>66</v>
      </c>
      <c r="M122">
        <v>33</v>
      </c>
      <c r="N122">
        <v>69</v>
      </c>
      <c r="O122">
        <v>157</v>
      </c>
      <c r="P122">
        <v>100</v>
      </c>
      <c r="Q122">
        <v>140</v>
      </c>
      <c r="R122">
        <v>100</v>
      </c>
      <c r="S122">
        <v>140</v>
      </c>
    </row>
    <row r="123" spans="3:19" x14ac:dyDescent="0.2">
      <c r="C123">
        <v>1098</v>
      </c>
      <c r="D123">
        <v>1098</v>
      </c>
      <c r="E123">
        <v>1</v>
      </c>
      <c r="F123" t="s">
        <v>1212</v>
      </c>
      <c r="G123" t="s">
        <v>1213</v>
      </c>
      <c r="H123" t="s">
        <v>1214</v>
      </c>
      <c r="I123">
        <v>5</v>
      </c>
      <c r="J123">
        <v>5</v>
      </c>
      <c r="K123">
        <v>100</v>
      </c>
      <c r="L123">
        <v>66</v>
      </c>
      <c r="M123">
        <v>33</v>
      </c>
      <c r="N123">
        <v>69</v>
      </c>
      <c r="O123">
        <v>156</v>
      </c>
      <c r="P123">
        <v>100</v>
      </c>
      <c r="Q123">
        <v>140</v>
      </c>
      <c r="R123">
        <v>100</v>
      </c>
      <c r="S123">
        <v>140</v>
      </c>
    </row>
    <row r="124" spans="3:19" x14ac:dyDescent="0.2">
      <c r="C124">
        <v>1099</v>
      </c>
      <c r="D124">
        <v>1099</v>
      </c>
      <c r="E124">
        <v>1</v>
      </c>
      <c r="F124" t="s">
        <v>1215</v>
      </c>
      <c r="G124" t="s">
        <v>1216</v>
      </c>
      <c r="H124" t="s">
        <v>1217</v>
      </c>
      <c r="I124">
        <v>5</v>
      </c>
      <c r="J124">
        <v>5</v>
      </c>
      <c r="K124">
        <v>100</v>
      </c>
      <c r="L124">
        <v>66</v>
      </c>
      <c r="M124">
        <v>33</v>
      </c>
      <c r="N124">
        <v>69</v>
      </c>
      <c r="O124">
        <v>155</v>
      </c>
      <c r="P124">
        <v>100</v>
      </c>
      <c r="Q124">
        <v>140</v>
      </c>
      <c r="R124">
        <v>100</v>
      </c>
      <c r="S124">
        <v>140</v>
      </c>
    </row>
    <row r="125" spans="3:19" x14ac:dyDescent="0.2">
      <c r="C125">
        <v>1100</v>
      </c>
      <c r="D125">
        <v>1100</v>
      </c>
      <c r="E125">
        <v>1</v>
      </c>
      <c r="F125" t="s">
        <v>1218</v>
      </c>
      <c r="G125" t="s">
        <v>1219</v>
      </c>
      <c r="H125" t="s">
        <v>1220</v>
      </c>
      <c r="I125">
        <v>5</v>
      </c>
      <c r="J125">
        <v>5</v>
      </c>
      <c r="K125">
        <v>100</v>
      </c>
      <c r="L125">
        <v>66</v>
      </c>
      <c r="M125">
        <v>33</v>
      </c>
      <c r="N125">
        <v>70</v>
      </c>
      <c r="O125">
        <v>154</v>
      </c>
      <c r="P125">
        <v>100</v>
      </c>
      <c r="Q125">
        <v>140</v>
      </c>
      <c r="R125">
        <v>100</v>
      </c>
      <c r="S125">
        <v>140</v>
      </c>
    </row>
    <row r="126" spans="3:19" x14ac:dyDescent="0.2">
      <c r="C126">
        <v>1101</v>
      </c>
      <c r="D126">
        <v>1101</v>
      </c>
      <c r="E126">
        <v>1</v>
      </c>
      <c r="F126" t="s">
        <v>1221</v>
      </c>
      <c r="G126" t="s">
        <v>1222</v>
      </c>
      <c r="H126" t="s">
        <v>1223</v>
      </c>
      <c r="I126">
        <v>8</v>
      </c>
      <c r="J126">
        <v>5</v>
      </c>
      <c r="K126">
        <v>100</v>
      </c>
      <c r="L126">
        <v>66</v>
      </c>
      <c r="M126">
        <v>33</v>
      </c>
      <c r="N126">
        <v>194</v>
      </c>
      <c r="O126">
        <v>238</v>
      </c>
      <c r="P126">
        <v>170</v>
      </c>
      <c r="Q126">
        <v>210</v>
      </c>
      <c r="R126">
        <v>170</v>
      </c>
      <c r="S126">
        <v>210</v>
      </c>
    </row>
    <row r="127" spans="3:19" x14ac:dyDescent="0.2">
      <c r="C127">
        <v>1102</v>
      </c>
      <c r="D127">
        <v>1102</v>
      </c>
      <c r="E127">
        <v>1</v>
      </c>
      <c r="F127" t="s">
        <v>1224</v>
      </c>
      <c r="G127" t="s">
        <v>1222</v>
      </c>
      <c r="H127" t="s">
        <v>1225</v>
      </c>
      <c r="I127">
        <v>8</v>
      </c>
      <c r="J127">
        <v>5</v>
      </c>
      <c r="K127">
        <v>100</v>
      </c>
      <c r="L127">
        <v>66</v>
      </c>
      <c r="M127">
        <v>33</v>
      </c>
      <c r="N127">
        <v>193</v>
      </c>
      <c r="O127">
        <v>237</v>
      </c>
      <c r="P127">
        <v>170</v>
      </c>
      <c r="Q127">
        <v>210</v>
      </c>
      <c r="R127">
        <v>170</v>
      </c>
      <c r="S127">
        <v>210</v>
      </c>
    </row>
    <row r="128" spans="3:19" x14ac:dyDescent="0.2">
      <c r="C128">
        <v>1103</v>
      </c>
      <c r="D128">
        <v>1103</v>
      </c>
      <c r="E128">
        <v>1</v>
      </c>
      <c r="F128" t="s">
        <v>1226</v>
      </c>
      <c r="G128" t="s">
        <v>1227</v>
      </c>
      <c r="H128" t="s">
        <v>1228</v>
      </c>
      <c r="I128">
        <v>8</v>
      </c>
      <c r="J128">
        <v>5</v>
      </c>
      <c r="K128">
        <v>100</v>
      </c>
      <c r="L128">
        <v>66</v>
      </c>
      <c r="M128">
        <v>33</v>
      </c>
      <c r="N128">
        <v>193</v>
      </c>
      <c r="O128">
        <v>236</v>
      </c>
      <c r="P128">
        <v>170</v>
      </c>
      <c r="Q128">
        <v>210</v>
      </c>
      <c r="R128">
        <v>170</v>
      </c>
      <c r="S128">
        <v>210</v>
      </c>
    </row>
    <row r="129" spans="3:19" x14ac:dyDescent="0.2">
      <c r="C129">
        <v>1104</v>
      </c>
      <c r="D129">
        <v>1104</v>
      </c>
      <c r="E129">
        <v>1</v>
      </c>
      <c r="F129" t="s">
        <v>1229</v>
      </c>
      <c r="G129" t="s">
        <v>1230</v>
      </c>
      <c r="H129" t="s">
        <v>1231</v>
      </c>
      <c r="I129">
        <v>8</v>
      </c>
      <c r="J129">
        <v>5</v>
      </c>
      <c r="K129">
        <v>100</v>
      </c>
      <c r="L129">
        <v>66</v>
      </c>
      <c r="M129">
        <v>33</v>
      </c>
      <c r="N129">
        <v>192</v>
      </c>
      <c r="O129">
        <v>236</v>
      </c>
      <c r="P129">
        <v>170</v>
      </c>
      <c r="Q129">
        <v>210</v>
      </c>
      <c r="R129">
        <v>170</v>
      </c>
      <c r="S129">
        <v>210</v>
      </c>
    </row>
    <row r="130" spans="3:19" x14ac:dyDescent="0.2">
      <c r="C130">
        <v>1105</v>
      </c>
      <c r="D130">
        <v>1105</v>
      </c>
      <c r="E130">
        <v>1</v>
      </c>
      <c r="F130" t="s">
        <v>1232</v>
      </c>
      <c r="G130" t="s">
        <v>1230</v>
      </c>
      <c r="H130" t="s">
        <v>1233</v>
      </c>
      <c r="I130">
        <v>8</v>
      </c>
      <c r="J130">
        <v>5</v>
      </c>
      <c r="K130">
        <v>100</v>
      </c>
      <c r="L130">
        <v>66</v>
      </c>
      <c r="M130">
        <v>33</v>
      </c>
      <c r="N130">
        <v>192</v>
      </c>
      <c r="O130">
        <v>235</v>
      </c>
      <c r="P130">
        <v>170</v>
      </c>
      <c r="Q130">
        <v>210</v>
      </c>
      <c r="R130">
        <v>170</v>
      </c>
      <c r="S130">
        <v>210</v>
      </c>
    </row>
    <row r="131" spans="3:19" x14ac:dyDescent="0.2">
      <c r="C131">
        <v>1106</v>
      </c>
      <c r="D131">
        <v>1106</v>
      </c>
      <c r="E131">
        <v>1</v>
      </c>
      <c r="F131" t="s">
        <v>935</v>
      </c>
      <c r="G131" t="s">
        <v>1038</v>
      </c>
      <c r="H131" t="s">
        <v>935</v>
      </c>
      <c r="I131">
        <v>5</v>
      </c>
      <c r="J131">
        <v>5</v>
      </c>
    </row>
    <row r="132" spans="3:19" x14ac:dyDescent="0.2">
      <c r="C132">
        <v>1107</v>
      </c>
      <c r="D132">
        <v>1107</v>
      </c>
      <c r="E132">
        <v>1</v>
      </c>
      <c r="F132" t="s">
        <v>935</v>
      </c>
      <c r="G132" t="s">
        <v>1038</v>
      </c>
      <c r="H132" t="s">
        <v>935</v>
      </c>
      <c r="I132">
        <v>5</v>
      </c>
      <c r="J132">
        <v>5</v>
      </c>
    </row>
    <row r="133" spans="3:19" x14ac:dyDescent="0.2">
      <c r="C133">
        <v>1108</v>
      </c>
      <c r="D133">
        <v>1108</v>
      </c>
      <c r="E133">
        <v>1</v>
      </c>
      <c r="F133" t="s">
        <v>935</v>
      </c>
      <c r="G133" t="s">
        <v>1038</v>
      </c>
      <c r="H133" t="s">
        <v>935</v>
      </c>
      <c r="I133">
        <v>5</v>
      </c>
      <c r="J133">
        <v>5</v>
      </c>
    </row>
    <row r="134" spans="3:19" x14ac:dyDescent="0.2">
      <c r="C134">
        <v>1109</v>
      </c>
      <c r="D134">
        <v>1109</v>
      </c>
      <c r="E134">
        <v>1</v>
      </c>
      <c r="F134" t="s">
        <v>935</v>
      </c>
      <c r="G134" t="s">
        <v>1038</v>
      </c>
      <c r="H134" t="s">
        <v>935</v>
      </c>
      <c r="I134">
        <v>5</v>
      </c>
      <c r="J134">
        <v>5</v>
      </c>
    </row>
    <row r="135" spans="3:19" x14ac:dyDescent="0.2">
      <c r="C135">
        <v>1110</v>
      </c>
      <c r="D135">
        <v>1110</v>
      </c>
      <c r="E135">
        <v>1</v>
      </c>
      <c r="F135" t="s">
        <v>1234</v>
      </c>
      <c r="G135" t="s">
        <v>1235</v>
      </c>
      <c r="H135" t="s">
        <v>1236</v>
      </c>
      <c r="I135">
        <v>5</v>
      </c>
      <c r="J135">
        <v>5</v>
      </c>
      <c r="K135">
        <v>100</v>
      </c>
      <c r="L135">
        <v>100</v>
      </c>
      <c r="M135">
        <v>100</v>
      </c>
      <c r="N135">
        <v>67</v>
      </c>
      <c r="O135">
        <v>107</v>
      </c>
      <c r="P135">
        <v>60</v>
      </c>
      <c r="Q135">
        <v>90</v>
      </c>
      <c r="R135">
        <v>60</v>
      </c>
      <c r="S135">
        <v>90</v>
      </c>
    </row>
    <row r="136" spans="3:19" x14ac:dyDescent="0.2">
      <c r="C136">
        <v>1111</v>
      </c>
      <c r="D136">
        <v>1111</v>
      </c>
      <c r="E136">
        <v>1</v>
      </c>
      <c r="F136" t="s">
        <v>1237</v>
      </c>
      <c r="G136" t="s">
        <v>1238</v>
      </c>
      <c r="H136" t="s">
        <v>1239</v>
      </c>
      <c r="I136">
        <v>5</v>
      </c>
      <c r="J136">
        <v>5</v>
      </c>
      <c r="K136">
        <v>100</v>
      </c>
      <c r="L136">
        <v>100</v>
      </c>
      <c r="M136">
        <v>100</v>
      </c>
      <c r="N136">
        <v>66</v>
      </c>
      <c r="O136">
        <v>107</v>
      </c>
      <c r="P136">
        <v>60</v>
      </c>
      <c r="Q136">
        <v>90</v>
      </c>
      <c r="R136">
        <v>60</v>
      </c>
      <c r="S136">
        <v>90</v>
      </c>
    </row>
    <row r="137" spans="3:19" x14ac:dyDescent="0.2">
      <c r="C137">
        <v>1112</v>
      </c>
      <c r="D137">
        <v>1112</v>
      </c>
      <c r="E137">
        <v>1</v>
      </c>
      <c r="F137" t="s">
        <v>1240</v>
      </c>
      <c r="G137" t="s">
        <v>1241</v>
      </c>
      <c r="H137" t="s">
        <v>1242</v>
      </c>
      <c r="I137">
        <v>5</v>
      </c>
      <c r="J137">
        <v>5</v>
      </c>
      <c r="K137">
        <v>100</v>
      </c>
      <c r="L137">
        <v>100</v>
      </c>
      <c r="M137">
        <v>100</v>
      </c>
      <c r="N137">
        <v>66</v>
      </c>
      <c r="O137">
        <v>107</v>
      </c>
      <c r="P137">
        <v>60</v>
      </c>
      <c r="Q137">
        <v>90</v>
      </c>
      <c r="R137">
        <v>60</v>
      </c>
      <c r="S137">
        <v>90</v>
      </c>
    </row>
    <row r="138" spans="3:19" x14ac:dyDescent="0.2">
      <c r="C138">
        <v>1113</v>
      </c>
      <c r="D138">
        <v>1113</v>
      </c>
      <c r="E138">
        <v>1</v>
      </c>
      <c r="F138" t="s">
        <v>1243</v>
      </c>
      <c r="G138" t="s">
        <v>1244</v>
      </c>
      <c r="H138" t="s">
        <v>1245</v>
      </c>
      <c r="I138">
        <v>5</v>
      </c>
      <c r="J138">
        <v>5</v>
      </c>
      <c r="K138">
        <v>100</v>
      </c>
      <c r="L138">
        <v>100</v>
      </c>
      <c r="M138">
        <v>100</v>
      </c>
      <c r="N138">
        <v>65</v>
      </c>
      <c r="O138">
        <v>107</v>
      </c>
      <c r="P138">
        <v>60</v>
      </c>
      <c r="Q138">
        <v>90</v>
      </c>
      <c r="R138">
        <v>60</v>
      </c>
      <c r="S138">
        <v>90</v>
      </c>
    </row>
    <row r="139" spans="3:19" x14ac:dyDescent="0.2">
      <c r="C139">
        <v>1114</v>
      </c>
      <c r="D139">
        <v>1114</v>
      </c>
      <c r="E139">
        <v>1</v>
      </c>
      <c r="F139" t="s">
        <v>1246</v>
      </c>
      <c r="G139" t="s">
        <v>1247</v>
      </c>
      <c r="H139" t="s">
        <v>1248</v>
      </c>
      <c r="I139">
        <v>5</v>
      </c>
      <c r="J139">
        <v>5</v>
      </c>
      <c r="K139">
        <v>100</v>
      </c>
      <c r="L139">
        <v>75</v>
      </c>
      <c r="M139">
        <v>50</v>
      </c>
      <c r="N139">
        <v>21</v>
      </c>
      <c r="O139">
        <v>107</v>
      </c>
      <c r="P139">
        <v>20</v>
      </c>
      <c r="Q139">
        <v>100</v>
      </c>
      <c r="R139">
        <v>20</v>
      </c>
      <c r="S139">
        <v>100</v>
      </c>
    </row>
    <row r="140" spans="3:19" x14ac:dyDescent="0.2">
      <c r="C140">
        <v>1115</v>
      </c>
      <c r="D140">
        <v>1115</v>
      </c>
      <c r="E140">
        <v>1</v>
      </c>
      <c r="F140" t="s">
        <v>1249</v>
      </c>
      <c r="G140" t="s">
        <v>1250</v>
      </c>
      <c r="H140" t="s">
        <v>1251</v>
      </c>
      <c r="I140">
        <v>5</v>
      </c>
      <c r="J140">
        <v>5</v>
      </c>
      <c r="K140">
        <v>100</v>
      </c>
      <c r="L140">
        <v>75</v>
      </c>
      <c r="M140">
        <v>50</v>
      </c>
      <c r="N140">
        <v>21</v>
      </c>
      <c r="O140">
        <v>107</v>
      </c>
      <c r="P140">
        <v>20</v>
      </c>
      <c r="Q140">
        <v>100</v>
      </c>
      <c r="R140">
        <v>20</v>
      </c>
      <c r="S140">
        <v>100</v>
      </c>
    </row>
    <row r="141" spans="3:19" x14ac:dyDescent="0.2">
      <c r="C141">
        <v>1116</v>
      </c>
      <c r="D141">
        <v>1116</v>
      </c>
      <c r="E141">
        <v>1</v>
      </c>
      <c r="F141" t="s">
        <v>1252</v>
      </c>
      <c r="G141" t="s">
        <v>1253</v>
      </c>
      <c r="H141" t="s">
        <v>1254</v>
      </c>
      <c r="I141">
        <v>5</v>
      </c>
      <c r="J141">
        <v>5</v>
      </c>
      <c r="K141">
        <v>100</v>
      </c>
      <c r="L141">
        <v>75</v>
      </c>
      <c r="M141">
        <v>50</v>
      </c>
      <c r="N141">
        <v>22</v>
      </c>
      <c r="O141">
        <v>107</v>
      </c>
      <c r="P141">
        <v>20</v>
      </c>
      <c r="Q141">
        <v>100</v>
      </c>
      <c r="R141">
        <v>20</v>
      </c>
      <c r="S141">
        <v>100</v>
      </c>
    </row>
    <row r="142" spans="3:19" x14ac:dyDescent="0.2">
      <c r="C142">
        <v>1117</v>
      </c>
      <c r="D142">
        <v>1117</v>
      </c>
      <c r="E142">
        <v>1</v>
      </c>
      <c r="F142" t="s">
        <v>1255</v>
      </c>
      <c r="G142" t="s">
        <v>1256</v>
      </c>
      <c r="H142" t="s">
        <v>1257</v>
      </c>
      <c r="I142">
        <v>5</v>
      </c>
      <c r="J142">
        <v>5</v>
      </c>
      <c r="K142">
        <v>100</v>
      </c>
      <c r="L142">
        <v>75</v>
      </c>
      <c r="M142">
        <v>50</v>
      </c>
      <c r="N142">
        <v>21</v>
      </c>
      <c r="O142">
        <v>107</v>
      </c>
      <c r="P142">
        <v>20</v>
      </c>
      <c r="Q142">
        <v>100</v>
      </c>
      <c r="R142">
        <v>20</v>
      </c>
      <c r="S142">
        <v>100</v>
      </c>
    </row>
    <row r="143" spans="3:19" x14ac:dyDescent="0.2">
      <c r="C143">
        <v>1118</v>
      </c>
      <c r="D143">
        <v>1118</v>
      </c>
      <c r="E143">
        <v>1</v>
      </c>
      <c r="F143" t="s">
        <v>1258</v>
      </c>
      <c r="G143" t="s">
        <v>1259</v>
      </c>
      <c r="H143" t="s">
        <v>1260</v>
      </c>
      <c r="I143">
        <v>5</v>
      </c>
      <c r="J143">
        <v>5</v>
      </c>
      <c r="N143">
        <v>44</v>
      </c>
      <c r="O143">
        <v>87</v>
      </c>
      <c r="P143">
        <v>45</v>
      </c>
      <c r="Q143">
        <v>85</v>
      </c>
      <c r="R143">
        <v>45</v>
      </c>
      <c r="S143">
        <v>85</v>
      </c>
    </row>
    <row r="144" spans="3:19" x14ac:dyDescent="0.2">
      <c r="C144">
        <v>1119</v>
      </c>
      <c r="D144">
        <v>1119</v>
      </c>
      <c r="E144">
        <v>1</v>
      </c>
      <c r="F144" t="s">
        <v>1261</v>
      </c>
      <c r="G144" t="s">
        <v>1262</v>
      </c>
      <c r="H144" t="s">
        <v>1263</v>
      </c>
      <c r="I144">
        <v>5</v>
      </c>
      <c r="J144">
        <v>5</v>
      </c>
      <c r="N144">
        <v>44</v>
      </c>
      <c r="O144">
        <v>86</v>
      </c>
      <c r="P144">
        <v>45</v>
      </c>
      <c r="Q144">
        <v>85</v>
      </c>
      <c r="R144">
        <v>45</v>
      </c>
      <c r="S144">
        <v>85</v>
      </c>
    </row>
    <row r="145" spans="3:19" x14ac:dyDescent="0.2">
      <c r="C145">
        <v>1120</v>
      </c>
      <c r="D145">
        <v>1120</v>
      </c>
      <c r="E145">
        <v>1</v>
      </c>
      <c r="F145" t="s">
        <v>1264</v>
      </c>
      <c r="G145" t="s">
        <v>1265</v>
      </c>
      <c r="H145" t="s">
        <v>1266</v>
      </c>
      <c r="I145">
        <v>5</v>
      </c>
      <c r="J145">
        <v>5</v>
      </c>
      <c r="N145">
        <v>45</v>
      </c>
      <c r="O145">
        <v>86</v>
      </c>
      <c r="P145">
        <v>45</v>
      </c>
      <c r="Q145">
        <v>85</v>
      </c>
      <c r="R145">
        <v>45</v>
      </c>
      <c r="S145">
        <v>85</v>
      </c>
    </row>
    <row r="146" spans="3:19" x14ac:dyDescent="0.2">
      <c r="C146">
        <v>1121</v>
      </c>
      <c r="D146">
        <v>1121</v>
      </c>
      <c r="E146">
        <v>1</v>
      </c>
      <c r="F146" t="s">
        <v>1267</v>
      </c>
      <c r="G146" t="s">
        <v>1268</v>
      </c>
      <c r="H146" t="s">
        <v>1269</v>
      </c>
      <c r="I146">
        <v>5</v>
      </c>
      <c r="J146">
        <v>5</v>
      </c>
      <c r="N146">
        <v>44</v>
      </c>
      <c r="O146">
        <v>87</v>
      </c>
      <c r="P146">
        <v>45</v>
      </c>
      <c r="Q146">
        <v>85</v>
      </c>
      <c r="R146">
        <v>45</v>
      </c>
      <c r="S146">
        <v>85</v>
      </c>
    </row>
    <row r="147" spans="3:19" x14ac:dyDescent="0.2">
      <c r="C147">
        <v>1122</v>
      </c>
      <c r="D147">
        <v>1122</v>
      </c>
      <c r="E147">
        <v>1</v>
      </c>
      <c r="F147" t="s">
        <v>1270</v>
      </c>
      <c r="G147" t="s">
        <v>1271</v>
      </c>
      <c r="H147" t="s">
        <v>1272</v>
      </c>
      <c r="I147">
        <v>8</v>
      </c>
      <c r="J147">
        <v>5</v>
      </c>
      <c r="K147">
        <v>100</v>
      </c>
      <c r="L147">
        <v>75</v>
      </c>
      <c r="M147">
        <v>50</v>
      </c>
      <c r="N147">
        <v>155</v>
      </c>
      <c r="O147">
        <v>192</v>
      </c>
      <c r="P147">
        <v>150</v>
      </c>
      <c r="Q147">
        <v>190</v>
      </c>
      <c r="R147">
        <v>150</v>
      </c>
      <c r="S147">
        <v>190</v>
      </c>
    </row>
    <row r="148" spans="3:19" x14ac:dyDescent="0.2">
      <c r="C148">
        <v>1123</v>
      </c>
      <c r="D148">
        <v>1123</v>
      </c>
      <c r="E148">
        <v>1</v>
      </c>
      <c r="F148" t="s">
        <v>1273</v>
      </c>
      <c r="G148" t="s">
        <v>1274</v>
      </c>
      <c r="H148" t="s">
        <v>1275</v>
      </c>
      <c r="I148">
        <v>8</v>
      </c>
      <c r="J148">
        <v>5</v>
      </c>
      <c r="K148">
        <v>100</v>
      </c>
      <c r="L148">
        <v>75</v>
      </c>
      <c r="M148">
        <v>50</v>
      </c>
      <c r="N148">
        <v>151</v>
      </c>
      <c r="O148">
        <v>191</v>
      </c>
      <c r="P148">
        <v>150</v>
      </c>
      <c r="Q148">
        <v>190</v>
      </c>
      <c r="R148">
        <v>150</v>
      </c>
      <c r="S148">
        <v>190</v>
      </c>
    </row>
    <row r="149" spans="3:19" x14ac:dyDescent="0.2">
      <c r="C149">
        <v>1124</v>
      </c>
      <c r="D149">
        <v>1124</v>
      </c>
      <c r="E149">
        <v>1</v>
      </c>
      <c r="F149" t="s">
        <v>1276</v>
      </c>
      <c r="G149" t="s">
        <v>1277</v>
      </c>
      <c r="H149" t="s">
        <v>1278</v>
      </c>
      <c r="I149">
        <v>8</v>
      </c>
      <c r="J149">
        <v>5</v>
      </c>
      <c r="K149">
        <v>100</v>
      </c>
      <c r="L149">
        <v>75</v>
      </c>
      <c r="M149">
        <v>50</v>
      </c>
      <c r="N149">
        <v>151</v>
      </c>
      <c r="O149">
        <v>191</v>
      </c>
      <c r="P149">
        <v>150</v>
      </c>
      <c r="Q149">
        <v>190</v>
      </c>
      <c r="R149">
        <v>150</v>
      </c>
      <c r="S149">
        <v>190</v>
      </c>
    </row>
    <row r="150" spans="3:19" x14ac:dyDescent="0.2">
      <c r="C150">
        <v>1125</v>
      </c>
      <c r="D150">
        <v>1125</v>
      </c>
      <c r="E150">
        <v>1</v>
      </c>
      <c r="F150" t="s">
        <v>1279</v>
      </c>
      <c r="G150" t="s">
        <v>1280</v>
      </c>
      <c r="H150" t="s">
        <v>1281</v>
      </c>
      <c r="I150">
        <v>8</v>
      </c>
      <c r="J150">
        <v>5</v>
      </c>
      <c r="K150">
        <v>100</v>
      </c>
      <c r="L150">
        <v>75</v>
      </c>
      <c r="M150">
        <v>50</v>
      </c>
      <c r="N150">
        <v>151</v>
      </c>
      <c r="O150">
        <v>192</v>
      </c>
      <c r="P150">
        <v>150</v>
      </c>
      <c r="Q150">
        <v>190</v>
      </c>
      <c r="R150">
        <v>150</v>
      </c>
      <c r="S150">
        <v>190</v>
      </c>
    </row>
    <row r="151" spans="3:19" x14ac:dyDescent="0.2">
      <c r="C151">
        <v>1126</v>
      </c>
      <c r="D151">
        <v>1126</v>
      </c>
      <c r="E151">
        <v>1</v>
      </c>
      <c r="F151" t="s">
        <v>1282</v>
      </c>
      <c r="G151" t="s">
        <v>1283</v>
      </c>
      <c r="H151" t="s">
        <v>1284</v>
      </c>
      <c r="I151">
        <v>8</v>
      </c>
      <c r="J151">
        <v>5</v>
      </c>
      <c r="K151">
        <v>100</v>
      </c>
      <c r="L151">
        <v>75</v>
      </c>
      <c r="M151">
        <v>50</v>
      </c>
      <c r="N151">
        <v>151</v>
      </c>
      <c r="O151">
        <v>190</v>
      </c>
      <c r="P151">
        <v>150</v>
      </c>
      <c r="Q151">
        <v>190</v>
      </c>
      <c r="R151">
        <v>150</v>
      </c>
      <c r="S151">
        <v>190</v>
      </c>
    </row>
    <row r="152" spans="3:19" x14ac:dyDescent="0.2">
      <c r="C152">
        <v>1127</v>
      </c>
      <c r="D152">
        <v>1127</v>
      </c>
      <c r="E152">
        <v>1</v>
      </c>
      <c r="F152" t="s">
        <v>1276</v>
      </c>
      <c r="G152" t="s">
        <v>1285</v>
      </c>
      <c r="H152" t="s">
        <v>1286</v>
      </c>
      <c r="I152">
        <v>10</v>
      </c>
      <c r="J152">
        <v>5</v>
      </c>
      <c r="K152">
        <v>100</v>
      </c>
      <c r="L152">
        <v>85</v>
      </c>
      <c r="M152">
        <v>75</v>
      </c>
      <c r="N152">
        <v>153</v>
      </c>
      <c r="O152">
        <v>248</v>
      </c>
      <c r="P152">
        <v>190</v>
      </c>
      <c r="Q152">
        <v>230</v>
      </c>
      <c r="R152">
        <v>190</v>
      </c>
      <c r="S152">
        <v>230</v>
      </c>
    </row>
    <row r="153" spans="3:19" x14ac:dyDescent="0.2">
      <c r="C153">
        <v>1128</v>
      </c>
      <c r="D153">
        <v>1128</v>
      </c>
      <c r="E153">
        <v>1</v>
      </c>
      <c r="F153" t="s">
        <v>1279</v>
      </c>
      <c r="G153" t="s">
        <v>1287</v>
      </c>
      <c r="H153" t="s">
        <v>1288</v>
      </c>
      <c r="I153">
        <v>10</v>
      </c>
      <c r="J153">
        <v>5</v>
      </c>
      <c r="K153">
        <v>100</v>
      </c>
      <c r="L153">
        <v>85</v>
      </c>
      <c r="M153">
        <v>75</v>
      </c>
      <c r="N153">
        <v>153</v>
      </c>
      <c r="O153">
        <v>248</v>
      </c>
      <c r="P153">
        <v>190</v>
      </c>
      <c r="Q153">
        <v>230</v>
      </c>
      <c r="R153">
        <v>190</v>
      </c>
      <c r="S153">
        <v>230</v>
      </c>
    </row>
    <row r="154" spans="3:19" x14ac:dyDescent="0.2">
      <c r="C154">
        <v>1129</v>
      </c>
      <c r="D154">
        <v>1129</v>
      </c>
      <c r="E154">
        <v>1</v>
      </c>
      <c r="F154" t="s">
        <v>1289</v>
      </c>
      <c r="G154" t="s">
        <v>1290</v>
      </c>
      <c r="H154" t="s">
        <v>1291</v>
      </c>
      <c r="I154">
        <v>10</v>
      </c>
      <c r="J154">
        <v>5</v>
      </c>
      <c r="K154">
        <v>100</v>
      </c>
      <c r="L154">
        <v>85</v>
      </c>
      <c r="M154">
        <v>75</v>
      </c>
      <c r="N154">
        <v>153</v>
      </c>
      <c r="O154">
        <v>248</v>
      </c>
      <c r="P154">
        <v>190</v>
      </c>
      <c r="Q154">
        <v>230</v>
      </c>
      <c r="R154">
        <v>190</v>
      </c>
      <c r="S154">
        <v>230</v>
      </c>
    </row>
    <row r="155" spans="3:19" x14ac:dyDescent="0.2">
      <c r="C155">
        <v>1130</v>
      </c>
      <c r="D155">
        <v>1130</v>
      </c>
      <c r="E155">
        <v>1</v>
      </c>
      <c r="F155" t="s">
        <v>1292</v>
      </c>
      <c r="G155" t="s">
        <v>1293</v>
      </c>
      <c r="H155" t="s">
        <v>1294</v>
      </c>
      <c r="I155">
        <v>10</v>
      </c>
      <c r="J155">
        <v>5</v>
      </c>
      <c r="K155">
        <v>100</v>
      </c>
      <c r="L155">
        <v>85</v>
      </c>
      <c r="M155">
        <v>75</v>
      </c>
      <c r="N155">
        <v>152</v>
      </c>
      <c r="O155">
        <v>247</v>
      </c>
      <c r="P155">
        <v>190</v>
      </c>
      <c r="Q155">
        <v>230</v>
      </c>
      <c r="R155">
        <v>190</v>
      </c>
      <c r="S155">
        <v>230</v>
      </c>
    </row>
    <row r="156" spans="3:19" x14ac:dyDescent="0.2">
      <c r="C156">
        <v>1131</v>
      </c>
      <c r="D156">
        <v>1131</v>
      </c>
      <c r="E156">
        <v>1</v>
      </c>
      <c r="F156" t="s">
        <v>1295</v>
      </c>
      <c r="G156" t="s">
        <v>1296</v>
      </c>
      <c r="H156" t="s">
        <v>1297</v>
      </c>
      <c r="I156">
        <v>8</v>
      </c>
      <c r="J156">
        <v>5</v>
      </c>
      <c r="K156">
        <v>100</v>
      </c>
      <c r="L156">
        <v>85</v>
      </c>
      <c r="M156">
        <v>75</v>
      </c>
      <c r="N156">
        <v>153</v>
      </c>
      <c r="O156">
        <v>211</v>
      </c>
      <c r="P156">
        <v>150</v>
      </c>
      <c r="Q156">
        <v>200</v>
      </c>
      <c r="R156">
        <v>150</v>
      </c>
      <c r="S156">
        <v>200</v>
      </c>
    </row>
    <row r="157" spans="3:19" x14ac:dyDescent="0.2">
      <c r="C157">
        <v>1132</v>
      </c>
      <c r="D157">
        <v>1132</v>
      </c>
      <c r="E157">
        <v>1</v>
      </c>
      <c r="F157" t="s">
        <v>1298</v>
      </c>
      <c r="G157" t="s">
        <v>1299</v>
      </c>
      <c r="H157" t="s">
        <v>1300</v>
      </c>
      <c r="I157">
        <v>8</v>
      </c>
      <c r="J157">
        <v>5</v>
      </c>
      <c r="K157">
        <v>100</v>
      </c>
      <c r="L157">
        <v>85</v>
      </c>
      <c r="M157">
        <v>75</v>
      </c>
      <c r="N157">
        <v>153</v>
      </c>
      <c r="O157">
        <v>209</v>
      </c>
      <c r="P157">
        <v>150</v>
      </c>
      <c r="Q157">
        <v>200</v>
      </c>
      <c r="R157">
        <v>150</v>
      </c>
      <c r="S157">
        <v>200</v>
      </c>
    </row>
    <row r="158" spans="3:19" x14ac:dyDescent="0.2">
      <c r="C158">
        <v>1133</v>
      </c>
      <c r="D158">
        <v>1133</v>
      </c>
      <c r="E158">
        <v>1</v>
      </c>
      <c r="F158" t="s">
        <v>1301</v>
      </c>
      <c r="G158" t="s">
        <v>1302</v>
      </c>
      <c r="H158" t="s">
        <v>1303</v>
      </c>
      <c r="I158">
        <v>8</v>
      </c>
      <c r="J158">
        <v>5</v>
      </c>
      <c r="K158">
        <v>100</v>
      </c>
      <c r="L158">
        <v>85</v>
      </c>
      <c r="M158">
        <v>75</v>
      </c>
      <c r="N158">
        <v>153</v>
      </c>
      <c r="O158">
        <v>211</v>
      </c>
      <c r="P158">
        <v>150</v>
      </c>
      <c r="Q158">
        <v>200</v>
      </c>
      <c r="R158">
        <v>150</v>
      </c>
      <c r="S158">
        <v>200</v>
      </c>
    </row>
    <row r="159" spans="3:19" x14ac:dyDescent="0.2">
      <c r="C159">
        <v>1134</v>
      </c>
      <c r="D159">
        <v>1134</v>
      </c>
      <c r="E159">
        <v>1</v>
      </c>
      <c r="F159" t="s">
        <v>1304</v>
      </c>
      <c r="G159" t="s">
        <v>1305</v>
      </c>
      <c r="H159" t="s">
        <v>1306</v>
      </c>
      <c r="I159">
        <v>8</v>
      </c>
      <c r="J159">
        <v>5</v>
      </c>
      <c r="K159">
        <v>100</v>
      </c>
      <c r="L159">
        <v>85</v>
      </c>
      <c r="M159">
        <v>75</v>
      </c>
      <c r="N159">
        <v>152</v>
      </c>
      <c r="O159">
        <v>210</v>
      </c>
      <c r="P159">
        <v>150</v>
      </c>
      <c r="Q159">
        <v>200</v>
      </c>
      <c r="R159">
        <v>150</v>
      </c>
      <c r="S159">
        <v>200</v>
      </c>
    </row>
    <row r="160" spans="3:19" x14ac:dyDescent="0.2">
      <c r="C160">
        <v>1135</v>
      </c>
      <c r="D160">
        <v>1135</v>
      </c>
      <c r="E160">
        <v>1</v>
      </c>
      <c r="F160" t="s">
        <v>1307</v>
      </c>
      <c r="G160" t="s">
        <v>1308</v>
      </c>
      <c r="H160" t="s">
        <v>1309</v>
      </c>
      <c r="I160">
        <v>8</v>
      </c>
      <c r="J160">
        <v>5</v>
      </c>
      <c r="K160">
        <v>100</v>
      </c>
      <c r="L160">
        <v>85</v>
      </c>
      <c r="M160">
        <v>75</v>
      </c>
      <c r="N160">
        <v>154</v>
      </c>
      <c r="O160">
        <v>212</v>
      </c>
      <c r="P160">
        <v>150</v>
      </c>
      <c r="Q160">
        <v>200</v>
      </c>
      <c r="R160">
        <v>150</v>
      </c>
      <c r="S160">
        <v>200</v>
      </c>
    </row>
    <row r="161" spans="3:19" x14ac:dyDescent="0.2">
      <c r="C161">
        <v>1136</v>
      </c>
      <c r="D161">
        <v>1136</v>
      </c>
      <c r="E161">
        <v>1</v>
      </c>
      <c r="F161" t="s">
        <v>1310</v>
      </c>
      <c r="G161" t="s">
        <v>1311</v>
      </c>
      <c r="H161" t="s">
        <v>1312</v>
      </c>
      <c r="I161">
        <v>5</v>
      </c>
      <c r="J161">
        <v>5</v>
      </c>
      <c r="K161">
        <v>100</v>
      </c>
      <c r="L161">
        <v>85</v>
      </c>
      <c r="M161">
        <v>75</v>
      </c>
      <c r="N161">
        <v>44</v>
      </c>
      <c r="O161">
        <v>151</v>
      </c>
      <c r="P161">
        <v>70</v>
      </c>
      <c r="Q161">
        <v>110</v>
      </c>
      <c r="R161">
        <v>70</v>
      </c>
      <c r="S161">
        <v>110</v>
      </c>
    </row>
    <row r="162" spans="3:19" x14ac:dyDescent="0.2">
      <c r="C162">
        <v>1137</v>
      </c>
      <c r="D162">
        <v>1137</v>
      </c>
      <c r="E162">
        <v>1</v>
      </c>
      <c r="F162" t="s">
        <v>1313</v>
      </c>
      <c r="G162" t="s">
        <v>1314</v>
      </c>
      <c r="H162" t="s">
        <v>1315</v>
      </c>
      <c r="I162">
        <v>5</v>
      </c>
      <c r="J162">
        <v>5</v>
      </c>
      <c r="K162">
        <v>100</v>
      </c>
      <c r="L162">
        <v>85</v>
      </c>
      <c r="M162">
        <v>75</v>
      </c>
      <c r="N162">
        <v>46</v>
      </c>
      <c r="O162">
        <v>151</v>
      </c>
      <c r="P162">
        <v>70</v>
      </c>
      <c r="Q162">
        <v>110</v>
      </c>
      <c r="R162">
        <v>70</v>
      </c>
      <c r="S162">
        <v>110</v>
      </c>
    </row>
    <row r="163" spans="3:19" x14ac:dyDescent="0.2">
      <c r="C163">
        <v>1138</v>
      </c>
      <c r="D163">
        <v>1138</v>
      </c>
      <c r="E163">
        <v>1</v>
      </c>
      <c r="F163" t="s">
        <v>1316</v>
      </c>
      <c r="G163" t="s">
        <v>1317</v>
      </c>
      <c r="H163" t="s">
        <v>1318</v>
      </c>
      <c r="I163">
        <v>5</v>
      </c>
      <c r="J163">
        <v>5</v>
      </c>
      <c r="K163">
        <v>100</v>
      </c>
      <c r="L163">
        <v>85</v>
      </c>
      <c r="M163">
        <v>75</v>
      </c>
      <c r="N163">
        <v>44</v>
      </c>
      <c r="O163">
        <v>151</v>
      </c>
      <c r="P163">
        <v>70</v>
      </c>
      <c r="Q163">
        <v>110</v>
      </c>
      <c r="R163">
        <v>70</v>
      </c>
      <c r="S163">
        <v>110</v>
      </c>
    </row>
    <row r="164" spans="3:19" x14ac:dyDescent="0.2">
      <c r="C164">
        <v>1139</v>
      </c>
      <c r="D164">
        <v>1139</v>
      </c>
      <c r="E164">
        <v>1</v>
      </c>
      <c r="F164" t="s">
        <v>1319</v>
      </c>
      <c r="G164" t="s">
        <v>1320</v>
      </c>
      <c r="H164" t="s">
        <v>1321</v>
      </c>
      <c r="I164">
        <v>5</v>
      </c>
      <c r="J164">
        <v>5</v>
      </c>
      <c r="K164">
        <v>100</v>
      </c>
      <c r="L164">
        <v>85</v>
      </c>
      <c r="M164">
        <v>75</v>
      </c>
      <c r="N164">
        <v>45</v>
      </c>
      <c r="O164">
        <v>151</v>
      </c>
      <c r="P164">
        <v>70</v>
      </c>
      <c r="Q164">
        <v>110</v>
      </c>
      <c r="R164">
        <v>70</v>
      </c>
      <c r="S164">
        <v>110</v>
      </c>
    </row>
    <row r="165" spans="3:19" x14ac:dyDescent="0.2">
      <c r="C165">
        <v>1140</v>
      </c>
      <c r="D165">
        <v>1140</v>
      </c>
      <c r="E165">
        <v>1</v>
      </c>
      <c r="F165" t="s">
        <v>1322</v>
      </c>
      <c r="G165" t="s">
        <v>1323</v>
      </c>
      <c r="H165" t="s">
        <v>1324</v>
      </c>
      <c r="I165">
        <v>5</v>
      </c>
      <c r="J165">
        <v>5</v>
      </c>
      <c r="K165">
        <v>100</v>
      </c>
      <c r="L165">
        <v>85</v>
      </c>
      <c r="M165">
        <v>75</v>
      </c>
      <c r="N165">
        <v>43</v>
      </c>
      <c r="O165">
        <v>151</v>
      </c>
      <c r="P165">
        <v>70</v>
      </c>
      <c r="Q165">
        <v>110</v>
      </c>
      <c r="R165">
        <v>70</v>
      </c>
      <c r="S165">
        <v>110</v>
      </c>
    </row>
    <row r="166" spans="3:19" x14ac:dyDescent="0.2">
      <c r="C166">
        <v>1141</v>
      </c>
      <c r="D166">
        <v>1141</v>
      </c>
      <c r="E166">
        <v>1</v>
      </c>
      <c r="F166" t="s">
        <v>1325</v>
      </c>
      <c r="G166" t="s">
        <v>1326</v>
      </c>
      <c r="H166" t="s">
        <v>1327</v>
      </c>
      <c r="I166">
        <v>5</v>
      </c>
      <c r="J166">
        <v>5</v>
      </c>
      <c r="K166">
        <v>100</v>
      </c>
      <c r="L166">
        <v>100</v>
      </c>
      <c r="M166">
        <v>100</v>
      </c>
      <c r="N166">
        <v>64</v>
      </c>
      <c r="O166">
        <v>110</v>
      </c>
      <c r="P166">
        <v>55</v>
      </c>
      <c r="Q166">
        <v>80</v>
      </c>
      <c r="R166">
        <v>55</v>
      </c>
      <c r="S166">
        <v>80</v>
      </c>
    </row>
    <row r="167" spans="3:19" x14ac:dyDescent="0.2">
      <c r="C167">
        <v>1142</v>
      </c>
      <c r="D167">
        <v>1142</v>
      </c>
      <c r="E167">
        <v>1</v>
      </c>
      <c r="F167" t="s">
        <v>1328</v>
      </c>
      <c r="G167" t="s">
        <v>1329</v>
      </c>
      <c r="H167" t="s">
        <v>1330</v>
      </c>
      <c r="I167">
        <v>5</v>
      </c>
      <c r="J167">
        <v>5</v>
      </c>
      <c r="K167">
        <v>100</v>
      </c>
      <c r="L167">
        <v>100</v>
      </c>
      <c r="M167">
        <v>100</v>
      </c>
      <c r="N167">
        <v>64</v>
      </c>
      <c r="O167">
        <v>107</v>
      </c>
      <c r="P167">
        <v>55</v>
      </c>
      <c r="Q167">
        <v>80</v>
      </c>
      <c r="R167">
        <v>55</v>
      </c>
      <c r="S167">
        <v>80</v>
      </c>
    </row>
    <row r="168" spans="3:19" x14ac:dyDescent="0.2">
      <c r="C168">
        <v>1143</v>
      </c>
      <c r="D168">
        <v>1143</v>
      </c>
      <c r="E168">
        <v>1</v>
      </c>
      <c r="F168" t="s">
        <v>1331</v>
      </c>
      <c r="G168" t="s">
        <v>1332</v>
      </c>
      <c r="H168" t="s">
        <v>1333</v>
      </c>
      <c r="I168">
        <v>5</v>
      </c>
      <c r="J168">
        <v>5</v>
      </c>
      <c r="K168">
        <v>100</v>
      </c>
      <c r="L168">
        <v>100</v>
      </c>
      <c r="M168">
        <v>100</v>
      </c>
      <c r="N168">
        <v>66</v>
      </c>
      <c r="O168">
        <v>107</v>
      </c>
      <c r="P168">
        <v>55</v>
      </c>
      <c r="Q168">
        <v>80</v>
      </c>
      <c r="R168">
        <v>55</v>
      </c>
      <c r="S168">
        <v>80</v>
      </c>
    </row>
    <row r="169" spans="3:19" x14ac:dyDescent="0.2">
      <c r="C169">
        <v>1144</v>
      </c>
      <c r="D169">
        <v>1144</v>
      </c>
      <c r="E169">
        <v>1</v>
      </c>
      <c r="F169" t="s">
        <v>1334</v>
      </c>
      <c r="G169" t="s">
        <v>1335</v>
      </c>
      <c r="H169" t="s">
        <v>1336</v>
      </c>
      <c r="I169">
        <v>5</v>
      </c>
      <c r="J169">
        <v>5</v>
      </c>
      <c r="K169">
        <v>100</v>
      </c>
      <c r="L169">
        <v>100</v>
      </c>
      <c r="M169">
        <v>100</v>
      </c>
      <c r="N169">
        <v>65</v>
      </c>
      <c r="O169">
        <v>107</v>
      </c>
      <c r="P169">
        <v>55</v>
      </c>
      <c r="Q169">
        <v>80</v>
      </c>
      <c r="R169">
        <v>55</v>
      </c>
      <c r="S169">
        <v>80</v>
      </c>
    </row>
    <row r="170" spans="3:19" x14ac:dyDescent="0.2">
      <c r="C170">
        <v>1145</v>
      </c>
      <c r="D170">
        <v>1145</v>
      </c>
      <c r="E170">
        <v>1</v>
      </c>
      <c r="F170" t="s">
        <v>1337</v>
      </c>
      <c r="G170" t="s">
        <v>1338</v>
      </c>
      <c r="H170" t="s">
        <v>1339</v>
      </c>
      <c r="I170">
        <v>5</v>
      </c>
      <c r="J170">
        <v>5</v>
      </c>
      <c r="K170">
        <v>100</v>
      </c>
      <c r="L170">
        <v>100</v>
      </c>
      <c r="M170">
        <v>100</v>
      </c>
      <c r="N170">
        <v>65</v>
      </c>
      <c r="O170">
        <v>107</v>
      </c>
      <c r="P170">
        <v>55</v>
      </c>
      <c r="Q170">
        <v>80</v>
      </c>
      <c r="R170">
        <v>55</v>
      </c>
      <c r="S170">
        <v>80</v>
      </c>
    </row>
    <row r="171" spans="3:19" x14ac:dyDescent="0.2">
      <c r="C171">
        <v>1146</v>
      </c>
      <c r="D171">
        <v>1146</v>
      </c>
      <c r="E171">
        <v>1</v>
      </c>
      <c r="F171" t="s">
        <v>935</v>
      </c>
      <c r="G171" t="s">
        <v>1038</v>
      </c>
      <c r="H171" t="s">
        <v>935</v>
      </c>
      <c r="I171">
        <v>5</v>
      </c>
      <c r="J171">
        <v>0</v>
      </c>
    </row>
    <row r="172" spans="3:19" x14ac:dyDescent="0.2">
      <c r="C172">
        <v>1147</v>
      </c>
      <c r="D172">
        <v>1147</v>
      </c>
      <c r="E172">
        <v>1</v>
      </c>
      <c r="F172" t="s">
        <v>935</v>
      </c>
      <c r="G172" t="s">
        <v>1038</v>
      </c>
      <c r="H172" t="s">
        <v>935</v>
      </c>
      <c r="I172">
        <v>5</v>
      </c>
      <c r="J172">
        <v>0</v>
      </c>
    </row>
    <row r="173" spans="3:19" x14ac:dyDescent="0.2">
      <c r="C173">
        <v>1148</v>
      </c>
      <c r="D173">
        <v>1148</v>
      </c>
      <c r="E173">
        <v>1</v>
      </c>
      <c r="F173" t="s">
        <v>935</v>
      </c>
      <c r="G173" t="s">
        <v>1038</v>
      </c>
      <c r="H173" t="s">
        <v>935</v>
      </c>
      <c r="I173">
        <v>5</v>
      </c>
      <c r="J173">
        <v>0</v>
      </c>
    </row>
    <row r="174" spans="3:19" x14ac:dyDescent="0.2">
      <c r="C174">
        <v>1149</v>
      </c>
      <c r="D174">
        <v>1149</v>
      </c>
      <c r="E174">
        <v>1</v>
      </c>
      <c r="F174" t="s">
        <v>935</v>
      </c>
      <c r="G174" t="s">
        <v>1038</v>
      </c>
      <c r="H174" t="s">
        <v>935</v>
      </c>
      <c r="I174">
        <v>5</v>
      </c>
      <c r="J174">
        <v>0</v>
      </c>
    </row>
    <row r="175" spans="3:19" x14ac:dyDescent="0.2">
      <c r="C175">
        <v>1150</v>
      </c>
      <c r="D175">
        <v>1150</v>
      </c>
      <c r="E175">
        <v>1</v>
      </c>
      <c r="F175" t="s">
        <v>935</v>
      </c>
      <c r="G175" t="s">
        <v>1038</v>
      </c>
      <c r="H175" t="s">
        <v>935</v>
      </c>
      <c r="I175">
        <v>5</v>
      </c>
      <c r="J175">
        <v>0</v>
      </c>
    </row>
    <row r="176" spans="3:19" x14ac:dyDescent="0.2">
      <c r="C176">
        <v>1151</v>
      </c>
      <c r="D176">
        <v>1151</v>
      </c>
      <c r="E176">
        <v>1</v>
      </c>
      <c r="F176" t="s">
        <v>935</v>
      </c>
      <c r="G176" t="s">
        <v>1038</v>
      </c>
      <c r="H176" t="s">
        <v>935</v>
      </c>
      <c r="I176">
        <v>5</v>
      </c>
      <c r="J176">
        <v>0</v>
      </c>
    </row>
    <row r="177" spans="3:19" x14ac:dyDescent="0.2">
      <c r="C177">
        <v>1152</v>
      </c>
      <c r="D177">
        <v>1152</v>
      </c>
      <c r="E177">
        <v>1</v>
      </c>
      <c r="F177" t="s">
        <v>1340</v>
      </c>
      <c r="G177" t="s">
        <v>1341</v>
      </c>
      <c r="H177" t="s">
        <v>1342</v>
      </c>
      <c r="I177">
        <v>5</v>
      </c>
      <c r="J177">
        <v>5</v>
      </c>
      <c r="K177">
        <v>100</v>
      </c>
      <c r="L177">
        <v>100</v>
      </c>
      <c r="M177">
        <v>100</v>
      </c>
      <c r="N177">
        <v>142</v>
      </c>
      <c r="O177">
        <v>284</v>
      </c>
      <c r="P177">
        <v>180</v>
      </c>
      <c r="Q177">
        <v>210</v>
      </c>
      <c r="R177">
        <v>180</v>
      </c>
      <c r="S177">
        <v>210</v>
      </c>
    </row>
    <row r="178" spans="3:19" x14ac:dyDescent="0.2">
      <c r="C178">
        <v>1153</v>
      </c>
      <c r="D178">
        <v>1153</v>
      </c>
      <c r="E178">
        <v>1</v>
      </c>
      <c r="F178" t="s">
        <v>935</v>
      </c>
      <c r="G178" t="s">
        <v>1038</v>
      </c>
      <c r="H178" t="s">
        <v>935</v>
      </c>
      <c r="I178">
        <v>5</v>
      </c>
      <c r="J178">
        <v>0</v>
      </c>
    </row>
    <row r="179" spans="3:19" x14ac:dyDescent="0.2">
      <c r="C179">
        <v>1154</v>
      </c>
      <c r="D179">
        <v>1154</v>
      </c>
      <c r="E179">
        <v>1</v>
      </c>
      <c r="F179" t="s">
        <v>935</v>
      </c>
      <c r="G179" t="s">
        <v>1038</v>
      </c>
      <c r="H179" t="s">
        <v>935</v>
      </c>
      <c r="I179">
        <v>5</v>
      </c>
      <c r="J179">
        <v>0</v>
      </c>
    </row>
    <row r="180" spans="3:19" x14ac:dyDescent="0.2">
      <c r="C180">
        <v>1155</v>
      </c>
      <c r="D180">
        <v>1155</v>
      </c>
      <c r="E180">
        <v>1</v>
      </c>
      <c r="F180" t="s">
        <v>935</v>
      </c>
      <c r="G180" t="s">
        <v>1038</v>
      </c>
      <c r="H180" t="s">
        <v>935</v>
      </c>
      <c r="I180">
        <v>5</v>
      </c>
      <c r="J180">
        <v>0</v>
      </c>
    </row>
    <row r="181" spans="3:19" x14ac:dyDescent="0.2">
      <c r="C181">
        <v>1156</v>
      </c>
      <c r="D181">
        <v>1156</v>
      </c>
      <c r="E181">
        <v>1</v>
      </c>
      <c r="F181" t="s">
        <v>1343</v>
      </c>
      <c r="G181" t="s">
        <v>1344</v>
      </c>
      <c r="H181" t="s">
        <v>1345</v>
      </c>
      <c r="I181">
        <v>0</v>
      </c>
      <c r="J181">
        <v>5</v>
      </c>
      <c r="K181">
        <v>100</v>
      </c>
      <c r="L181">
        <v>66</v>
      </c>
      <c r="M181">
        <v>33</v>
      </c>
      <c r="N181">
        <v>2562</v>
      </c>
      <c r="O181">
        <v>2562</v>
      </c>
      <c r="P181">
        <v>2562</v>
      </c>
      <c r="Q181">
        <v>2562</v>
      </c>
      <c r="R181">
        <v>1193</v>
      </c>
      <c r="S181">
        <v>1193</v>
      </c>
    </row>
    <row r="182" spans="3:19" x14ac:dyDescent="0.2">
      <c r="C182">
        <v>1157</v>
      </c>
      <c r="D182">
        <v>1157</v>
      </c>
      <c r="E182">
        <v>1</v>
      </c>
      <c r="F182" t="s">
        <v>935</v>
      </c>
      <c r="G182" t="s">
        <v>1038</v>
      </c>
      <c r="H182" t="s">
        <v>935</v>
      </c>
      <c r="I182">
        <v>5</v>
      </c>
      <c r="J182">
        <v>0</v>
      </c>
    </row>
    <row r="183" spans="3:19" x14ac:dyDescent="0.2">
      <c r="C183">
        <v>1158</v>
      </c>
      <c r="D183">
        <v>1158</v>
      </c>
      <c r="E183">
        <v>1</v>
      </c>
      <c r="F183" t="s">
        <v>935</v>
      </c>
      <c r="G183" t="s">
        <v>1038</v>
      </c>
      <c r="H183" t="s">
        <v>935</v>
      </c>
      <c r="I183">
        <v>5</v>
      </c>
      <c r="J183">
        <v>0</v>
      </c>
    </row>
    <row r="184" spans="3:19" x14ac:dyDescent="0.2">
      <c r="C184">
        <v>1159</v>
      </c>
      <c r="D184">
        <v>1159</v>
      </c>
      <c r="E184">
        <v>1</v>
      </c>
      <c r="F184" t="s">
        <v>935</v>
      </c>
      <c r="G184" t="s">
        <v>1038</v>
      </c>
      <c r="H184" t="s">
        <v>935</v>
      </c>
      <c r="I184">
        <v>5</v>
      </c>
      <c r="J184">
        <v>0</v>
      </c>
    </row>
    <row r="185" spans="3:19" x14ac:dyDescent="0.2">
      <c r="C185">
        <v>1160</v>
      </c>
      <c r="D185">
        <v>1160</v>
      </c>
      <c r="E185">
        <v>1</v>
      </c>
      <c r="F185" t="s">
        <v>1346</v>
      </c>
      <c r="G185" t="s">
        <v>1347</v>
      </c>
      <c r="H185" t="s">
        <v>1348</v>
      </c>
      <c r="I185">
        <v>5</v>
      </c>
      <c r="J185">
        <v>5</v>
      </c>
      <c r="K185">
        <v>100</v>
      </c>
      <c r="L185">
        <v>100</v>
      </c>
      <c r="M185">
        <v>100</v>
      </c>
      <c r="N185">
        <v>91</v>
      </c>
      <c r="O185">
        <v>128</v>
      </c>
      <c r="P185">
        <v>55</v>
      </c>
      <c r="Q185">
        <v>95</v>
      </c>
      <c r="R185">
        <v>55</v>
      </c>
      <c r="S185">
        <v>95</v>
      </c>
    </row>
    <row r="186" spans="3:19" x14ac:dyDescent="0.2">
      <c r="C186">
        <v>1161</v>
      </c>
      <c r="D186">
        <v>1161</v>
      </c>
      <c r="E186">
        <v>1</v>
      </c>
      <c r="F186" t="s">
        <v>1349</v>
      </c>
      <c r="G186" t="s">
        <v>1350</v>
      </c>
      <c r="H186" t="s">
        <v>1351</v>
      </c>
      <c r="I186">
        <v>5</v>
      </c>
      <c r="J186">
        <v>5</v>
      </c>
      <c r="K186">
        <v>100</v>
      </c>
      <c r="L186">
        <v>100</v>
      </c>
      <c r="M186">
        <v>100</v>
      </c>
      <c r="N186">
        <v>93</v>
      </c>
      <c r="O186">
        <v>131</v>
      </c>
      <c r="P186">
        <v>55</v>
      </c>
      <c r="Q186">
        <v>95</v>
      </c>
      <c r="R186">
        <v>55</v>
      </c>
      <c r="S186">
        <v>95</v>
      </c>
    </row>
    <row r="187" spans="3:19" x14ac:dyDescent="0.2">
      <c r="C187">
        <v>1162</v>
      </c>
      <c r="D187">
        <v>1162</v>
      </c>
      <c r="E187">
        <v>1</v>
      </c>
      <c r="F187" t="s">
        <v>1352</v>
      </c>
      <c r="G187" t="s">
        <v>1353</v>
      </c>
      <c r="H187" t="s">
        <v>1354</v>
      </c>
      <c r="I187">
        <v>5</v>
      </c>
      <c r="J187">
        <v>5</v>
      </c>
      <c r="K187">
        <v>100</v>
      </c>
      <c r="L187">
        <v>100</v>
      </c>
      <c r="M187">
        <v>100</v>
      </c>
      <c r="N187">
        <v>95</v>
      </c>
      <c r="O187">
        <v>136</v>
      </c>
      <c r="P187">
        <v>55</v>
      </c>
      <c r="Q187">
        <v>95</v>
      </c>
      <c r="R187">
        <v>55</v>
      </c>
      <c r="S187">
        <v>95</v>
      </c>
    </row>
    <row r="188" spans="3:19" x14ac:dyDescent="0.2">
      <c r="C188">
        <v>1163</v>
      </c>
      <c r="D188">
        <v>1163</v>
      </c>
      <c r="E188">
        <v>1</v>
      </c>
      <c r="F188" t="s">
        <v>1355</v>
      </c>
      <c r="G188" t="s">
        <v>1356</v>
      </c>
      <c r="H188" t="s">
        <v>1357</v>
      </c>
      <c r="I188">
        <v>5</v>
      </c>
      <c r="J188">
        <v>5</v>
      </c>
      <c r="K188">
        <v>100</v>
      </c>
      <c r="L188">
        <v>100</v>
      </c>
      <c r="M188">
        <v>100</v>
      </c>
      <c r="N188">
        <v>96</v>
      </c>
      <c r="O188">
        <v>141</v>
      </c>
      <c r="P188">
        <v>55</v>
      </c>
      <c r="Q188">
        <v>95</v>
      </c>
      <c r="R188">
        <v>55</v>
      </c>
      <c r="S188">
        <v>95</v>
      </c>
    </row>
    <row r="189" spans="3:19" x14ac:dyDescent="0.2">
      <c r="C189">
        <v>1164</v>
      </c>
      <c r="D189">
        <v>1164</v>
      </c>
      <c r="E189">
        <v>1</v>
      </c>
      <c r="F189" t="s">
        <v>1358</v>
      </c>
      <c r="G189" t="s">
        <v>1359</v>
      </c>
      <c r="H189" t="s">
        <v>1360</v>
      </c>
      <c r="I189">
        <v>5</v>
      </c>
      <c r="J189">
        <v>5</v>
      </c>
      <c r="K189">
        <v>100</v>
      </c>
      <c r="L189">
        <v>100</v>
      </c>
      <c r="M189">
        <v>100</v>
      </c>
      <c r="N189">
        <v>97</v>
      </c>
      <c r="O189">
        <v>137</v>
      </c>
      <c r="P189">
        <v>55</v>
      </c>
      <c r="Q189">
        <v>95</v>
      </c>
      <c r="R189">
        <v>55</v>
      </c>
      <c r="S189">
        <v>95</v>
      </c>
    </row>
    <row r="190" spans="3:19" x14ac:dyDescent="0.2">
      <c r="C190">
        <v>1165</v>
      </c>
      <c r="D190">
        <v>1165</v>
      </c>
      <c r="E190">
        <v>1</v>
      </c>
      <c r="F190" t="s">
        <v>1361</v>
      </c>
      <c r="G190" t="s">
        <v>1362</v>
      </c>
      <c r="H190" t="s">
        <v>1363</v>
      </c>
      <c r="I190">
        <v>5</v>
      </c>
      <c r="J190">
        <v>5</v>
      </c>
      <c r="K190">
        <v>100</v>
      </c>
      <c r="L190">
        <v>100</v>
      </c>
      <c r="M190">
        <v>100</v>
      </c>
      <c r="N190">
        <v>86</v>
      </c>
      <c r="O190">
        <v>129</v>
      </c>
      <c r="P190">
        <v>80</v>
      </c>
      <c r="Q190">
        <v>115</v>
      </c>
      <c r="R190">
        <v>80</v>
      </c>
      <c r="S190">
        <v>115</v>
      </c>
    </row>
    <row r="191" spans="3:19" x14ac:dyDescent="0.2">
      <c r="C191">
        <v>1166</v>
      </c>
      <c r="D191">
        <v>1166</v>
      </c>
      <c r="E191">
        <v>1</v>
      </c>
      <c r="F191" t="s">
        <v>1364</v>
      </c>
      <c r="G191" t="s">
        <v>1365</v>
      </c>
      <c r="H191" t="s">
        <v>1366</v>
      </c>
      <c r="I191">
        <v>5</v>
      </c>
      <c r="J191">
        <v>5</v>
      </c>
      <c r="K191">
        <v>100</v>
      </c>
      <c r="L191">
        <v>100</v>
      </c>
      <c r="M191">
        <v>100</v>
      </c>
      <c r="N191">
        <v>85</v>
      </c>
      <c r="O191">
        <v>124</v>
      </c>
      <c r="P191">
        <v>80</v>
      </c>
      <c r="Q191">
        <v>115</v>
      </c>
      <c r="R191">
        <v>80</v>
      </c>
      <c r="S191">
        <v>115</v>
      </c>
    </row>
    <row r="192" spans="3:19" x14ac:dyDescent="0.2">
      <c r="C192">
        <v>1167</v>
      </c>
      <c r="D192">
        <v>1167</v>
      </c>
      <c r="E192">
        <v>1</v>
      </c>
      <c r="F192" t="s">
        <v>1367</v>
      </c>
      <c r="G192" t="s">
        <v>1368</v>
      </c>
      <c r="H192" t="s">
        <v>1369</v>
      </c>
      <c r="I192">
        <v>5</v>
      </c>
      <c r="J192">
        <v>5</v>
      </c>
      <c r="K192">
        <v>100</v>
      </c>
      <c r="L192">
        <v>100</v>
      </c>
      <c r="M192">
        <v>100</v>
      </c>
      <c r="N192">
        <v>89</v>
      </c>
      <c r="O192">
        <v>134</v>
      </c>
      <c r="P192">
        <v>80</v>
      </c>
      <c r="Q192">
        <v>115</v>
      </c>
      <c r="R192">
        <v>80</v>
      </c>
      <c r="S192">
        <v>115</v>
      </c>
    </row>
    <row r="193" spans="3:19" x14ac:dyDescent="0.2">
      <c r="C193">
        <v>1168</v>
      </c>
      <c r="D193">
        <v>1168</v>
      </c>
      <c r="E193">
        <v>1</v>
      </c>
      <c r="F193" t="s">
        <v>1370</v>
      </c>
      <c r="G193" t="s">
        <v>1371</v>
      </c>
      <c r="H193" t="s">
        <v>1372</v>
      </c>
      <c r="I193">
        <v>5</v>
      </c>
      <c r="J193">
        <v>5</v>
      </c>
      <c r="K193">
        <v>100</v>
      </c>
      <c r="L193">
        <v>100</v>
      </c>
      <c r="M193">
        <v>100</v>
      </c>
      <c r="N193">
        <v>86</v>
      </c>
      <c r="O193">
        <v>131</v>
      </c>
      <c r="P193">
        <v>80</v>
      </c>
      <c r="Q193">
        <v>115</v>
      </c>
      <c r="R193">
        <v>80</v>
      </c>
      <c r="S193">
        <v>115</v>
      </c>
    </row>
    <row r="194" spans="3:19" x14ac:dyDescent="0.2">
      <c r="C194">
        <v>1169</v>
      </c>
      <c r="D194">
        <v>1169</v>
      </c>
      <c r="E194">
        <v>1</v>
      </c>
      <c r="F194" t="s">
        <v>1373</v>
      </c>
      <c r="G194" t="s">
        <v>1374</v>
      </c>
      <c r="H194" t="s">
        <v>1375</v>
      </c>
      <c r="I194">
        <v>5</v>
      </c>
      <c r="J194">
        <v>5</v>
      </c>
      <c r="K194">
        <v>100</v>
      </c>
      <c r="L194">
        <v>100</v>
      </c>
      <c r="M194">
        <v>100</v>
      </c>
      <c r="N194">
        <v>87</v>
      </c>
      <c r="O194">
        <v>131</v>
      </c>
      <c r="P194">
        <v>80</v>
      </c>
      <c r="Q194">
        <v>115</v>
      </c>
      <c r="R194">
        <v>80</v>
      </c>
      <c r="S194">
        <v>115</v>
      </c>
    </row>
    <row r="195" spans="3:19" x14ac:dyDescent="0.2">
      <c r="C195">
        <v>1170</v>
      </c>
      <c r="D195">
        <v>1170</v>
      </c>
      <c r="E195">
        <v>1</v>
      </c>
      <c r="F195" t="s">
        <v>1376</v>
      </c>
      <c r="G195" t="s">
        <v>1377</v>
      </c>
      <c r="H195" t="s">
        <v>1378</v>
      </c>
      <c r="I195">
        <v>5</v>
      </c>
      <c r="J195">
        <v>5</v>
      </c>
      <c r="N195">
        <v>70</v>
      </c>
      <c r="O195">
        <v>147</v>
      </c>
      <c r="P195">
        <v>70</v>
      </c>
      <c r="Q195">
        <v>100</v>
      </c>
      <c r="R195">
        <v>70</v>
      </c>
      <c r="S195">
        <v>100</v>
      </c>
    </row>
    <row r="196" spans="3:19" x14ac:dyDescent="0.2">
      <c r="C196">
        <v>1171</v>
      </c>
      <c r="D196">
        <v>1171</v>
      </c>
      <c r="E196">
        <v>1</v>
      </c>
      <c r="F196" t="s">
        <v>1379</v>
      </c>
      <c r="G196" t="s">
        <v>1380</v>
      </c>
      <c r="H196" t="s">
        <v>1381</v>
      </c>
      <c r="I196">
        <v>5</v>
      </c>
      <c r="J196">
        <v>5</v>
      </c>
      <c r="N196">
        <v>78</v>
      </c>
      <c r="O196">
        <v>156</v>
      </c>
      <c r="P196">
        <v>70</v>
      </c>
      <c r="Q196">
        <v>100</v>
      </c>
      <c r="R196">
        <v>70</v>
      </c>
      <c r="S196">
        <v>100</v>
      </c>
    </row>
    <row r="197" spans="3:19" x14ac:dyDescent="0.2">
      <c r="C197">
        <v>1172</v>
      </c>
      <c r="D197">
        <v>1172</v>
      </c>
      <c r="E197">
        <v>1</v>
      </c>
      <c r="F197" t="s">
        <v>1382</v>
      </c>
      <c r="G197" t="s">
        <v>1383</v>
      </c>
      <c r="H197" t="s">
        <v>1384</v>
      </c>
      <c r="I197">
        <v>5</v>
      </c>
      <c r="J197">
        <v>5</v>
      </c>
      <c r="N197">
        <v>76</v>
      </c>
      <c r="O197">
        <v>156</v>
      </c>
      <c r="P197">
        <v>70</v>
      </c>
      <c r="Q197">
        <v>100</v>
      </c>
      <c r="R197">
        <v>70</v>
      </c>
      <c r="S197">
        <v>100</v>
      </c>
    </row>
    <row r="198" spans="3:19" x14ac:dyDescent="0.2">
      <c r="C198">
        <v>1173</v>
      </c>
      <c r="D198">
        <v>1173</v>
      </c>
      <c r="E198">
        <v>1</v>
      </c>
      <c r="F198" t="s">
        <v>1385</v>
      </c>
      <c r="G198" t="s">
        <v>1386</v>
      </c>
      <c r="H198" t="s">
        <v>1387</v>
      </c>
      <c r="I198">
        <v>5</v>
      </c>
      <c r="J198">
        <v>5</v>
      </c>
      <c r="N198">
        <v>76</v>
      </c>
      <c r="O198">
        <v>151</v>
      </c>
      <c r="P198">
        <v>70</v>
      </c>
      <c r="Q198">
        <v>100</v>
      </c>
      <c r="R198">
        <v>70</v>
      </c>
      <c r="S198">
        <v>100</v>
      </c>
    </row>
    <row r="199" spans="3:19" x14ac:dyDescent="0.2">
      <c r="C199">
        <v>1174</v>
      </c>
      <c r="D199">
        <v>1174</v>
      </c>
      <c r="E199">
        <v>1</v>
      </c>
      <c r="F199" t="s">
        <v>1388</v>
      </c>
      <c r="G199" t="s">
        <v>1389</v>
      </c>
      <c r="H199" t="s">
        <v>1390</v>
      </c>
      <c r="I199">
        <v>5</v>
      </c>
      <c r="J199">
        <v>5</v>
      </c>
      <c r="N199">
        <v>74</v>
      </c>
      <c r="O199">
        <v>151</v>
      </c>
      <c r="P199">
        <v>70</v>
      </c>
      <c r="Q199">
        <v>100</v>
      </c>
      <c r="R199">
        <v>70</v>
      </c>
      <c r="S199">
        <v>100</v>
      </c>
    </row>
    <row r="200" spans="3:19" x14ac:dyDescent="0.2">
      <c r="C200">
        <v>1175</v>
      </c>
      <c r="D200">
        <v>1175</v>
      </c>
      <c r="E200">
        <v>1</v>
      </c>
      <c r="F200" t="s">
        <v>935</v>
      </c>
      <c r="G200" t="s">
        <v>1038</v>
      </c>
      <c r="H200" t="s">
        <v>935</v>
      </c>
      <c r="I200">
        <v>5</v>
      </c>
      <c r="J200">
        <v>0</v>
      </c>
    </row>
    <row r="201" spans="3:19" x14ac:dyDescent="0.2">
      <c r="C201">
        <v>1176</v>
      </c>
      <c r="D201">
        <v>1176</v>
      </c>
      <c r="E201">
        <v>1</v>
      </c>
      <c r="F201" t="s">
        <v>935</v>
      </c>
      <c r="G201" t="s">
        <v>1038</v>
      </c>
      <c r="H201" t="s">
        <v>935</v>
      </c>
      <c r="I201">
        <v>5</v>
      </c>
      <c r="J201">
        <v>0</v>
      </c>
    </row>
    <row r="202" spans="3:19" x14ac:dyDescent="0.2">
      <c r="C202">
        <v>1177</v>
      </c>
      <c r="D202">
        <v>1177</v>
      </c>
      <c r="E202">
        <v>1</v>
      </c>
      <c r="F202" t="s">
        <v>935</v>
      </c>
      <c r="G202" t="s">
        <v>1038</v>
      </c>
      <c r="H202" t="s">
        <v>935</v>
      </c>
      <c r="I202">
        <v>5</v>
      </c>
      <c r="J202">
        <v>0</v>
      </c>
    </row>
    <row r="203" spans="3:19" x14ac:dyDescent="0.2">
      <c r="C203">
        <v>1178</v>
      </c>
      <c r="D203">
        <v>1178</v>
      </c>
      <c r="E203">
        <v>1</v>
      </c>
      <c r="F203" t="s">
        <v>935</v>
      </c>
      <c r="G203" t="s">
        <v>1038</v>
      </c>
      <c r="H203" t="s">
        <v>935</v>
      </c>
      <c r="I203">
        <v>5</v>
      </c>
      <c r="J203">
        <v>0</v>
      </c>
    </row>
    <row r="204" spans="3:19" x14ac:dyDescent="0.2">
      <c r="C204">
        <v>1179</v>
      </c>
      <c r="D204">
        <v>1179</v>
      </c>
      <c r="E204">
        <v>1</v>
      </c>
      <c r="F204" t="s">
        <v>935</v>
      </c>
      <c r="G204" t="s">
        <v>1038</v>
      </c>
      <c r="H204" t="s">
        <v>935</v>
      </c>
      <c r="I204">
        <v>5</v>
      </c>
      <c r="J204">
        <v>0</v>
      </c>
    </row>
    <row r="205" spans="3:19" x14ac:dyDescent="0.2">
      <c r="C205">
        <v>1180</v>
      </c>
      <c r="D205">
        <v>1180</v>
      </c>
      <c r="E205">
        <v>1</v>
      </c>
      <c r="F205" t="s">
        <v>1391</v>
      </c>
      <c r="G205" t="s">
        <v>1392</v>
      </c>
      <c r="H205" t="s">
        <v>1393</v>
      </c>
      <c r="I205">
        <v>5</v>
      </c>
      <c r="J205">
        <v>5</v>
      </c>
      <c r="K205">
        <v>100</v>
      </c>
      <c r="L205">
        <v>75</v>
      </c>
      <c r="M205">
        <v>50</v>
      </c>
      <c r="N205">
        <v>21</v>
      </c>
      <c r="O205">
        <v>65</v>
      </c>
      <c r="P205">
        <v>20</v>
      </c>
      <c r="Q205">
        <v>45</v>
      </c>
      <c r="R205">
        <v>20</v>
      </c>
      <c r="S205">
        <v>45</v>
      </c>
    </row>
    <row r="206" spans="3:19" x14ac:dyDescent="0.2">
      <c r="C206">
        <v>1181</v>
      </c>
      <c r="D206">
        <v>1181</v>
      </c>
      <c r="E206">
        <v>1</v>
      </c>
      <c r="F206" t="s">
        <v>1394</v>
      </c>
      <c r="G206" t="s">
        <v>1392</v>
      </c>
      <c r="H206" t="s">
        <v>1393</v>
      </c>
      <c r="I206">
        <v>5</v>
      </c>
      <c r="J206">
        <v>5</v>
      </c>
      <c r="K206">
        <v>100</v>
      </c>
      <c r="L206">
        <v>75</v>
      </c>
      <c r="M206">
        <v>50</v>
      </c>
      <c r="N206">
        <v>23</v>
      </c>
      <c r="O206">
        <v>64</v>
      </c>
      <c r="P206">
        <v>20</v>
      </c>
      <c r="Q206">
        <v>45</v>
      </c>
      <c r="R206">
        <v>20</v>
      </c>
      <c r="S206">
        <v>45</v>
      </c>
    </row>
    <row r="207" spans="3:19" x14ac:dyDescent="0.2">
      <c r="C207">
        <v>1182</v>
      </c>
      <c r="D207">
        <v>1182</v>
      </c>
      <c r="E207">
        <v>1</v>
      </c>
      <c r="F207" t="s">
        <v>1395</v>
      </c>
      <c r="G207" t="s">
        <v>1396</v>
      </c>
      <c r="H207" t="s">
        <v>1397</v>
      </c>
      <c r="I207">
        <v>5</v>
      </c>
      <c r="J207">
        <v>5</v>
      </c>
      <c r="K207">
        <v>100</v>
      </c>
      <c r="L207">
        <v>75</v>
      </c>
      <c r="M207">
        <v>50</v>
      </c>
      <c r="N207">
        <v>21</v>
      </c>
      <c r="O207">
        <v>66</v>
      </c>
      <c r="P207">
        <v>20</v>
      </c>
      <c r="Q207">
        <v>45</v>
      </c>
      <c r="R207">
        <v>20</v>
      </c>
      <c r="S207">
        <v>45</v>
      </c>
    </row>
    <row r="208" spans="3:19" x14ac:dyDescent="0.2">
      <c r="C208">
        <v>1183</v>
      </c>
      <c r="D208">
        <v>1183</v>
      </c>
      <c r="E208">
        <v>1</v>
      </c>
      <c r="F208" t="s">
        <v>1398</v>
      </c>
      <c r="G208" t="s">
        <v>1399</v>
      </c>
      <c r="H208" t="s">
        <v>1400</v>
      </c>
      <c r="I208">
        <v>5</v>
      </c>
      <c r="J208">
        <v>5</v>
      </c>
      <c r="K208">
        <v>100</v>
      </c>
      <c r="L208">
        <v>75</v>
      </c>
      <c r="M208">
        <v>50</v>
      </c>
      <c r="N208">
        <v>21</v>
      </c>
      <c r="O208">
        <v>64</v>
      </c>
      <c r="P208">
        <v>20</v>
      </c>
      <c r="Q208">
        <v>45</v>
      </c>
      <c r="R208">
        <v>20</v>
      </c>
      <c r="S208">
        <v>45</v>
      </c>
    </row>
    <row r="209" spans="3:19" x14ac:dyDescent="0.2">
      <c r="C209">
        <v>1184</v>
      </c>
      <c r="D209">
        <v>1184</v>
      </c>
      <c r="E209">
        <v>1</v>
      </c>
      <c r="F209" t="s">
        <v>1401</v>
      </c>
      <c r="G209" t="s">
        <v>1402</v>
      </c>
      <c r="H209" t="s">
        <v>1403</v>
      </c>
      <c r="I209">
        <v>5</v>
      </c>
      <c r="J209">
        <v>5</v>
      </c>
      <c r="K209">
        <v>100</v>
      </c>
      <c r="L209">
        <v>75</v>
      </c>
      <c r="M209">
        <v>50</v>
      </c>
      <c r="N209">
        <v>21</v>
      </c>
      <c r="O209">
        <v>65</v>
      </c>
      <c r="P209">
        <v>20</v>
      </c>
      <c r="Q209">
        <v>45</v>
      </c>
      <c r="R209">
        <v>20</v>
      </c>
      <c r="S209">
        <v>45</v>
      </c>
    </row>
    <row r="210" spans="3:19" x14ac:dyDescent="0.2">
      <c r="C210">
        <v>1185</v>
      </c>
      <c r="D210">
        <v>1185</v>
      </c>
      <c r="E210">
        <v>1</v>
      </c>
      <c r="F210" t="s">
        <v>935</v>
      </c>
      <c r="G210" t="s">
        <v>1038</v>
      </c>
      <c r="H210" t="s">
        <v>935</v>
      </c>
      <c r="I210">
        <v>5</v>
      </c>
      <c r="J210">
        <v>0</v>
      </c>
    </row>
    <row r="211" spans="3:19" x14ac:dyDescent="0.2">
      <c r="C211">
        <v>1186</v>
      </c>
      <c r="D211">
        <v>1186</v>
      </c>
      <c r="E211">
        <v>1</v>
      </c>
      <c r="F211" t="s">
        <v>1404</v>
      </c>
      <c r="G211" t="s">
        <v>1405</v>
      </c>
      <c r="H211" t="s">
        <v>1406</v>
      </c>
      <c r="I211">
        <v>10</v>
      </c>
      <c r="J211">
        <v>5</v>
      </c>
      <c r="K211">
        <v>100</v>
      </c>
      <c r="L211">
        <v>100</v>
      </c>
      <c r="M211">
        <v>100</v>
      </c>
      <c r="N211">
        <v>160</v>
      </c>
      <c r="O211">
        <v>200</v>
      </c>
      <c r="P211">
        <v>180</v>
      </c>
      <c r="Q211">
        <v>220</v>
      </c>
      <c r="R211">
        <v>180</v>
      </c>
      <c r="S211">
        <v>220</v>
      </c>
    </row>
    <row r="212" spans="3:19" x14ac:dyDescent="0.2">
      <c r="C212">
        <v>1187</v>
      </c>
      <c r="D212">
        <v>1187</v>
      </c>
      <c r="E212">
        <v>1</v>
      </c>
      <c r="F212" t="s">
        <v>1407</v>
      </c>
      <c r="G212" t="s">
        <v>1408</v>
      </c>
      <c r="H212" t="s">
        <v>1409</v>
      </c>
      <c r="I212">
        <v>10</v>
      </c>
      <c r="J212">
        <v>5</v>
      </c>
      <c r="K212">
        <v>100</v>
      </c>
      <c r="L212">
        <v>100</v>
      </c>
      <c r="M212">
        <v>100</v>
      </c>
      <c r="N212">
        <v>160</v>
      </c>
      <c r="O212">
        <v>200</v>
      </c>
      <c r="P212">
        <v>180</v>
      </c>
      <c r="Q212">
        <v>220</v>
      </c>
      <c r="R212">
        <v>180</v>
      </c>
      <c r="S212">
        <v>220</v>
      </c>
    </row>
    <row r="213" spans="3:19" x14ac:dyDescent="0.2">
      <c r="C213">
        <v>1188</v>
      </c>
      <c r="D213">
        <v>1188</v>
      </c>
      <c r="E213">
        <v>1</v>
      </c>
      <c r="F213" t="s">
        <v>1410</v>
      </c>
      <c r="G213" t="s">
        <v>1411</v>
      </c>
      <c r="H213" t="s">
        <v>1412</v>
      </c>
      <c r="I213">
        <v>10</v>
      </c>
      <c r="J213">
        <v>5</v>
      </c>
      <c r="K213">
        <v>100</v>
      </c>
      <c r="L213">
        <v>100</v>
      </c>
      <c r="M213">
        <v>100</v>
      </c>
      <c r="N213">
        <v>160</v>
      </c>
      <c r="O213">
        <v>200</v>
      </c>
      <c r="P213">
        <v>180</v>
      </c>
      <c r="Q213">
        <v>220</v>
      </c>
      <c r="R213">
        <v>180</v>
      </c>
      <c r="S213">
        <v>220</v>
      </c>
    </row>
    <row r="214" spans="3:19" x14ac:dyDescent="0.2">
      <c r="C214">
        <v>1189</v>
      </c>
      <c r="D214">
        <v>1189</v>
      </c>
      <c r="E214">
        <v>1</v>
      </c>
      <c r="F214" t="s">
        <v>1413</v>
      </c>
      <c r="G214" t="s">
        <v>1414</v>
      </c>
      <c r="H214" t="s">
        <v>1415</v>
      </c>
      <c r="I214">
        <v>10</v>
      </c>
      <c r="J214">
        <v>5</v>
      </c>
      <c r="K214">
        <v>100</v>
      </c>
      <c r="L214">
        <v>100</v>
      </c>
      <c r="M214">
        <v>100</v>
      </c>
      <c r="N214">
        <v>160</v>
      </c>
      <c r="O214">
        <v>200</v>
      </c>
      <c r="P214">
        <v>180</v>
      </c>
      <c r="Q214">
        <v>220</v>
      </c>
      <c r="R214">
        <v>180</v>
      </c>
      <c r="S214">
        <v>220</v>
      </c>
    </row>
    <row r="215" spans="3:19" x14ac:dyDescent="0.2">
      <c r="C215">
        <v>1190</v>
      </c>
      <c r="D215">
        <v>1190</v>
      </c>
      <c r="E215">
        <v>1</v>
      </c>
      <c r="F215" t="s">
        <v>1416</v>
      </c>
      <c r="G215" t="s">
        <v>1417</v>
      </c>
      <c r="H215" t="s">
        <v>1418</v>
      </c>
      <c r="I215">
        <v>5</v>
      </c>
      <c r="J215">
        <v>0</v>
      </c>
      <c r="K215">
        <v>100</v>
      </c>
      <c r="L215">
        <v>66</v>
      </c>
      <c r="M215">
        <v>33</v>
      </c>
      <c r="N215">
        <v>77</v>
      </c>
      <c r="O215">
        <v>98</v>
      </c>
      <c r="P215">
        <v>60</v>
      </c>
      <c r="Q215">
        <v>80</v>
      </c>
      <c r="R215">
        <v>60</v>
      </c>
      <c r="S215">
        <v>80</v>
      </c>
    </row>
    <row r="216" spans="3:19" x14ac:dyDescent="0.2">
      <c r="C216">
        <v>1191</v>
      </c>
      <c r="D216">
        <v>1191</v>
      </c>
      <c r="E216">
        <v>1</v>
      </c>
      <c r="F216" t="s">
        <v>1416</v>
      </c>
      <c r="G216" t="s">
        <v>1417</v>
      </c>
      <c r="H216" t="s">
        <v>1418</v>
      </c>
      <c r="I216">
        <v>5</v>
      </c>
      <c r="J216">
        <v>0</v>
      </c>
      <c r="K216">
        <v>100</v>
      </c>
      <c r="L216">
        <v>66</v>
      </c>
      <c r="M216">
        <v>33</v>
      </c>
      <c r="N216">
        <v>78</v>
      </c>
      <c r="O216">
        <v>95</v>
      </c>
      <c r="P216">
        <v>60</v>
      </c>
      <c r="Q216">
        <v>80</v>
      </c>
      <c r="R216">
        <v>60</v>
      </c>
      <c r="S216">
        <v>80</v>
      </c>
    </row>
    <row r="217" spans="3:19" x14ac:dyDescent="0.2">
      <c r="C217">
        <v>1192</v>
      </c>
      <c r="D217">
        <v>1192</v>
      </c>
      <c r="E217">
        <v>1</v>
      </c>
      <c r="F217" t="s">
        <v>1416</v>
      </c>
      <c r="G217" t="s">
        <v>1417</v>
      </c>
      <c r="H217" t="s">
        <v>1418</v>
      </c>
      <c r="I217">
        <v>5</v>
      </c>
      <c r="J217">
        <v>0</v>
      </c>
      <c r="K217">
        <v>100</v>
      </c>
      <c r="L217">
        <v>66</v>
      </c>
      <c r="M217">
        <v>33</v>
      </c>
      <c r="N217">
        <v>78</v>
      </c>
      <c r="O217">
        <v>96</v>
      </c>
      <c r="P217">
        <v>60</v>
      </c>
      <c r="Q217">
        <v>80</v>
      </c>
      <c r="R217">
        <v>60</v>
      </c>
      <c r="S217">
        <v>80</v>
      </c>
    </row>
    <row r="218" spans="3:19" x14ac:dyDescent="0.2">
      <c r="C218">
        <v>1193</v>
      </c>
      <c r="D218">
        <v>1193</v>
      </c>
      <c r="E218">
        <v>1</v>
      </c>
      <c r="F218" t="s">
        <v>1419</v>
      </c>
      <c r="G218" t="s">
        <v>1417</v>
      </c>
      <c r="H218" t="s">
        <v>1418</v>
      </c>
      <c r="I218">
        <v>5</v>
      </c>
      <c r="J218">
        <v>0</v>
      </c>
      <c r="K218">
        <v>100</v>
      </c>
      <c r="L218">
        <v>66</v>
      </c>
      <c r="M218">
        <v>33</v>
      </c>
      <c r="N218">
        <v>78</v>
      </c>
      <c r="O218">
        <v>96</v>
      </c>
      <c r="P218">
        <v>60</v>
      </c>
      <c r="Q218">
        <v>80</v>
      </c>
      <c r="R218">
        <v>60</v>
      </c>
      <c r="S218">
        <v>80</v>
      </c>
    </row>
    <row r="219" spans="3:19" x14ac:dyDescent="0.2">
      <c r="C219">
        <v>1194</v>
      </c>
      <c r="D219">
        <v>1194</v>
      </c>
      <c r="E219">
        <v>1</v>
      </c>
      <c r="F219" t="s">
        <v>1416</v>
      </c>
      <c r="G219" t="s">
        <v>1417</v>
      </c>
      <c r="H219" t="s">
        <v>1418</v>
      </c>
      <c r="I219">
        <v>5</v>
      </c>
      <c r="J219">
        <v>0</v>
      </c>
      <c r="K219">
        <v>100</v>
      </c>
      <c r="L219">
        <v>66</v>
      </c>
      <c r="M219">
        <v>33</v>
      </c>
      <c r="N219">
        <v>77</v>
      </c>
      <c r="O219">
        <v>95</v>
      </c>
      <c r="P219">
        <v>60</v>
      </c>
      <c r="Q219">
        <v>80</v>
      </c>
      <c r="R219">
        <v>60</v>
      </c>
      <c r="S219">
        <v>80</v>
      </c>
    </row>
    <row r="220" spans="3:19" x14ac:dyDescent="0.2">
      <c r="C220">
        <v>1195</v>
      </c>
      <c r="D220">
        <v>1195</v>
      </c>
      <c r="E220">
        <v>1</v>
      </c>
      <c r="F220" t="s">
        <v>935</v>
      </c>
      <c r="G220" t="s">
        <v>1038</v>
      </c>
      <c r="H220" t="s">
        <v>935</v>
      </c>
      <c r="I220">
        <v>5</v>
      </c>
      <c r="J220">
        <v>0</v>
      </c>
    </row>
    <row r="221" spans="3:19" x14ac:dyDescent="0.2">
      <c r="C221">
        <v>1196</v>
      </c>
      <c r="D221">
        <v>1196</v>
      </c>
      <c r="E221">
        <v>1</v>
      </c>
      <c r="F221" t="s">
        <v>935</v>
      </c>
      <c r="G221" t="s">
        <v>1038</v>
      </c>
      <c r="H221" t="s">
        <v>935</v>
      </c>
      <c r="I221">
        <v>5</v>
      </c>
      <c r="J221">
        <v>0</v>
      </c>
    </row>
    <row r="222" spans="3:19" x14ac:dyDescent="0.2">
      <c r="C222">
        <v>1197</v>
      </c>
      <c r="D222">
        <v>1197</v>
      </c>
      <c r="E222">
        <v>1</v>
      </c>
      <c r="F222" t="s">
        <v>935</v>
      </c>
      <c r="G222" t="s">
        <v>1038</v>
      </c>
      <c r="H222" t="s">
        <v>935</v>
      </c>
      <c r="I222">
        <v>5</v>
      </c>
      <c r="J222">
        <v>0</v>
      </c>
    </row>
    <row r="223" spans="3:19" x14ac:dyDescent="0.2">
      <c r="C223">
        <v>1198</v>
      </c>
      <c r="D223">
        <v>1198</v>
      </c>
      <c r="E223">
        <v>1</v>
      </c>
      <c r="F223" t="s">
        <v>935</v>
      </c>
      <c r="G223" t="s">
        <v>1038</v>
      </c>
      <c r="H223" t="s">
        <v>935</v>
      </c>
      <c r="I223">
        <v>5</v>
      </c>
      <c r="J223">
        <v>0</v>
      </c>
    </row>
    <row r="224" spans="3:19" x14ac:dyDescent="0.2">
      <c r="C224">
        <v>1199</v>
      </c>
      <c r="D224">
        <v>1199</v>
      </c>
      <c r="E224">
        <v>1</v>
      </c>
      <c r="F224" t="s">
        <v>935</v>
      </c>
      <c r="G224" t="s">
        <v>1038</v>
      </c>
      <c r="H224" t="s">
        <v>935</v>
      </c>
      <c r="I224">
        <v>5</v>
      </c>
      <c r="J224">
        <v>0</v>
      </c>
    </row>
    <row r="225" spans="3:19" x14ac:dyDescent="0.2">
      <c r="C225">
        <v>1200</v>
      </c>
      <c r="D225">
        <v>1200</v>
      </c>
      <c r="E225">
        <v>1</v>
      </c>
      <c r="F225" t="s">
        <v>935</v>
      </c>
      <c r="G225" t="s">
        <v>1038</v>
      </c>
      <c r="H225" t="s">
        <v>935</v>
      </c>
      <c r="I225">
        <v>5</v>
      </c>
      <c r="J225">
        <v>0</v>
      </c>
    </row>
    <row r="226" spans="3:19" x14ac:dyDescent="0.2">
      <c r="C226">
        <v>1201</v>
      </c>
      <c r="D226">
        <v>1201</v>
      </c>
      <c r="E226">
        <v>1</v>
      </c>
      <c r="F226" t="s">
        <v>935</v>
      </c>
      <c r="G226" t="s">
        <v>1038</v>
      </c>
      <c r="H226" t="s">
        <v>935</v>
      </c>
      <c r="I226">
        <v>5</v>
      </c>
      <c r="J226">
        <v>0</v>
      </c>
    </row>
    <row r="227" spans="3:19" x14ac:dyDescent="0.2">
      <c r="C227">
        <v>1202</v>
      </c>
      <c r="D227">
        <v>1202</v>
      </c>
      <c r="E227">
        <v>1</v>
      </c>
      <c r="F227" t="s">
        <v>935</v>
      </c>
      <c r="G227" t="s">
        <v>1038</v>
      </c>
      <c r="H227" t="s">
        <v>935</v>
      </c>
      <c r="I227">
        <v>5</v>
      </c>
      <c r="J227">
        <v>0</v>
      </c>
    </row>
    <row r="228" spans="3:19" x14ac:dyDescent="0.2">
      <c r="C228">
        <v>1203</v>
      </c>
      <c r="D228">
        <v>1203</v>
      </c>
      <c r="E228">
        <v>1</v>
      </c>
      <c r="F228" t="s">
        <v>935</v>
      </c>
      <c r="G228" t="s">
        <v>1038</v>
      </c>
      <c r="H228" t="s">
        <v>935</v>
      </c>
      <c r="I228">
        <v>5</v>
      </c>
      <c r="J228">
        <v>0</v>
      </c>
      <c r="K228">
        <v>100</v>
      </c>
      <c r="L228">
        <v>100</v>
      </c>
      <c r="M228">
        <v>100</v>
      </c>
    </row>
    <row r="229" spans="3:19" x14ac:dyDescent="0.2">
      <c r="C229">
        <v>1204</v>
      </c>
      <c r="D229">
        <v>1204</v>
      </c>
      <c r="E229">
        <v>1</v>
      </c>
      <c r="F229" t="s">
        <v>935</v>
      </c>
      <c r="G229" t="s">
        <v>1038</v>
      </c>
      <c r="H229" t="s">
        <v>935</v>
      </c>
      <c r="I229">
        <v>5</v>
      </c>
      <c r="J229">
        <v>0</v>
      </c>
    </row>
    <row r="230" spans="3:19" x14ac:dyDescent="0.2">
      <c r="C230">
        <v>1205</v>
      </c>
      <c r="D230">
        <v>1205</v>
      </c>
      <c r="E230">
        <v>1</v>
      </c>
      <c r="F230" t="s">
        <v>935</v>
      </c>
      <c r="G230" t="s">
        <v>1038</v>
      </c>
      <c r="H230" t="s">
        <v>935</v>
      </c>
      <c r="I230">
        <v>5</v>
      </c>
      <c r="J230">
        <v>0</v>
      </c>
    </row>
    <row r="231" spans="3:19" x14ac:dyDescent="0.2">
      <c r="C231">
        <v>1206</v>
      </c>
      <c r="D231">
        <v>1206</v>
      </c>
      <c r="E231">
        <v>1</v>
      </c>
      <c r="F231" t="s">
        <v>1420</v>
      </c>
      <c r="G231" t="s">
        <v>1421</v>
      </c>
      <c r="H231" t="s">
        <v>1422</v>
      </c>
      <c r="I231">
        <v>5</v>
      </c>
      <c r="J231">
        <v>0</v>
      </c>
      <c r="K231">
        <v>100</v>
      </c>
      <c r="L231">
        <v>75</v>
      </c>
      <c r="M231">
        <v>50</v>
      </c>
      <c r="N231">
        <v>456</v>
      </c>
      <c r="O231">
        <v>545</v>
      </c>
      <c r="P231">
        <v>450</v>
      </c>
      <c r="Q231">
        <v>575</v>
      </c>
      <c r="R231">
        <v>450</v>
      </c>
      <c r="S231">
        <v>575</v>
      </c>
    </row>
    <row r="232" spans="3:19" x14ac:dyDescent="0.2">
      <c r="C232">
        <v>1207</v>
      </c>
      <c r="D232">
        <v>1207</v>
      </c>
      <c r="E232">
        <v>1</v>
      </c>
      <c r="F232" t="s">
        <v>1423</v>
      </c>
      <c r="G232" t="s">
        <v>1421</v>
      </c>
      <c r="H232" t="s">
        <v>1422</v>
      </c>
      <c r="I232">
        <v>5</v>
      </c>
      <c r="J232">
        <v>0</v>
      </c>
      <c r="K232">
        <v>100</v>
      </c>
      <c r="L232">
        <v>75</v>
      </c>
      <c r="M232">
        <v>50</v>
      </c>
      <c r="N232">
        <v>489</v>
      </c>
      <c r="O232">
        <v>584</v>
      </c>
      <c r="P232">
        <v>450</v>
      </c>
      <c r="Q232">
        <v>575</v>
      </c>
      <c r="R232">
        <v>450</v>
      </c>
      <c r="S232">
        <v>575</v>
      </c>
    </row>
    <row r="233" spans="3:19" x14ac:dyDescent="0.2">
      <c r="C233">
        <v>1208</v>
      </c>
      <c r="D233">
        <v>1208</v>
      </c>
      <c r="E233">
        <v>1</v>
      </c>
      <c r="F233" t="s">
        <v>1423</v>
      </c>
      <c r="G233" t="s">
        <v>1421</v>
      </c>
      <c r="H233" t="s">
        <v>1422</v>
      </c>
      <c r="I233">
        <v>5</v>
      </c>
      <c r="J233">
        <v>0</v>
      </c>
      <c r="K233">
        <v>100</v>
      </c>
      <c r="L233">
        <v>75</v>
      </c>
      <c r="M233">
        <v>50</v>
      </c>
      <c r="N233">
        <v>479</v>
      </c>
      <c r="O233">
        <v>576</v>
      </c>
      <c r="P233">
        <v>450</v>
      </c>
      <c r="Q233">
        <v>575</v>
      </c>
      <c r="R233">
        <v>450</v>
      </c>
      <c r="S233">
        <v>575</v>
      </c>
    </row>
    <row r="234" spans="3:19" x14ac:dyDescent="0.2">
      <c r="C234">
        <v>1209</v>
      </c>
      <c r="D234">
        <v>1209</v>
      </c>
      <c r="E234">
        <v>1</v>
      </c>
      <c r="F234" t="s">
        <v>1423</v>
      </c>
      <c r="G234" t="s">
        <v>1421</v>
      </c>
      <c r="H234" t="s">
        <v>1422</v>
      </c>
      <c r="I234">
        <v>5</v>
      </c>
      <c r="J234">
        <v>0</v>
      </c>
      <c r="K234">
        <v>100</v>
      </c>
      <c r="L234">
        <v>75</v>
      </c>
      <c r="M234">
        <v>50</v>
      </c>
      <c r="N234">
        <v>477</v>
      </c>
      <c r="O234">
        <v>572</v>
      </c>
      <c r="P234">
        <v>450</v>
      </c>
      <c r="Q234">
        <v>575</v>
      </c>
      <c r="R234">
        <v>450</v>
      </c>
      <c r="S234">
        <v>575</v>
      </c>
    </row>
    <row r="235" spans="3:19" x14ac:dyDescent="0.2">
      <c r="C235">
        <v>1210</v>
      </c>
      <c r="D235">
        <v>1210</v>
      </c>
      <c r="E235">
        <v>1</v>
      </c>
      <c r="F235" t="s">
        <v>935</v>
      </c>
      <c r="G235" t="s">
        <v>1038</v>
      </c>
      <c r="H235" t="s">
        <v>935</v>
      </c>
      <c r="I235">
        <v>5</v>
      </c>
      <c r="J235">
        <v>0</v>
      </c>
    </row>
    <row r="236" spans="3:19" x14ac:dyDescent="0.2">
      <c r="C236">
        <v>1211</v>
      </c>
      <c r="D236">
        <v>1211</v>
      </c>
      <c r="E236">
        <v>1</v>
      </c>
      <c r="F236" t="s">
        <v>1424</v>
      </c>
      <c r="G236" t="s">
        <v>1425</v>
      </c>
      <c r="H236" t="s">
        <v>1426</v>
      </c>
      <c r="I236">
        <v>0</v>
      </c>
      <c r="J236">
        <v>5</v>
      </c>
      <c r="K236">
        <v>100</v>
      </c>
      <c r="L236">
        <v>100</v>
      </c>
      <c r="M236">
        <v>100</v>
      </c>
      <c r="N236">
        <v>4757</v>
      </c>
      <c r="O236">
        <v>4757</v>
      </c>
      <c r="P236">
        <v>4757</v>
      </c>
      <c r="Q236">
        <v>4757</v>
      </c>
      <c r="R236">
        <v>1295</v>
      </c>
      <c r="S236">
        <v>1295</v>
      </c>
    </row>
    <row r="237" spans="3:19" x14ac:dyDescent="0.2">
      <c r="C237">
        <v>1212</v>
      </c>
      <c r="D237">
        <v>1212</v>
      </c>
      <c r="E237">
        <v>1</v>
      </c>
      <c r="F237" t="s">
        <v>1427</v>
      </c>
      <c r="G237" t="s">
        <v>1428</v>
      </c>
      <c r="H237" t="s">
        <v>1429</v>
      </c>
      <c r="I237">
        <v>5</v>
      </c>
      <c r="J237">
        <v>5</v>
      </c>
      <c r="K237">
        <v>100</v>
      </c>
      <c r="L237">
        <v>66</v>
      </c>
      <c r="M237">
        <v>33</v>
      </c>
      <c r="N237">
        <v>64</v>
      </c>
      <c r="O237">
        <v>110</v>
      </c>
      <c r="P237">
        <v>65</v>
      </c>
      <c r="Q237">
        <v>105</v>
      </c>
      <c r="R237">
        <v>65</v>
      </c>
      <c r="S237">
        <v>105</v>
      </c>
    </row>
    <row r="238" spans="3:19" x14ac:dyDescent="0.2">
      <c r="C238">
        <v>1213</v>
      </c>
      <c r="D238">
        <v>1213</v>
      </c>
      <c r="E238">
        <v>1</v>
      </c>
      <c r="F238" t="s">
        <v>1430</v>
      </c>
      <c r="G238" t="s">
        <v>1431</v>
      </c>
      <c r="H238" t="s">
        <v>1432</v>
      </c>
      <c r="I238">
        <v>5</v>
      </c>
      <c r="J238">
        <v>5</v>
      </c>
      <c r="K238">
        <v>100</v>
      </c>
      <c r="L238">
        <v>66</v>
      </c>
      <c r="M238">
        <v>33</v>
      </c>
      <c r="N238">
        <v>64</v>
      </c>
      <c r="O238">
        <v>107</v>
      </c>
      <c r="P238">
        <v>65</v>
      </c>
      <c r="Q238">
        <v>105</v>
      </c>
      <c r="R238">
        <v>65</v>
      </c>
      <c r="S238">
        <v>105</v>
      </c>
    </row>
    <row r="239" spans="3:19" x14ac:dyDescent="0.2">
      <c r="C239">
        <v>1214</v>
      </c>
      <c r="D239">
        <v>1214</v>
      </c>
      <c r="E239">
        <v>1</v>
      </c>
      <c r="F239" t="s">
        <v>1433</v>
      </c>
      <c r="G239" t="s">
        <v>1434</v>
      </c>
      <c r="H239" t="s">
        <v>1435</v>
      </c>
      <c r="I239">
        <v>5</v>
      </c>
      <c r="J239">
        <v>5</v>
      </c>
      <c r="K239">
        <v>100</v>
      </c>
      <c r="L239">
        <v>66</v>
      </c>
      <c r="M239">
        <v>33</v>
      </c>
      <c r="N239">
        <v>66</v>
      </c>
      <c r="O239">
        <v>107</v>
      </c>
      <c r="P239">
        <v>65</v>
      </c>
      <c r="Q239">
        <v>105</v>
      </c>
      <c r="R239">
        <v>65</v>
      </c>
      <c r="S239">
        <v>105</v>
      </c>
    </row>
    <row r="240" spans="3:19" x14ac:dyDescent="0.2">
      <c r="C240">
        <v>1215</v>
      </c>
      <c r="D240">
        <v>1215</v>
      </c>
      <c r="E240">
        <v>1</v>
      </c>
      <c r="F240" t="s">
        <v>1436</v>
      </c>
      <c r="G240" t="s">
        <v>1437</v>
      </c>
      <c r="H240" t="s">
        <v>1438</v>
      </c>
      <c r="I240">
        <v>5</v>
      </c>
      <c r="J240">
        <v>5</v>
      </c>
      <c r="K240">
        <v>100</v>
      </c>
      <c r="L240">
        <v>66</v>
      </c>
      <c r="M240">
        <v>33</v>
      </c>
      <c r="N240">
        <v>65</v>
      </c>
      <c r="O240">
        <v>107</v>
      </c>
      <c r="P240">
        <v>65</v>
      </c>
      <c r="Q240">
        <v>105</v>
      </c>
      <c r="R240">
        <v>65</v>
      </c>
      <c r="S240">
        <v>105</v>
      </c>
    </row>
    <row r="241" spans="3:19" x14ac:dyDescent="0.2">
      <c r="C241">
        <v>1216</v>
      </c>
      <c r="D241">
        <v>1216</v>
      </c>
      <c r="E241">
        <v>1</v>
      </c>
      <c r="F241" t="s">
        <v>1439</v>
      </c>
      <c r="G241" t="s">
        <v>1440</v>
      </c>
      <c r="H241" t="s">
        <v>1441</v>
      </c>
      <c r="I241">
        <v>5</v>
      </c>
      <c r="J241">
        <v>5</v>
      </c>
      <c r="K241">
        <v>100</v>
      </c>
      <c r="L241">
        <v>66</v>
      </c>
      <c r="M241">
        <v>33</v>
      </c>
      <c r="N241">
        <v>65</v>
      </c>
      <c r="O241">
        <v>107</v>
      </c>
      <c r="P241">
        <v>65</v>
      </c>
      <c r="Q241">
        <v>105</v>
      </c>
      <c r="R241">
        <v>65</v>
      </c>
      <c r="S241">
        <v>105</v>
      </c>
    </row>
    <row r="242" spans="3:19" x14ac:dyDescent="0.2">
      <c r="C242">
        <v>1217</v>
      </c>
      <c r="D242">
        <v>1217</v>
      </c>
      <c r="E242">
        <v>1</v>
      </c>
      <c r="F242" t="s">
        <v>935</v>
      </c>
      <c r="G242" t="s">
        <v>1038</v>
      </c>
      <c r="H242" t="s">
        <v>935</v>
      </c>
      <c r="I242">
        <v>5</v>
      </c>
      <c r="J242">
        <v>0</v>
      </c>
    </row>
    <row r="243" spans="3:19" x14ac:dyDescent="0.2">
      <c r="C243">
        <v>1218</v>
      </c>
      <c r="D243">
        <v>1218</v>
      </c>
      <c r="E243">
        <v>1</v>
      </c>
      <c r="F243" t="s">
        <v>935</v>
      </c>
      <c r="G243" t="s">
        <v>1038</v>
      </c>
      <c r="H243" t="s">
        <v>935</v>
      </c>
      <c r="I243">
        <v>5</v>
      </c>
      <c r="J243">
        <v>0</v>
      </c>
    </row>
    <row r="244" spans="3:19" x14ac:dyDescent="0.2">
      <c r="C244">
        <v>1219</v>
      </c>
      <c r="D244">
        <v>1219</v>
      </c>
      <c r="E244">
        <v>1</v>
      </c>
      <c r="F244" t="s">
        <v>935</v>
      </c>
      <c r="G244" t="s">
        <v>1038</v>
      </c>
      <c r="H244" t="s">
        <v>935</v>
      </c>
      <c r="I244">
        <v>5</v>
      </c>
      <c r="J244">
        <v>0</v>
      </c>
    </row>
    <row r="245" spans="3:19" x14ac:dyDescent="0.2">
      <c r="C245">
        <v>1220</v>
      </c>
      <c r="D245">
        <v>1220</v>
      </c>
      <c r="E245">
        <v>1</v>
      </c>
      <c r="F245" t="s">
        <v>935</v>
      </c>
      <c r="G245" t="s">
        <v>1038</v>
      </c>
      <c r="H245" t="s">
        <v>935</v>
      </c>
      <c r="I245">
        <v>5</v>
      </c>
      <c r="J245">
        <v>0</v>
      </c>
    </row>
    <row r="246" spans="3:19" x14ac:dyDescent="0.2">
      <c r="C246">
        <v>1221</v>
      </c>
      <c r="D246">
        <v>1221</v>
      </c>
      <c r="E246">
        <v>1</v>
      </c>
      <c r="F246" t="s">
        <v>935</v>
      </c>
      <c r="G246" t="s">
        <v>1038</v>
      </c>
      <c r="H246" t="s">
        <v>935</v>
      </c>
      <c r="I246">
        <v>5</v>
      </c>
      <c r="J246">
        <v>0</v>
      </c>
    </row>
    <row r="247" spans="3:19" x14ac:dyDescent="0.2">
      <c r="C247">
        <v>1222</v>
      </c>
      <c r="D247">
        <v>1222</v>
      </c>
      <c r="E247">
        <v>1</v>
      </c>
      <c r="F247" t="s">
        <v>935</v>
      </c>
      <c r="G247" t="s">
        <v>1038</v>
      </c>
      <c r="H247" t="s">
        <v>935</v>
      </c>
      <c r="I247">
        <v>5</v>
      </c>
      <c r="J247">
        <v>0</v>
      </c>
    </row>
    <row r="248" spans="3:19" x14ac:dyDescent="0.2">
      <c r="C248">
        <v>1223</v>
      </c>
      <c r="D248">
        <v>1223</v>
      </c>
      <c r="E248">
        <v>1</v>
      </c>
      <c r="F248" t="s">
        <v>935</v>
      </c>
      <c r="G248" t="s">
        <v>1038</v>
      </c>
      <c r="H248" t="s">
        <v>935</v>
      </c>
      <c r="I248">
        <v>5</v>
      </c>
      <c r="J248">
        <v>0</v>
      </c>
    </row>
    <row r="249" spans="3:19" x14ac:dyDescent="0.2">
      <c r="C249">
        <v>1224</v>
      </c>
      <c r="D249">
        <v>1224</v>
      </c>
      <c r="E249">
        <v>1</v>
      </c>
      <c r="F249" t="s">
        <v>935</v>
      </c>
      <c r="G249" t="s">
        <v>1038</v>
      </c>
      <c r="H249" t="s">
        <v>935</v>
      </c>
      <c r="I249">
        <v>5</v>
      </c>
      <c r="J249">
        <v>0</v>
      </c>
    </row>
    <row r="250" spans="3:19" x14ac:dyDescent="0.2">
      <c r="C250">
        <v>1225</v>
      </c>
      <c r="D250">
        <v>1225</v>
      </c>
      <c r="E250">
        <v>1</v>
      </c>
      <c r="F250" t="s">
        <v>935</v>
      </c>
      <c r="G250" t="s">
        <v>1038</v>
      </c>
      <c r="H250" t="s">
        <v>935</v>
      </c>
      <c r="I250">
        <v>5</v>
      </c>
      <c r="J250">
        <v>0</v>
      </c>
    </row>
    <row r="251" spans="3:19" x14ac:dyDescent="0.2">
      <c r="C251">
        <v>1226</v>
      </c>
      <c r="D251">
        <v>1226</v>
      </c>
      <c r="E251">
        <v>1</v>
      </c>
      <c r="F251" t="s">
        <v>935</v>
      </c>
      <c r="G251" t="s">
        <v>1038</v>
      </c>
      <c r="H251" t="s">
        <v>935</v>
      </c>
      <c r="I251">
        <v>5</v>
      </c>
      <c r="J251">
        <v>0</v>
      </c>
    </row>
    <row r="252" spans="3:19" x14ac:dyDescent="0.2">
      <c r="C252">
        <v>1227</v>
      </c>
      <c r="D252">
        <v>1227</v>
      </c>
      <c r="E252">
        <v>1</v>
      </c>
      <c r="F252" t="s">
        <v>935</v>
      </c>
      <c r="G252" t="s">
        <v>1038</v>
      </c>
      <c r="H252" t="s">
        <v>935</v>
      </c>
      <c r="I252">
        <v>5</v>
      </c>
      <c r="J252">
        <v>0</v>
      </c>
    </row>
    <row r="253" spans="3:19" x14ac:dyDescent="0.2">
      <c r="C253">
        <v>1228</v>
      </c>
      <c r="D253">
        <v>1228</v>
      </c>
      <c r="E253">
        <v>1</v>
      </c>
      <c r="F253" t="s">
        <v>1442</v>
      </c>
      <c r="G253" t="s">
        <v>1443</v>
      </c>
      <c r="H253" t="s">
        <v>1444</v>
      </c>
      <c r="I253">
        <v>5</v>
      </c>
      <c r="J253">
        <v>0</v>
      </c>
      <c r="N253">
        <v>957</v>
      </c>
      <c r="O253">
        <v>957</v>
      </c>
      <c r="P253">
        <v>950</v>
      </c>
      <c r="Q253">
        <v>950</v>
      </c>
      <c r="R253">
        <v>950</v>
      </c>
      <c r="S253">
        <v>950</v>
      </c>
    </row>
    <row r="254" spans="3:19" x14ac:dyDescent="0.2">
      <c r="C254">
        <v>1229</v>
      </c>
      <c r="D254">
        <v>1229</v>
      </c>
      <c r="E254">
        <v>1</v>
      </c>
      <c r="F254" t="s">
        <v>1445</v>
      </c>
      <c r="G254" t="s">
        <v>1446</v>
      </c>
      <c r="H254" t="s">
        <v>1447</v>
      </c>
      <c r="I254">
        <v>0</v>
      </c>
      <c r="J254">
        <v>5</v>
      </c>
      <c r="K254">
        <v>100</v>
      </c>
      <c r="L254">
        <v>75</v>
      </c>
      <c r="M254">
        <v>50</v>
      </c>
      <c r="N254">
        <v>498</v>
      </c>
      <c r="O254">
        <v>498</v>
      </c>
      <c r="P254">
        <v>500</v>
      </c>
      <c r="Q254">
        <v>500</v>
      </c>
      <c r="R254">
        <v>500</v>
      </c>
      <c r="S254">
        <v>500</v>
      </c>
    </row>
    <row r="255" spans="3:19" x14ac:dyDescent="0.2">
      <c r="C255">
        <v>1230</v>
      </c>
      <c r="D255">
        <v>1230</v>
      </c>
      <c r="E255">
        <v>1</v>
      </c>
      <c r="F255" t="s">
        <v>1448</v>
      </c>
      <c r="G255" t="s">
        <v>1038</v>
      </c>
      <c r="H255" t="s">
        <v>935</v>
      </c>
      <c r="I255">
        <v>5</v>
      </c>
      <c r="J255">
        <v>0</v>
      </c>
    </row>
    <row r="256" spans="3:19" x14ac:dyDescent="0.2">
      <c r="C256">
        <v>1231</v>
      </c>
      <c r="D256">
        <v>1231</v>
      </c>
      <c r="E256">
        <v>1</v>
      </c>
      <c r="F256" t="s">
        <v>1448</v>
      </c>
      <c r="G256" t="s">
        <v>1038</v>
      </c>
      <c r="H256" t="s">
        <v>935</v>
      </c>
      <c r="I256">
        <v>5</v>
      </c>
      <c r="J256">
        <v>0</v>
      </c>
    </row>
    <row r="257" spans="3:19" x14ac:dyDescent="0.2">
      <c r="C257">
        <v>1232</v>
      </c>
      <c r="D257">
        <v>1232</v>
      </c>
      <c r="E257">
        <v>1</v>
      </c>
      <c r="F257" t="s">
        <v>1448</v>
      </c>
      <c r="G257" t="s">
        <v>1038</v>
      </c>
      <c r="H257" t="s">
        <v>935</v>
      </c>
      <c r="I257">
        <v>5</v>
      </c>
      <c r="J257">
        <v>0</v>
      </c>
    </row>
    <row r="258" spans="3:19" x14ac:dyDescent="0.2">
      <c r="C258">
        <v>1233</v>
      </c>
      <c r="D258">
        <v>1233</v>
      </c>
      <c r="E258">
        <v>1</v>
      </c>
      <c r="F258" t="s">
        <v>1448</v>
      </c>
      <c r="G258" t="s">
        <v>1038</v>
      </c>
      <c r="H258" t="s">
        <v>935</v>
      </c>
      <c r="I258">
        <v>5</v>
      </c>
      <c r="J258">
        <v>0</v>
      </c>
    </row>
    <row r="259" spans="3:19" x14ac:dyDescent="0.2">
      <c r="C259">
        <v>1234</v>
      </c>
      <c r="D259">
        <v>1234</v>
      </c>
      <c r="E259">
        <v>1</v>
      </c>
      <c r="F259" t="s">
        <v>1449</v>
      </c>
      <c r="G259" t="s">
        <v>1450</v>
      </c>
      <c r="H259" t="s">
        <v>1451</v>
      </c>
      <c r="I259">
        <v>5</v>
      </c>
      <c r="J259">
        <v>5</v>
      </c>
      <c r="N259">
        <v>97</v>
      </c>
      <c r="O259">
        <v>131</v>
      </c>
      <c r="P259">
        <v>100</v>
      </c>
      <c r="Q259">
        <v>135</v>
      </c>
      <c r="R259">
        <v>100</v>
      </c>
      <c r="S259">
        <v>135</v>
      </c>
    </row>
    <row r="260" spans="3:19" x14ac:dyDescent="0.2">
      <c r="C260">
        <v>1235</v>
      </c>
      <c r="D260">
        <v>1235</v>
      </c>
      <c r="E260">
        <v>1</v>
      </c>
      <c r="F260" t="s">
        <v>1452</v>
      </c>
      <c r="G260" t="s">
        <v>1453</v>
      </c>
      <c r="H260" t="s">
        <v>1454</v>
      </c>
      <c r="I260">
        <v>5</v>
      </c>
      <c r="J260">
        <v>5</v>
      </c>
      <c r="K260">
        <v>100</v>
      </c>
      <c r="L260">
        <v>100</v>
      </c>
      <c r="M260">
        <v>100</v>
      </c>
      <c r="N260">
        <v>129</v>
      </c>
      <c r="O260">
        <v>172</v>
      </c>
      <c r="P260">
        <v>120</v>
      </c>
      <c r="Q260">
        <v>150</v>
      </c>
      <c r="R260">
        <v>120</v>
      </c>
      <c r="S260">
        <v>150</v>
      </c>
    </row>
    <row r="261" spans="3:19" x14ac:dyDescent="0.2">
      <c r="C261">
        <v>1236</v>
      </c>
      <c r="D261">
        <v>1236</v>
      </c>
      <c r="E261">
        <v>1</v>
      </c>
      <c r="F261" t="s">
        <v>1455</v>
      </c>
      <c r="G261" t="s">
        <v>1456</v>
      </c>
      <c r="H261" t="s">
        <v>1457</v>
      </c>
      <c r="I261">
        <v>5</v>
      </c>
      <c r="J261">
        <v>5</v>
      </c>
      <c r="K261">
        <v>100</v>
      </c>
      <c r="L261">
        <v>100</v>
      </c>
      <c r="M261">
        <v>100</v>
      </c>
      <c r="N261">
        <v>131</v>
      </c>
      <c r="O261">
        <v>172</v>
      </c>
      <c r="P261">
        <v>120</v>
      </c>
      <c r="Q261">
        <v>150</v>
      </c>
      <c r="R261">
        <v>120</v>
      </c>
      <c r="S261">
        <v>150</v>
      </c>
    </row>
    <row r="262" spans="3:19" x14ac:dyDescent="0.2">
      <c r="C262">
        <v>1237</v>
      </c>
      <c r="D262">
        <v>1237</v>
      </c>
      <c r="E262">
        <v>1</v>
      </c>
      <c r="F262" t="s">
        <v>1458</v>
      </c>
      <c r="G262" t="s">
        <v>1459</v>
      </c>
      <c r="H262" t="s">
        <v>1460</v>
      </c>
      <c r="I262">
        <v>5</v>
      </c>
      <c r="J262">
        <v>5</v>
      </c>
      <c r="K262">
        <v>100</v>
      </c>
      <c r="L262">
        <v>100</v>
      </c>
      <c r="M262">
        <v>100</v>
      </c>
      <c r="N262">
        <v>131</v>
      </c>
      <c r="O262">
        <v>173</v>
      </c>
      <c r="P262">
        <v>120</v>
      </c>
      <c r="Q262">
        <v>150</v>
      </c>
      <c r="R262">
        <v>120</v>
      </c>
      <c r="S262">
        <v>150</v>
      </c>
    </row>
    <row r="263" spans="3:19" x14ac:dyDescent="0.2">
      <c r="C263">
        <v>1238</v>
      </c>
      <c r="D263">
        <v>1238</v>
      </c>
      <c r="E263">
        <v>1</v>
      </c>
      <c r="F263" t="s">
        <v>1461</v>
      </c>
      <c r="G263" t="s">
        <v>1462</v>
      </c>
      <c r="H263" t="s">
        <v>1463</v>
      </c>
      <c r="I263">
        <v>5</v>
      </c>
      <c r="J263">
        <v>5</v>
      </c>
      <c r="K263">
        <v>100</v>
      </c>
      <c r="L263">
        <v>100</v>
      </c>
      <c r="M263">
        <v>100</v>
      </c>
      <c r="N263">
        <v>131</v>
      </c>
      <c r="O263">
        <v>172</v>
      </c>
      <c r="P263">
        <v>90</v>
      </c>
      <c r="Q263">
        <v>130</v>
      </c>
      <c r="R263">
        <v>90</v>
      </c>
      <c r="S263">
        <v>130</v>
      </c>
    </row>
    <row r="264" spans="3:19" x14ac:dyDescent="0.2">
      <c r="C264">
        <v>1239</v>
      </c>
      <c r="D264">
        <v>1239</v>
      </c>
      <c r="E264">
        <v>1</v>
      </c>
      <c r="F264" t="s">
        <v>1464</v>
      </c>
      <c r="G264" t="s">
        <v>1465</v>
      </c>
      <c r="H264" t="s">
        <v>1466</v>
      </c>
      <c r="I264">
        <v>5</v>
      </c>
      <c r="J264">
        <v>5</v>
      </c>
      <c r="K264">
        <v>100</v>
      </c>
      <c r="L264">
        <v>100</v>
      </c>
      <c r="M264">
        <v>100</v>
      </c>
      <c r="N264">
        <v>130</v>
      </c>
      <c r="O264">
        <v>171</v>
      </c>
      <c r="P264">
        <v>90</v>
      </c>
      <c r="Q264">
        <v>130</v>
      </c>
      <c r="R264">
        <v>90</v>
      </c>
      <c r="S264">
        <v>130</v>
      </c>
    </row>
    <row r="265" spans="3:19" x14ac:dyDescent="0.2">
      <c r="C265">
        <v>1240</v>
      </c>
      <c r="D265">
        <v>1240</v>
      </c>
      <c r="E265">
        <v>1</v>
      </c>
      <c r="F265" t="s">
        <v>1467</v>
      </c>
      <c r="G265" t="s">
        <v>1468</v>
      </c>
      <c r="H265" t="s">
        <v>1469</v>
      </c>
      <c r="I265">
        <v>5</v>
      </c>
      <c r="J265">
        <v>5</v>
      </c>
      <c r="K265">
        <v>100</v>
      </c>
      <c r="L265">
        <v>100</v>
      </c>
      <c r="M265">
        <v>100</v>
      </c>
      <c r="N265">
        <v>131</v>
      </c>
      <c r="O265">
        <v>173</v>
      </c>
      <c r="P265">
        <v>90</v>
      </c>
      <c r="Q265">
        <v>130</v>
      </c>
      <c r="R265">
        <v>90</v>
      </c>
      <c r="S265">
        <v>130</v>
      </c>
    </row>
    <row r="266" spans="3:19" x14ac:dyDescent="0.2">
      <c r="C266">
        <v>1241</v>
      </c>
      <c r="D266">
        <v>1241</v>
      </c>
      <c r="E266">
        <v>1</v>
      </c>
      <c r="F266" t="s">
        <v>1467</v>
      </c>
      <c r="G266" t="s">
        <v>1470</v>
      </c>
      <c r="H266" t="s">
        <v>1471</v>
      </c>
      <c r="I266">
        <v>5</v>
      </c>
      <c r="J266">
        <v>5</v>
      </c>
      <c r="K266">
        <v>100</v>
      </c>
      <c r="L266">
        <v>100</v>
      </c>
      <c r="M266">
        <v>100</v>
      </c>
      <c r="N266">
        <v>131</v>
      </c>
      <c r="O266">
        <v>173</v>
      </c>
      <c r="P266">
        <v>90</v>
      </c>
      <c r="Q266">
        <v>130</v>
      </c>
      <c r="R266">
        <v>90</v>
      </c>
      <c r="S266">
        <v>130</v>
      </c>
    </row>
    <row r="267" spans="3:19" x14ac:dyDescent="0.2">
      <c r="C267">
        <v>1242</v>
      </c>
      <c r="D267">
        <v>1242</v>
      </c>
      <c r="E267">
        <v>1</v>
      </c>
      <c r="F267" t="s">
        <v>1472</v>
      </c>
      <c r="G267" t="s">
        <v>1473</v>
      </c>
      <c r="H267" t="s">
        <v>1474</v>
      </c>
      <c r="I267">
        <v>0</v>
      </c>
      <c r="J267">
        <v>5</v>
      </c>
      <c r="K267">
        <v>100</v>
      </c>
      <c r="N267">
        <v>5695</v>
      </c>
      <c r="O267">
        <v>5695</v>
      </c>
      <c r="P267">
        <v>5695</v>
      </c>
      <c r="Q267">
        <v>5695</v>
      </c>
      <c r="R267">
        <v>1471</v>
      </c>
      <c r="S267">
        <v>1471</v>
      </c>
    </row>
    <row r="268" spans="3:19" x14ac:dyDescent="0.2">
      <c r="C268">
        <v>1243</v>
      </c>
      <c r="D268">
        <v>1243</v>
      </c>
      <c r="E268">
        <v>1</v>
      </c>
      <c r="F268" t="s">
        <v>1475</v>
      </c>
      <c r="G268" t="s">
        <v>1476</v>
      </c>
      <c r="H268" t="s">
        <v>1477</v>
      </c>
      <c r="I268">
        <v>0</v>
      </c>
      <c r="J268">
        <v>5</v>
      </c>
      <c r="K268">
        <v>100</v>
      </c>
      <c r="L268">
        <v>50</v>
      </c>
      <c r="N268">
        <v>6427</v>
      </c>
      <c r="O268">
        <v>6427</v>
      </c>
      <c r="P268">
        <v>6427</v>
      </c>
      <c r="Q268">
        <v>6427</v>
      </c>
      <c r="R268">
        <v>1577</v>
      </c>
      <c r="S268">
        <v>1577</v>
      </c>
    </row>
    <row r="269" spans="3:19" x14ac:dyDescent="0.2">
      <c r="C269">
        <v>1244</v>
      </c>
      <c r="D269">
        <v>1244</v>
      </c>
      <c r="E269">
        <v>1</v>
      </c>
      <c r="F269" t="s">
        <v>935</v>
      </c>
      <c r="G269" t="s">
        <v>1038</v>
      </c>
      <c r="H269" t="s">
        <v>935</v>
      </c>
      <c r="I269">
        <v>5</v>
      </c>
      <c r="J269">
        <v>0</v>
      </c>
    </row>
    <row r="270" spans="3:19" x14ac:dyDescent="0.2">
      <c r="C270">
        <v>1245</v>
      </c>
      <c r="D270">
        <v>1245</v>
      </c>
      <c r="E270">
        <v>1</v>
      </c>
      <c r="F270" t="s">
        <v>935</v>
      </c>
      <c r="G270" t="s">
        <v>1038</v>
      </c>
      <c r="H270" t="s">
        <v>935</v>
      </c>
      <c r="I270">
        <v>5</v>
      </c>
      <c r="J270">
        <v>0</v>
      </c>
    </row>
    <row r="271" spans="3:19" x14ac:dyDescent="0.2">
      <c r="C271">
        <v>1246</v>
      </c>
      <c r="D271">
        <v>1246</v>
      </c>
      <c r="E271">
        <v>1</v>
      </c>
      <c r="F271" t="s">
        <v>935</v>
      </c>
      <c r="G271" t="s">
        <v>1038</v>
      </c>
      <c r="H271" t="s">
        <v>935</v>
      </c>
      <c r="I271">
        <v>5</v>
      </c>
      <c r="J271">
        <v>0</v>
      </c>
    </row>
    <row r="272" spans="3:19" x14ac:dyDescent="0.2">
      <c r="C272">
        <v>1247</v>
      </c>
      <c r="D272">
        <v>1247</v>
      </c>
      <c r="E272">
        <v>1</v>
      </c>
      <c r="F272" t="s">
        <v>1478</v>
      </c>
      <c r="G272" t="s">
        <v>1479</v>
      </c>
      <c r="H272" t="s">
        <v>1480</v>
      </c>
      <c r="I272">
        <v>5</v>
      </c>
      <c r="J272">
        <v>5</v>
      </c>
      <c r="K272">
        <v>100</v>
      </c>
      <c r="L272">
        <v>85</v>
      </c>
      <c r="M272">
        <v>75</v>
      </c>
      <c r="N272">
        <v>130</v>
      </c>
      <c r="O272">
        <v>171</v>
      </c>
      <c r="P272">
        <v>110</v>
      </c>
      <c r="Q272">
        <v>140</v>
      </c>
      <c r="R272">
        <v>110</v>
      </c>
      <c r="S272">
        <v>140</v>
      </c>
    </row>
    <row r="273" spans="3:19" x14ac:dyDescent="0.2">
      <c r="C273">
        <v>1248</v>
      </c>
      <c r="D273">
        <v>1248</v>
      </c>
      <c r="E273">
        <v>1</v>
      </c>
      <c r="F273" t="s">
        <v>1461</v>
      </c>
      <c r="G273" t="s">
        <v>1481</v>
      </c>
      <c r="H273" t="s">
        <v>1482</v>
      </c>
      <c r="I273">
        <v>5</v>
      </c>
      <c r="J273">
        <v>5</v>
      </c>
      <c r="K273">
        <v>100</v>
      </c>
      <c r="L273">
        <v>85</v>
      </c>
      <c r="M273">
        <v>75</v>
      </c>
      <c r="N273">
        <v>131</v>
      </c>
      <c r="O273">
        <v>172</v>
      </c>
      <c r="P273">
        <v>110</v>
      </c>
      <c r="Q273">
        <v>140</v>
      </c>
      <c r="R273">
        <v>110</v>
      </c>
      <c r="S273">
        <v>140</v>
      </c>
    </row>
    <row r="274" spans="3:19" x14ac:dyDescent="0.2">
      <c r="C274">
        <v>1249</v>
      </c>
      <c r="D274">
        <v>1249</v>
      </c>
      <c r="E274">
        <v>1</v>
      </c>
      <c r="F274" t="s">
        <v>1467</v>
      </c>
      <c r="G274" t="s">
        <v>1483</v>
      </c>
      <c r="H274" t="s">
        <v>1484</v>
      </c>
      <c r="I274">
        <v>5</v>
      </c>
      <c r="J274">
        <v>5</v>
      </c>
      <c r="K274">
        <v>100</v>
      </c>
      <c r="L274">
        <v>85</v>
      </c>
      <c r="M274">
        <v>75</v>
      </c>
      <c r="N274">
        <v>131</v>
      </c>
      <c r="O274">
        <v>173</v>
      </c>
      <c r="P274">
        <v>110</v>
      </c>
      <c r="Q274">
        <v>140</v>
      </c>
      <c r="R274">
        <v>110</v>
      </c>
      <c r="S274">
        <v>140</v>
      </c>
    </row>
    <row r="275" spans="3:19" x14ac:dyDescent="0.2">
      <c r="C275">
        <v>1250</v>
      </c>
      <c r="D275">
        <v>1250</v>
      </c>
      <c r="E275">
        <v>1</v>
      </c>
      <c r="F275" t="s">
        <v>1485</v>
      </c>
      <c r="G275" t="s">
        <v>1486</v>
      </c>
      <c r="H275" t="s">
        <v>1487</v>
      </c>
      <c r="I275">
        <v>0</v>
      </c>
      <c r="J275">
        <v>5</v>
      </c>
      <c r="K275">
        <v>100</v>
      </c>
      <c r="L275">
        <v>75</v>
      </c>
      <c r="M275">
        <v>50</v>
      </c>
      <c r="N275">
        <v>129</v>
      </c>
      <c r="O275">
        <v>172</v>
      </c>
      <c r="P275">
        <v>110</v>
      </c>
      <c r="Q275">
        <v>140</v>
      </c>
      <c r="R275">
        <v>110</v>
      </c>
      <c r="S275">
        <v>140</v>
      </c>
    </row>
    <row r="276" spans="3:19" x14ac:dyDescent="0.2">
      <c r="C276">
        <v>1251</v>
      </c>
      <c r="D276">
        <v>1251</v>
      </c>
      <c r="E276">
        <v>1</v>
      </c>
      <c r="F276" t="s">
        <v>935</v>
      </c>
      <c r="G276" t="s">
        <v>1038</v>
      </c>
      <c r="H276" t="s">
        <v>935</v>
      </c>
      <c r="I276">
        <v>5</v>
      </c>
      <c r="J276">
        <v>0</v>
      </c>
    </row>
    <row r="277" spans="3:19" x14ac:dyDescent="0.2">
      <c r="C277">
        <v>1252</v>
      </c>
      <c r="D277">
        <v>1252</v>
      </c>
      <c r="E277">
        <v>1</v>
      </c>
      <c r="F277" t="s">
        <v>935</v>
      </c>
      <c r="G277" t="s">
        <v>1038</v>
      </c>
      <c r="H277" t="s">
        <v>935</v>
      </c>
      <c r="I277">
        <v>5</v>
      </c>
      <c r="J277">
        <v>0</v>
      </c>
    </row>
    <row r="278" spans="3:19" x14ac:dyDescent="0.2">
      <c r="C278">
        <v>1253</v>
      </c>
      <c r="D278">
        <v>1253</v>
      </c>
      <c r="E278">
        <v>1</v>
      </c>
      <c r="F278" t="s">
        <v>935</v>
      </c>
      <c r="G278" t="s">
        <v>1038</v>
      </c>
      <c r="H278" t="s">
        <v>935</v>
      </c>
      <c r="I278">
        <v>5</v>
      </c>
      <c r="J278">
        <v>0</v>
      </c>
    </row>
    <row r="279" spans="3:19" x14ac:dyDescent="0.2">
      <c r="C279">
        <v>1254</v>
      </c>
      <c r="D279">
        <v>1254</v>
      </c>
      <c r="E279">
        <v>1</v>
      </c>
      <c r="F279" t="s">
        <v>935</v>
      </c>
      <c r="G279" t="s">
        <v>1038</v>
      </c>
      <c r="H279" t="s">
        <v>935</v>
      </c>
      <c r="I279">
        <v>5</v>
      </c>
      <c r="J279">
        <v>0</v>
      </c>
    </row>
    <row r="280" spans="3:19" x14ac:dyDescent="0.2">
      <c r="C280">
        <v>1255</v>
      </c>
      <c r="D280">
        <v>1255</v>
      </c>
      <c r="E280">
        <v>1</v>
      </c>
      <c r="F280" t="s">
        <v>935</v>
      </c>
      <c r="G280" t="s">
        <v>1038</v>
      </c>
      <c r="H280" t="s">
        <v>935</v>
      </c>
      <c r="I280">
        <v>5</v>
      </c>
      <c r="J280">
        <v>0</v>
      </c>
    </row>
    <row r="281" spans="3:19" x14ac:dyDescent="0.2">
      <c r="C281">
        <v>1256</v>
      </c>
      <c r="D281">
        <v>1256</v>
      </c>
      <c r="E281">
        <v>1</v>
      </c>
      <c r="F281" t="s">
        <v>1488</v>
      </c>
      <c r="G281" t="s">
        <v>1489</v>
      </c>
      <c r="H281" t="s">
        <v>1489</v>
      </c>
      <c r="I281">
        <v>0</v>
      </c>
      <c r="J281">
        <v>5</v>
      </c>
      <c r="K281">
        <v>100</v>
      </c>
      <c r="L281">
        <v>75</v>
      </c>
      <c r="M281">
        <v>50</v>
      </c>
      <c r="N281">
        <v>9481</v>
      </c>
      <c r="O281">
        <v>9481</v>
      </c>
      <c r="P281">
        <v>3111</v>
      </c>
      <c r="Q281">
        <v>3111</v>
      </c>
      <c r="R281">
        <v>911</v>
      </c>
      <c r="S281">
        <v>911</v>
      </c>
    </row>
    <row r="282" spans="3:19" x14ac:dyDescent="0.2">
      <c r="C282">
        <v>1257</v>
      </c>
      <c r="D282">
        <v>1257</v>
      </c>
      <c r="E282">
        <v>1</v>
      </c>
      <c r="F282" t="s">
        <v>935</v>
      </c>
      <c r="G282" t="s">
        <v>1038</v>
      </c>
      <c r="H282" t="s">
        <v>935</v>
      </c>
      <c r="I282">
        <v>5</v>
      </c>
      <c r="J282">
        <v>0</v>
      </c>
    </row>
    <row r="283" spans="3:19" x14ac:dyDescent="0.2">
      <c r="C283">
        <v>1258</v>
      </c>
      <c r="D283">
        <v>1258</v>
      </c>
      <c r="E283">
        <v>1</v>
      </c>
      <c r="F283" t="s">
        <v>1490</v>
      </c>
      <c r="G283" t="s">
        <v>1491</v>
      </c>
      <c r="H283" t="s">
        <v>1492</v>
      </c>
      <c r="I283">
        <v>5</v>
      </c>
      <c r="J283">
        <v>5</v>
      </c>
      <c r="K283">
        <v>100</v>
      </c>
      <c r="L283">
        <v>85</v>
      </c>
      <c r="M283">
        <v>75</v>
      </c>
      <c r="N283">
        <v>129</v>
      </c>
      <c r="O283">
        <v>172</v>
      </c>
      <c r="P283">
        <v>70</v>
      </c>
      <c r="Q283">
        <v>100</v>
      </c>
      <c r="R283">
        <v>70</v>
      </c>
      <c r="S283">
        <v>100</v>
      </c>
    </row>
    <row r="284" spans="3:19" x14ac:dyDescent="0.2">
      <c r="C284">
        <v>1259</v>
      </c>
      <c r="D284">
        <v>1259</v>
      </c>
      <c r="E284">
        <v>1</v>
      </c>
      <c r="F284" t="s">
        <v>1493</v>
      </c>
      <c r="G284" t="s">
        <v>1494</v>
      </c>
      <c r="H284" t="s">
        <v>1495</v>
      </c>
      <c r="I284">
        <v>5</v>
      </c>
      <c r="J284">
        <v>5</v>
      </c>
      <c r="K284">
        <v>100</v>
      </c>
      <c r="L284">
        <v>85</v>
      </c>
      <c r="M284">
        <v>75</v>
      </c>
      <c r="N284">
        <v>129</v>
      </c>
      <c r="O284">
        <v>172</v>
      </c>
      <c r="P284">
        <v>70</v>
      </c>
      <c r="Q284">
        <v>100</v>
      </c>
      <c r="R284">
        <v>70</v>
      </c>
      <c r="S284">
        <v>100</v>
      </c>
    </row>
    <row r="285" spans="3:19" x14ac:dyDescent="0.2">
      <c r="C285">
        <v>1260</v>
      </c>
      <c r="D285">
        <v>1260</v>
      </c>
      <c r="E285">
        <v>1</v>
      </c>
      <c r="F285" t="s">
        <v>1496</v>
      </c>
      <c r="G285" t="s">
        <v>1497</v>
      </c>
      <c r="H285" t="s">
        <v>1498</v>
      </c>
      <c r="I285">
        <v>5</v>
      </c>
      <c r="J285">
        <v>5</v>
      </c>
      <c r="K285">
        <v>100</v>
      </c>
      <c r="L285">
        <v>85</v>
      </c>
      <c r="M285">
        <v>75</v>
      </c>
      <c r="N285">
        <v>131</v>
      </c>
      <c r="O285">
        <v>172</v>
      </c>
      <c r="P285">
        <v>70</v>
      </c>
      <c r="Q285">
        <v>100</v>
      </c>
      <c r="R285">
        <v>70</v>
      </c>
      <c r="S285">
        <v>100</v>
      </c>
    </row>
    <row r="286" spans="3:19" x14ac:dyDescent="0.2">
      <c r="C286">
        <v>1261</v>
      </c>
      <c r="D286">
        <v>1261</v>
      </c>
      <c r="E286">
        <v>1</v>
      </c>
      <c r="F286" t="s">
        <v>1499</v>
      </c>
      <c r="G286" t="s">
        <v>1500</v>
      </c>
      <c r="H286" t="s">
        <v>1501</v>
      </c>
      <c r="I286">
        <v>5</v>
      </c>
      <c r="J286">
        <v>5</v>
      </c>
      <c r="K286">
        <v>100</v>
      </c>
      <c r="L286">
        <v>85</v>
      </c>
      <c r="M286">
        <v>75</v>
      </c>
      <c r="N286">
        <v>129</v>
      </c>
      <c r="O286">
        <v>172</v>
      </c>
      <c r="P286">
        <v>90</v>
      </c>
      <c r="Q286">
        <v>120</v>
      </c>
      <c r="R286">
        <v>90</v>
      </c>
      <c r="S286">
        <v>120</v>
      </c>
    </row>
    <row r="287" spans="3:19" x14ac:dyDescent="0.2">
      <c r="C287">
        <v>1262</v>
      </c>
      <c r="D287">
        <v>1262</v>
      </c>
      <c r="E287">
        <v>1</v>
      </c>
      <c r="F287" t="s">
        <v>1502</v>
      </c>
      <c r="G287" t="s">
        <v>1503</v>
      </c>
      <c r="H287" t="s">
        <v>1504</v>
      </c>
      <c r="I287">
        <v>5</v>
      </c>
      <c r="J287">
        <v>5</v>
      </c>
      <c r="K287">
        <v>100</v>
      </c>
      <c r="L287">
        <v>85</v>
      </c>
      <c r="M287">
        <v>75</v>
      </c>
      <c r="N287">
        <v>129</v>
      </c>
      <c r="O287">
        <v>172</v>
      </c>
      <c r="P287">
        <v>90</v>
      </c>
      <c r="Q287">
        <v>120</v>
      </c>
      <c r="R287">
        <v>90</v>
      </c>
      <c r="S287">
        <v>120</v>
      </c>
    </row>
    <row r="288" spans="3:19" x14ac:dyDescent="0.2">
      <c r="C288">
        <v>1263</v>
      </c>
      <c r="D288">
        <v>1263</v>
      </c>
      <c r="E288">
        <v>1</v>
      </c>
      <c r="F288" t="s">
        <v>1505</v>
      </c>
      <c r="G288" t="s">
        <v>1506</v>
      </c>
      <c r="H288" t="s">
        <v>1507</v>
      </c>
      <c r="I288">
        <v>5</v>
      </c>
      <c r="J288">
        <v>5</v>
      </c>
      <c r="K288">
        <v>100</v>
      </c>
      <c r="L288">
        <v>85</v>
      </c>
      <c r="M288">
        <v>75</v>
      </c>
      <c r="N288">
        <v>131</v>
      </c>
      <c r="O288">
        <v>172</v>
      </c>
      <c r="P288">
        <v>90</v>
      </c>
      <c r="Q288">
        <v>120</v>
      </c>
      <c r="R288">
        <v>90</v>
      </c>
      <c r="S288">
        <v>120</v>
      </c>
    </row>
    <row r="289" spans="3:19" x14ac:dyDescent="0.2">
      <c r="C289">
        <v>1264</v>
      </c>
      <c r="D289">
        <v>1264</v>
      </c>
      <c r="E289">
        <v>1</v>
      </c>
      <c r="F289" t="s">
        <v>935</v>
      </c>
      <c r="G289" t="s">
        <v>1038</v>
      </c>
      <c r="H289" t="s">
        <v>935</v>
      </c>
      <c r="I289">
        <v>5</v>
      </c>
      <c r="J289">
        <v>0</v>
      </c>
    </row>
    <row r="290" spans="3:19" x14ac:dyDescent="0.2">
      <c r="C290">
        <v>1265</v>
      </c>
      <c r="D290">
        <v>1265</v>
      </c>
      <c r="E290">
        <v>1</v>
      </c>
      <c r="F290" t="s">
        <v>935</v>
      </c>
      <c r="G290" t="s">
        <v>1038</v>
      </c>
      <c r="H290" t="s">
        <v>935</v>
      </c>
      <c r="I290">
        <v>5</v>
      </c>
      <c r="J290">
        <v>0</v>
      </c>
    </row>
    <row r="291" spans="3:19" x14ac:dyDescent="0.2">
      <c r="C291">
        <v>1266</v>
      </c>
      <c r="D291">
        <v>1266</v>
      </c>
      <c r="E291">
        <v>1</v>
      </c>
      <c r="F291" t="s">
        <v>1508</v>
      </c>
      <c r="G291" t="s">
        <v>1509</v>
      </c>
      <c r="H291" t="s">
        <v>1509</v>
      </c>
      <c r="I291">
        <v>0</v>
      </c>
      <c r="J291">
        <v>0</v>
      </c>
      <c r="N291">
        <v>9981</v>
      </c>
      <c r="O291">
        <v>9981</v>
      </c>
      <c r="P291">
        <v>4281</v>
      </c>
      <c r="Q291">
        <v>4281</v>
      </c>
      <c r="R291">
        <v>1075</v>
      </c>
      <c r="S291">
        <v>1075</v>
      </c>
    </row>
    <row r="292" spans="3:19" x14ac:dyDescent="0.2">
      <c r="C292">
        <v>1267</v>
      </c>
      <c r="D292">
        <v>1267</v>
      </c>
      <c r="E292">
        <v>1</v>
      </c>
      <c r="F292" t="s">
        <v>1510</v>
      </c>
      <c r="G292" t="s">
        <v>1511</v>
      </c>
      <c r="H292" t="s">
        <v>1512</v>
      </c>
      <c r="I292">
        <v>0</v>
      </c>
      <c r="J292">
        <v>5</v>
      </c>
      <c r="K292">
        <v>100</v>
      </c>
      <c r="L292">
        <v>85</v>
      </c>
      <c r="M292">
        <v>75</v>
      </c>
      <c r="N292">
        <v>323</v>
      </c>
      <c r="O292">
        <v>323</v>
      </c>
      <c r="P292">
        <v>1287</v>
      </c>
      <c r="Q292">
        <v>1287</v>
      </c>
      <c r="R292">
        <v>886</v>
      </c>
      <c r="S292">
        <v>886</v>
      </c>
    </row>
    <row r="293" spans="3:19" x14ac:dyDescent="0.2">
      <c r="C293">
        <v>1268</v>
      </c>
      <c r="D293">
        <v>1268</v>
      </c>
      <c r="E293">
        <v>1</v>
      </c>
      <c r="F293" t="s">
        <v>935</v>
      </c>
      <c r="G293" t="s">
        <v>1038</v>
      </c>
      <c r="H293" t="s">
        <v>935</v>
      </c>
      <c r="I293">
        <v>5</v>
      </c>
      <c r="J293">
        <v>0</v>
      </c>
    </row>
    <row r="294" spans="3:19" x14ac:dyDescent="0.2">
      <c r="C294">
        <v>1269</v>
      </c>
      <c r="D294">
        <v>1269</v>
      </c>
      <c r="E294">
        <v>1</v>
      </c>
      <c r="F294" t="s">
        <v>935</v>
      </c>
      <c r="G294" t="s">
        <v>1038</v>
      </c>
      <c r="H294" t="s">
        <v>935</v>
      </c>
      <c r="I294">
        <v>5</v>
      </c>
      <c r="J294">
        <v>0</v>
      </c>
    </row>
    <row r="295" spans="3:19" x14ac:dyDescent="0.2">
      <c r="C295">
        <v>1270</v>
      </c>
      <c r="D295">
        <v>1270</v>
      </c>
      <c r="E295">
        <v>1</v>
      </c>
      <c r="F295" t="s">
        <v>1513</v>
      </c>
      <c r="G295" t="s">
        <v>1514</v>
      </c>
      <c r="H295" t="s">
        <v>1514</v>
      </c>
      <c r="I295">
        <v>0</v>
      </c>
      <c r="J295">
        <v>5</v>
      </c>
      <c r="K295">
        <v>100</v>
      </c>
      <c r="L295">
        <v>100</v>
      </c>
      <c r="M295">
        <v>100</v>
      </c>
      <c r="N295">
        <v>93</v>
      </c>
      <c r="O295">
        <v>231</v>
      </c>
      <c r="P295">
        <v>180</v>
      </c>
      <c r="Q295">
        <v>210</v>
      </c>
      <c r="R295">
        <v>180</v>
      </c>
      <c r="S295">
        <v>210</v>
      </c>
    </row>
    <row r="296" spans="3:19" x14ac:dyDescent="0.2">
      <c r="C296">
        <v>1271</v>
      </c>
      <c r="D296">
        <v>1271</v>
      </c>
      <c r="E296">
        <v>1</v>
      </c>
      <c r="F296" t="s">
        <v>935</v>
      </c>
      <c r="G296" t="s">
        <v>1038</v>
      </c>
      <c r="H296" t="s">
        <v>935</v>
      </c>
      <c r="I296">
        <v>10</v>
      </c>
      <c r="J296">
        <v>0</v>
      </c>
      <c r="K296">
        <v>100</v>
      </c>
      <c r="L296">
        <v>100</v>
      </c>
      <c r="M296">
        <v>100</v>
      </c>
    </row>
    <row r="297" spans="3:19" x14ac:dyDescent="0.2">
      <c r="C297">
        <v>1272</v>
      </c>
      <c r="D297">
        <v>1272</v>
      </c>
      <c r="E297">
        <v>1</v>
      </c>
      <c r="F297" t="s">
        <v>1515</v>
      </c>
      <c r="G297" t="s">
        <v>1516</v>
      </c>
      <c r="H297" t="s">
        <v>1516</v>
      </c>
      <c r="I297">
        <v>5</v>
      </c>
      <c r="J297">
        <v>5</v>
      </c>
      <c r="K297">
        <v>100</v>
      </c>
      <c r="L297">
        <v>100</v>
      </c>
      <c r="M297">
        <v>100</v>
      </c>
      <c r="N297">
        <v>189</v>
      </c>
      <c r="O297">
        <v>331</v>
      </c>
      <c r="P297">
        <v>180</v>
      </c>
      <c r="Q297">
        <v>210</v>
      </c>
      <c r="R297">
        <v>180</v>
      </c>
      <c r="S297">
        <v>210</v>
      </c>
    </row>
    <row r="298" spans="3:19" x14ac:dyDescent="0.2">
      <c r="C298">
        <v>1273</v>
      </c>
      <c r="D298">
        <v>1273</v>
      </c>
      <c r="E298">
        <v>1</v>
      </c>
      <c r="F298" t="s">
        <v>1517</v>
      </c>
      <c r="G298" t="s">
        <v>1518</v>
      </c>
      <c r="H298" t="s">
        <v>1519</v>
      </c>
      <c r="I298">
        <v>0</v>
      </c>
      <c r="J298">
        <v>5</v>
      </c>
      <c r="N298">
        <v>132</v>
      </c>
      <c r="O298">
        <v>172</v>
      </c>
      <c r="P298">
        <v>140</v>
      </c>
      <c r="Q298">
        <v>190</v>
      </c>
      <c r="R298">
        <v>140</v>
      </c>
      <c r="S298">
        <v>190</v>
      </c>
    </row>
    <row r="299" spans="3:19" x14ac:dyDescent="0.2">
      <c r="C299">
        <v>1274</v>
      </c>
      <c r="D299">
        <v>1274</v>
      </c>
      <c r="E299">
        <v>1</v>
      </c>
      <c r="F299" t="s">
        <v>1520</v>
      </c>
      <c r="G299" t="s">
        <v>1521</v>
      </c>
      <c r="H299" t="s">
        <v>1522</v>
      </c>
      <c r="I299">
        <v>5</v>
      </c>
      <c r="J299">
        <v>5</v>
      </c>
      <c r="N299">
        <v>56</v>
      </c>
      <c r="O299">
        <v>84</v>
      </c>
      <c r="P299">
        <v>55</v>
      </c>
      <c r="Q299">
        <v>80</v>
      </c>
      <c r="R299">
        <v>55</v>
      </c>
      <c r="S299">
        <v>80</v>
      </c>
    </row>
    <row r="300" spans="3:19" x14ac:dyDescent="0.2">
      <c r="C300">
        <v>1275</v>
      </c>
      <c r="D300">
        <v>1275</v>
      </c>
      <c r="E300">
        <v>1</v>
      </c>
      <c r="F300" t="s">
        <v>1523</v>
      </c>
      <c r="G300" t="s">
        <v>1524</v>
      </c>
      <c r="H300" t="s">
        <v>1525</v>
      </c>
      <c r="I300">
        <v>5</v>
      </c>
      <c r="J300">
        <v>5</v>
      </c>
      <c r="N300">
        <v>55</v>
      </c>
      <c r="O300">
        <v>82</v>
      </c>
      <c r="P300">
        <v>55</v>
      </c>
      <c r="Q300">
        <v>80</v>
      </c>
      <c r="R300">
        <v>55</v>
      </c>
      <c r="S300">
        <v>80</v>
      </c>
    </row>
    <row r="301" spans="3:19" x14ac:dyDescent="0.2">
      <c r="C301">
        <v>1276</v>
      </c>
      <c r="D301">
        <v>1276</v>
      </c>
      <c r="E301">
        <v>1</v>
      </c>
      <c r="F301" t="s">
        <v>1526</v>
      </c>
      <c r="G301" t="s">
        <v>1527</v>
      </c>
      <c r="H301" t="s">
        <v>1528</v>
      </c>
      <c r="I301">
        <v>5</v>
      </c>
      <c r="J301">
        <v>5</v>
      </c>
      <c r="N301">
        <v>57</v>
      </c>
      <c r="O301">
        <v>81</v>
      </c>
      <c r="P301">
        <v>55</v>
      </c>
      <c r="Q301">
        <v>80</v>
      </c>
      <c r="R301">
        <v>55</v>
      </c>
      <c r="S301">
        <v>80</v>
      </c>
    </row>
    <row r="302" spans="3:19" x14ac:dyDescent="0.2">
      <c r="C302">
        <v>1277</v>
      </c>
      <c r="D302">
        <v>1277</v>
      </c>
      <c r="E302">
        <v>1</v>
      </c>
      <c r="F302" t="s">
        <v>1529</v>
      </c>
      <c r="G302" t="s">
        <v>1530</v>
      </c>
      <c r="H302" t="s">
        <v>1531</v>
      </c>
      <c r="I302">
        <v>5</v>
      </c>
      <c r="J302">
        <v>5</v>
      </c>
      <c r="N302">
        <v>56</v>
      </c>
      <c r="O302">
        <v>81</v>
      </c>
      <c r="P302">
        <v>55</v>
      </c>
      <c r="Q302">
        <v>80</v>
      </c>
      <c r="R302">
        <v>55</v>
      </c>
      <c r="S302">
        <v>80</v>
      </c>
    </row>
    <row r="303" spans="3:19" x14ac:dyDescent="0.2">
      <c r="C303">
        <v>1278</v>
      </c>
      <c r="D303">
        <v>1278</v>
      </c>
      <c r="E303">
        <v>1</v>
      </c>
      <c r="F303" t="s">
        <v>1532</v>
      </c>
      <c r="G303" t="s">
        <v>1533</v>
      </c>
      <c r="H303" t="s">
        <v>1534</v>
      </c>
      <c r="I303">
        <v>5</v>
      </c>
      <c r="J303">
        <v>5</v>
      </c>
      <c r="K303">
        <v>100</v>
      </c>
      <c r="L303">
        <v>100</v>
      </c>
      <c r="M303">
        <v>100</v>
      </c>
      <c r="N303">
        <v>67</v>
      </c>
      <c r="O303">
        <v>109</v>
      </c>
      <c r="P303">
        <v>65</v>
      </c>
      <c r="Q303">
        <v>105</v>
      </c>
      <c r="R303">
        <v>65</v>
      </c>
      <c r="S303">
        <v>105</v>
      </c>
    </row>
    <row r="304" spans="3:19" x14ac:dyDescent="0.2">
      <c r="C304">
        <v>1279</v>
      </c>
      <c r="D304">
        <v>1279</v>
      </c>
      <c r="E304">
        <v>1</v>
      </c>
      <c r="F304" t="s">
        <v>1535</v>
      </c>
      <c r="G304" t="s">
        <v>1536</v>
      </c>
      <c r="H304" t="s">
        <v>1537</v>
      </c>
      <c r="I304">
        <v>5</v>
      </c>
      <c r="J304">
        <v>5</v>
      </c>
      <c r="K304">
        <v>100</v>
      </c>
      <c r="L304">
        <v>100</v>
      </c>
      <c r="M304">
        <v>100</v>
      </c>
      <c r="N304">
        <v>66</v>
      </c>
      <c r="O304">
        <v>107</v>
      </c>
      <c r="P304">
        <v>65</v>
      </c>
      <c r="Q304">
        <v>105</v>
      </c>
      <c r="R304">
        <v>65</v>
      </c>
      <c r="S304">
        <v>105</v>
      </c>
    </row>
    <row r="305" spans="3:19" x14ac:dyDescent="0.2">
      <c r="C305">
        <v>1280</v>
      </c>
      <c r="D305">
        <v>1280</v>
      </c>
      <c r="E305">
        <v>1</v>
      </c>
      <c r="F305" t="s">
        <v>1538</v>
      </c>
      <c r="G305" t="s">
        <v>1539</v>
      </c>
      <c r="H305" t="s">
        <v>1540</v>
      </c>
      <c r="I305">
        <v>5</v>
      </c>
      <c r="J305">
        <v>5</v>
      </c>
      <c r="K305">
        <v>100</v>
      </c>
      <c r="L305">
        <v>100</v>
      </c>
      <c r="M305">
        <v>100</v>
      </c>
      <c r="N305">
        <v>65</v>
      </c>
      <c r="O305">
        <v>107</v>
      </c>
      <c r="P305">
        <v>65</v>
      </c>
      <c r="Q305">
        <v>105</v>
      </c>
      <c r="R305">
        <v>65</v>
      </c>
      <c r="S305">
        <v>105</v>
      </c>
    </row>
    <row r="306" spans="3:19" x14ac:dyDescent="0.2">
      <c r="C306">
        <v>1281</v>
      </c>
      <c r="D306">
        <v>1281</v>
      </c>
      <c r="E306">
        <v>1</v>
      </c>
      <c r="F306" t="s">
        <v>1541</v>
      </c>
      <c r="G306" t="s">
        <v>1500</v>
      </c>
      <c r="H306" t="s">
        <v>1542</v>
      </c>
      <c r="I306">
        <v>5</v>
      </c>
      <c r="J306">
        <v>5</v>
      </c>
      <c r="K306">
        <v>100</v>
      </c>
      <c r="L306">
        <v>100</v>
      </c>
      <c r="M306">
        <v>100</v>
      </c>
      <c r="N306">
        <v>65</v>
      </c>
      <c r="O306">
        <v>107</v>
      </c>
      <c r="P306">
        <v>65</v>
      </c>
      <c r="Q306">
        <v>105</v>
      </c>
      <c r="R306">
        <v>65</v>
      </c>
      <c r="S306">
        <v>105</v>
      </c>
    </row>
    <row r="307" spans="3:19" x14ac:dyDescent="0.2">
      <c r="C307">
        <v>1282</v>
      </c>
      <c r="D307">
        <v>1282</v>
      </c>
      <c r="E307">
        <v>1</v>
      </c>
      <c r="F307" t="s">
        <v>1541</v>
      </c>
      <c r="G307" t="s">
        <v>1500</v>
      </c>
      <c r="H307" t="s">
        <v>1543</v>
      </c>
      <c r="I307">
        <v>5</v>
      </c>
      <c r="J307">
        <v>5</v>
      </c>
      <c r="K307">
        <v>100</v>
      </c>
      <c r="L307">
        <v>100</v>
      </c>
      <c r="M307">
        <v>100</v>
      </c>
      <c r="N307">
        <v>65</v>
      </c>
      <c r="O307">
        <v>107</v>
      </c>
      <c r="P307">
        <v>65</v>
      </c>
      <c r="Q307">
        <v>105</v>
      </c>
      <c r="R307">
        <v>65</v>
      </c>
      <c r="S307">
        <v>105</v>
      </c>
    </row>
    <row r="308" spans="3:19" x14ac:dyDescent="0.2">
      <c r="C308">
        <v>1283</v>
      </c>
      <c r="D308">
        <v>1283</v>
      </c>
      <c r="E308">
        <v>1</v>
      </c>
      <c r="F308" t="s">
        <v>935</v>
      </c>
      <c r="G308" t="s">
        <v>1038</v>
      </c>
      <c r="H308" t="s">
        <v>935</v>
      </c>
      <c r="I308">
        <v>5</v>
      </c>
      <c r="J308">
        <v>0</v>
      </c>
    </row>
    <row r="309" spans="3:19" x14ac:dyDescent="0.2">
      <c r="C309">
        <v>1284</v>
      </c>
      <c r="D309">
        <v>1284</v>
      </c>
      <c r="E309">
        <v>1</v>
      </c>
      <c r="F309" t="s">
        <v>1532</v>
      </c>
      <c r="G309" t="s">
        <v>1544</v>
      </c>
      <c r="H309" t="s">
        <v>1545</v>
      </c>
      <c r="I309">
        <v>5</v>
      </c>
      <c r="J309">
        <v>5</v>
      </c>
      <c r="K309">
        <v>100</v>
      </c>
      <c r="L309">
        <v>75</v>
      </c>
      <c r="M309">
        <v>50</v>
      </c>
      <c r="N309">
        <v>159</v>
      </c>
      <c r="O309">
        <v>259</v>
      </c>
      <c r="P309">
        <v>220</v>
      </c>
      <c r="Q309">
        <v>270</v>
      </c>
      <c r="R309">
        <v>220</v>
      </c>
      <c r="S309">
        <v>270</v>
      </c>
    </row>
    <row r="310" spans="3:19" x14ac:dyDescent="0.2">
      <c r="C310">
        <v>1285</v>
      </c>
      <c r="D310">
        <v>1285</v>
      </c>
      <c r="E310">
        <v>1</v>
      </c>
      <c r="F310" t="s">
        <v>1546</v>
      </c>
      <c r="G310" t="s">
        <v>1547</v>
      </c>
      <c r="H310" t="s">
        <v>1548</v>
      </c>
      <c r="I310">
        <v>5</v>
      </c>
      <c r="J310">
        <v>5</v>
      </c>
      <c r="K310">
        <v>100</v>
      </c>
      <c r="L310">
        <v>75</v>
      </c>
      <c r="M310">
        <v>50</v>
      </c>
      <c r="N310">
        <v>161</v>
      </c>
      <c r="O310">
        <v>261</v>
      </c>
      <c r="P310">
        <v>220</v>
      </c>
      <c r="Q310">
        <v>270</v>
      </c>
      <c r="R310">
        <v>220</v>
      </c>
      <c r="S310">
        <v>270</v>
      </c>
    </row>
    <row r="311" spans="3:19" x14ac:dyDescent="0.2">
      <c r="C311">
        <v>1286</v>
      </c>
      <c r="D311">
        <v>1286</v>
      </c>
      <c r="E311">
        <v>1</v>
      </c>
      <c r="F311" t="s">
        <v>1549</v>
      </c>
      <c r="G311" t="s">
        <v>1550</v>
      </c>
      <c r="H311" t="s">
        <v>1551</v>
      </c>
      <c r="I311">
        <v>5</v>
      </c>
      <c r="J311">
        <v>5</v>
      </c>
      <c r="K311">
        <v>100</v>
      </c>
      <c r="L311">
        <v>75</v>
      </c>
      <c r="M311">
        <v>50</v>
      </c>
      <c r="N311">
        <v>159</v>
      </c>
      <c r="O311">
        <v>259</v>
      </c>
      <c r="P311">
        <v>220</v>
      </c>
      <c r="Q311">
        <v>270</v>
      </c>
      <c r="R311">
        <v>220</v>
      </c>
      <c r="S311">
        <v>270</v>
      </c>
    </row>
    <row r="312" spans="3:19" x14ac:dyDescent="0.2">
      <c r="C312">
        <v>1287</v>
      </c>
      <c r="D312">
        <v>1287</v>
      </c>
      <c r="E312">
        <v>1</v>
      </c>
      <c r="F312" t="s">
        <v>1552</v>
      </c>
      <c r="G312" t="s">
        <v>1553</v>
      </c>
      <c r="H312" t="s">
        <v>1554</v>
      </c>
      <c r="I312">
        <v>5</v>
      </c>
      <c r="J312">
        <v>5</v>
      </c>
      <c r="K312">
        <v>100</v>
      </c>
      <c r="L312">
        <v>75</v>
      </c>
      <c r="M312">
        <v>50</v>
      </c>
      <c r="N312">
        <v>160</v>
      </c>
      <c r="O312">
        <v>257</v>
      </c>
      <c r="P312">
        <v>220</v>
      </c>
      <c r="Q312">
        <v>270</v>
      </c>
      <c r="R312">
        <v>220</v>
      </c>
      <c r="S312">
        <v>270</v>
      </c>
    </row>
    <row r="313" spans="3:19" x14ac:dyDescent="0.2">
      <c r="C313">
        <v>1288</v>
      </c>
      <c r="D313">
        <v>1288</v>
      </c>
      <c r="E313">
        <v>1</v>
      </c>
      <c r="F313" t="s">
        <v>1555</v>
      </c>
      <c r="G313" t="s">
        <v>1556</v>
      </c>
      <c r="H313" t="s">
        <v>1557</v>
      </c>
      <c r="I313">
        <v>5</v>
      </c>
      <c r="J313">
        <v>5</v>
      </c>
      <c r="K313">
        <v>100</v>
      </c>
      <c r="L313">
        <v>75</v>
      </c>
      <c r="M313">
        <v>50</v>
      </c>
      <c r="N313">
        <v>157</v>
      </c>
      <c r="O313">
        <v>257</v>
      </c>
      <c r="P313">
        <v>220</v>
      </c>
      <c r="Q313">
        <v>270</v>
      </c>
      <c r="R313">
        <v>220</v>
      </c>
      <c r="S313">
        <v>270</v>
      </c>
    </row>
    <row r="314" spans="3:19" x14ac:dyDescent="0.2">
      <c r="C314">
        <v>1289</v>
      </c>
      <c r="D314">
        <v>1289</v>
      </c>
      <c r="E314">
        <v>1</v>
      </c>
      <c r="F314" t="s">
        <v>1558</v>
      </c>
      <c r="G314" t="s">
        <v>1559</v>
      </c>
      <c r="H314" t="s">
        <v>1560</v>
      </c>
      <c r="I314">
        <v>8</v>
      </c>
      <c r="J314">
        <v>5</v>
      </c>
      <c r="N314">
        <v>100</v>
      </c>
      <c r="O314">
        <v>100</v>
      </c>
      <c r="P314">
        <v>175</v>
      </c>
      <c r="Q314">
        <v>175</v>
      </c>
      <c r="R314">
        <v>275</v>
      </c>
      <c r="S314">
        <v>275</v>
      </c>
    </row>
    <row r="315" spans="3:19" x14ac:dyDescent="0.2">
      <c r="C315">
        <v>1290</v>
      </c>
      <c r="D315">
        <v>1290</v>
      </c>
      <c r="E315">
        <v>1</v>
      </c>
      <c r="F315" t="s">
        <v>1561</v>
      </c>
      <c r="G315" t="s">
        <v>1562</v>
      </c>
      <c r="H315" t="s">
        <v>1563</v>
      </c>
      <c r="I315">
        <v>8</v>
      </c>
      <c r="J315">
        <v>5</v>
      </c>
      <c r="K315">
        <v>100</v>
      </c>
      <c r="L315">
        <v>100</v>
      </c>
      <c r="M315">
        <v>100</v>
      </c>
      <c r="N315">
        <v>201</v>
      </c>
      <c r="O315">
        <v>201</v>
      </c>
      <c r="P315">
        <v>388</v>
      </c>
      <c r="Q315">
        <v>388</v>
      </c>
      <c r="R315">
        <v>637</v>
      </c>
      <c r="S315">
        <v>637</v>
      </c>
    </row>
    <row r="316" spans="3:19" x14ac:dyDescent="0.2">
      <c r="C316">
        <v>1291</v>
      </c>
      <c r="D316">
        <v>1291</v>
      </c>
      <c r="E316">
        <v>1</v>
      </c>
      <c r="F316" t="s">
        <v>1564</v>
      </c>
      <c r="G316" t="s">
        <v>1565</v>
      </c>
      <c r="H316" t="s">
        <v>1566</v>
      </c>
      <c r="I316">
        <v>8</v>
      </c>
      <c r="J316">
        <v>5</v>
      </c>
      <c r="N316">
        <v>306</v>
      </c>
      <c r="O316">
        <v>306</v>
      </c>
      <c r="P316">
        <v>595</v>
      </c>
      <c r="Q316">
        <v>595</v>
      </c>
      <c r="R316">
        <v>980</v>
      </c>
      <c r="S316">
        <v>980</v>
      </c>
    </row>
    <row r="317" spans="3:19" x14ac:dyDescent="0.2">
      <c r="C317">
        <v>1292</v>
      </c>
      <c r="D317">
        <v>1292</v>
      </c>
      <c r="E317">
        <v>1</v>
      </c>
      <c r="F317" t="s">
        <v>1567</v>
      </c>
      <c r="G317" t="s">
        <v>1568</v>
      </c>
      <c r="H317" t="s">
        <v>1569</v>
      </c>
      <c r="I317">
        <v>8</v>
      </c>
      <c r="J317">
        <v>5</v>
      </c>
      <c r="N317">
        <v>313</v>
      </c>
      <c r="O317">
        <v>313</v>
      </c>
      <c r="P317">
        <v>613</v>
      </c>
      <c r="Q317">
        <v>613</v>
      </c>
      <c r="R317">
        <v>1013</v>
      </c>
      <c r="S317">
        <v>1013</v>
      </c>
    </row>
    <row r="318" spans="3:19" x14ac:dyDescent="0.2">
      <c r="C318">
        <v>1293</v>
      </c>
      <c r="D318">
        <v>1293</v>
      </c>
      <c r="E318">
        <v>1</v>
      </c>
      <c r="F318" t="s">
        <v>935</v>
      </c>
      <c r="G318" t="s">
        <v>1038</v>
      </c>
      <c r="H318" t="s">
        <v>935</v>
      </c>
      <c r="I318">
        <v>0</v>
      </c>
      <c r="J318">
        <v>0</v>
      </c>
    </row>
    <row r="319" spans="3:19" x14ac:dyDescent="0.2">
      <c r="C319">
        <v>1294</v>
      </c>
      <c r="D319">
        <v>1294</v>
      </c>
      <c r="E319">
        <v>1</v>
      </c>
      <c r="F319" t="s">
        <v>935</v>
      </c>
      <c r="G319" t="s">
        <v>1038</v>
      </c>
      <c r="H319" t="s">
        <v>935</v>
      </c>
      <c r="I319">
        <v>5</v>
      </c>
      <c r="J319">
        <v>0</v>
      </c>
    </row>
    <row r="320" spans="3:19" x14ac:dyDescent="0.2">
      <c r="C320">
        <v>1295</v>
      </c>
      <c r="D320">
        <v>1295</v>
      </c>
      <c r="E320">
        <v>1</v>
      </c>
      <c r="F320" t="s">
        <v>1078</v>
      </c>
      <c r="G320" t="s">
        <v>1570</v>
      </c>
      <c r="H320" t="s">
        <v>1571</v>
      </c>
      <c r="I320">
        <v>5</v>
      </c>
      <c r="J320">
        <v>5</v>
      </c>
      <c r="N320">
        <v>107</v>
      </c>
      <c r="O320">
        <v>151</v>
      </c>
      <c r="P320">
        <v>80</v>
      </c>
      <c r="Q320">
        <v>125</v>
      </c>
      <c r="R320">
        <v>80</v>
      </c>
      <c r="S320">
        <v>125</v>
      </c>
    </row>
    <row r="321" spans="3:19" x14ac:dyDescent="0.2">
      <c r="C321">
        <v>1296</v>
      </c>
      <c r="D321">
        <v>1296</v>
      </c>
      <c r="E321">
        <v>1</v>
      </c>
      <c r="F321" t="s">
        <v>935</v>
      </c>
      <c r="G321" t="s">
        <v>1038</v>
      </c>
      <c r="H321" t="s">
        <v>935</v>
      </c>
      <c r="I321">
        <v>5</v>
      </c>
      <c r="J321">
        <v>0</v>
      </c>
    </row>
    <row r="322" spans="3:19" x14ac:dyDescent="0.2">
      <c r="C322">
        <v>1297</v>
      </c>
      <c r="D322">
        <v>1297</v>
      </c>
      <c r="E322">
        <v>1</v>
      </c>
      <c r="F322" t="s">
        <v>935</v>
      </c>
      <c r="G322" t="s">
        <v>1038</v>
      </c>
      <c r="H322" t="s">
        <v>935</v>
      </c>
      <c r="I322">
        <v>5</v>
      </c>
      <c r="J322">
        <v>0</v>
      </c>
    </row>
    <row r="323" spans="3:19" x14ac:dyDescent="0.2">
      <c r="C323">
        <v>1298</v>
      </c>
      <c r="D323">
        <v>1298</v>
      </c>
      <c r="E323">
        <v>1</v>
      </c>
      <c r="F323" t="s">
        <v>1572</v>
      </c>
      <c r="G323" t="s">
        <v>1573</v>
      </c>
      <c r="H323" t="s">
        <v>1574</v>
      </c>
      <c r="I323">
        <v>5</v>
      </c>
      <c r="J323">
        <v>5</v>
      </c>
      <c r="K323">
        <v>100</v>
      </c>
      <c r="L323">
        <v>75</v>
      </c>
      <c r="M323">
        <v>50</v>
      </c>
      <c r="N323">
        <v>229</v>
      </c>
      <c r="O323">
        <v>295</v>
      </c>
      <c r="P323">
        <v>200</v>
      </c>
      <c r="Q323">
        <v>250</v>
      </c>
      <c r="R323">
        <v>200</v>
      </c>
      <c r="S323">
        <v>250</v>
      </c>
    </row>
    <row r="324" spans="3:19" x14ac:dyDescent="0.2">
      <c r="C324">
        <v>1299</v>
      </c>
      <c r="D324">
        <v>1299</v>
      </c>
      <c r="E324">
        <v>1</v>
      </c>
      <c r="F324" t="s">
        <v>1575</v>
      </c>
      <c r="G324" t="s">
        <v>1576</v>
      </c>
      <c r="H324" t="s">
        <v>1577</v>
      </c>
      <c r="I324">
        <v>5</v>
      </c>
      <c r="J324">
        <v>5</v>
      </c>
      <c r="K324">
        <v>100</v>
      </c>
      <c r="L324">
        <v>75</v>
      </c>
      <c r="M324">
        <v>50</v>
      </c>
      <c r="N324">
        <v>229</v>
      </c>
      <c r="O324">
        <v>295</v>
      </c>
      <c r="P324">
        <v>200</v>
      </c>
      <c r="Q324">
        <v>250</v>
      </c>
      <c r="R324">
        <v>200</v>
      </c>
      <c r="S324">
        <v>250</v>
      </c>
    </row>
    <row r="325" spans="3:19" x14ac:dyDescent="0.2">
      <c r="C325">
        <v>1300</v>
      </c>
      <c r="D325">
        <v>1300</v>
      </c>
      <c r="E325">
        <v>1</v>
      </c>
      <c r="F325" t="s">
        <v>1578</v>
      </c>
      <c r="G325" t="s">
        <v>1579</v>
      </c>
      <c r="H325" t="s">
        <v>1580</v>
      </c>
      <c r="I325">
        <v>5</v>
      </c>
      <c r="J325">
        <v>5</v>
      </c>
      <c r="K325">
        <v>100</v>
      </c>
      <c r="L325">
        <v>75</v>
      </c>
      <c r="M325">
        <v>50</v>
      </c>
      <c r="N325">
        <v>228</v>
      </c>
      <c r="O325">
        <v>294</v>
      </c>
      <c r="P325">
        <v>200</v>
      </c>
      <c r="Q325">
        <v>250</v>
      </c>
      <c r="R325">
        <v>200</v>
      </c>
      <c r="S325">
        <v>250</v>
      </c>
    </row>
    <row r="326" spans="3:19" x14ac:dyDescent="0.2">
      <c r="C326">
        <v>1301</v>
      </c>
      <c r="D326">
        <v>1301</v>
      </c>
      <c r="E326">
        <v>1</v>
      </c>
      <c r="F326" t="s">
        <v>1581</v>
      </c>
      <c r="G326" t="s">
        <v>1582</v>
      </c>
      <c r="H326" t="s">
        <v>1583</v>
      </c>
      <c r="I326">
        <v>5</v>
      </c>
      <c r="J326">
        <v>5</v>
      </c>
      <c r="K326">
        <v>100</v>
      </c>
      <c r="L326">
        <v>75</v>
      </c>
      <c r="M326">
        <v>50</v>
      </c>
      <c r="N326">
        <v>57</v>
      </c>
      <c r="O326">
        <v>85</v>
      </c>
      <c r="P326">
        <v>50</v>
      </c>
      <c r="Q326">
        <v>70</v>
      </c>
      <c r="R326">
        <v>50</v>
      </c>
      <c r="S326">
        <v>70</v>
      </c>
    </row>
    <row r="327" spans="3:19" x14ac:dyDescent="0.2">
      <c r="C327">
        <v>1302</v>
      </c>
      <c r="D327">
        <v>1302</v>
      </c>
      <c r="E327">
        <v>1</v>
      </c>
      <c r="F327" t="s">
        <v>1584</v>
      </c>
      <c r="G327" t="s">
        <v>1585</v>
      </c>
      <c r="H327" t="s">
        <v>1586</v>
      </c>
      <c r="I327">
        <v>5</v>
      </c>
      <c r="J327">
        <v>5</v>
      </c>
      <c r="K327">
        <v>100</v>
      </c>
      <c r="L327">
        <v>75</v>
      </c>
      <c r="M327">
        <v>50</v>
      </c>
      <c r="N327">
        <v>56</v>
      </c>
      <c r="O327">
        <v>84</v>
      </c>
      <c r="P327">
        <v>50</v>
      </c>
      <c r="Q327">
        <v>70</v>
      </c>
      <c r="R327">
        <v>50</v>
      </c>
      <c r="S327">
        <v>70</v>
      </c>
    </row>
    <row r="328" spans="3:19" x14ac:dyDescent="0.2">
      <c r="C328">
        <v>1303</v>
      </c>
      <c r="D328">
        <v>1303</v>
      </c>
      <c r="E328">
        <v>1</v>
      </c>
      <c r="F328" t="s">
        <v>1587</v>
      </c>
      <c r="G328" t="s">
        <v>1588</v>
      </c>
      <c r="H328" t="s">
        <v>1589</v>
      </c>
      <c r="I328">
        <v>5</v>
      </c>
      <c r="J328">
        <v>5</v>
      </c>
      <c r="K328">
        <v>100</v>
      </c>
      <c r="L328">
        <v>75</v>
      </c>
      <c r="M328">
        <v>50</v>
      </c>
      <c r="N328">
        <v>55</v>
      </c>
      <c r="O328">
        <v>84</v>
      </c>
      <c r="P328">
        <v>50</v>
      </c>
      <c r="Q328">
        <v>70</v>
      </c>
      <c r="R328">
        <v>50</v>
      </c>
      <c r="S328">
        <v>70</v>
      </c>
    </row>
    <row r="329" spans="3:19" x14ac:dyDescent="0.2">
      <c r="C329">
        <v>1304</v>
      </c>
      <c r="D329">
        <v>1304</v>
      </c>
      <c r="E329">
        <v>1</v>
      </c>
      <c r="F329" t="s">
        <v>1590</v>
      </c>
      <c r="G329" t="s">
        <v>1591</v>
      </c>
      <c r="H329" t="s">
        <v>1592</v>
      </c>
      <c r="I329">
        <v>5</v>
      </c>
      <c r="J329">
        <v>5</v>
      </c>
      <c r="K329">
        <v>100</v>
      </c>
      <c r="L329">
        <v>66</v>
      </c>
      <c r="M329">
        <v>33</v>
      </c>
      <c r="N329">
        <v>153</v>
      </c>
      <c r="O329">
        <v>211</v>
      </c>
      <c r="P329">
        <v>80</v>
      </c>
      <c r="Q329">
        <v>110</v>
      </c>
      <c r="R329">
        <v>80</v>
      </c>
      <c r="S329">
        <v>110</v>
      </c>
    </row>
    <row r="330" spans="3:19" x14ac:dyDescent="0.2">
      <c r="C330">
        <v>1305</v>
      </c>
      <c r="D330">
        <v>1305</v>
      </c>
      <c r="E330">
        <v>1</v>
      </c>
      <c r="F330" t="s">
        <v>1593</v>
      </c>
      <c r="G330" t="s">
        <v>1594</v>
      </c>
      <c r="H330" t="s">
        <v>1595</v>
      </c>
      <c r="I330">
        <v>5</v>
      </c>
      <c r="J330">
        <v>5</v>
      </c>
      <c r="K330">
        <v>100</v>
      </c>
      <c r="L330">
        <v>66</v>
      </c>
      <c r="M330">
        <v>33</v>
      </c>
      <c r="N330">
        <v>152</v>
      </c>
      <c r="O330">
        <v>209</v>
      </c>
      <c r="P330">
        <v>80</v>
      </c>
      <c r="Q330">
        <v>110</v>
      </c>
      <c r="R330">
        <v>80</v>
      </c>
      <c r="S330">
        <v>110</v>
      </c>
    </row>
    <row r="331" spans="3:19" x14ac:dyDescent="0.2">
      <c r="C331">
        <v>1306</v>
      </c>
      <c r="D331">
        <v>1306</v>
      </c>
      <c r="E331">
        <v>1</v>
      </c>
      <c r="F331" t="s">
        <v>1596</v>
      </c>
      <c r="G331" t="s">
        <v>1597</v>
      </c>
      <c r="H331" t="s">
        <v>1598</v>
      </c>
      <c r="I331">
        <v>5</v>
      </c>
      <c r="J331">
        <v>5</v>
      </c>
      <c r="K331">
        <v>100</v>
      </c>
      <c r="L331">
        <v>66</v>
      </c>
      <c r="M331">
        <v>33</v>
      </c>
      <c r="N331">
        <v>152</v>
      </c>
      <c r="O331">
        <v>209</v>
      </c>
      <c r="P331">
        <v>80</v>
      </c>
      <c r="Q331">
        <v>110</v>
      </c>
      <c r="R331">
        <v>80</v>
      </c>
      <c r="S331">
        <v>110</v>
      </c>
    </row>
    <row r="332" spans="3:19" x14ac:dyDescent="0.2">
      <c r="C332">
        <v>1307</v>
      </c>
      <c r="D332">
        <v>1307</v>
      </c>
      <c r="E332">
        <v>1</v>
      </c>
      <c r="F332" t="s">
        <v>1599</v>
      </c>
      <c r="G332" t="s">
        <v>1600</v>
      </c>
      <c r="H332" t="s">
        <v>1601</v>
      </c>
      <c r="I332">
        <v>5</v>
      </c>
      <c r="J332">
        <v>5</v>
      </c>
      <c r="K332">
        <v>100</v>
      </c>
      <c r="L332">
        <v>85</v>
      </c>
      <c r="M332">
        <v>75</v>
      </c>
      <c r="N332">
        <v>211</v>
      </c>
      <c r="O332">
        <v>285</v>
      </c>
      <c r="P332">
        <v>240</v>
      </c>
      <c r="Q332">
        <v>320</v>
      </c>
      <c r="R332">
        <v>240</v>
      </c>
      <c r="S332">
        <v>320</v>
      </c>
    </row>
    <row r="333" spans="3:19" x14ac:dyDescent="0.2">
      <c r="C333">
        <v>1308</v>
      </c>
      <c r="D333">
        <v>1308</v>
      </c>
      <c r="E333">
        <v>1</v>
      </c>
      <c r="F333" t="s">
        <v>1292</v>
      </c>
      <c r="G333" t="s">
        <v>1602</v>
      </c>
      <c r="H333" t="s">
        <v>1603</v>
      </c>
      <c r="I333">
        <v>5</v>
      </c>
      <c r="J333">
        <v>5</v>
      </c>
      <c r="K333">
        <v>100</v>
      </c>
      <c r="L333">
        <v>85</v>
      </c>
      <c r="M333">
        <v>75</v>
      </c>
      <c r="N333">
        <v>209</v>
      </c>
      <c r="O333">
        <v>283</v>
      </c>
      <c r="P333">
        <v>240</v>
      </c>
      <c r="Q333">
        <v>320</v>
      </c>
      <c r="R333">
        <v>240</v>
      </c>
      <c r="S333">
        <v>320</v>
      </c>
    </row>
    <row r="334" spans="3:19" x14ac:dyDescent="0.2">
      <c r="C334">
        <v>1309</v>
      </c>
      <c r="D334">
        <v>1309</v>
      </c>
      <c r="E334">
        <v>1</v>
      </c>
      <c r="F334" t="s">
        <v>1604</v>
      </c>
      <c r="G334" t="s">
        <v>1605</v>
      </c>
      <c r="H334" t="s">
        <v>1606</v>
      </c>
      <c r="I334">
        <v>5</v>
      </c>
      <c r="J334">
        <v>5</v>
      </c>
      <c r="K334">
        <v>100</v>
      </c>
      <c r="L334">
        <v>85</v>
      </c>
      <c r="M334">
        <v>75</v>
      </c>
      <c r="N334">
        <v>209</v>
      </c>
      <c r="O334">
        <v>283</v>
      </c>
      <c r="P334">
        <v>240</v>
      </c>
      <c r="Q334">
        <v>320</v>
      </c>
      <c r="R334">
        <v>240</v>
      </c>
      <c r="S334">
        <v>320</v>
      </c>
    </row>
    <row r="335" spans="3:19" x14ac:dyDescent="0.2">
      <c r="C335">
        <v>1310</v>
      </c>
      <c r="D335">
        <v>1310</v>
      </c>
      <c r="E335">
        <v>1</v>
      </c>
      <c r="F335" t="s">
        <v>1607</v>
      </c>
      <c r="G335" t="s">
        <v>1608</v>
      </c>
      <c r="H335" t="s">
        <v>1609</v>
      </c>
      <c r="I335">
        <v>5</v>
      </c>
      <c r="J335">
        <v>5</v>
      </c>
      <c r="K335">
        <v>100</v>
      </c>
      <c r="L335">
        <v>75</v>
      </c>
      <c r="M335">
        <v>33</v>
      </c>
      <c r="N335">
        <v>131</v>
      </c>
      <c r="O335">
        <v>173</v>
      </c>
      <c r="P335">
        <v>120</v>
      </c>
      <c r="Q335">
        <v>150</v>
      </c>
      <c r="R335">
        <v>120</v>
      </c>
      <c r="S335">
        <v>150</v>
      </c>
    </row>
    <row r="336" spans="3:19" x14ac:dyDescent="0.2">
      <c r="C336">
        <v>1311</v>
      </c>
      <c r="D336">
        <v>1311</v>
      </c>
      <c r="E336">
        <v>1</v>
      </c>
      <c r="F336" t="s">
        <v>1610</v>
      </c>
      <c r="G336" t="s">
        <v>1611</v>
      </c>
      <c r="H336" t="s">
        <v>1612</v>
      </c>
      <c r="I336">
        <v>5</v>
      </c>
      <c r="J336">
        <v>5</v>
      </c>
      <c r="K336">
        <v>100</v>
      </c>
      <c r="L336">
        <v>75</v>
      </c>
      <c r="M336">
        <v>33</v>
      </c>
      <c r="N336">
        <v>129</v>
      </c>
      <c r="O336">
        <v>172</v>
      </c>
      <c r="P336">
        <v>120</v>
      </c>
      <c r="Q336">
        <v>150</v>
      </c>
      <c r="R336">
        <v>120</v>
      </c>
      <c r="S336">
        <v>150</v>
      </c>
    </row>
    <row r="337" spans="3:19" x14ac:dyDescent="0.2">
      <c r="C337">
        <v>1312</v>
      </c>
      <c r="D337">
        <v>1312</v>
      </c>
      <c r="E337">
        <v>1</v>
      </c>
      <c r="F337" t="s">
        <v>1613</v>
      </c>
      <c r="G337" t="s">
        <v>1614</v>
      </c>
      <c r="H337" t="s">
        <v>1615</v>
      </c>
      <c r="I337">
        <v>5</v>
      </c>
      <c r="J337">
        <v>5</v>
      </c>
      <c r="K337">
        <v>100</v>
      </c>
      <c r="L337">
        <v>75</v>
      </c>
      <c r="M337">
        <v>33</v>
      </c>
      <c r="N337">
        <v>130</v>
      </c>
      <c r="O337">
        <v>171</v>
      </c>
      <c r="P337">
        <v>120</v>
      </c>
      <c r="Q337">
        <v>150</v>
      </c>
      <c r="R337">
        <v>120</v>
      </c>
      <c r="S337">
        <v>150</v>
      </c>
    </row>
    <row r="338" spans="3:19" x14ac:dyDescent="0.2">
      <c r="C338">
        <v>1313</v>
      </c>
      <c r="D338">
        <v>1313</v>
      </c>
      <c r="E338">
        <v>1</v>
      </c>
      <c r="F338" t="s">
        <v>935</v>
      </c>
      <c r="G338" t="s">
        <v>1038</v>
      </c>
      <c r="H338" t="s">
        <v>935</v>
      </c>
      <c r="I338">
        <v>5</v>
      </c>
      <c r="J338">
        <v>0</v>
      </c>
    </row>
    <row r="339" spans="3:19" x14ac:dyDescent="0.2">
      <c r="C339">
        <v>1314</v>
      </c>
      <c r="D339">
        <v>1314</v>
      </c>
      <c r="E339">
        <v>1</v>
      </c>
      <c r="F339" t="s">
        <v>935</v>
      </c>
      <c r="G339" t="s">
        <v>1038</v>
      </c>
      <c r="H339" t="s">
        <v>935</v>
      </c>
      <c r="I339">
        <v>5</v>
      </c>
      <c r="J339">
        <v>0</v>
      </c>
    </row>
    <row r="340" spans="3:19" x14ac:dyDescent="0.2">
      <c r="C340">
        <v>1315</v>
      </c>
      <c r="D340">
        <v>1315</v>
      </c>
      <c r="E340">
        <v>1</v>
      </c>
      <c r="F340" t="s">
        <v>935</v>
      </c>
      <c r="G340" t="s">
        <v>1038</v>
      </c>
      <c r="H340" t="s">
        <v>935</v>
      </c>
      <c r="I340">
        <v>5</v>
      </c>
      <c r="J340">
        <v>0</v>
      </c>
    </row>
    <row r="341" spans="3:19" x14ac:dyDescent="0.2">
      <c r="C341">
        <v>1316</v>
      </c>
      <c r="D341">
        <v>1316</v>
      </c>
      <c r="E341">
        <v>1</v>
      </c>
      <c r="F341" t="s">
        <v>935</v>
      </c>
      <c r="G341" t="s">
        <v>1038</v>
      </c>
      <c r="H341" t="s">
        <v>935</v>
      </c>
      <c r="I341">
        <v>5</v>
      </c>
      <c r="J341">
        <v>0</v>
      </c>
    </row>
    <row r="342" spans="3:19" x14ac:dyDescent="0.2">
      <c r="C342">
        <v>1317</v>
      </c>
      <c r="D342">
        <v>1317</v>
      </c>
      <c r="E342">
        <v>1</v>
      </c>
      <c r="F342" t="s">
        <v>935</v>
      </c>
      <c r="G342" t="s">
        <v>1038</v>
      </c>
      <c r="H342" t="s">
        <v>935</v>
      </c>
      <c r="I342">
        <v>5</v>
      </c>
      <c r="J342">
        <v>0</v>
      </c>
    </row>
    <row r="343" spans="3:19" x14ac:dyDescent="0.2">
      <c r="C343">
        <v>1318</v>
      </c>
      <c r="D343">
        <v>1318</v>
      </c>
      <c r="E343">
        <v>1</v>
      </c>
      <c r="F343" t="s">
        <v>935</v>
      </c>
      <c r="G343" t="s">
        <v>1038</v>
      </c>
      <c r="H343" t="s">
        <v>935</v>
      </c>
      <c r="I343">
        <v>5</v>
      </c>
      <c r="J343">
        <v>0</v>
      </c>
    </row>
    <row r="344" spans="3:19" x14ac:dyDescent="0.2">
      <c r="C344">
        <v>1319</v>
      </c>
      <c r="D344">
        <v>1319</v>
      </c>
      <c r="E344">
        <v>1</v>
      </c>
      <c r="F344" t="s">
        <v>935</v>
      </c>
      <c r="G344" t="s">
        <v>1038</v>
      </c>
      <c r="H344" t="s">
        <v>935</v>
      </c>
      <c r="I344">
        <v>5</v>
      </c>
      <c r="J344">
        <v>0</v>
      </c>
    </row>
    <row r="345" spans="3:19" x14ac:dyDescent="0.2">
      <c r="C345">
        <v>1320</v>
      </c>
      <c r="D345">
        <v>1320</v>
      </c>
      <c r="E345">
        <v>1</v>
      </c>
      <c r="F345" t="s">
        <v>935</v>
      </c>
      <c r="G345" t="s">
        <v>1038</v>
      </c>
      <c r="H345" t="s">
        <v>935</v>
      </c>
      <c r="I345">
        <v>5</v>
      </c>
      <c r="J345">
        <v>0</v>
      </c>
    </row>
    <row r="346" spans="3:19" x14ac:dyDescent="0.2">
      <c r="C346">
        <v>1321</v>
      </c>
      <c r="D346">
        <v>1321</v>
      </c>
      <c r="E346">
        <v>1</v>
      </c>
      <c r="F346" t="s">
        <v>935</v>
      </c>
      <c r="G346" t="s">
        <v>1038</v>
      </c>
      <c r="H346" t="s">
        <v>935</v>
      </c>
      <c r="I346">
        <v>5</v>
      </c>
      <c r="J346">
        <v>0</v>
      </c>
    </row>
    <row r="347" spans="3:19" x14ac:dyDescent="0.2">
      <c r="C347">
        <v>1322</v>
      </c>
      <c r="D347">
        <v>1322</v>
      </c>
      <c r="E347">
        <v>1</v>
      </c>
      <c r="F347" t="s">
        <v>935</v>
      </c>
      <c r="G347" t="s">
        <v>1038</v>
      </c>
      <c r="H347" t="s">
        <v>935</v>
      </c>
      <c r="I347">
        <v>5</v>
      </c>
      <c r="J347">
        <v>0</v>
      </c>
    </row>
    <row r="348" spans="3:19" x14ac:dyDescent="0.2">
      <c r="C348">
        <v>1323</v>
      </c>
      <c r="D348">
        <v>1323</v>
      </c>
      <c r="E348">
        <v>1</v>
      </c>
      <c r="F348" t="s">
        <v>935</v>
      </c>
      <c r="G348" t="s">
        <v>1038</v>
      </c>
      <c r="H348" t="s">
        <v>935</v>
      </c>
      <c r="I348">
        <v>5</v>
      </c>
      <c r="J348">
        <v>0</v>
      </c>
    </row>
    <row r="349" spans="3:19" x14ac:dyDescent="0.2">
      <c r="C349">
        <v>1324</v>
      </c>
      <c r="D349">
        <v>1324</v>
      </c>
      <c r="E349">
        <v>1</v>
      </c>
      <c r="F349" t="s">
        <v>935</v>
      </c>
      <c r="G349" t="s">
        <v>1038</v>
      </c>
      <c r="H349" t="s">
        <v>935</v>
      </c>
      <c r="I349">
        <v>5</v>
      </c>
      <c r="J349">
        <v>0</v>
      </c>
    </row>
    <row r="350" spans="3:19" x14ac:dyDescent="0.2">
      <c r="C350">
        <v>1325</v>
      </c>
      <c r="D350">
        <v>1325</v>
      </c>
      <c r="E350">
        <v>1</v>
      </c>
      <c r="F350" t="s">
        <v>935</v>
      </c>
      <c r="G350" t="s">
        <v>1038</v>
      </c>
      <c r="H350" t="s">
        <v>935</v>
      </c>
      <c r="I350">
        <v>5</v>
      </c>
      <c r="J350">
        <v>0</v>
      </c>
    </row>
    <row r="351" spans="3:19" x14ac:dyDescent="0.2">
      <c r="C351">
        <v>1326</v>
      </c>
      <c r="D351">
        <v>1326</v>
      </c>
      <c r="E351">
        <v>1</v>
      </c>
      <c r="F351" t="s">
        <v>935</v>
      </c>
      <c r="G351" t="s">
        <v>1038</v>
      </c>
      <c r="H351" t="s">
        <v>935</v>
      </c>
      <c r="I351">
        <v>5</v>
      </c>
      <c r="J351">
        <v>0</v>
      </c>
    </row>
    <row r="352" spans="3:19" x14ac:dyDescent="0.2">
      <c r="C352">
        <v>1327</v>
      </c>
      <c r="D352">
        <v>1327</v>
      </c>
      <c r="E352">
        <v>1</v>
      </c>
      <c r="F352" t="s">
        <v>1616</v>
      </c>
      <c r="G352" t="s">
        <v>1617</v>
      </c>
      <c r="H352" t="s">
        <v>1617</v>
      </c>
      <c r="I352">
        <v>5</v>
      </c>
      <c r="J352">
        <v>0</v>
      </c>
    </row>
    <row r="353" spans="3:19" x14ac:dyDescent="0.2">
      <c r="C353">
        <v>1328</v>
      </c>
      <c r="D353">
        <v>1328</v>
      </c>
      <c r="E353">
        <v>1</v>
      </c>
      <c r="F353" t="s">
        <v>1616</v>
      </c>
      <c r="G353" t="s">
        <v>1617</v>
      </c>
      <c r="H353" t="s">
        <v>1617</v>
      </c>
      <c r="I353">
        <v>5</v>
      </c>
      <c r="J353">
        <v>0</v>
      </c>
    </row>
    <row r="354" spans="3:19" x14ac:dyDescent="0.2">
      <c r="C354">
        <v>1329</v>
      </c>
      <c r="D354">
        <v>1329</v>
      </c>
      <c r="E354">
        <v>1</v>
      </c>
      <c r="F354" t="s">
        <v>935</v>
      </c>
      <c r="G354" t="s">
        <v>1038</v>
      </c>
      <c r="H354" t="s">
        <v>935</v>
      </c>
      <c r="I354">
        <v>5</v>
      </c>
      <c r="J354">
        <v>0</v>
      </c>
    </row>
    <row r="355" spans="3:19" x14ac:dyDescent="0.2">
      <c r="C355">
        <v>1330</v>
      </c>
      <c r="D355">
        <v>1330</v>
      </c>
      <c r="E355">
        <v>1</v>
      </c>
      <c r="F355" t="s">
        <v>935</v>
      </c>
      <c r="G355" t="s">
        <v>1038</v>
      </c>
      <c r="H355" t="s">
        <v>935</v>
      </c>
      <c r="I355">
        <v>5</v>
      </c>
      <c r="J355">
        <v>0</v>
      </c>
    </row>
    <row r="356" spans="3:19" x14ac:dyDescent="0.2">
      <c r="C356">
        <v>1331</v>
      </c>
      <c r="D356">
        <v>1331</v>
      </c>
      <c r="E356">
        <v>1</v>
      </c>
      <c r="F356" t="s">
        <v>935</v>
      </c>
      <c r="G356" t="s">
        <v>1038</v>
      </c>
      <c r="H356" t="s">
        <v>935</v>
      </c>
      <c r="I356">
        <v>5</v>
      </c>
      <c r="J356">
        <v>0</v>
      </c>
      <c r="K356">
        <v>100</v>
      </c>
      <c r="L356">
        <v>100</v>
      </c>
      <c r="M356">
        <v>100</v>
      </c>
    </row>
    <row r="357" spans="3:19" x14ac:dyDescent="0.2">
      <c r="C357">
        <v>1332</v>
      </c>
      <c r="D357">
        <v>1332</v>
      </c>
      <c r="E357">
        <v>1</v>
      </c>
      <c r="F357" t="s">
        <v>935</v>
      </c>
      <c r="G357" t="s">
        <v>1038</v>
      </c>
      <c r="H357" t="s">
        <v>935</v>
      </c>
      <c r="I357">
        <v>5</v>
      </c>
      <c r="J357">
        <v>0</v>
      </c>
    </row>
    <row r="358" spans="3:19" x14ac:dyDescent="0.2">
      <c r="C358">
        <v>1333</v>
      </c>
      <c r="D358">
        <v>1333</v>
      </c>
      <c r="E358">
        <v>1</v>
      </c>
      <c r="F358" t="s">
        <v>1618</v>
      </c>
      <c r="G358" t="s">
        <v>1619</v>
      </c>
      <c r="H358" t="s">
        <v>1620</v>
      </c>
      <c r="I358">
        <v>5</v>
      </c>
      <c r="J358">
        <v>5</v>
      </c>
      <c r="K358">
        <v>15</v>
      </c>
      <c r="L358">
        <v>15</v>
      </c>
      <c r="M358">
        <v>15</v>
      </c>
      <c r="N358">
        <v>6427</v>
      </c>
      <c r="O358">
        <v>6427</v>
      </c>
      <c r="P358">
        <v>6427</v>
      </c>
      <c r="Q358">
        <v>6427</v>
      </c>
      <c r="R358">
        <v>6427</v>
      </c>
      <c r="S358">
        <v>6427</v>
      </c>
    </row>
    <row r="359" spans="3:19" x14ac:dyDescent="0.2">
      <c r="C359">
        <v>1334</v>
      </c>
      <c r="D359">
        <v>1334</v>
      </c>
      <c r="E359">
        <v>1</v>
      </c>
      <c r="F359" t="s">
        <v>1416</v>
      </c>
      <c r="G359" t="s">
        <v>1621</v>
      </c>
      <c r="H359" t="s">
        <v>1622</v>
      </c>
      <c r="I359">
        <v>5</v>
      </c>
      <c r="J359">
        <v>0</v>
      </c>
      <c r="N359">
        <v>207</v>
      </c>
      <c r="O359">
        <v>550</v>
      </c>
      <c r="P359">
        <v>400</v>
      </c>
      <c r="Q359">
        <v>550</v>
      </c>
      <c r="R359">
        <v>400</v>
      </c>
      <c r="S359">
        <v>550</v>
      </c>
    </row>
    <row r="360" spans="3:19" x14ac:dyDescent="0.2">
      <c r="C360">
        <v>1335</v>
      </c>
      <c r="D360">
        <v>1335</v>
      </c>
      <c r="E360">
        <v>1</v>
      </c>
      <c r="F360" t="s">
        <v>1416</v>
      </c>
      <c r="G360" t="s">
        <v>1621</v>
      </c>
      <c r="H360" t="s">
        <v>1622</v>
      </c>
      <c r="I360">
        <v>5</v>
      </c>
      <c r="J360">
        <v>0</v>
      </c>
      <c r="N360">
        <v>216</v>
      </c>
      <c r="O360">
        <v>550</v>
      </c>
      <c r="P360">
        <v>400</v>
      </c>
      <c r="Q360">
        <v>550</v>
      </c>
      <c r="R360">
        <v>400</v>
      </c>
      <c r="S360">
        <v>550</v>
      </c>
    </row>
    <row r="361" spans="3:19" x14ac:dyDescent="0.2">
      <c r="C361">
        <v>1336</v>
      </c>
      <c r="D361">
        <v>1336</v>
      </c>
      <c r="E361">
        <v>1</v>
      </c>
      <c r="F361" t="s">
        <v>1416</v>
      </c>
      <c r="G361" t="s">
        <v>1621</v>
      </c>
      <c r="H361" t="s">
        <v>1622</v>
      </c>
      <c r="I361">
        <v>5</v>
      </c>
      <c r="J361">
        <v>0</v>
      </c>
      <c r="N361">
        <v>214</v>
      </c>
      <c r="O361">
        <v>550</v>
      </c>
      <c r="P361">
        <v>400</v>
      </c>
      <c r="Q361">
        <v>550</v>
      </c>
      <c r="R361">
        <v>400</v>
      </c>
      <c r="S361">
        <v>550</v>
      </c>
    </row>
    <row r="362" spans="3:19" x14ac:dyDescent="0.2">
      <c r="C362">
        <v>1337</v>
      </c>
      <c r="D362">
        <v>1337</v>
      </c>
      <c r="E362">
        <v>1</v>
      </c>
      <c r="F362" t="s">
        <v>1419</v>
      </c>
      <c r="G362" t="s">
        <v>1621</v>
      </c>
      <c r="H362" t="s">
        <v>1622</v>
      </c>
      <c r="I362">
        <v>5</v>
      </c>
      <c r="J362">
        <v>0</v>
      </c>
      <c r="N362">
        <v>214</v>
      </c>
      <c r="O362">
        <v>550</v>
      </c>
      <c r="P362">
        <v>400</v>
      </c>
      <c r="Q362">
        <v>550</v>
      </c>
      <c r="R362">
        <v>400</v>
      </c>
      <c r="S362">
        <v>550</v>
      </c>
    </row>
    <row r="363" spans="3:19" x14ac:dyDescent="0.2">
      <c r="C363">
        <v>1338</v>
      </c>
      <c r="D363">
        <v>1338</v>
      </c>
      <c r="E363">
        <v>1</v>
      </c>
      <c r="F363" t="s">
        <v>935</v>
      </c>
      <c r="G363" t="s">
        <v>1038</v>
      </c>
      <c r="H363" t="s">
        <v>935</v>
      </c>
      <c r="I363">
        <v>10</v>
      </c>
      <c r="J363">
        <v>0</v>
      </c>
      <c r="K363">
        <v>100</v>
      </c>
      <c r="L363">
        <v>100</v>
      </c>
      <c r="M363">
        <v>100</v>
      </c>
    </row>
    <row r="364" spans="3:19" x14ac:dyDescent="0.2">
      <c r="C364">
        <v>1339</v>
      </c>
      <c r="D364">
        <v>1339</v>
      </c>
      <c r="E364">
        <v>1</v>
      </c>
      <c r="F364" t="s">
        <v>935</v>
      </c>
      <c r="G364" t="s">
        <v>1038</v>
      </c>
      <c r="H364" t="s">
        <v>935</v>
      </c>
      <c r="I364">
        <v>5</v>
      </c>
      <c r="J364">
        <v>0</v>
      </c>
    </row>
    <row r="365" spans="3:19" x14ac:dyDescent="0.2">
      <c r="C365">
        <v>1340</v>
      </c>
      <c r="D365">
        <v>1340</v>
      </c>
      <c r="E365">
        <v>1</v>
      </c>
      <c r="F365" t="s">
        <v>1623</v>
      </c>
      <c r="G365" t="s">
        <v>1624</v>
      </c>
      <c r="H365" t="s">
        <v>1625</v>
      </c>
      <c r="I365">
        <v>0</v>
      </c>
      <c r="J365">
        <v>0</v>
      </c>
      <c r="N365">
        <v>193</v>
      </c>
      <c r="O365">
        <v>385</v>
      </c>
      <c r="P365">
        <v>250</v>
      </c>
      <c r="Q365">
        <v>250</v>
      </c>
      <c r="R365">
        <v>250</v>
      </c>
      <c r="S365">
        <v>250</v>
      </c>
    </row>
    <row r="366" spans="3:19" x14ac:dyDescent="0.2">
      <c r="C366">
        <v>1341</v>
      </c>
      <c r="D366">
        <v>1341</v>
      </c>
      <c r="E366">
        <v>1</v>
      </c>
      <c r="F366" t="s">
        <v>1623</v>
      </c>
      <c r="G366" t="s">
        <v>1624</v>
      </c>
      <c r="H366" t="s">
        <v>1625</v>
      </c>
      <c r="I366">
        <v>0</v>
      </c>
      <c r="J366">
        <v>0</v>
      </c>
      <c r="N366">
        <v>193</v>
      </c>
      <c r="O366">
        <v>385</v>
      </c>
      <c r="P366">
        <v>250</v>
      </c>
      <c r="Q366">
        <v>250</v>
      </c>
      <c r="R366">
        <v>250</v>
      </c>
      <c r="S366">
        <v>250</v>
      </c>
    </row>
    <row r="367" spans="3:19" x14ac:dyDescent="0.2">
      <c r="C367">
        <v>1342</v>
      </c>
      <c r="D367">
        <v>1342</v>
      </c>
      <c r="E367">
        <v>1</v>
      </c>
      <c r="F367" t="s">
        <v>1623</v>
      </c>
      <c r="G367" t="s">
        <v>1624</v>
      </c>
      <c r="H367" t="s">
        <v>1625</v>
      </c>
      <c r="I367">
        <v>0</v>
      </c>
      <c r="J367">
        <v>0</v>
      </c>
      <c r="N367">
        <v>193</v>
      </c>
      <c r="O367">
        <v>385</v>
      </c>
      <c r="P367">
        <v>250</v>
      </c>
      <c r="Q367">
        <v>250</v>
      </c>
      <c r="R367">
        <v>250</v>
      </c>
      <c r="S367">
        <v>250</v>
      </c>
    </row>
    <row r="368" spans="3:19" x14ac:dyDescent="0.2">
      <c r="C368">
        <v>1343</v>
      </c>
      <c r="D368">
        <v>1343</v>
      </c>
      <c r="E368">
        <v>1</v>
      </c>
      <c r="F368" t="s">
        <v>1623</v>
      </c>
      <c r="G368" t="s">
        <v>1624</v>
      </c>
      <c r="H368" t="s">
        <v>1625</v>
      </c>
      <c r="I368">
        <v>0</v>
      </c>
      <c r="J368">
        <v>0</v>
      </c>
      <c r="N368">
        <v>193</v>
      </c>
      <c r="O368">
        <v>385</v>
      </c>
      <c r="P368">
        <v>250</v>
      </c>
      <c r="Q368">
        <v>250</v>
      </c>
      <c r="R368">
        <v>250</v>
      </c>
      <c r="S368">
        <v>250</v>
      </c>
    </row>
    <row r="369" spans="3:19" x14ac:dyDescent="0.2">
      <c r="C369">
        <v>1344</v>
      </c>
      <c r="D369">
        <v>1344</v>
      </c>
      <c r="E369">
        <v>1</v>
      </c>
      <c r="F369" t="s">
        <v>1626</v>
      </c>
      <c r="G369" t="s">
        <v>1627</v>
      </c>
      <c r="H369" t="s">
        <v>1628</v>
      </c>
      <c r="I369">
        <v>5</v>
      </c>
      <c r="J369">
        <v>0</v>
      </c>
      <c r="N369">
        <v>19</v>
      </c>
      <c r="O369">
        <v>19</v>
      </c>
      <c r="P369">
        <v>147</v>
      </c>
      <c r="Q369">
        <v>147</v>
      </c>
      <c r="R369">
        <v>431</v>
      </c>
      <c r="S369">
        <v>431</v>
      </c>
    </row>
    <row r="370" spans="3:19" x14ac:dyDescent="0.2">
      <c r="C370">
        <v>1345</v>
      </c>
      <c r="D370">
        <v>1345</v>
      </c>
      <c r="E370">
        <v>1</v>
      </c>
      <c r="F370" t="s">
        <v>1629</v>
      </c>
      <c r="G370" t="s">
        <v>1630</v>
      </c>
      <c r="H370" t="s">
        <v>1631</v>
      </c>
      <c r="I370">
        <v>0</v>
      </c>
      <c r="J370">
        <v>5</v>
      </c>
      <c r="K370">
        <v>100</v>
      </c>
      <c r="L370">
        <v>85</v>
      </c>
      <c r="M370">
        <v>66</v>
      </c>
      <c r="N370">
        <v>191</v>
      </c>
      <c r="O370">
        <v>381</v>
      </c>
      <c r="P370">
        <v>200</v>
      </c>
      <c r="Q370">
        <v>350</v>
      </c>
      <c r="R370">
        <v>200</v>
      </c>
      <c r="S370">
        <v>350</v>
      </c>
    </row>
    <row r="371" spans="3:19" x14ac:dyDescent="0.2">
      <c r="C371">
        <v>1346</v>
      </c>
      <c r="D371">
        <v>1346</v>
      </c>
      <c r="E371">
        <v>1</v>
      </c>
      <c r="F371" t="s">
        <v>1629</v>
      </c>
      <c r="G371" t="s">
        <v>1630</v>
      </c>
      <c r="H371" t="s">
        <v>1632</v>
      </c>
      <c r="I371">
        <v>0</v>
      </c>
      <c r="J371">
        <v>5</v>
      </c>
      <c r="K371">
        <v>100</v>
      </c>
      <c r="L371">
        <v>85</v>
      </c>
      <c r="M371">
        <v>66</v>
      </c>
      <c r="N371">
        <v>191</v>
      </c>
      <c r="O371">
        <v>381</v>
      </c>
      <c r="P371">
        <v>200</v>
      </c>
      <c r="Q371">
        <v>350</v>
      </c>
      <c r="R371">
        <v>200</v>
      </c>
      <c r="S371">
        <v>350</v>
      </c>
    </row>
    <row r="372" spans="3:19" x14ac:dyDescent="0.2">
      <c r="C372">
        <v>1347</v>
      </c>
      <c r="D372">
        <v>1347</v>
      </c>
      <c r="E372">
        <v>1</v>
      </c>
      <c r="F372" t="s">
        <v>1629</v>
      </c>
      <c r="G372" t="s">
        <v>1630</v>
      </c>
      <c r="H372" t="s">
        <v>1632</v>
      </c>
      <c r="I372">
        <v>0</v>
      </c>
      <c r="J372">
        <v>5</v>
      </c>
      <c r="K372">
        <v>100</v>
      </c>
      <c r="L372">
        <v>85</v>
      </c>
      <c r="M372">
        <v>66</v>
      </c>
      <c r="N372">
        <v>191</v>
      </c>
      <c r="O372">
        <v>381</v>
      </c>
      <c r="P372">
        <v>200</v>
      </c>
      <c r="Q372">
        <v>350</v>
      </c>
      <c r="R372">
        <v>200</v>
      </c>
      <c r="S372">
        <v>350</v>
      </c>
    </row>
    <row r="373" spans="3:19" x14ac:dyDescent="0.2">
      <c r="C373">
        <v>1348</v>
      </c>
      <c r="D373">
        <v>1348</v>
      </c>
      <c r="E373">
        <v>1</v>
      </c>
      <c r="F373" t="s">
        <v>1633</v>
      </c>
      <c r="G373" t="s">
        <v>1634</v>
      </c>
      <c r="H373" t="s">
        <v>1635</v>
      </c>
      <c r="I373">
        <v>0</v>
      </c>
      <c r="J373">
        <v>0</v>
      </c>
      <c r="N373">
        <v>291</v>
      </c>
      <c r="O373">
        <v>387</v>
      </c>
      <c r="P373">
        <v>400</v>
      </c>
      <c r="Q373">
        <v>450</v>
      </c>
      <c r="R373">
        <v>400</v>
      </c>
      <c r="S373">
        <v>450</v>
      </c>
    </row>
    <row r="374" spans="3:19" x14ac:dyDescent="0.2">
      <c r="C374">
        <v>1349</v>
      </c>
      <c r="D374">
        <v>1349</v>
      </c>
      <c r="E374">
        <v>1</v>
      </c>
      <c r="F374" t="s">
        <v>1633</v>
      </c>
      <c r="G374" t="s">
        <v>1634</v>
      </c>
      <c r="H374" t="s">
        <v>1635</v>
      </c>
      <c r="I374">
        <v>0</v>
      </c>
      <c r="J374">
        <v>0</v>
      </c>
      <c r="N374">
        <v>291</v>
      </c>
      <c r="O374">
        <v>387</v>
      </c>
      <c r="P374">
        <v>400</v>
      </c>
      <c r="Q374">
        <v>450</v>
      </c>
      <c r="R374">
        <v>400</v>
      </c>
      <c r="S374">
        <v>450</v>
      </c>
    </row>
    <row r="375" spans="3:19" x14ac:dyDescent="0.2">
      <c r="C375">
        <v>1350</v>
      </c>
      <c r="D375">
        <v>1350</v>
      </c>
      <c r="E375">
        <v>1</v>
      </c>
      <c r="F375" t="s">
        <v>1633</v>
      </c>
      <c r="G375" t="s">
        <v>1634</v>
      </c>
      <c r="H375" t="s">
        <v>1635</v>
      </c>
      <c r="I375">
        <v>0</v>
      </c>
      <c r="J375">
        <v>0</v>
      </c>
      <c r="N375">
        <v>291</v>
      </c>
      <c r="O375">
        <v>387</v>
      </c>
      <c r="P375">
        <v>400</v>
      </c>
      <c r="Q375">
        <v>450</v>
      </c>
      <c r="R375">
        <v>400</v>
      </c>
      <c r="S375">
        <v>450</v>
      </c>
    </row>
    <row r="376" spans="3:19" x14ac:dyDescent="0.2">
      <c r="C376">
        <v>1351</v>
      </c>
      <c r="D376">
        <v>1351</v>
      </c>
      <c r="E376">
        <v>1</v>
      </c>
      <c r="F376" t="s">
        <v>935</v>
      </c>
      <c r="G376" t="s">
        <v>1038</v>
      </c>
      <c r="H376" t="s">
        <v>935</v>
      </c>
      <c r="I376">
        <v>5</v>
      </c>
      <c r="J376">
        <v>0</v>
      </c>
    </row>
    <row r="377" spans="3:19" x14ac:dyDescent="0.2">
      <c r="C377">
        <v>1352</v>
      </c>
      <c r="D377">
        <v>1352</v>
      </c>
      <c r="E377">
        <v>1</v>
      </c>
      <c r="F377" t="s">
        <v>935</v>
      </c>
      <c r="G377" t="s">
        <v>1038</v>
      </c>
      <c r="H377" t="s">
        <v>935</v>
      </c>
      <c r="I377">
        <v>5</v>
      </c>
      <c r="J377">
        <v>0</v>
      </c>
    </row>
    <row r="378" spans="3:19" x14ac:dyDescent="0.2">
      <c r="C378">
        <v>1353</v>
      </c>
      <c r="D378">
        <v>1353</v>
      </c>
      <c r="E378">
        <v>1</v>
      </c>
      <c r="F378" t="s">
        <v>935</v>
      </c>
      <c r="G378" t="s">
        <v>1038</v>
      </c>
      <c r="H378" t="s">
        <v>935</v>
      </c>
      <c r="I378">
        <v>5</v>
      </c>
      <c r="J378">
        <v>0</v>
      </c>
    </row>
    <row r="379" spans="3:19" x14ac:dyDescent="0.2">
      <c r="C379">
        <v>1354</v>
      </c>
      <c r="D379">
        <v>1354</v>
      </c>
      <c r="E379">
        <v>1</v>
      </c>
      <c r="F379" t="s">
        <v>1636</v>
      </c>
      <c r="G379" t="s">
        <v>1637</v>
      </c>
      <c r="H379" t="s">
        <v>1637</v>
      </c>
      <c r="I379">
        <v>5</v>
      </c>
      <c r="J379">
        <v>5</v>
      </c>
      <c r="N379">
        <v>284</v>
      </c>
      <c r="O379">
        <v>379</v>
      </c>
    </row>
    <row r="380" spans="3:19" x14ac:dyDescent="0.2">
      <c r="C380">
        <v>1355</v>
      </c>
      <c r="D380">
        <v>1355</v>
      </c>
      <c r="E380">
        <v>1</v>
      </c>
      <c r="F380" t="s">
        <v>935</v>
      </c>
      <c r="G380" t="s">
        <v>1038</v>
      </c>
      <c r="H380" t="s">
        <v>935</v>
      </c>
      <c r="I380">
        <v>5</v>
      </c>
      <c r="J380">
        <v>0</v>
      </c>
    </row>
    <row r="381" spans="3:19" x14ac:dyDescent="0.2">
      <c r="C381">
        <v>1356</v>
      </c>
      <c r="D381">
        <v>1356</v>
      </c>
      <c r="E381">
        <v>1</v>
      </c>
      <c r="F381" t="s">
        <v>1638</v>
      </c>
      <c r="G381" t="s">
        <v>1639</v>
      </c>
      <c r="H381" t="s">
        <v>1640</v>
      </c>
      <c r="I381">
        <v>38</v>
      </c>
      <c r="J381">
        <v>5</v>
      </c>
      <c r="N381">
        <v>10</v>
      </c>
      <c r="O381">
        <v>10</v>
      </c>
      <c r="P381">
        <v>10</v>
      </c>
      <c r="Q381">
        <v>10</v>
      </c>
      <c r="R381">
        <v>10</v>
      </c>
      <c r="S381">
        <v>10</v>
      </c>
    </row>
    <row r="382" spans="3:19" x14ac:dyDescent="0.2">
      <c r="C382">
        <v>1357</v>
      </c>
      <c r="D382">
        <v>1357</v>
      </c>
      <c r="E382">
        <v>1</v>
      </c>
      <c r="F382" t="s">
        <v>1641</v>
      </c>
      <c r="G382" t="s">
        <v>1642</v>
      </c>
      <c r="H382" t="s">
        <v>1643</v>
      </c>
      <c r="I382">
        <v>30</v>
      </c>
      <c r="J382">
        <v>5</v>
      </c>
      <c r="N382">
        <v>400</v>
      </c>
      <c r="O382">
        <v>480</v>
      </c>
      <c r="P382">
        <v>400</v>
      </c>
      <c r="Q382">
        <v>480</v>
      </c>
      <c r="R382">
        <v>400</v>
      </c>
      <c r="S382">
        <v>480</v>
      </c>
    </row>
    <row r="383" spans="3:19" x14ac:dyDescent="0.2">
      <c r="C383">
        <v>1358</v>
      </c>
      <c r="D383">
        <v>1358</v>
      </c>
      <c r="E383">
        <v>1</v>
      </c>
      <c r="F383" t="s">
        <v>1529</v>
      </c>
      <c r="G383" t="s">
        <v>1644</v>
      </c>
      <c r="H383" t="s">
        <v>1645</v>
      </c>
      <c r="I383">
        <v>0</v>
      </c>
      <c r="J383">
        <v>5</v>
      </c>
      <c r="K383">
        <v>100</v>
      </c>
      <c r="L383">
        <v>100</v>
      </c>
      <c r="M383">
        <v>100</v>
      </c>
      <c r="N383">
        <v>577</v>
      </c>
      <c r="O383">
        <v>770</v>
      </c>
      <c r="R383">
        <v>120</v>
      </c>
      <c r="S383">
        <v>170</v>
      </c>
    </row>
    <row r="384" spans="3:19" x14ac:dyDescent="0.2">
      <c r="C384">
        <v>1359</v>
      </c>
      <c r="D384">
        <v>1359</v>
      </c>
      <c r="E384">
        <v>1</v>
      </c>
      <c r="F384" t="s">
        <v>935</v>
      </c>
      <c r="G384" t="s">
        <v>1038</v>
      </c>
      <c r="H384" t="s">
        <v>935</v>
      </c>
      <c r="I384">
        <v>10</v>
      </c>
      <c r="J384">
        <v>0</v>
      </c>
      <c r="K384">
        <v>100</v>
      </c>
      <c r="L384">
        <v>100</v>
      </c>
      <c r="M384">
        <v>100</v>
      </c>
    </row>
    <row r="385" spans="3:19" x14ac:dyDescent="0.2">
      <c r="C385">
        <v>1360</v>
      </c>
      <c r="D385">
        <v>1360</v>
      </c>
      <c r="E385">
        <v>1</v>
      </c>
      <c r="F385" t="s">
        <v>1646</v>
      </c>
      <c r="G385" t="s">
        <v>1647</v>
      </c>
      <c r="H385" t="s">
        <v>1648</v>
      </c>
      <c r="I385">
        <v>5</v>
      </c>
      <c r="J385">
        <v>5</v>
      </c>
      <c r="K385">
        <v>100</v>
      </c>
      <c r="L385">
        <v>85</v>
      </c>
      <c r="M385">
        <v>66</v>
      </c>
      <c r="N385">
        <v>191</v>
      </c>
      <c r="O385">
        <v>229</v>
      </c>
      <c r="P385">
        <v>210</v>
      </c>
      <c r="Q385">
        <v>250</v>
      </c>
      <c r="R385">
        <v>210</v>
      </c>
      <c r="S385">
        <v>250</v>
      </c>
    </row>
    <row r="386" spans="3:19" x14ac:dyDescent="0.2">
      <c r="C386">
        <v>1361</v>
      </c>
      <c r="D386">
        <v>1361</v>
      </c>
      <c r="E386">
        <v>1</v>
      </c>
      <c r="F386" t="s">
        <v>1649</v>
      </c>
      <c r="G386" t="s">
        <v>1650</v>
      </c>
      <c r="H386" t="s">
        <v>1651</v>
      </c>
      <c r="I386">
        <v>5</v>
      </c>
      <c r="J386">
        <v>5</v>
      </c>
      <c r="K386">
        <v>100</v>
      </c>
      <c r="L386">
        <v>85</v>
      </c>
      <c r="M386">
        <v>66</v>
      </c>
      <c r="N386">
        <v>190</v>
      </c>
      <c r="O386">
        <v>229</v>
      </c>
      <c r="P386">
        <v>210</v>
      </c>
      <c r="Q386">
        <v>250</v>
      </c>
      <c r="R386">
        <v>210</v>
      </c>
      <c r="S386">
        <v>250</v>
      </c>
    </row>
    <row r="387" spans="3:19" x14ac:dyDescent="0.2">
      <c r="C387">
        <v>1362</v>
      </c>
      <c r="D387">
        <v>1362</v>
      </c>
      <c r="E387">
        <v>1</v>
      </c>
      <c r="F387" t="s">
        <v>1652</v>
      </c>
      <c r="G387" t="s">
        <v>1653</v>
      </c>
      <c r="H387" t="s">
        <v>1654</v>
      </c>
      <c r="I387">
        <v>5</v>
      </c>
      <c r="J387">
        <v>5</v>
      </c>
      <c r="K387">
        <v>100</v>
      </c>
      <c r="L387">
        <v>85</v>
      </c>
      <c r="M387">
        <v>66</v>
      </c>
      <c r="N387">
        <v>191</v>
      </c>
      <c r="O387">
        <v>228</v>
      </c>
      <c r="P387">
        <v>210</v>
      </c>
      <c r="Q387">
        <v>250</v>
      </c>
      <c r="R387">
        <v>210</v>
      </c>
      <c r="S387">
        <v>250</v>
      </c>
    </row>
    <row r="388" spans="3:19" x14ac:dyDescent="0.2">
      <c r="C388">
        <v>1363</v>
      </c>
      <c r="D388">
        <v>1363</v>
      </c>
      <c r="E388">
        <v>1</v>
      </c>
      <c r="F388" t="s">
        <v>1655</v>
      </c>
      <c r="G388" t="s">
        <v>1656</v>
      </c>
      <c r="H388" t="s">
        <v>1657</v>
      </c>
      <c r="I388">
        <v>10</v>
      </c>
      <c r="J388">
        <v>5</v>
      </c>
      <c r="N388">
        <v>21</v>
      </c>
      <c r="O388">
        <v>21</v>
      </c>
      <c r="P388">
        <v>30</v>
      </c>
      <c r="Q388">
        <v>30</v>
      </c>
      <c r="R388">
        <v>42</v>
      </c>
      <c r="S388">
        <v>42</v>
      </c>
    </row>
    <row r="389" spans="3:19" x14ac:dyDescent="0.2">
      <c r="C389">
        <v>1364</v>
      </c>
      <c r="D389">
        <v>1364</v>
      </c>
      <c r="E389">
        <v>1</v>
      </c>
      <c r="F389" t="s">
        <v>1658</v>
      </c>
      <c r="G389" t="s">
        <v>1659</v>
      </c>
      <c r="H389" t="s">
        <v>1660</v>
      </c>
      <c r="I389">
        <v>10</v>
      </c>
      <c r="J389">
        <v>5</v>
      </c>
      <c r="N389">
        <v>61</v>
      </c>
      <c r="O389">
        <v>61</v>
      </c>
      <c r="P389">
        <v>88</v>
      </c>
      <c r="Q389">
        <v>88</v>
      </c>
      <c r="R389">
        <v>123</v>
      </c>
      <c r="S389">
        <v>123</v>
      </c>
    </row>
    <row r="390" spans="3:19" x14ac:dyDescent="0.2">
      <c r="C390">
        <v>1365</v>
      </c>
      <c r="D390">
        <v>1365</v>
      </c>
      <c r="E390">
        <v>1</v>
      </c>
      <c r="F390" t="s">
        <v>1661</v>
      </c>
      <c r="G390" t="s">
        <v>1662</v>
      </c>
      <c r="H390" t="s">
        <v>1663</v>
      </c>
      <c r="I390">
        <v>5</v>
      </c>
      <c r="J390">
        <v>5</v>
      </c>
      <c r="K390">
        <v>100</v>
      </c>
      <c r="L390">
        <v>85</v>
      </c>
      <c r="M390">
        <v>66</v>
      </c>
      <c r="N390">
        <v>608</v>
      </c>
      <c r="O390">
        <v>608</v>
      </c>
      <c r="P390">
        <v>608</v>
      </c>
      <c r="Q390">
        <v>608</v>
      </c>
      <c r="R390">
        <v>608</v>
      </c>
      <c r="S390">
        <v>608</v>
      </c>
    </row>
    <row r="391" spans="3:19" x14ac:dyDescent="0.2">
      <c r="C391">
        <v>1366</v>
      </c>
      <c r="D391">
        <v>1366</v>
      </c>
      <c r="E391">
        <v>1</v>
      </c>
      <c r="F391" t="s">
        <v>1664</v>
      </c>
      <c r="G391" t="s">
        <v>1665</v>
      </c>
      <c r="H391" t="s">
        <v>1666</v>
      </c>
      <c r="I391">
        <v>5</v>
      </c>
      <c r="J391">
        <v>0</v>
      </c>
      <c r="N391">
        <v>152</v>
      </c>
      <c r="O391">
        <v>303</v>
      </c>
      <c r="P391">
        <v>303</v>
      </c>
      <c r="Q391">
        <v>303</v>
      </c>
      <c r="R391">
        <v>303</v>
      </c>
      <c r="S391">
        <v>303</v>
      </c>
    </row>
    <row r="392" spans="3:19" x14ac:dyDescent="0.2">
      <c r="C392">
        <v>1367</v>
      </c>
      <c r="D392">
        <v>1367</v>
      </c>
      <c r="E392">
        <v>1</v>
      </c>
      <c r="F392" t="s">
        <v>935</v>
      </c>
      <c r="G392" t="s">
        <v>1038</v>
      </c>
      <c r="H392" t="s">
        <v>935</v>
      </c>
      <c r="I392">
        <v>5</v>
      </c>
      <c r="J392">
        <v>0</v>
      </c>
    </row>
    <row r="393" spans="3:19" x14ac:dyDescent="0.2">
      <c r="C393">
        <v>1368</v>
      </c>
      <c r="D393">
        <v>1368</v>
      </c>
      <c r="E393">
        <v>1</v>
      </c>
      <c r="F393" t="s">
        <v>935</v>
      </c>
      <c r="G393" t="s">
        <v>1038</v>
      </c>
      <c r="H393" t="s">
        <v>935</v>
      </c>
      <c r="I393">
        <v>5</v>
      </c>
      <c r="J393">
        <v>0</v>
      </c>
    </row>
    <row r="394" spans="3:19" x14ac:dyDescent="0.2">
      <c r="C394">
        <v>1369</v>
      </c>
      <c r="D394">
        <v>1369</v>
      </c>
      <c r="E394">
        <v>1</v>
      </c>
      <c r="F394" t="s">
        <v>1667</v>
      </c>
      <c r="G394" t="s">
        <v>1668</v>
      </c>
      <c r="H394" t="s">
        <v>1669</v>
      </c>
      <c r="I394">
        <v>5</v>
      </c>
      <c r="J394">
        <v>0</v>
      </c>
    </row>
    <row r="395" spans="3:19" x14ac:dyDescent="0.2">
      <c r="C395">
        <v>1370</v>
      </c>
      <c r="D395">
        <v>1370</v>
      </c>
      <c r="E395">
        <v>1</v>
      </c>
      <c r="F395" t="s">
        <v>935</v>
      </c>
      <c r="G395" t="s">
        <v>1038</v>
      </c>
      <c r="H395" t="s">
        <v>935</v>
      </c>
      <c r="I395">
        <v>5</v>
      </c>
      <c r="J395">
        <v>0</v>
      </c>
    </row>
    <row r="396" spans="3:19" x14ac:dyDescent="0.2">
      <c r="C396">
        <v>1371</v>
      </c>
      <c r="D396">
        <v>1371</v>
      </c>
      <c r="E396">
        <v>1</v>
      </c>
      <c r="F396" t="s">
        <v>1670</v>
      </c>
      <c r="G396" t="s">
        <v>1671</v>
      </c>
      <c r="H396" t="s">
        <v>1672</v>
      </c>
      <c r="I396">
        <v>0</v>
      </c>
      <c r="J396">
        <v>0</v>
      </c>
      <c r="N396">
        <v>1001</v>
      </c>
      <c r="O396">
        <v>2021</v>
      </c>
      <c r="P396">
        <v>500</v>
      </c>
      <c r="Q396">
        <v>600</v>
      </c>
      <c r="R396">
        <v>500</v>
      </c>
      <c r="S396">
        <v>600</v>
      </c>
    </row>
    <row r="397" spans="3:19" x14ac:dyDescent="0.2">
      <c r="C397">
        <v>1372</v>
      </c>
      <c r="D397">
        <v>1372</v>
      </c>
      <c r="E397">
        <v>1</v>
      </c>
      <c r="F397" t="s">
        <v>1673</v>
      </c>
      <c r="G397" t="s">
        <v>1674</v>
      </c>
      <c r="H397" t="s">
        <v>1675</v>
      </c>
      <c r="I397">
        <v>0</v>
      </c>
      <c r="J397">
        <v>0</v>
      </c>
      <c r="N397">
        <v>1001</v>
      </c>
      <c r="O397">
        <v>2021</v>
      </c>
      <c r="P397">
        <v>1400</v>
      </c>
      <c r="Q397">
        <v>1700</v>
      </c>
      <c r="R397">
        <v>1400</v>
      </c>
      <c r="S397">
        <v>1700</v>
      </c>
    </row>
    <row r="398" spans="3:19" x14ac:dyDescent="0.2">
      <c r="C398">
        <v>1373</v>
      </c>
      <c r="D398">
        <v>1373</v>
      </c>
      <c r="E398">
        <v>1</v>
      </c>
      <c r="F398" t="s">
        <v>1676</v>
      </c>
      <c r="G398" t="s">
        <v>1677</v>
      </c>
      <c r="H398" t="s">
        <v>1678</v>
      </c>
      <c r="I398">
        <v>5</v>
      </c>
      <c r="J398">
        <v>5</v>
      </c>
      <c r="K398">
        <v>100</v>
      </c>
      <c r="L398">
        <v>100</v>
      </c>
      <c r="M398">
        <v>100</v>
      </c>
      <c r="N398">
        <v>54</v>
      </c>
      <c r="O398">
        <v>87</v>
      </c>
      <c r="P398">
        <v>55</v>
      </c>
      <c r="Q398">
        <v>85</v>
      </c>
      <c r="R398">
        <v>55</v>
      </c>
      <c r="S398">
        <v>85</v>
      </c>
    </row>
    <row r="399" spans="3:19" x14ac:dyDescent="0.2">
      <c r="C399">
        <v>1374</v>
      </c>
      <c r="D399">
        <v>1374</v>
      </c>
      <c r="E399">
        <v>1</v>
      </c>
      <c r="F399" t="s">
        <v>1679</v>
      </c>
      <c r="G399" t="s">
        <v>1680</v>
      </c>
      <c r="H399" t="s">
        <v>1681</v>
      </c>
      <c r="I399">
        <v>5</v>
      </c>
      <c r="J399">
        <v>5</v>
      </c>
      <c r="K399">
        <v>100</v>
      </c>
      <c r="L399">
        <v>100</v>
      </c>
      <c r="M399">
        <v>100</v>
      </c>
      <c r="N399">
        <v>54</v>
      </c>
      <c r="O399">
        <v>88</v>
      </c>
      <c r="P399">
        <v>55</v>
      </c>
      <c r="Q399">
        <v>85</v>
      </c>
      <c r="R399">
        <v>55</v>
      </c>
      <c r="S399">
        <v>85</v>
      </c>
    </row>
    <row r="400" spans="3:19" x14ac:dyDescent="0.2">
      <c r="C400">
        <v>1375</v>
      </c>
      <c r="D400">
        <v>1375</v>
      </c>
      <c r="E400">
        <v>1</v>
      </c>
      <c r="F400" t="s">
        <v>1682</v>
      </c>
      <c r="G400" t="s">
        <v>1683</v>
      </c>
      <c r="H400" t="s">
        <v>1684</v>
      </c>
      <c r="I400">
        <v>5</v>
      </c>
      <c r="J400">
        <v>5</v>
      </c>
      <c r="K400">
        <v>100</v>
      </c>
      <c r="L400">
        <v>100</v>
      </c>
      <c r="M400">
        <v>100</v>
      </c>
      <c r="N400">
        <v>53</v>
      </c>
      <c r="O400">
        <v>87</v>
      </c>
      <c r="P400">
        <v>55</v>
      </c>
      <c r="Q400">
        <v>85</v>
      </c>
      <c r="R400">
        <v>55</v>
      </c>
      <c r="S400">
        <v>85</v>
      </c>
    </row>
    <row r="401" spans="3:19" x14ac:dyDescent="0.2">
      <c r="C401">
        <v>1376</v>
      </c>
      <c r="D401">
        <v>1376</v>
      </c>
      <c r="E401">
        <v>1</v>
      </c>
      <c r="F401" t="s">
        <v>1685</v>
      </c>
      <c r="G401" t="s">
        <v>1686</v>
      </c>
      <c r="H401" t="s">
        <v>1687</v>
      </c>
      <c r="I401">
        <v>5</v>
      </c>
      <c r="J401">
        <v>5</v>
      </c>
      <c r="K401">
        <v>100</v>
      </c>
      <c r="L401">
        <v>100</v>
      </c>
      <c r="M401">
        <v>100</v>
      </c>
      <c r="N401">
        <v>53</v>
      </c>
      <c r="O401">
        <v>86</v>
      </c>
      <c r="P401">
        <v>55</v>
      </c>
      <c r="Q401">
        <v>85</v>
      </c>
      <c r="R401">
        <v>55</v>
      </c>
      <c r="S401">
        <v>85</v>
      </c>
    </row>
    <row r="402" spans="3:19" x14ac:dyDescent="0.2">
      <c r="C402">
        <v>1377</v>
      </c>
      <c r="D402">
        <v>1377</v>
      </c>
      <c r="E402">
        <v>1</v>
      </c>
      <c r="F402" t="s">
        <v>935</v>
      </c>
      <c r="G402" t="s">
        <v>1038</v>
      </c>
      <c r="H402" t="s">
        <v>935</v>
      </c>
      <c r="I402">
        <v>5</v>
      </c>
      <c r="J402">
        <v>0</v>
      </c>
      <c r="K402">
        <v>100</v>
      </c>
      <c r="L402">
        <v>100</v>
      </c>
      <c r="M402">
        <v>100</v>
      </c>
    </row>
    <row r="403" spans="3:19" x14ac:dyDescent="0.2">
      <c r="C403">
        <v>1378</v>
      </c>
      <c r="D403">
        <v>1378</v>
      </c>
      <c r="E403">
        <v>1</v>
      </c>
      <c r="F403" t="s">
        <v>935</v>
      </c>
      <c r="G403" t="s">
        <v>1038</v>
      </c>
      <c r="H403" t="s">
        <v>935</v>
      </c>
      <c r="I403">
        <v>5</v>
      </c>
      <c r="J403">
        <v>0</v>
      </c>
      <c r="K403">
        <v>100</v>
      </c>
      <c r="L403">
        <v>100</v>
      </c>
      <c r="M403">
        <v>100</v>
      </c>
    </row>
    <row r="404" spans="3:19" x14ac:dyDescent="0.2">
      <c r="C404">
        <v>1379</v>
      </c>
      <c r="D404">
        <v>1379</v>
      </c>
      <c r="E404">
        <v>1</v>
      </c>
      <c r="F404" t="s">
        <v>1688</v>
      </c>
      <c r="G404" t="s">
        <v>1689</v>
      </c>
      <c r="H404" t="s">
        <v>1690</v>
      </c>
      <c r="I404">
        <v>5</v>
      </c>
      <c r="J404">
        <v>5</v>
      </c>
      <c r="N404">
        <v>56</v>
      </c>
      <c r="O404">
        <v>84</v>
      </c>
      <c r="P404">
        <v>55</v>
      </c>
      <c r="Q404">
        <v>80</v>
      </c>
      <c r="R404">
        <v>55</v>
      </c>
      <c r="S404">
        <v>80</v>
      </c>
    </row>
    <row r="405" spans="3:19" x14ac:dyDescent="0.2">
      <c r="C405">
        <v>1380</v>
      </c>
      <c r="D405">
        <v>1380</v>
      </c>
      <c r="E405">
        <v>1</v>
      </c>
      <c r="F405" t="s">
        <v>1691</v>
      </c>
      <c r="G405" t="s">
        <v>1692</v>
      </c>
      <c r="H405" t="s">
        <v>1693</v>
      </c>
      <c r="I405">
        <v>5</v>
      </c>
      <c r="J405">
        <v>5</v>
      </c>
      <c r="N405">
        <v>55</v>
      </c>
      <c r="O405">
        <v>82</v>
      </c>
      <c r="P405">
        <v>55</v>
      </c>
      <c r="Q405">
        <v>80</v>
      </c>
      <c r="R405">
        <v>55</v>
      </c>
      <c r="S405">
        <v>80</v>
      </c>
    </row>
    <row r="406" spans="3:19" x14ac:dyDescent="0.2">
      <c r="C406">
        <v>1381</v>
      </c>
      <c r="D406">
        <v>1381</v>
      </c>
      <c r="E406">
        <v>1</v>
      </c>
      <c r="F406" t="s">
        <v>1694</v>
      </c>
      <c r="G406" t="s">
        <v>1695</v>
      </c>
      <c r="H406" t="s">
        <v>1696</v>
      </c>
      <c r="I406">
        <v>5</v>
      </c>
      <c r="J406">
        <v>5</v>
      </c>
      <c r="N406">
        <v>57</v>
      </c>
      <c r="O406">
        <v>81</v>
      </c>
      <c r="P406">
        <v>55</v>
      </c>
      <c r="Q406">
        <v>80</v>
      </c>
      <c r="R406">
        <v>55</v>
      </c>
      <c r="S406">
        <v>80</v>
      </c>
    </row>
    <row r="407" spans="3:19" x14ac:dyDescent="0.2">
      <c r="C407">
        <v>1382</v>
      </c>
      <c r="D407">
        <v>1382</v>
      </c>
      <c r="E407">
        <v>1</v>
      </c>
      <c r="F407" t="s">
        <v>1697</v>
      </c>
      <c r="G407" t="s">
        <v>1698</v>
      </c>
      <c r="H407" t="s">
        <v>1699</v>
      </c>
      <c r="I407">
        <v>5</v>
      </c>
      <c r="J407">
        <v>5</v>
      </c>
      <c r="N407">
        <v>56</v>
      </c>
      <c r="O407">
        <v>81</v>
      </c>
      <c r="P407">
        <v>55</v>
      </c>
      <c r="Q407">
        <v>80</v>
      </c>
      <c r="R407">
        <v>55</v>
      </c>
      <c r="S407">
        <v>80</v>
      </c>
    </row>
    <row r="408" spans="3:19" x14ac:dyDescent="0.2">
      <c r="C408">
        <v>1383</v>
      </c>
      <c r="D408">
        <v>1383</v>
      </c>
      <c r="E408">
        <v>1</v>
      </c>
      <c r="F408" t="s">
        <v>1700</v>
      </c>
      <c r="G408" t="s">
        <v>1701</v>
      </c>
      <c r="H408" t="s">
        <v>1702</v>
      </c>
      <c r="I408">
        <v>5</v>
      </c>
      <c r="J408">
        <v>5</v>
      </c>
      <c r="N408">
        <v>56</v>
      </c>
      <c r="O408">
        <v>84</v>
      </c>
      <c r="P408">
        <v>55</v>
      </c>
      <c r="Q408">
        <v>80</v>
      </c>
      <c r="R408">
        <v>55</v>
      </c>
      <c r="S408">
        <v>80</v>
      </c>
    </row>
    <row r="409" spans="3:19" x14ac:dyDescent="0.2">
      <c r="C409">
        <v>1384</v>
      </c>
      <c r="D409">
        <v>1384</v>
      </c>
      <c r="E409">
        <v>1</v>
      </c>
      <c r="F409" t="s">
        <v>1703</v>
      </c>
      <c r="G409" t="s">
        <v>1704</v>
      </c>
      <c r="H409" t="s">
        <v>1705</v>
      </c>
      <c r="I409">
        <v>5</v>
      </c>
      <c r="J409">
        <v>5</v>
      </c>
      <c r="N409">
        <v>55</v>
      </c>
      <c r="O409">
        <v>82</v>
      </c>
      <c r="P409">
        <v>55</v>
      </c>
      <c r="Q409">
        <v>80</v>
      </c>
      <c r="R409">
        <v>55</v>
      </c>
      <c r="S409">
        <v>80</v>
      </c>
    </row>
    <row r="410" spans="3:19" x14ac:dyDescent="0.2">
      <c r="C410">
        <v>1385</v>
      </c>
      <c r="D410">
        <v>1385</v>
      </c>
      <c r="E410">
        <v>1</v>
      </c>
      <c r="F410" t="s">
        <v>1706</v>
      </c>
      <c r="G410" t="s">
        <v>1707</v>
      </c>
      <c r="H410" t="s">
        <v>1708</v>
      </c>
      <c r="I410">
        <v>5</v>
      </c>
      <c r="J410">
        <v>5</v>
      </c>
      <c r="N410">
        <v>57</v>
      </c>
      <c r="O410">
        <v>81</v>
      </c>
      <c r="P410">
        <v>55</v>
      </c>
      <c r="Q410">
        <v>80</v>
      </c>
      <c r="R410">
        <v>55</v>
      </c>
      <c r="S410">
        <v>80</v>
      </c>
    </row>
    <row r="411" spans="3:19" x14ac:dyDescent="0.2">
      <c r="C411">
        <v>1386</v>
      </c>
      <c r="D411">
        <v>1386</v>
      </c>
      <c r="E411">
        <v>1</v>
      </c>
      <c r="F411" t="s">
        <v>1709</v>
      </c>
      <c r="G411" t="s">
        <v>1710</v>
      </c>
      <c r="H411" t="s">
        <v>1711</v>
      </c>
      <c r="I411">
        <v>5</v>
      </c>
      <c r="J411">
        <v>5</v>
      </c>
      <c r="N411">
        <v>56</v>
      </c>
      <c r="O411">
        <v>81</v>
      </c>
      <c r="P411">
        <v>55</v>
      </c>
      <c r="Q411">
        <v>80</v>
      </c>
      <c r="R411">
        <v>55</v>
      </c>
      <c r="S411">
        <v>80</v>
      </c>
    </row>
    <row r="412" spans="3:19" x14ac:dyDescent="0.2">
      <c r="C412">
        <v>1387</v>
      </c>
      <c r="D412">
        <v>1387</v>
      </c>
      <c r="E412">
        <v>1</v>
      </c>
      <c r="F412" t="s">
        <v>1712</v>
      </c>
      <c r="G412" t="s">
        <v>1713</v>
      </c>
      <c r="H412" t="s">
        <v>1714</v>
      </c>
      <c r="I412">
        <v>5</v>
      </c>
      <c r="J412">
        <v>5</v>
      </c>
      <c r="N412">
        <v>56</v>
      </c>
      <c r="O412">
        <v>84</v>
      </c>
      <c r="P412">
        <v>55</v>
      </c>
      <c r="Q412">
        <v>80</v>
      </c>
      <c r="R412">
        <v>55</v>
      </c>
      <c r="S412">
        <v>80</v>
      </c>
    </row>
    <row r="413" spans="3:19" x14ac:dyDescent="0.2">
      <c r="C413">
        <v>1388</v>
      </c>
      <c r="D413">
        <v>1388</v>
      </c>
      <c r="E413">
        <v>1</v>
      </c>
      <c r="F413" t="s">
        <v>1715</v>
      </c>
      <c r="G413" t="s">
        <v>1716</v>
      </c>
      <c r="H413" t="s">
        <v>1717</v>
      </c>
      <c r="I413">
        <v>5</v>
      </c>
      <c r="J413">
        <v>5</v>
      </c>
      <c r="N413">
        <v>55</v>
      </c>
      <c r="O413">
        <v>82</v>
      </c>
      <c r="P413">
        <v>55</v>
      </c>
      <c r="Q413">
        <v>80</v>
      </c>
      <c r="R413">
        <v>55</v>
      </c>
      <c r="S413">
        <v>80</v>
      </c>
    </row>
    <row r="414" spans="3:19" x14ac:dyDescent="0.2">
      <c r="C414">
        <v>1389</v>
      </c>
      <c r="D414">
        <v>1389</v>
      </c>
      <c r="E414">
        <v>1</v>
      </c>
      <c r="F414" t="s">
        <v>1718</v>
      </c>
      <c r="G414" t="s">
        <v>1719</v>
      </c>
      <c r="H414" t="s">
        <v>1720</v>
      </c>
      <c r="I414">
        <v>5</v>
      </c>
      <c r="J414">
        <v>5</v>
      </c>
      <c r="N414">
        <v>57</v>
      </c>
      <c r="O414">
        <v>81</v>
      </c>
      <c r="P414">
        <v>55</v>
      </c>
      <c r="Q414">
        <v>80</v>
      </c>
      <c r="R414">
        <v>55</v>
      </c>
      <c r="S414">
        <v>80</v>
      </c>
    </row>
    <row r="415" spans="3:19" x14ac:dyDescent="0.2">
      <c r="C415">
        <v>1390</v>
      </c>
      <c r="D415">
        <v>1390</v>
      </c>
      <c r="E415">
        <v>1</v>
      </c>
      <c r="F415" t="s">
        <v>1721</v>
      </c>
      <c r="G415" t="s">
        <v>1722</v>
      </c>
      <c r="H415" t="s">
        <v>1723</v>
      </c>
      <c r="I415">
        <v>5</v>
      </c>
      <c r="J415">
        <v>5</v>
      </c>
      <c r="N415">
        <v>56</v>
      </c>
      <c r="O415">
        <v>81</v>
      </c>
      <c r="P415">
        <v>55</v>
      </c>
      <c r="Q415">
        <v>80</v>
      </c>
      <c r="R415">
        <v>55</v>
      </c>
      <c r="S415">
        <v>80</v>
      </c>
    </row>
    <row r="416" spans="3:19" x14ac:dyDescent="0.2">
      <c r="C416">
        <v>1391</v>
      </c>
      <c r="D416">
        <v>1391</v>
      </c>
      <c r="E416">
        <v>1</v>
      </c>
      <c r="F416" t="s">
        <v>1724</v>
      </c>
      <c r="G416" t="s">
        <v>1725</v>
      </c>
      <c r="H416" t="s">
        <v>1726</v>
      </c>
      <c r="I416">
        <v>5</v>
      </c>
      <c r="J416">
        <v>5</v>
      </c>
      <c r="K416">
        <v>100</v>
      </c>
      <c r="L416">
        <v>75</v>
      </c>
      <c r="M416">
        <v>66</v>
      </c>
      <c r="N416">
        <v>133</v>
      </c>
      <c r="O416">
        <v>285</v>
      </c>
      <c r="P416">
        <v>220</v>
      </c>
      <c r="Q416">
        <v>270</v>
      </c>
      <c r="R416">
        <v>220</v>
      </c>
      <c r="S416">
        <v>270</v>
      </c>
    </row>
    <row r="417" spans="3:19" x14ac:dyDescent="0.2">
      <c r="C417">
        <v>1392</v>
      </c>
      <c r="D417">
        <v>1392</v>
      </c>
      <c r="E417">
        <v>1</v>
      </c>
      <c r="F417" t="s">
        <v>1727</v>
      </c>
      <c r="G417" t="s">
        <v>1728</v>
      </c>
      <c r="H417" t="s">
        <v>1729</v>
      </c>
      <c r="I417">
        <v>5</v>
      </c>
      <c r="J417">
        <v>0</v>
      </c>
      <c r="O417">
        <v>100</v>
      </c>
      <c r="P417">
        <v>50</v>
      </c>
      <c r="Q417">
        <v>50</v>
      </c>
      <c r="R417">
        <v>50</v>
      </c>
      <c r="S417">
        <v>50</v>
      </c>
    </row>
    <row r="418" spans="3:19" x14ac:dyDescent="0.2">
      <c r="C418">
        <v>1393</v>
      </c>
      <c r="D418">
        <v>1393</v>
      </c>
      <c r="E418">
        <v>1</v>
      </c>
      <c r="F418" t="s">
        <v>1727</v>
      </c>
      <c r="G418" t="s">
        <v>1728</v>
      </c>
      <c r="H418" t="s">
        <v>1729</v>
      </c>
      <c r="I418">
        <v>5</v>
      </c>
      <c r="J418">
        <v>0</v>
      </c>
      <c r="O418">
        <v>100</v>
      </c>
      <c r="P418">
        <v>50</v>
      </c>
      <c r="Q418">
        <v>50</v>
      </c>
      <c r="R418">
        <v>50</v>
      </c>
      <c r="S418">
        <v>50</v>
      </c>
    </row>
    <row r="419" spans="3:19" x14ac:dyDescent="0.2">
      <c r="C419">
        <v>1394</v>
      </c>
      <c r="D419">
        <v>1394</v>
      </c>
      <c r="E419">
        <v>1</v>
      </c>
      <c r="F419" t="s">
        <v>1730</v>
      </c>
      <c r="G419" t="s">
        <v>1731</v>
      </c>
      <c r="H419" t="s">
        <v>1732</v>
      </c>
      <c r="I419">
        <v>5</v>
      </c>
      <c r="J419">
        <v>5</v>
      </c>
      <c r="K419">
        <v>100</v>
      </c>
      <c r="L419">
        <v>100</v>
      </c>
      <c r="M419">
        <v>100</v>
      </c>
      <c r="N419">
        <v>47</v>
      </c>
      <c r="O419">
        <v>82</v>
      </c>
      <c r="P419">
        <v>55</v>
      </c>
      <c r="Q419">
        <v>85</v>
      </c>
      <c r="R419">
        <v>55</v>
      </c>
      <c r="S419">
        <v>85</v>
      </c>
    </row>
    <row r="420" spans="3:19" x14ac:dyDescent="0.2">
      <c r="C420">
        <v>1395</v>
      </c>
      <c r="D420">
        <v>1395</v>
      </c>
      <c r="E420">
        <v>1</v>
      </c>
      <c r="F420" t="s">
        <v>1733</v>
      </c>
      <c r="G420" t="s">
        <v>1734</v>
      </c>
      <c r="H420" t="s">
        <v>1735</v>
      </c>
      <c r="I420">
        <v>5</v>
      </c>
      <c r="J420">
        <v>5</v>
      </c>
      <c r="K420">
        <v>100</v>
      </c>
      <c r="L420">
        <v>100</v>
      </c>
      <c r="M420">
        <v>100</v>
      </c>
      <c r="N420">
        <v>48</v>
      </c>
      <c r="O420">
        <v>81</v>
      </c>
      <c r="P420">
        <v>55</v>
      </c>
      <c r="Q420">
        <v>85</v>
      </c>
      <c r="R420">
        <v>55</v>
      </c>
      <c r="S420">
        <v>85</v>
      </c>
    </row>
    <row r="421" spans="3:19" x14ac:dyDescent="0.2">
      <c r="C421">
        <v>1396</v>
      </c>
      <c r="D421">
        <v>1396</v>
      </c>
      <c r="E421">
        <v>1</v>
      </c>
      <c r="F421" t="s">
        <v>1736</v>
      </c>
      <c r="G421" t="s">
        <v>1737</v>
      </c>
      <c r="H421" t="s">
        <v>1738</v>
      </c>
      <c r="I421">
        <v>5</v>
      </c>
      <c r="J421">
        <v>5</v>
      </c>
      <c r="K421">
        <v>100</v>
      </c>
      <c r="L421">
        <v>100</v>
      </c>
      <c r="M421">
        <v>100</v>
      </c>
      <c r="N421">
        <v>66</v>
      </c>
      <c r="O421">
        <v>111</v>
      </c>
      <c r="P421">
        <v>45</v>
      </c>
      <c r="Q421">
        <v>75</v>
      </c>
      <c r="R421">
        <v>45</v>
      </c>
      <c r="S421">
        <v>75</v>
      </c>
    </row>
    <row r="422" spans="3:19" x14ac:dyDescent="0.2">
      <c r="C422">
        <v>1397</v>
      </c>
      <c r="D422">
        <v>1397</v>
      </c>
      <c r="E422">
        <v>1</v>
      </c>
      <c r="F422" t="s">
        <v>1739</v>
      </c>
      <c r="G422" t="s">
        <v>1740</v>
      </c>
      <c r="H422" t="s">
        <v>1741</v>
      </c>
      <c r="I422">
        <v>5</v>
      </c>
      <c r="J422">
        <v>5</v>
      </c>
      <c r="K422">
        <v>100</v>
      </c>
      <c r="L422">
        <v>100</v>
      </c>
      <c r="M422">
        <v>100</v>
      </c>
      <c r="N422">
        <v>64</v>
      </c>
      <c r="O422">
        <v>107</v>
      </c>
      <c r="P422">
        <v>45</v>
      </c>
      <c r="Q422">
        <v>75</v>
      </c>
      <c r="R422">
        <v>45</v>
      </c>
      <c r="S422">
        <v>75</v>
      </c>
    </row>
    <row r="423" spans="3:19" x14ac:dyDescent="0.2">
      <c r="C423">
        <v>1398</v>
      </c>
      <c r="D423">
        <v>1398</v>
      </c>
      <c r="E423">
        <v>1</v>
      </c>
      <c r="F423" t="s">
        <v>1742</v>
      </c>
      <c r="G423" t="s">
        <v>1743</v>
      </c>
      <c r="H423" t="s">
        <v>1744</v>
      </c>
      <c r="I423">
        <v>5</v>
      </c>
      <c r="J423">
        <v>5</v>
      </c>
      <c r="K423">
        <v>100</v>
      </c>
      <c r="L423">
        <v>100</v>
      </c>
      <c r="M423">
        <v>100</v>
      </c>
      <c r="N423">
        <v>66</v>
      </c>
      <c r="O423">
        <v>107</v>
      </c>
      <c r="P423">
        <v>45</v>
      </c>
      <c r="Q423">
        <v>75</v>
      </c>
      <c r="R423">
        <v>45</v>
      </c>
      <c r="S423">
        <v>75</v>
      </c>
    </row>
    <row r="424" spans="3:19" x14ac:dyDescent="0.2">
      <c r="C424">
        <v>1399</v>
      </c>
      <c r="D424">
        <v>1399</v>
      </c>
      <c r="E424">
        <v>1</v>
      </c>
      <c r="F424" t="s">
        <v>1745</v>
      </c>
      <c r="G424" t="s">
        <v>1746</v>
      </c>
      <c r="H424" t="s">
        <v>1747</v>
      </c>
      <c r="I424">
        <v>5</v>
      </c>
      <c r="J424">
        <v>5</v>
      </c>
      <c r="K424">
        <v>100</v>
      </c>
      <c r="L424">
        <v>100</v>
      </c>
      <c r="M424">
        <v>100</v>
      </c>
      <c r="N424">
        <v>65</v>
      </c>
      <c r="O424">
        <v>107</v>
      </c>
      <c r="P424">
        <v>45</v>
      </c>
      <c r="Q424">
        <v>75</v>
      </c>
      <c r="R424">
        <v>45</v>
      </c>
      <c r="S424">
        <v>75</v>
      </c>
    </row>
    <row r="425" spans="3:19" x14ac:dyDescent="0.2">
      <c r="C425">
        <v>1400</v>
      </c>
      <c r="D425">
        <v>1400</v>
      </c>
      <c r="E425">
        <v>1</v>
      </c>
      <c r="F425" t="s">
        <v>1748</v>
      </c>
      <c r="G425" t="s">
        <v>1749</v>
      </c>
      <c r="H425" t="s">
        <v>1750</v>
      </c>
      <c r="I425">
        <v>5</v>
      </c>
      <c r="J425">
        <v>5</v>
      </c>
      <c r="K425">
        <v>100</v>
      </c>
      <c r="L425">
        <v>100</v>
      </c>
      <c r="M425">
        <v>100</v>
      </c>
      <c r="N425">
        <v>65</v>
      </c>
      <c r="O425">
        <v>107</v>
      </c>
      <c r="P425">
        <v>45</v>
      </c>
      <c r="Q425">
        <v>75</v>
      </c>
      <c r="R425">
        <v>45</v>
      </c>
      <c r="S425">
        <v>75</v>
      </c>
    </row>
    <row r="426" spans="3:19" x14ac:dyDescent="0.2">
      <c r="C426">
        <v>1401</v>
      </c>
      <c r="D426">
        <v>1401</v>
      </c>
      <c r="E426">
        <v>1</v>
      </c>
      <c r="F426" t="s">
        <v>1751</v>
      </c>
      <c r="G426" t="s">
        <v>1752</v>
      </c>
      <c r="H426" t="s">
        <v>1753</v>
      </c>
      <c r="I426">
        <v>5</v>
      </c>
      <c r="J426">
        <v>5</v>
      </c>
      <c r="N426">
        <v>1267</v>
      </c>
    </row>
    <row r="427" spans="3:19" x14ac:dyDescent="0.2">
      <c r="C427">
        <v>1402</v>
      </c>
      <c r="D427">
        <v>1402</v>
      </c>
      <c r="E427">
        <v>1</v>
      </c>
      <c r="F427" t="s">
        <v>1754</v>
      </c>
      <c r="G427" t="s">
        <v>1755</v>
      </c>
      <c r="H427" t="s">
        <v>1756</v>
      </c>
      <c r="I427">
        <v>0</v>
      </c>
      <c r="J427">
        <v>5</v>
      </c>
      <c r="K427">
        <v>100</v>
      </c>
      <c r="L427">
        <v>85</v>
      </c>
      <c r="M427">
        <v>66</v>
      </c>
      <c r="N427">
        <v>291</v>
      </c>
      <c r="O427">
        <v>291</v>
      </c>
      <c r="P427">
        <v>400</v>
      </c>
      <c r="Q427">
        <v>450</v>
      </c>
      <c r="R427">
        <v>400</v>
      </c>
      <c r="S427">
        <v>450</v>
      </c>
    </row>
    <row r="428" spans="3:19" x14ac:dyDescent="0.2">
      <c r="C428">
        <v>1403</v>
      </c>
      <c r="D428">
        <v>1403</v>
      </c>
      <c r="E428">
        <v>1</v>
      </c>
      <c r="F428" t="s">
        <v>1757</v>
      </c>
      <c r="G428" t="s">
        <v>1758</v>
      </c>
      <c r="H428" t="s">
        <v>1759</v>
      </c>
      <c r="I428">
        <v>5</v>
      </c>
      <c r="J428">
        <v>5</v>
      </c>
      <c r="K428">
        <v>100</v>
      </c>
      <c r="L428">
        <v>100</v>
      </c>
      <c r="M428">
        <v>100</v>
      </c>
      <c r="N428">
        <v>57</v>
      </c>
      <c r="O428">
        <v>76</v>
      </c>
      <c r="P428">
        <v>50</v>
      </c>
      <c r="Q428">
        <v>70</v>
      </c>
      <c r="R428">
        <v>50</v>
      </c>
      <c r="S428">
        <v>70</v>
      </c>
    </row>
    <row r="429" spans="3:19" x14ac:dyDescent="0.2">
      <c r="C429">
        <v>1404</v>
      </c>
      <c r="D429">
        <v>1404</v>
      </c>
      <c r="E429">
        <v>1</v>
      </c>
      <c r="F429" t="s">
        <v>1757</v>
      </c>
      <c r="G429" t="s">
        <v>1758</v>
      </c>
      <c r="H429" t="s">
        <v>1759</v>
      </c>
      <c r="I429">
        <v>5</v>
      </c>
      <c r="J429">
        <v>5</v>
      </c>
      <c r="K429">
        <v>100</v>
      </c>
      <c r="L429">
        <v>100</v>
      </c>
      <c r="M429">
        <v>100</v>
      </c>
      <c r="N429">
        <v>57</v>
      </c>
      <c r="O429">
        <v>76</v>
      </c>
      <c r="P429">
        <v>50</v>
      </c>
      <c r="Q429">
        <v>70</v>
      </c>
      <c r="R429">
        <v>50</v>
      </c>
      <c r="S429">
        <v>70</v>
      </c>
    </row>
    <row r="430" spans="3:19" x14ac:dyDescent="0.2">
      <c r="C430">
        <v>1405</v>
      </c>
      <c r="D430">
        <v>1405</v>
      </c>
      <c r="E430">
        <v>1</v>
      </c>
      <c r="F430" t="s">
        <v>935</v>
      </c>
      <c r="G430" t="s">
        <v>1038</v>
      </c>
      <c r="H430" t="s">
        <v>935</v>
      </c>
      <c r="I430">
        <v>5</v>
      </c>
      <c r="J430">
        <v>0</v>
      </c>
    </row>
    <row r="431" spans="3:19" x14ac:dyDescent="0.2">
      <c r="C431">
        <v>1406</v>
      </c>
      <c r="D431">
        <v>1406</v>
      </c>
      <c r="E431">
        <v>1</v>
      </c>
      <c r="F431" t="s">
        <v>935</v>
      </c>
      <c r="G431" t="s">
        <v>1038</v>
      </c>
      <c r="H431" t="s">
        <v>935</v>
      </c>
      <c r="I431">
        <v>5</v>
      </c>
      <c r="J431">
        <v>0</v>
      </c>
    </row>
    <row r="432" spans="3:19" x14ac:dyDescent="0.2">
      <c r="C432">
        <v>1407</v>
      </c>
      <c r="D432">
        <v>1407</v>
      </c>
      <c r="E432">
        <v>1</v>
      </c>
      <c r="F432" t="s">
        <v>1760</v>
      </c>
      <c r="G432" t="s">
        <v>1761</v>
      </c>
      <c r="H432" t="s">
        <v>1761</v>
      </c>
      <c r="I432">
        <v>5</v>
      </c>
      <c r="J432">
        <v>5</v>
      </c>
      <c r="K432">
        <v>100</v>
      </c>
      <c r="L432">
        <v>100</v>
      </c>
      <c r="M432">
        <v>100</v>
      </c>
      <c r="N432">
        <v>64</v>
      </c>
      <c r="O432">
        <v>110</v>
      </c>
      <c r="P432">
        <v>50</v>
      </c>
      <c r="Q432">
        <v>80</v>
      </c>
      <c r="R432">
        <v>50</v>
      </c>
      <c r="S432">
        <v>80</v>
      </c>
    </row>
    <row r="433" spans="3:19" x14ac:dyDescent="0.2">
      <c r="C433">
        <v>1408</v>
      </c>
      <c r="D433">
        <v>1408</v>
      </c>
      <c r="E433">
        <v>1</v>
      </c>
      <c r="F433" t="s">
        <v>935</v>
      </c>
      <c r="G433" t="s">
        <v>1038</v>
      </c>
      <c r="H433" t="s">
        <v>935</v>
      </c>
      <c r="I433">
        <v>5</v>
      </c>
      <c r="J433">
        <v>0</v>
      </c>
    </row>
    <row r="434" spans="3:19" x14ac:dyDescent="0.2">
      <c r="C434">
        <v>1409</v>
      </c>
      <c r="D434">
        <v>1409</v>
      </c>
      <c r="E434">
        <v>1</v>
      </c>
      <c r="F434" t="s">
        <v>1762</v>
      </c>
      <c r="G434" t="s">
        <v>1763</v>
      </c>
      <c r="H434" t="s">
        <v>1764</v>
      </c>
      <c r="I434">
        <v>0</v>
      </c>
      <c r="J434">
        <v>5</v>
      </c>
      <c r="K434">
        <v>100</v>
      </c>
      <c r="L434">
        <v>85</v>
      </c>
      <c r="M434">
        <v>75</v>
      </c>
      <c r="N434">
        <v>760</v>
      </c>
      <c r="O434">
        <v>760</v>
      </c>
      <c r="P434">
        <v>760</v>
      </c>
      <c r="Q434">
        <v>760</v>
      </c>
      <c r="R434">
        <v>760</v>
      </c>
      <c r="S434">
        <v>760</v>
      </c>
    </row>
    <row r="435" spans="3:19" x14ac:dyDescent="0.2">
      <c r="C435">
        <v>1410</v>
      </c>
      <c r="D435">
        <v>1410</v>
      </c>
      <c r="E435">
        <v>1</v>
      </c>
      <c r="F435" t="s">
        <v>1765</v>
      </c>
      <c r="G435" t="s">
        <v>1766</v>
      </c>
      <c r="H435" t="s">
        <v>1765</v>
      </c>
      <c r="I435">
        <v>5</v>
      </c>
      <c r="J435">
        <v>0</v>
      </c>
      <c r="N435">
        <v>100</v>
      </c>
      <c r="O435">
        <v>100</v>
      </c>
      <c r="P435">
        <v>100</v>
      </c>
      <c r="Q435">
        <v>100</v>
      </c>
      <c r="R435">
        <v>100</v>
      </c>
      <c r="S435">
        <v>100</v>
      </c>
    </row>
    <row r="436" spans="3:19" x14ac:dyDescent="0.2">
      <c r="C436">
        <v>1411</v>
      </c>
      <c r="D436">
        <v>1411</v>
      </c>
      <c r="E436">
        <v>1</v>
      </c>
      <c r="F436" t="s">
        <v>1765</v>
      </c>
      <c r="G436" t="s">
        <v>1766</v>
      </c>
      <c r="H436" t="s">
        <v>1765</v>
      </c>
      <c r="I436">
        <v>5</v>
      </c>
      <c r="J436">
        <v>0</v>
      </c>
      <c r="N436">
        <v>100</v>
      </c>
      <c r="O436">
        <v>100</v>
      </c>
      <c r="P436">
        <v>100</v>
      </c>
      <c r="Q436">
        <v>100</v>
      </c>
      <c r="R436">
        <v>100</v>
      </c>
      <c r="S436">
        <v>100</v>
      </c>
    </row>
    <row r="437" spans="3:19" x14ac:dyDescent="0.2">
      <c r="C437">
        <v>1412</v>
      </c>
      <c r="D437">
        <v>1412</v>
      </c>
      <c r="E437">
        <v>1</v>
      </c>
      <c r="F437" t="s">
        <v>1765</v>
      </c>
      <c r="G437" t="s">
        <v>1766</v>
      </c>
      <c r="H437" t="s">
        <v>1765</v>
      </c>
      <c r="I437">
        <v>5</v>
      </c>
      <c r="J437">
        <v>0</v>
      </c>
      <c r="N437">
        <v>100</v>
      </c>
      <c r="O437">
        <v>100</v>
      </c>
      <c r="P437">
        <v>100</v>
      </c>
      <c r="Q437">
        <v>100</v>
      </c>
      <c r="R437">
        <v>100</v>
      </c>
      <c r="S437">
        <v>100</v>
      </c>
    </row>
    <row r="438" spans="3:19" x14ac:dyDescent="0.2">
      <c r="C438">
        <v>1413</v>
      </c>
      <c r="D438">
        <v>1413</v>
      </c>
      <c r="E438">
        <v>1</v>
      </c>
      <c r="F438" t="s">
        <v>1765</v>
      </c>
      <c r="G438" t="s">
        <v>1766</v>
      </c>
      <c r="H438" t="s">
        <v>1765</v>
      </c>
      <c r="I438">
        <v>5</v>
      </c>
      <c r="J438">
        <v>0</v>
      </c>
      <c r="N438">
        <v>100</v>
      </c>
      <c r="O438">
        <v>100</v>
      </c>
      <c r="P438">
        <v>100</v>
      </c>
      <c r="Q438">
        <v>100</v>
      </c>
      <c r="R438">
        <v>100</v>
      </c>
      <c r="S438">
        <v>100</v>
      </c>
    </row>
    <row r="439" spans="3:19" x14ac:dyDescent="0.2">
      <c r="C439">
        <v>1414</v>
      </c>
      <c r="D439">
        <v>1414</v>
      </c>
      <c r="E439">
        <v>1</v>
      </c>
      <c r="F439" t="s">
        <v>935</v>
      </c>
      <c r="G439" t="s">
        <v>1038</v>
      </c>
      <c r="H439" t="s">
        <v>935</v>
      </c>
      <c r="I439">
        <v>5</v>
      </c>
      <c r="J439">
        <v>0</v>
      </c>
    </row>
    <row r="440" spans="3:19" x14ac:dyDescent="0.2">
      <c r="C440">
        <v>1415</v>
      </c>
      <c r="D440">
        <v>1415</v>
      </c>
      <c r="E440">
        <v>1</v>
      </c>
      <c r="F440" t="s">
        <v>1765</v>
      </c>
      <c r="G440" t="s">
        <v>1766</v>
      </c>
      <c r="H440" t="s">
        <v>1765</v>
      </c>
      <c r="I440">
        <v>5</v>
      </c>
      <c r="J440">
        <v>0</v>
      </c>
      <c r="N440">
        <v>100</v>
      </c>
      <c r="O440">
        <v>100</v>
      </c>
      <c r="P440">
        <v>100</v>
      </c>
      <c r="Q440">
        <v>100</v>
      </c>
      <c r="R440">
        <v>100</v>
      </c>
      <c r="S440">
        <v>100</v>
      </c>
    </row>
    <row r="441" spans="3:19" x14ac:dyDescent="0.2">
      <c r="C441">
        <v>1416</v>
      </c>
      <c r="D441">
        <v>1416</v>
      </c>
      <c r="E441">
        <v>1</v>
      </c>
      <c r="F441" t="s">
        <v>1765</v>
      </c>
      <c r="G441" t="s">
        <v>1766</v>
      </c>
      <c r="H441" t="s">
        <v>1765</v>
      </c>
      <c r="I441">
        <v>5</v>
      </c>
      <c r="J441">
        <v>0</v>
      </c>
      <c r="N441">
        <v>100</v>
      </c>
      <c r="O441">
        <v>100</v>
      </c>
      <c r="P441">
        <v>100</v>
      </c>
      <c r="Q441">
        <v>100</v>
      </c>
      <c r="R441">
        <v>100</v>
      </c>
      <c r="S441">
        <v>100</v>
      </c>
    </row>
    <row r="442" spans="3:19" x14ac:dyDescent="0.2">
      <c r="C442">
        <v>1417</v>
      </c>
      <c r="D442">
        <v>1417</v>
      </c>
      <c r="E442">
        <v>1</v>
      </c>
      <c r="F442" t="s">
        <v>1767</v>
      </c>
      <c r="G442" t="s">
        <v>1768</v>
      </c>
      <c r="H442" t="s">
        <v>1769</v>
      </c>
      <c r="I442">
        <v>8</v>
      </c>
      <c r="J442">
        <v>0</v>
      </c>
      <c r="N442">
        <v>376</v>
      </c>
      <c r="O442">
        <v>376</v>
      </c>
      <c r="P442">
        <v>376</v>
      </c>
      <c r="Q442">
        <v>376</v>
      </c>
      <c r="R442">
        <v>376</v>
      </c>
      <c r="S442">
        <v>376</v>
      </c>
    </row>
    <row r="443" spans="3:19" x14ac:dyDescent="0.2">
      <c r="C443">
        <v>1418</v>
      </c>
      <c r="D443">
        <v>1418</v>
      </c>
      <c r="E443">
        <v>1</v>
      </c>
      <c r="F443" t="s">
        <v>1767</v>
      </c>
      <c r="G443" t="s">
        <v>1768</v>
      </c>
      <c r="H443" t="s">
        <v>1769</v>
      </c>
      <c r="I443">
        <v>5</v>
      </c>
      <c r="J443">
        <v>0</v>
      </c>
      <c r="N443">
        <v>376</v>
      </c>
      <c r="O443">
        <v>376</v>
      </c>
      <c r="P443">
        <v>376</v>
      </c>
      <c r="Q443">
        <v>376</v>
      </c>
      <c r="R443">
        <v>376</v>
      </c>
      <c r="S443">
        <v>376</v>
      </c>
    </row>
    <row r="444" spans="3:19" x14ac:dyDescent="0.2">
      <c r="C444">
        <v>1419</v>
      </c>
      <c r="D444">
        <v>1419</v>
      </c>
      <c r="E444">
        <v>1</v>
      </c>
      <c r="F444" t="s">
        <v>1418</v>
      </c>
      <c r="G444" t="s">
        <v>1417</v>
      </c>
      <c r="H444" t="s">
        <v>1418</v>
      </c>
      <c r="I444">
        <v>5</v>
      </c>
      <c r="J444">
        <v>5</v>
      </c>
      <c r="N444">
        <v>20</v>
      </c>
      <c r="O444">
        <v>32</v>
      </c>
      <c r="P444">
        <v>20</v>
      </c>
      <c r="Q444">
        <v>32</v>
      </c>
      <c r="R444">
        <v>20</v>
      </c>
      <c r="S444">
        <v>32</v>
      </c>
    </row>
    <row r="445" spans="3:19" x14ac:dyDescent="0.2">
      <c r="C445">
        <v>1420</v>
      </c>
      <c r="D445">
        <v>1420</v>
      </c>
      <c r="E445">
        <v>1</v>
      </c>
      <c r="F445" t="s">
        <v>1770</v>
      </c>
      <c r="G445" t="s">
        <v>1771</v>
      </c>
      <c r="H445" t="s">
        <v>1770</v>
      </c>
      <c r="I445">
        <v>10</v>
      </c>
      <c r="J445">
        <v>5</v>
      </c>
      <c r="K445">
        <v>100</v>
      </c>
      <c r="L445">
        <v>100</v>
      </c>
      <c r="M445">
        <v>100</v>
      </c>
      <c r="N445">
        <v>60</v>
      </c>
      <c r="O445">
        <v>82</v>
      </c>
      <c r="P445">
        <v>60</v>
      </c>
      <c r="Q445">
        <v>82</v>
      </c>
      <c r="R445">
        <v>60</v>
      </c>
      <c r="S445">
        <v>82</v>
      </c>
    </row>
    <row r="446" spans="3:19" x14ac:dyDescent="0.2">
      <c r="C446">
        <v>1421</v>
      </c>
      <c r="D446">
        <v>1421</v>
      </c>
      <c r="E446">
        <v>1</v>
      </c>
      <c r="F446" t="s">
        <v>1772</v>
      </c>
      <c r="G446" t="s">
        <v>1773</v>
      </c>
      <c r="H446" t="s">
        <v>1772</v>
      </c>
      <c r="I446">
        <v>10</v>
      </c>
      <c r="J446">
        <v>5</v>
      </c>
      <c r="K446">
        <v>100</v>
      </c>
      <c r="L446">
        <v>100</v>
      </c>
      <c r="M446">
        <v>100</v>
      </c>
      <c r="N446">
        <v>98</v>
      </c>
      <c r="O446">
        <v>130</v>
      </c>
      <c r="P446">
        <v>98</v>
      </c>
      <c r="Q446">
        <v>130</v>
      </c>
      <c r="R446">
        <v>98</v>
      </c>
      <c r="S446">
        <v>130</v>
      </c>
    </row>
    <row r="447" spans="3:19" x14ac:dyDescent="0.2">
      <c r="C447">
        <v>1422</v>
      </c>
      <c r="D447">
        <v>1422</v>
      </c>
      <c r="E447">
        <v>1</v>
      </c>
      <c r="F447" t="s">
        <v>1774</v>
      </c>
      <c r="G447" t="s">
        <v>1775</v>
      </c>
      <c r="H447" t="s">
        <v>1776</v>
      </c>
      <c r="I447">
        <v>8</v>
      </c>
      <c r="J447">
        <v>0</v>
      </c>
      <c r="N447">
        <v>200</v>
      </c>
      <c r="O447">
        <v>226</v>
      </c>
      <c r="P447">
        <v>200</v>
      </c>
      <c r="Q447">
        <v>226</v>
      </c>
      <c r="R447">
        <v>200</v>
      </c>
      <c r="S447">
        <v>226</v>
      </c>
    </row>
    <row r="448" spans="3:19" x14ac:dyDescent="0.2">
      <c r="C448">
        <v>1423</v>
      </c>
      <c r="D448">
        <v>1423</v>
      </c>
      <c r="E448">
        <v>1</v>
      </c>
      <c r="F448" t="s">
        <v>1777</v>
      </c>
      <c r="G448" t="s">
        <v>1778</v>
      </c>
      <c r="H448" t="s">
        <v>1779</v>
      </c>
      <c r="I448">
        <v>8</v>
      </c>
      <c r="J448">
        <v>0</v>
      </c>
      <c r="N448">
        <v>128</v>
      </c>
      <c r="O448">
        <v>144</v>
      </c>
      <c r="P448">
        <v>128</v>
      </c>
      <c r="Q448">
        <v>144</v>
      </c>
      <c r="R448">
        <v>128</v>
      </c>
      <c r="S448">
        <v>144</v>
      </c>
    </row>
    <row r="449" spans="3:19" x14ac:dyDescent="0.2">
      <c r="C449">
        <v>1424</v>
      </c>
      <c r="D449">
        <v>1424</v>
      </c>
      <c r="E449">
        <v>1</v>
      </c>
      <c r="F449" t="s">
        <v>1780</v>
      </c>
      <c r="G449" t="s">
        <v>1781</v>
      </c>
      <c r="H449" t="s">
        <v>1782</v>
      </c>
      <c r="I449">
        <v>8</v>
      </c>
      <c r="J449">
        <v>0</v>
      </c>
      <c r="N449">
        <v>56</v>
      </c>
      <c r="O449">
        <v>64</v>
      </c>
      <c r="P449">
        <v>56</v>
      </c>
      <c r="Q449">
        <v>64</v>
      </c>
      <c r="R449">
        <v>56</v>
      </c>
      <c r="S449">
        <v>64</v>
      </c>
    </row>
    <row r="450" spans="3:19" x14ac:dyDescent="0.2">
      <c r="C450">
        <v>1425</v>
      </c>
      <c r="D450">
        <v>1425</v>
      </c>
      <c r="E450">
        <v>1</v>
      </c>
      <c r="F450" t="s">
        <v>1418</v>
      </c>
      <c r="G450" t="s">
        <v>1417</v>
      </c>
      <c r="H450" t="s">
        <v>1418</v>
      </c>
      <c r="I450">
        <v>8</v>
      </c>
      <c r="J450">
        <v>0</v>
      </c>
      <c r="N450">
        <v>42</v>
      </c>
      <c r="O450">
        <v>58</v>
      </c>
      <c r="P450">
        <v>42</v>
      </c>
      <c r="Q450">
        <v>58</v>
      </c>
      <c r="R450">
        <v>42</v>
      </c>
      <c r="S450">
        <v>58</v>
      </c>
    </row>
    <row r="451" spans="3:19" x14ac:dyDescent="0.2">
      <c r="C451">
        <v>1426</v>
      </c>
      <c r="D451">
        <v>1426</v>
      </c>
      <c r="E451">
        <v>1</v>
      </c>
      <c r="F451" t="s">
        <v>1783</v>
      </c>
      <c r="G451" t="s">
        <v>1784</v>
      </c>
      <c r="H451" t="s">
        <v>1783</v>
      </c>
      <c r="I451">
        <v>8</v>
      </c>
      <c r="J451">
        <v>5</v>
      </c>
      <c r="N451">
        <v>80</v>
      </c>
      <c r="O451">
        <v>110</v>
      </c>
      <c r="P451">
        <v>80</v>
      </c>
      <c r="Q451">
        <v>110</v>
      </c>
      <c r="R451">
        <v>80</v>
      </c>
      <c r="S451">
        <v>110</v>
      </c>
    </row>
    <row r="452" spans="3:19" x14ac:dyDescent="0.2">
      <c r="C452">
        <v>1427</v>
      </c>
      <c r="D452">
        <v>1427</v>
      </c>
      <c r="E452">
        <v>1</v>
      </c>
      <c r="F452" t="s">
        <v>1785</v>
      </c>
      <c r="G452" t="s">
        <v>1786</v>
      </c>
      <c r="H452" t="s">
        <v>1785</v>
      </c>
      <c r="I452">
        <v>8</v>
      </c>
      <c r="J452">
        <v>5</v>
      </c>
      <c r="N452">
        <v>138</v>
      </c>
      <c r="O452">
        <v>192</v>
      </c>
      <c r="P452">
        <v>138</v>
      </c>
      <c r="Q452">
        <v>192</v>
      </c>
      <c r="R452">
        <v>138</v>
      </c>
      <c r="S452">
        <v>192</v>
      </c>
    </row>
    <row r="453" spans="3:19" x14ac:dyDescent="0.2">
      <c r="C453">
        <v>1428</v>
      </c>
      <c r="D453">
        <v>1428</v>
      </c>
      <c r="E453">
        <v>1</v>
      </c>
      <c r="F453" t="s">
        <v>1787</v>
      </c>
      <c r="G453" t="s">
        <v>1788</v>
      </c>
      <c r="H453" t="s">
        <v>1787</v>
      </c>
      <c r="I453">
        <v>13</v>
      </c>
      <c r="J453">
        <v>5</v>
      </c>
      <c r="K453">
        <v>100</v>
      </c>
      <c r="L453">
        <v>100</v>
      </c>
      <c r="M453">
        <v>100</v>
      </c>
      <c r="N453">
        <v>550</v>
      </c>
      <c r="O453">
        <v>750</v>
      </c>
      <c r="P453">
        <v>550</v>
      </c>
      <c r="Q453">
        <v>750</v>
      </c>
      <c r="R453">
        <v>550</v>
      </c>
      <c r="S453">
        <v>750</v>
      </c>
    </row>
    <row r="454" spans="3:19" x14ac:dyDescent="0.2">
      <c r="C454">
        <v>1429</v>
      </c>
      <c r="D454">
        <v>1429</v>
      </c>
      <c r="E454">
        <v>1</v>
      </c>
      <c r="F454" t="s">
        <v>1789</v>
      </c>
      <c r="G454" t="s">
        <v>1790</v>
      </c>
      <c r="H454" t="s">
        <v>1791</v>
      </c>
      <c r="I454">
        <v>5</v>
      </c>
      <c r="J454">
        <v>5</v>
      </c>
      <c r="K454">
        <v>100</v>
      </c>
      <c r="L454">
        <v>100</v>
      </c>
      <c r="M454">
        <v>100</v>
      </c>
      <c r="N454">
        <v>36</v>
      </c>
      <c r="O454">
        <v>58</v>
      </c>
      <c r="P454">
        <v>115</v>
      </c>
      <c r="Q454">
        <v>184</v>
      </c>
      <c r="R454">
        <v>199</v>
      </c>
      <c r="S454">
        <v>319</v>
      </c>
    </row>
    <row r="455" spans="3:19" x14ac:dyDescent="0.2">
      <c r="C455">
        <v>1430</v>
      </c>
      <c r="D455">
        <v>1430</v>
      </c>
      <c r="E455">
        <v>1</v>
      </c>
      <c r="F455" t="s">
        <v>1792</v>
      </c>
      <c r="G455" t="s">
        <v>1793</v>
      </c>
      <c r="H455" t="s">
        <v>1794</v>
      </c>
      <c r="I455">
        <v>5</v>
      </c>
      <c r="J455">
        <v>5</v>
      </c>
      <c r="K455">
        <v>100</v>
      </c>
      <c r="L455">
        <v>100</v>
      </c>
      <c r="M455">
        <v>100</v>
      </c>
      <c r="N455">
        <v>16</v>
      </c>
      <c r="O455">
        <v>25</v>
      </c>
      <c r="P455">
        <v>46</v>
      </c>
      <c r="Q455">
        <v>74</v>
      </c>
      <c r="R455">
        <v>79</v>
      </c>
      <c r="S455">
        <v>127</v>
      </c>
    </row>
    <row r="456" spans="3:19" x14ac:dyDescent="0.2">
      <c r="C456">
        <v>1431</v>
      </c>
      <c r="D456">
        <v>1431</v>
      </c>
      <c r="E456">
        <v>1</v>
      </c>
      <c r="F456" t="s">
        <v>1795</v>
      </c>
      <c r="G456" t="s">
        <v>1796</v>
      </c>
      <c r="H456" t="s">
        <v>1797</v>
      </c>
      <c r="I456">
        <v>5</v>
      </c>
      <c r="J456">
        <v>0</v>
      </c>
      <c r="K456">
        <v>100</v>
      </c>
      <c r="L456">
        <v>100</v>
      </c>
      <c r="M456">
        <v>100</v>
      </c>
      <c r="N456">
        <v>12</v>
      </c>
      <c r="O456">
        <v>19</v>
      </c>
      <c r="P456">
        <v>34</v>
      </c>
      <c r="Q456">
        <v>54</v>
      </c>
      <c r="R456">
        <v>57</v>
      </c>
      <c r="S456">
        <v>92</v>
      </c>
    </row>
    <row r="457" spans="3:19" x14ac:dyDescent="0.2">
      <c r="C457">
        <v>1432</v>
      </c>
      <c r="D457">
        <v>1432</v>
      </c>
      <c r="E457">
        <v>1</v>
      </c>
      <c r="F457" t="s">
        <v>1798</v>
      </c>
      <c r="G457" t="s">
        <v>1799</v>
      </c>
      <c r="H457" t="s">
        <v>1800</v>
      </c>
      <c r="I457">
        <v>0</v>
      </c>
      <c r="J457">
        <v>0</v>
      </c>
      <c r="N457">
        <v>95</v>
      </c>
      <c r="O457">
        <v>152</v>
      </c>
      <c r="P457">
        <v>150</v>
      </c>
      <c r="Q457">
        <v>200</v>
      </c>
      <c r="R457">
        <v>150</v>
      </c>
      <c r="S457">
        <v>200</v>
      </c>
    </row>
    <row r="458" spans="3:19" x14ac:dyDescent="0.2">
      <c r="C458">
        <v>1433</v>
      </c>
      <c r="D458">
        <v>1433</v>
      </c>
      <c r="E458">
        <v>1</v>
      </c>
      <c r="F458" t="s">
        <v>1798</v>
      </c>
      <c r="G458" t="s">
        <v>1799</v>
      </c>
      <c r="H458" t="s">
        <v>1800</v>
      </c>
      <c r="I458">
        <v>0</v>
      </c>
      <c r="J458">
        <v>0</v>
      </c>
      <c r="N458">
        <v>95</v>
      </c>
      <c r="O458">
        <v>152</v>
      </c>
      <c r="P458">
        <v>150</v>
      </c>
      <c r="Q458">
        <v>200</v>
      </c>
      <c r="R458">
        <v>150</v>
      </c>
      <c r="S458">
        <v>200</v>
      </c>
    </row>
    <row r="459" spans="3:19" x14ac:dyDescent="0.2">
      <c r="C459">
        <v>1434</v>
      </c>
      <c r="D459">
        <v>1434</v>
      </c>
      <c r="E459">
        <v>1</v>
      </c>
      <c r="F459" t="s">
        <v>1801</v>
      </c>
      <c r="G459" t="s">
        <v>1802</v>
      </c>
      <c r="H459" t="s">
        <v>1803</v>
      </c>
      <c r="I459">
        <v>0</v>
      </c>
      <c r="J459">
        <v>0</v>
      </c>
      <c r="N459">
        <v>49</v>
      </c>
      <c r="O459">
        <v>95</v>
      </c>
      <c r="P459">
        <v>50</v>
      </c>
      <c r="Q459">
        <v>95</v>
      </c>
      <c r="R459">
        <v>50</v>
      </c>
      <c r="S459">
        <v>95</v>
      </c>
    </row>
    <row r="460" spans="3:19" x14ac:dyDescent="0.2">
      <c r="C460">
        <v>1435</v>
      </c>
      <c r="D460">
        <v>1435</v>
      </c>
      <c r="E460">
        <v>1</v>
      </c>
      <c r="F460" t="s">
        <v>1798</v>
      </c>
      <c r="G460" t="s">
        <v>1799</v>
      </c>
      <c r="H460" t="s">
        <v>1804</v>
      </c>
      <c r="I460">
        <v>0</v>
      </c>
      <c r="J460">
        <v>0</v>
      </c>
      <c r="N460">
        <v>385</v>
      </c>
      <c r="O460">
        <v>576</v>
      </c>
      <c r="P460">
        <v>700</v>
      </c>
      <c r="Q460">
        <v>800</v>
      </c>
      <c r="R460">
        <v>700</v>
      </c>
      <c r="S460">
        <v>800</v>
      </c>
    </row>
    <row r="461" spans="3:19" x14ac:dyDescent="0.2">
      <c r="C461">
        <v>1436</v>
      </c>
      <c r="D461">
        <v>1436</v>
      </c>
      <c r="E461">
        <v>1</v>
      </c>
      <c r="F461" t="s">
        <v>1805</v>
      </c>
      <c r="G461" t="s">
        <v>1806</v>
      </c>
      <c r="H461" t="s">
        <v>1807</v>
      </c>
      <c r="I461">
        <v>5</v>
      </c>
      <c r="J461">
        <v>5</v>
      </c>
      <c r="K461">
        <v>100</v>
      </c>
      <c r="L461">
        <v>75</v>
      </c>
      <c r="M461">
        <v>66</v>
      </c>
      <c r="N461">
        <v>115</v>
      </c>
      <c r="O461">
        <v>171</v>
      </c>
      <c r="P461">
        <v>110</v>
      </c>
      <c r="Q461">
        <v>135</v>
      </c>
      <c r="R461">
        <v>110</v>
      </c>
      <c r="S461">
        <v>135</v>
      </c>
    </row>
    <row r="462" spans="3:19" x14ac:dyDescent="0.2">
      <c r="C462">
        <v>1437</v>
      </c>
      <c r="D462">
        <v>1437</v>
      </c>
      <c r="E462">
        <v>1</v>
      </c>
      <c r="F462" t="s">
        <v>1808</v>
      </c>
      <c r="G462" t="s">
        <v>1809</v>
      </c>
      <c r="H462" t="s">
        <v>1810</v>
      </c>
      <c r="I462">
        <v>5</v>
      </c>
      <c r="J462">
        <v>5</v>
      </c>
      <c r="K462">
        <v>100</v>
      </c>
      <c r="L462">
        <v>75</v>
      </c>
      <c r="M462">
        <v>66</v>
      </c>
      <c r="N462">
        <v>114</v>
      </c>
      <c r="O462">
        <v>171</v>
      </c>
      <c r="P462">
        <v>110</v>
      </c>
      <c r="Q462">
        <v>135</v>
      </c>
      <c r="R462">
        <v>110</v>
      </c>
      <c r="S462">
        <v>135</v>
      </c>
    </row>
    <row r="463" spans="3:19" x14ac:dyDescent="0.2">
      <c r="C463">
        <v>1438</v>
      </c>
      <c r="D463">
        <v>1438</v>
      </c>
      <c r="E463">
        <v>1</v>
      </c>
      <c r="F463" t="s">
        <v>1811</v>
      </c>
      <c r="G463" t="s">
        <v>1812</v>
      </c>
      <c r="H463" t="s">
        <v>1813</v>
      </c>
      <c r="I463">
        <v>5</v>
      </c>
      <c r="J463">
        <v>5</v>
      </c>
      <c r="K463">
        <v>100</v>
      </c>
      <c r="L463">
        <v>75</v>
      </c>
      <c r="M463">
        <v>66</v>
      </c>
      <c r="N463">
        <v>114</v>
      </c>
      <c r="O463">
        <v>171</v>
      </c>
      <c r="P463">
        <v>110</v>
      </c>
      <c r="Q463">
        <v>135</v>
      </c>
      <c r="R463">
        <v>110</v>
      </c>
      <c r="S463">
        <v>135</v>
      </c>
    </row>
    <row r="464" spans="3:19" x14ac:dyDescent="0.2">
      <c r="C464">
        <v>1439</v>
      </c>
      <c r="D464">
        <v>1439</v>
      </c>
      <c r="E464">
        <v>1</v>
      </c>
      <c r="F464" t="s">
        <v>1814</v>
      </c>
      <c r="G464" t="s">
        <v>1815</v>
      </c>
      <c r="H464" t="s">
        <v>1816</v>
      </c>
      <c r="I464">
        <v>5</v>
      </c>
      <c r="J464">
        <v>5</v>
      </c>
      <c r="K464">
        <v>100</v>
      </c>
      <c r="L464">
        <v>75</v>
      </c>
      <c r="M464">
        <v>66</v>
      </c>
      <c r="N464">
        <v>114</v>
      </c>
      <c r="O464">
        <v>171</v>
      </c>
      <c r="P464">
        <v>110</v>
      </c>
      <c r="Q464">
        <v>135</v>
      </c>
      <c r="R464">
        <v>110</v>
      </c>
      <c r="S464">
        <v>135</v>
      </c>
    </row>
    <row r="465" spans="3:19" x14ac:dyDescent="0.2">
      <c r="C465">
        <v>1440</v>
      </c>
      <c r="D465">
        <v>1440</v>
      </c>
      <c r="E465">
        <v>1</v>
      </c>
      <c r="F465" t="s">
        <v>1817</v>
      </c>
      <c r="G465" t="s">
        <v>1818</v>
      </c>
      <c r="H465" t="s">
        <v>1819</v>
      </c>
      <c r="I465">
        <v>5</v>
      </c>
      <c r="J465">
        <v>5</v>
      </c>
      <c r="K465">
        <v>100</v>
      </c>
      <c r="L465">
        <v>75</v>
      </c>
      <c r="M465">
        <v>66</v>
      </c>
      <c r="N465">
        <v>114</v>
      </c>
      <c r="O465">
        <v>170</v>
      </c>
      <c r="P465">
        <v>110</v>
      </c>
      <c r="Q465">
        <v>135</v>
      </c>
      <c r="R465">
        <v>110</v>
      </c>
      <c r="S465">
        <v>135</v>
      </c>
    </row>
    <row r="466" spans="3:19" x14ac:dyDescent="0.2">
      <c r="C466">
        <v>1441</v>
      </c>
      <c r="D466">
        <v>1441</v>
      </c>
      <c r="E466">
        <v>1</v>
      </c>
      <c r="F466" t="s">
        <v>1820</v>
      </c>
      <c r="G466" t="s">
        <v>1821</v>
      </c>
      <c r="H466" t="s">
        <v>1822</v>
      </c>
      <c r="I466">
        <v>5</v>
      </c>
      <c r="J466">
        <v>5</v>
      </c>
      <c r="K466">
        <v>100</v>
      </c>
      <c r="L466">
        <v>100</v>
      </c>
      <c r="M466">
        <v>100</v>
      </c>
      <c r="N466">
        <v>379</v>
      </c>
      <c r="O466">
        <v>379</v>
      </c>
      <c r="P466">
        <v>360</v>
      </c>
      <c r="Q466">
        <v>420</v>
      </c>
      <c r="R466">
        <v>360</v>
      </c>
      <c r="S466">
        <v>420</v>
      </c>
    </row>
    <row r="467" spans="3:19" x14ac:dyDescent="0.2">
      <c r="C467">
        <v>1442</v>
      </c>
      <c r="D467">
        <v>1442</v>
      </c>
      <c r="E467">
        <v>1</v>
      </c>
      <c r="F467" t="s">
        <v>1823</v>
      </c>
      <c r="G467" t="s">
        <v>1821</v>
      </c>
      <c r="H467" t="s">
        <v>1824</v>
      </c>
      <c r="I467">
        <v>5</v>
      </c>
      <c r="J467">
        <v>5</v>
      </c>
      <c r="K467">
        <v>100</v>
      </c>
      <c r="L467">
        <v>100</v>
      </c>
      <c r="M467">
        <v>100</v>
      </c>
      <c r="N467">
        <v>379</v>
      </c>
      <c r="O467">
        <v>379</v>
      </c>
      <c r="P467">
        <v>360</v>
      </c>
      <c r="Q467">
        <v>420</v>
      </c>
      <c r="R467">
        <v>360</v>
      </c>
      <c r="S467">
        <v>420</v>
      </c>
    </row>
    <row r="468" spans="3:19" x14ac:dyDescent="0.2">
      <c r="C468">
        <v>1443</v>
      </c>
      <c r="D468">
        <v>1443</v>
      </c>
      <c r="E468">
        <v>1</v>
      </c>
      <c r="F468" t="s">
        <v>1823</v>
      </c>
      <c r="G468" t="s">
        <v>1821</v>
      </c>
      <c r="H468" t="s">
        <v>1825</v>
      </c>
      <c r="I468">
        <v>5</v>
      </c>
      <c r="J468">
        <v>5</v>
      </c>
      <c r="K468">
        <v>100</v>
      </c>
      <c r="L468">
        <v>100</v>
      </c>
      <c r="M468">
        <v>100</v>
      </c>
      <c r="N468">
        <v>379</v>
      </c>
      <c r="O468">
        <v>379</v>
      </c>
      <c r="P468">
        <v>360</v>
      </c>
      <c r="Q468">
        <v>420</v>
      </c>
      <c r="R468">
        <v>360</v>
      </c>
      <c r="S468">
        <v>420</v>
      </c>
    </row>
    <row r="469" spans="3:19" x14ac:dyDescent="0.2">
      <c r="C469">
        <v>1444</v>
      </c>
      <c r="D469">
        <v>1444</v>
      </c>
      <c r="E469">
        <v>1</v>
      </c>
      <c r="F469" t="s">
        <v>1823</v>
      </c>
      <c r="G469" t="s">
        <v>1821</v>
      </c>
      <c r="H469" t="s">
        <v>1826</v>
      </c>
      <c r="I469">
        <v>5</v>
      </c>
      <c r="J469">
        <v>5</v>
      </c>
      <c r="K469">
        <v>100</v>
      </c>
      <c r="L469">
        <v>100</v>
      </c>
      <c r="M469">
        <v>100</v>
      </c>
      <c r="N469">
        <v>379</v>
      </c>
      <c r="O469">
        <v>379</v>
      </c>
      <c r="P469">
        <v>360</v>
      </c>
      <c r="Q469">
        <v>420</v>
      </c>
      <c r="R469">
        <v>360</v>
      </c>
      <c r="S469">
        <v>420</v>
      </c>
    </row>
    <row r="470" spans="3:19" x14ac:dyDescent="0.2">
      <c r="C470">
        <v>1445</v>
      </c>
      <c r="D470">
        <v>1445</v>
      </c>
      <c r="E470">
        <v>1</v>
      </c>
      <c r="F470" t="s">
        <v>1823</v>
      </c>
      <c r="G470" t="s">
        <v>1821</v>
      </c>
      <c r="H470" t="s">
        <v>1827</v>
      </c>
      <c r="I470">
        <v>5</v>
      </c>
      <c r="J470">
        <v>5</v>
      </c>
      <c r="K470">
        <v>100</v>
      </c>
      <c r="L470">
        <v>100</v>
      </c>
      <c r="M470">
        <v>100</v>
      </c>
      <c r="N470">
        <v>379</v>
      </c>
      <c r="O470">
        <v>379</v>
      </c>
      <c r="P470">
        <v>360</v>
      </c>
      <c r="Q470">
        <v>420</v>
      </c>
      <c r="R470">
        <v>360</v>
      </c>
      <c r="S470">
        <v>420</v>
      </c>
    </row>
    <row r="471" spans="3:19" x14ac:dyDescent="0.2">
      <c r="C471">
        <v>1446</v>
      </c>
      <c r="D471">
        <v>1446</v>
      </c>
      <c r="E471">
        <v>1</v>
      </c>
      <c r="F471" t="s">
        <v>1828</v>
      </c>
      <c r="G471" t="s">
        <v>1829</v>
      </c>
      <c r="H471" t="s">
        <v>1830</v>
      </c>
      <c r="I471">
        <v>5</v>
      </c>
      <c r="J471">
        <v>5</v>
      </c>
      <c r="K471">
        <v>100</v>
      </c>
      <c r="L471">
        <v>100</v>
      </c>
      <c r="M471">
        <v>100</v>
      </c>
      <c r="N471">
        <v>190</v>
      </c>
      <c r="O471">
        <v>227</v>
      </c>
      <c r="P471">
        <v>155</v>
      </c>
      <c r="Q471">
        <v>210</v>
      </c>
      <c r="R471">
        <v>155</v>
      </c>
      <c r="S471">
        <v>210</v>
      </c>
    </row>
    <row r="472" spans="3:19" x14ac:dyDescent="0.2">
      <c r="C472">
        <v>1447</v>
      </c>
      <c r="D472">
        <v>1447</v>
      </c>
      <c r="E472">
        <v>1</v>
      </c>
      <c r="F472" t="s">
        <v>1831</v>
      </c>
      <c r="G472" t="s">
        <v>1829</v>
      </c>
      <c r="H472" t="s">
        <v>1832</v>
      </c>
      <c r="I472">
        <v>5</v>
      </c>
      <c r="J472">
        <v>5</v>
      </c>
      <c r="K472">
        <v>100</v>
      </c>
      <c r="L472">
        <v>100</v>
      </c>
      <c r="M472">
        <v>100</v>
      </c>
      <c r="N472">
        <v>190</v>
      </c>
      <c r="O472">
        <v>228</v>
      </c>
      <c r="P472">
        <v>155</v>
      </c>
      <c r="Q472">
        <v>210</v>
      </c>
      <c r="R472">
        <v>155</v>
      </c>
      <c r="S472">
        <v>210</v>
      </c>
    </row>
    <row r="473" spans="3:19" x14ac:dyDescent="0.2">
      <c r="C473">
        <v>1448</v>
      </c>
      <c r="D473">
        <v>1448</v>
      </c>
      <c r="E473">
        <v>1</v>
      </c>
      <c r="F473" t="s">
        <v>1833</v>
      </c>
      <c r="G473" t="s">
        <v>1834</v>
      </c>
      <c r="H473" t="s">
        <v>1835</v>
      </c>
      <c r="I473">
        <v>5</v>
      </c>
      <c r="J473">
        <v>5</v>
      </c>
      <c r="K473">
        <v>100</v>
      </c>
      <c r="L473">
        <v>100</v>
      </c>
      <c r="M473">
        <v>100</v>
      </c>
      <c r="N473">
        <v>190</v>
      </c>
      <c r="O473">
        <v>227</v>
      </c>
      <c r="P473">
        <v>155</v>
      </c>
      <c r="Q473">
        <v>210</v>
      </c>
      <c r="R473">
        <v>155</v>
      </c>
      <c r="S473">
        <v>210</v>
      </c>
    </row>
    <row r="474" spans="3:19" x14ac:dyDescent="0.2">
      <c r="C474">
        <v>1449</v>
      </c>
      <c r="D474">
        <v>1449</v>
      </c>
      <c r="E474">
        <v>1</v>
      </c>
      <c r="F474" t="s">
        <v>1836</v>
      </c>
      <c r="G474" t="s">
        <v>1834</v>
      </c>
      <c r="H474" t="s">
        <v>1837</v>
      </c>
      <c r="I474">
        <v>5</v>
      </c>
      <c r="J474">
        <v>5</v>
      </c>
      <c r="K474">
        <v>100</v>
      </c>
      <c r="L474">
        <v>100</v>
      </c>
      <c r="M474">
        <v>100</v>
      </c>
      <c r="N474">
        <v>189</v>
      </c>
      <c r="O474">
        <v>228</v>
      </c>
      <c r="P474">
        <v>155</v>
      </c>
      <c r="Q474">
        <v>210</v>
      </c>
      <c r="R474">
        <v>155</v>
      </c>
      <c r="S474">
        <v>210</v>
      </c>
    </row>
    <row r="475" spans="3:19" x14ac:dyDescent="0.2">
      <c r="C475">
        <v>1450</v>
      </c>
      <c r="D475">
        <v>1450</v>
      </c>
      <c r="E475">
        <v>1</v>
      </c>
      <c r="F475" t="s">
        <v>935</v>
      </c>
      <c r="G475" t="s">
        <v>1038</v>
      </c>
      <c r="H475" t="s">
        <v>935</v>
      </c>
      <c r="I475">
        <v>5</v>
      </c>
      <c r="J475">
        <v>0</v>
      </c>
    </row>
    <row r="476" spans="3:19" x14ac:dyDescent="0.2">
      <c r="C476">
        <v>1451</v>
      </c>
      <c r="D476">
        <v>1451</v>
      </c>
      <c r="E476">
        <v>1</v>
      </c>
      <c r="F476" t="s">
        <v>935</v>
      </c>
      <c r="G476" t="s">
        <v>1038</v>
      </c>
      <c r="H476" t="s">
        <v>935</v>
      </c>
      <c r="I476">
        <v>5</v>
      </c>
      <c r="J476">
        <v>0</v>
      </c>
    </row>
    <row r="477" spans="3:19" x14ac:dyDescent="0.2">
      <c r="C477">
        <v>1452</v>
      </c>
      <c r="D477">
        <v>1452</v>
      </c>
      <c r="E477">
        <v>1</v>
      </c>
      <c r="F477" t="s">
        <v>935</v>
      </c>
      <c r="G477" t="s">
        <v>1038</v>
      </c>
      <c r="H477" t="s">
        <v>935</v>
      </c>
      <c r="I477">
        <v>5</v>
      </c>
      <c r="J477">
        <v>0</v>
      </c>
    </row>
    <row r="478" spans="3:19" x14ac:dyDescent="0.2">
      <c r="C478">
        <v>1453</v>
      </c>
      <c r="D478">
        <v>1453</v>
      </c>
      <c r="E478">
        <v>1</v>
      </c>
      <c r="F478" t="s">
        <v>1838</v>
      </c>
      <c r="G478" t="s">
        <v>1839</v>
      </c>
      <c r="H478" t="s">
        <v>1840</v>
      </c>
      <c r="I478">
        <v>5</v>
      </c>
      <c r="J478">
        <v>5</v>
      </c>
      <c r="K478">
        <v>100</v>
      </c>
      <c r="L478">
        <v>85</v>
      </c>
      <c r="M478">
        <v>75</v>
      </c>
      <c r="N478">
        <v>190</v>
      </c>
      <c r="O478">
        <v>238</v>
      </c>
      <c r="P478">
        <v>100</v>
      </c>
      <c r="Q478">
        <v>125</v>
      </c>
      <c r="R478">
        <v>100</v>
      </c>
      <c r="S478">
        <v>125</v>
      </c>
    </row>
    <row r="479" spans="3:19" x14ac:dyDescent="0.2">
      <c r="C479">
        <v>1454</v>
      </c>
      <c r="D479">
        <v>1454</v>
      </c>
      <c r="E479">
        <v>1</v>
      </c>
      <c r="F479" t="s">
        <v>1841</v>
      </c>
      <c r="G479" t="s">
        <v>1842</v>
      </c>
      <c r="H479" t="s">
        <v>1843</v>
      </c>
      <c r="I479">
        <v>5</v>
      </c>
      <c r="J479">
        <v>5</v>
      </c>
      <c r="K479">
        <v>100</v>
      </c>
      <c r="L479">
        <v>85</v>
      </c>
      <c r="M479">
        <v>75</v>
      </c>
      <c r="N479">
        <v>190</v>
      </c>
      <c r="O479">
        <v>237</v>
      </c>
      <c r="P479">
        <v>100</v>
      </c>
      <c r="Q479">
        <v>125</v>
      </c>
      <c r="R479">
        <v>100</v>
      </c>
      <c r="S479">
        <v>125</v>
      </c>
    </row>
    <row r="480" spans="3:19" x14ac:dyDescent="0.2">
      <c r="C480">
        <v>1455</v>
      </c>
      <c r="D480">
        <v>1455</v>
      </c>
      <c r="E480">
        <v>1</v>
      </c>
      <c r="F480" t="s">
        <v>1844</v>
      </c>
      <c r="G480" t="s">
        <v>1842</v>
      </c>
      <c r="H480" t="s">
        <v>1845</v>
      </c>
      <c r="I480">
        <v>5</v>
      </c>
      <c r="J480">
        <v>5</v>
      </c>
      <c r="K480">
        <v>100</v>
      </c>
      <c r="L480">
        <v>85</v>
      </c>
      <c r="M480">
        <v>75</v>
      </c>
      <c r="N480">
        <v>189</v>
      </c>
      <c r="O480">
        <v>237</v>
      </c>
      <c r="P480">
        <v>100</v>
      </c>
      <c r="Q480">
        <v>125</v>
      </c>
      <c r="R480">
        <v>100</v>
      </c>
      <c r="S480">
        <v>125</v>
      </c>
    </row>
    <row r="481" spans="3:19" x14ac:dyDescent="0.2">
      <c r="C481">
        <v>1456</v>
      </c>
      <c r="D481">
        <v>1456</v>
      </c>
      <c r="E481">
        <v>1</v>
      </c>
      <c r="F481" t="s">
        <v>1846</v>
      </c>
      <c r="G481" t="s">
        <v>1842</v>
      </c>
      <c r="H481" t="s">
        <v>1847</v>
      </c>
      <c r="I481">
        <v>5</v>
      </c>
      <c r="J481">
        <v>5</v>
      </c>
      <c r="K481">
        <v>100</v>
      </c>
      <c r="L481">
        <v>85</v>
      </c>
      <c r="M481">
        <v>75</v>
      </c>
      <c r="N481">
        <v>190</v>
      </c>
      <c r="O481">
        <v>237</v>
      </c>
      <c r="P481">
        <v>100</v>
      </c>
      <c r="Q481">
        <v>125</v>
      </c>
      <c r="R481">
        <v>100</v>
      </c>
      <c r="S481">
        <v>125</v>
      </c>
    </row>
    <row r="482" spans="3:19" x14ac:dyDescent="0.2">
      <c r="C482">
        <v>1457</v>
      </c>
      <c r="D482">
        <v>1457</v>
      </c>
      <c r="E482">
        <v>1</v>
      </c>
      <c r="F482" t="s">
        <v>1846</v>
      </c>
      <c r="G482" t="s">
        <v>1842</v>
      </c>
      <c r="H482" t="s">
        <v>1848</v>
      </c>
      <c r="I482">
        <v>5</v>
      </c>
      <c r="J482">
        <v>5</v>
      </c>
      <c r="K482">
        <v>100</v>
      </c>
      <c r="L482">
        <v>85</v>
      </c>
      <c r="M482">
        <v>75</v>
      </c>
      <c r="N482">
        <v>190</v>
      </c>
      <c r="O482">
        <v>237</v>
      </c>
      <c r="P482">
        <v>100</v>
      </c>
      <c r="Q482">
        <v>125</v>
      </c>
      <c r="R482">
        <v>100</v>
      </c>
      <c r="S482">
        <v>125</v>
      </c>
    </row>
    <row r="483" spans="3:19" x14ac:dyDescent="0.2">
      <c r="C483">
        <v>1458</v>
      </c>
      <c r="D483">
        <v>1458</v>
      </c>
      <c r="E483">
        <v>1</v>
      </c>
      <c r="F483" t="s">
        <v>1849</v>
      </c>
      <c r="G483" t="s">
        <v>1842</v>
      </c>
      <c r="H483" t="s">
        <v>1850</v>
      </c>
      <c r="I483">
        <v>5</v>
      </c>
      <c r="J483">
        <v>5</v>
      </c>
      <c r="K483">
        <v>100</v>
      </c>
      <c r="L483">
        <v>85</v>
      </c>
      <c r="M483">
        <v>75</v>
      </c>
      <c r="N483">
        <v>190</v>
      </c>
      <c r="O483">
        <v>237</v>
      </c>
      <c r="P483">
        <v>100</v>
      </c>
      <c r="Q483">
        <v>125</v>
      </c>
      <c r="R483">
        <v>100</v>
      </c>
      <c r="S483">
        <v>125</v>
      </c>
    </row>
    <row r="484" spans="3:19" x14ac:dyDescent="0.2">
      <c r="C484">
        <v>1459</v>
      </c>
      <c r="D484">
        <v>1459</v>
      </c>
      <c r="E484">
        <v>1</v>
      </c>
      <c r="F484" t="s">
        <v>1851</v>
      </c>
      <c r="G484" t="s">
        <v>1842</v>
      </c>
      <c r="H484" t="s">
        <v>1852</v>
      </c>
      <c r="I484">
        <v>5</v>
      </c>
      <c r="J484">
        <v>5</v>
      </c>
      <c r="K484">
        <v>100</v>
      </c>
      <c r="L484">
        <v>85</v>
      </c>
      <c r="M484">
        <v>75</v>
      </c>
      <c r="N484">
        <v>190</v>
      </c>
      <c r="O484">
        <v>236</v>
      </c>
      <c r="P484">
        <v>100</v>
      </c>
      <c r="Q484">
        <v>125</v>
      </c>
      <c r="R484">
        <v>100</v>
      </c>
      <c r="S484">
        <v>125</v>
      </c>
    </row>
    <row r="485" spans="3:19" x14ac:dyDescent="0.2">
      <c r="C485">
        <v>1460</v>
      </c>
      <c r="D485">
        <v>1460</v>
      </c>
      <c r="E485">
        <v>1</v>
      </c>
      <c r="F485" t="s">
        <v>1849</v>
      </c>
      <c r="G485" t="s">
        <v>1842</v>
      </c>
      <c r="H485" t="s">
        <v>1853</v>
      </c>
      <c r="I485">
        <v>5</v>
      </c>
      <c r="J485">
        <v>5</v>
      </c>
      <c r="K485">
        <v>100</v>
      </c>
      <c r="L485">
        <v>85</v>
      </c>
      <c r="M485">
        <v>75</v>
      </c>
      <c r="N485">
        <v>190</v>
      </c>
      <c r="O485">
        <v>237</v>
      </c>
      <c r="P485">
        <v>100</v>
      </c>
      <c r="Q485">
        <v>125</v>
      </c>
      <c r="R485">
        <v>100</v>
      </c>
      <c r="S485">
        <v>125</v>
      </c>
    </row>
    <row r="486" spans="3:19" x14ac:dyDescent="0.2">
      <c r="C486">
        <v>1461</v>
      </c>
      <c r="D486">
        <v>1461</v>
      </c>
      <c r="E486">
        <v>1</v>
      </c>
      <c r="F486" t="s">
        <v>1854</v>
      </c>
      <c r="G486" t="s">
        <v>1855</v>
      </c>
      <c r="H486" t="s">
        <v>1856</v>
      </c>
      <c r="I486">
        <v>5</v>
      </c>
      <c r="J486">
        <v>5</v>
      </c>
      <c r="K486">
        <v>100</v>
      </c>
      <c r="L486">
        <v>85</v>
      </c>
      <c r="M486">
        <v>75</v>
      </c>
      <c r="N486">
        <v>38</v>
      </c>
      <c r="O486">
        <v>57</v>
      </c>
      <c r="P486">
        <v>20</v>
      </c>
      <c r="Q486">
        <v>40</v>
      </c>
      <c r="R486">
        <v>20</v>
      </c>
      <c r="S486">
        <v>40</v>
      </c>
    </row>
    <row r="487" spans="3:19" x14ac:dyDescent="0.2">
      <c r="C487">
        <v>1462</v>
      </c>
      <c r="D487">
        <v>1462</v>
      </c>
      <c r="E487">
        <v>1</v>
      </c>
      <c r="F487" t="s">
        <v>1857</v>
      </c>
      <c r="G487" t="s">
        <v>1858</v>
      </c>
      <c r="H487" t="s">
        <v>1859</v>
      </c>
      <c r="I487">
        <v>5</v>
      </c>
      <c r="J487">
        <v>5</v>
      </c>
      <c r="K487">
        <v>100</v>
      </c>
      <c r="L487">
        <v>85</v>
      </c>
      <c r="M487">
        <v>75</v>
      </c>
      <c r="N487">
        <v>39</v>
      </c>
      <c r="O487">
        <v>58</v>
      </c>
      <c r="P487">
        <v>20</v>
      </c>
      <c r="Q487">
        <v>40</v>
      </c>
      <c r="R487">
        <v>20</v>
      </c>
      <c r="S487">
        <v>40</v>
      </c>
    </row>
    <row r="488" spans="3:19" x14ac:dyDescent="0.2">
      <c r="C488">
        <v>1463</v>
      </c>
      <c r="D488">
        <v>1463</v>
      </c>
      <c r="E488">
        <v>1</v>
      </c>
      <c r="F488" t="s">
        <v>1860</v>
      </c>
      <c r="G488" t="s">
        <v>1861</v>
      </c>
      <c r="H488" t="s">
        <v>1862</v>
      </c>
      <c r="I488">
        <v>5</v>
      </c>
      <c r="J488">
        <v>5</v>
      </c>
      <c r="K488">
        <v>100</v>
      </c>
      <c r="L488">
        <v>85</v>
      </c>
      <c r="M488">
        <v>75</v>
      </c>
      <c r="N488">
        <v>38</v>
      </c>
      <c r="O488">
        <v>57</v>
      </c>
      <c r="P488">
        <v>20</v>
      </c>
      <c r="Q488">
        <v>40</v>
      </c>
      <c r="R488">
        <v>20</v>
      </c>
      <c r="S488">
        <v>40</v>
      </c>
    </row>
    <row r="489" spans="3:19" x14ac:dyDescent="0.2">
      <c r="C489">
        <v>1464</v>
      </c>
      <c r="D489">
        <v>1464</v>
      </c>
      <c r="E489">
        <v>1</v>
      </c>
      <c r="F489" t="s">
        <v>1863</v>
      </c>
      <c r="G489" t="s">
        <v>1864</v>
      </c>
      <c r="H489" t="s">
        <v>1865</v>
      </c>
      <c r="I489">
        <v>5</v>
      </c>
      <c r="J489">
        <v>5</v>
      </c>
      <c r="K489">
        <v>100</v>
      </c>
      <c r="L489">
        <v>85</v>
      </c>
      <c r="M489">
        <v>75</v>
      </c>
      <c r="N489">
        <v>38</v>
      </c>
      <c r="O489">
        <v>57</v>
      </c>
      <c r="P489">
        <v>20</v>
      </c>
      <c r="Q489">
        <v>40</v>
      </c>
      <c r="R489">
        <v>20</v>
      </c>
      <c r="S489">
        <v>40</v>
      </c>
    </row>
    <row r="490" spans="3:19" x14ac:dyDescent="0.2">
      <c r="C490">
        <v>1465</v>
      </c>
      <c r="D490">
        <v>1465</v>
      </c>
      <c r="E490">
        <v>1</v>
      </c>
      <c r="F490" t="s">
        <v>1866</v>
      </c>
      <c r="G490" t="s">
        <v>1867</v>
      </c>
      <c r="H490" t="s">
        <v>1868</v>
      </c>
      <c r="I490">
        <v>5</v>
      </c>
      <c r="J490">
        <v>5</v>
      </c>
      <c r="K490">
        <v>100</v>
      </c>
      <c r="L490">
        <v>85</v>
      </c>
      <c r="M490">
        <v>75</v>
      </c>
      <c r="N490">
        <v>39</v>
      </c>
      <c r="O490">
        <v>57</v>
      </c>
      <c r="P490">
        <v>20</v>
      </c>
      <c r="Q490">
        <v>40</v>
      </c>
      <c r="R490">
        <v>20</v>
      </c>
      <c r="S490">
        <v>40</v>
      </c>
    </row>
    <row r="491" spans="3:19" x14ac:dyDescent="0.2">
      <c r="C491">
        <v>1466</v>
      </c>
      <c r="D491">
        <v>1466</v>
      </c>
      <c r="E491">
        <v>1</v>
      </c>
      <c r="F491" t="s">
        <v>1860</v>
      </c>
      <c r="G491" t="s">
        <v>1861</v>
      </c>
      <c r="H491" t="s">
        <v>1869</v>
      </c>
      <c r="I491">
        <v>5</v>
      </c>
      <c r="J491">
        <v>5</v>
      </c>
      <c r="K491">
        <v>100</v>
      </c>
      <c r="L491">
        <v>85</v>
      </c>
      <c r="M491">
        <v>75</v>
      </c>
      <c r="N491">
        <v>38</v>
      </c>
      <c r="O491">
        <v>58</v>
      </c>
      <c r="P491">
        <v>20</v>
      </c>
      <c r="Q491">
        <v>40</v>
      </c>
      <c r="R491">
        <v>20</v>
      </c>
      <c r="S491">
        <v>40</v>
      </c>
    </row>
    <row r="492" spans="3:19" x14ac:dyDescent="0.2">
      <c r="C492">
        <v>1467</v>
      </c>
      <c r="D492">
        <v>1467</v>
      </c>
      <c r="E492">
        <v>1</v>
      </c>
      <c r="F492" t="s">
        <v>1863</v>
      </c>
      <c r="G492" t="s">
        <v>1864</v>
      </c>
      <c r="H492" t="s">
        <v>1870</v>
      </c>
      <c r="I492">
        <v>5</v>
      </c>
      <c r="J492">
        <v>5</v>
      </c>
      <c r="K492">
        <v>100</v>
      </c>
      <c r="L492">
        <v>85</v>
      </c>
      <c r="M492">
        <v>75</v>
      </c>
      <c r="N492">
        <v>39</v>
      </c>
      <c r="O492">
        <v>58</v>
      </c>
      <c r="P492">
        <v>20</v>
      </c>
      <c r="Q492">
        <v>40</v>
      </c>
      <c r="R492">
        <v>20</v>
      </c>
      <c r="S492">
        <v>40</v>
      </c>
    </row>
    <row r="493" spans="3:19" x14ac:dyDescent="0.2">
      <c r="C493">
        <v>1468</v>
      </c>
      <c r="D493">
        <v>1468</v>
      </c>
      <c r="E493">
        <v>1</v>
      </c>
      <c r="F493" t="s">
        <v>1866</v>
      </c>
      <c r="G493" t="s">
        <v>1867</v>
      </c>
      <c r="H493" t="s">
        <v>1871</v>
      </c>
      <c r="I493">
        <v>5</v>
      </c>
      <c r="J493">
        <v>5</v>
      </c>
      <c r="K493">
        <v>100</v>
      </c>
      <c r="L493">
        <v>85</v>
      </c>
      <c r="M493">
        <v>75</v>
      </c>
      <c r="N493">
        <v>39</v>
      </c>
      <c r="O493">
        <v>57</v>
      </c>
      <c r="P493">
        <v>20</v>
      </c>
      <c r="Q493">
        <v>40</v>
      </c>
      <c r="R493">
        <v>20</v>
      </c>
      <c r="S493">
        <v>40</v>
      </c>
    </row>
    <row r="494" spans="3:19" x14ac:dyDescent="0.2">
      <c r="C494">
        <v>1469</v>
      </c>
      <c r="D494">
        <v>1469</v>
      </c>
      <c r="E494">
        <v>1</v>
      </c>
      <c r="F494" t="s">
        <v>1872</v>
      </c>
      <c r="G494" t="s">
        <v>1873</v>
      </c>
      <c r="H494" t="s">
        <v>1874</v>
      </c>
      <c r="I494">
        <v>5</v>
      </c>
      <c r="J494">
        <v>5</v>
      </c>
      <c r="K494">
        <v>100</v>
      </c>
      <c r="L494">
        <v>85</v>
      </c>
      <c r="M494">
        <v>75</v>
      </c>
      <c r="N494">
        <v>96</v>
      </c>
      <c r="O494">
        <v>152</v>
      </c>
      <c r="P494">
        <v>60</v>
      </c>
      <c r="Q494">
        <v>90</v>
      </c>
      <c r="R494">
        <v>60</v>
      </c>
      <c r="S494">
        <v>90</v>
      </c>
    </row>
    <row r="495" spans="3:19" x14ac:dyDescent="0.2">
      <c r="C495">
        <v>1470</v>
      </c>
      <c r="D495">
        <v>1470</v>
      </c>
      <c r="E495">
        <v>1</v>
      </c>
      <c r="F495" t="s">
        <v>1875</v>
      </c>
      <c r="G495" t="s">
        <v>1876</v>
      </c>
      <c r="H495" t="s">
        <v>1877</v>
      </c>
      <c r="I495">
        <v>5</v>
      </c>
      <c r="J495">
        <v>5</v>
      </c>
      <c r="K495">
        <v>100</v>
      </c>
      <c r="L495">
        <v>85</v>
      </c>
      <c r="M495">
        <v>75</v>
      </c>
      <c r="N495">
        <v>95</v>
      </c>
      <c r="O495">
        <v>152</v>
      </c>
      <c r="P495">
        <v>60</v>
      </c>
      <c r="Q495">
        <v>90</v>
      </c>
      <c r="R495">
        <v>60</v>
      </c>
      <c r="S495">
        <v>90</v>
      </c>
    </row>
    <row r="496" spans="3:19" x14ac:dyDescent="0.2">
      <c r="C496">
        <v>1471</v>
      </c>
      <c r="D496">
        <v>1471</v>
      </c>
      <c r="E496">
        <v>1</v>
      </c>
      <c r="F496" t="s">
        <v>1878</v>
      </c>
      <c r="G496" t="s">
        <v>1879</v>
      </c>
      <c r="H496" t="s">
        <v>1880</v>
      </c>
      <c r="I496">
        <v>5</v>
      </c>
      <c r="J496">
        <v>5</v>
      </c>
      <c r="K496">
        <v>100</v>
      </c>
      <c r="L496">
        <v>85</v>
      </c>
      <c r="M496">
        <v>75</v>
      </c>
      <c r="N496">
        <v>95</v>
      </c>
      <c r="O496">
        <v>152</v>
      </c>
      <c r="P496">
        <v>60</v>
      </c>
      <c r="Q496">
        <v>90</v>
      </c>
      <c r="R496">
        <v>60</v>
      </c>
      <c r="S496">
        <v>90</v>
      </c>
    </row>
    <row r="497" spans="3:19" x14ac:dyDescent="0.2">
      <c r="C497">
        <v>1472</v>
      </c>
      <c r="D497">
        <v>1472</v>
      </c>
      <c r="E497">
        <v>1</v>
      </c>
      <c r="F497" t="s">
        <v>1881</v>
      </c>
      <c r="G497" t="s">
        <v>1882</v>
      </c>
      <c r="H497" t="s">
        <v>1883</v>
      </c>
      <c r="I497">
        <v>5</v>
      </c>
      <c r="J497">
        <v>5</v>
      </c>
      <c r="K497">
        <v>100</v>
      </c>
      <c r="L497">
        <v>85</v>
      </c>
      <c r="M497">
        <v>75</v>
      </c>
      <c r="N497">
        <v>96</v>
      </c>
      <c r="O497">
        <v>152</v>
      </c>
      <c r="P497">
        <v>60</v>
      </c>
      <c r="Q497">
        <v>90</v>
      </c>
      <c r="R497">
        <v>60</v>
      </c>
      <c r="S497">
        <v>90</v>
      </c>
    </row>
    <row r="498" spans="3:19" x14ac:dyDescent="0.2">
      <c r="C498">
        <v>1473</v>
      </c>
      <c r="D498">
        <v>1473</v>
      </c>
      <c r="E498">
        <v>1</v>
      </c>
      <c r="F498" t="s">
        <v>1884</v>
      </c>
      <c r="G498" t="s">
        <v>1882</v>
      </c>
      <c r="H498" t="s">
        <v>1885</v>
      </c>
      <c r="I498">
        <v>5</v>
      </c>
      <c r="J498">
        <v>5</v>
      </c>
      <c r="K498">
        <v>100</v>
      </c>
      <c r="L498">
        <v>85</v>
      </c>
      <c r="M498">
        <v>75</v>
      </c>
      <c r="N498">
        <v>95</v>
      </c>
      <c r="O498">
        <v>152</v>
      </c>
      <c r="P498">
        <v>60</v>
      </c>
      <c r="Q498">
        <v>90</v>
      </c>
      <c r="R498">
        <v>60</v>
      </c>
      <c r="S498">
        <v>90</v>
      </c>
    </row>
    <row r="499" spans="3:19" x14ac:dyDescent="0.2">
      <c r="C499">
        <v>1474</v>
      </c>
      <c r="D499">
        <v>1474</v>
      </c>
      <c r="E499">
        <v>1</v>
      </c>
      <c r="F499" t="s">
        <v>1886</v>
      </c>
      <c r="G499" t="s">
        <v>1887</v>
      </c>
      <c r="H499" t="s">
        <v>1888</v>
      </c>
      <c r="I499">
        <v>5</v>
      </c>
      <c r="J499">
        <v>5</v>
      </c>
      <c r="K499">
        <v>100</v>
      </c>
      <c r="L499">
        <v>85</v>
      </c>
      <c r="M499">
        <v>75</v>
      </c>
      <c r="N499">
        <v>96</v>
      </c>
      <c r="O499">
        <v>152</v>
      </c>
      <c r="P499">
        <v>60</v>
      </c>
      <c r="Q499">
        <v>90</v>
      </c>
      <c r="R499">
        <v>60</v>
      </c>
      <c r="S499">
        <v>90</v>
      </c>
    </row>
    <row r="500" spans="3:19" x14ac:dyDescent="0.2">
      <c r="C500">
        <v>1475</v>
      </c>
      <c r="D500">
        <v>1475</v>
      </c>
      <c r="E500">
        <v>1</v>
      </c>
      <c r="F500" t="s">
        <v>1889</v>
      </c>
      <c r="G500" t="s">
        <v>1890</v>
      </c>
      <c r="H500" t="s">
        <v>1891</v>
      </c>
      <c r="I500">
        <v>5</v>
      </c>
      <c r="J500">
        <v>5</v>
      </c>
      <c r="K500">
        <v>100</v>
      </c>
      <c r="L500">
        <v>85</v>
      </c>
      <c r="M500">
        <v>75</v>
      </c>
      <c r="N500">
        <v>95</v>
      </c>
      <c r="O500">
        <v>152</v>
      </c>
      <c r="P500">
        <v>60</v>
      </c>
      <c r="Q500">
        <v>90</v>
      </c>
      <c r="R500">
        <v>60</v>
      </c>
      <c r="S500">
        <v>90</v>
      </c>
    </row>
    <row r="501" spans="3:19" x14ac:dyDescent="0.2">
      <c r="C501">
        <v>1476</v>
      </c>
      <c r="D501">
        <v>1476</v>
      </c>
      <c r="E501">
        <v>1</v>
      </c>
      <c r="F501" t="s">
        <v>1892</v>
      </c>
      <c r="G501" t="s">
        <v>1893</v>
      </c>
      <c r="H501" t="s">
        <v>1894</v>
      </c>
      <c r="I501">
        <v>5</v>
      </c>
      <c r="J501">
        <v>5</v>
      </c>
      <c r="K501">
        <v>100</v>
      </c>
      <c r="L501">
        <v>85</v>
      </c>
      <c r="M501">
        <v>75</v>
      </c>
      <c r="N501">
        <v>95</v>
      </c>
      <c r="O501">
        <v>152</v>
      </c>
      <c r="P501">
        <v>60</v>
      </c>
      <c r="Q501">
        <v>90</v>
      </c>
      <c r="R501">
        <v>60</v>
      </c>
      <c r="S501">
        <v>90</v>
      </c>
    </row>
    <row r="502" spans="3:19" x14ac:dyDescent="0.2">
      <c r="C502">
        <v>1477</v>
      </c>
      <c r="D502">
        <v>1477</v>
      </c>
      <c r="E502">
        <v>1</v>
      </c>
      <c r="F502" t="s">
        <v>1895</v>
      </c>
      <c r="G502" t="s">
        <v>1893</v>
      </c>
      <c r="H502" t="s">
        <v>1896</v>
      </c>
      <c r="I502">
        <v>5</v>
      </c>
      <c r="J502">
        <v>5</v>
      </c>
      <c r="K502">
        <v>100</v>
      </c>
      <c r="L502">
        <v>85</v>
      </c>
      <c r="M502">
        <v>75</v>
      </c>
      <c r="N502">
        <v>96</v>
      </c>
      <c r="O502">
        <v>152</v>
      </c>
      <c r="P502">
        <v>60</v>
      </c>
      <c r="Q502">
        <v>90</v>
      </c>
      <c r="R502">
        <v>60</v>
      </c>
      <c r="S502">
        <v>90</v>
      </c>
    </row>
    <row r="503" spans="3:19" x14ac:dyDescent="0.2">
      <c r="C503">
        <v>1478</v>
      </c>
      <c r="D503">
        <v>1478</v>
      </c>
      <c r="E503">
        <v>1</v>
      </c>
      <c r="F503" t="s">
        <v>1897</v>
      </c>
      <c r="G503" t="s">
        <v>1898</v>
      </c>
      <c r="H503" t="s">
        <v>1899</v>
      </c>
      <c r="I503">
        <v>5</v>
      </c>
      <c r="J503">
        <v>5</v>
      </c>
      <c r="K503">
        <v>100</v>
      </c>
      <c r="L503">
        <v>85</v>
      </c>
      <c r="M503">
        <v>75</v>
      </c>
      <c r="N503">
        <v>95</v>
      </c>
      <c r="O503">
        <v>152</v>
      </c>
      <c r="P503">
        <v>60</v>
      </c>
      <c r="Q503">
        <v>90</v>
      </c>
      <c r="R503">
        <v>60</v>
      </c>
      <c r="S503">
        <v>90</v>
      </c>
    </row>
    <row r="504" spans="3:19" x14ac:dyDescent="0.2">
      <c r="C504">
        <v>1479</v>
      </c>
      <c r="D504">
        <v>1479</v>
      </c>
      <c r="E504">
        <v>1</v>
      </c>
      <c r="F504" t="s">
        <v>1900</v>
      </c>
      <c r="G504" t="s">
        <v>1901</v>
      </c>
      <c r="H504" t="s">
        <v>1902</v>
      </c>
      <c r="I504">
        <v>8</v>
      </c>
      <c r="J504">
        <v>5</v>
      </c>
      <c r="K504">
        <v>100</v>
      </c>
      <c r="L504">
        <v>100</v>
      </c>
      <c r="M504">
        <v>100</v>
      </c>
      <c r="N504">
        <v>380</v>
      </c>
      <c r="O504">
        <v>380</v>
      </c>
      <c r="P504">
        <v>150</v>
      </c>
      <c r="Q504">
        <v>190</v>
      </c>
      <c r="R504">
        <v>150</v>
      </c>
      <c r="S504">
        <v>190</v>
      </c>
    </row>
    <row r="505" spans="3:19" x14ac:dyDescent="0.2">
      <c r="C505">
        <v>1480</v>
      </c>
      <c r="D505">
        <v>1480</v>
      </c>
      <c r="E505">
        <v>1</v>
      </c>
      <c r="F505" t="s">
        <v>1903</v>
      </c>
      <c r="G505" t="s">
        <v>1904</v>
      </c>
      <c r="H505" t="s">
        <v>1905</v>
      </c>
      <c r="I505">
        <v>8</v>
      </c>
      <c r="J505">
        <v>5</v>
      </c>
      <c r="K505">
        <v>100</v>
      </c>
      <c r="L505">
        <v>100</v>
      </c>
      <c r="M505">
        <v>100</v>
      </c>
      <c r="N505">
        <v>379</v>
      </c>
      <c r="O505">
        <v>379</v>
      </c>
      <c r="P505">
        <v>150</v>
      </c>
      <c r="Q505">
        <v>190</v>
      </c>
      <c r="R505">
        <v>150</v>
      </c>
      <c r="S505">
        <v>190</v>
      </c>
    </row>
    <row r="506" spans="3:19" x14ac:dyDescent="0.2">
      <c r="C506">
        <v>1481</v>
      </c>
      <c r="D506">
        <v>1481</v>
      </c>
      <c r="E506">
        <v>1</v>
      </c>
      <c r="F506" t="s">
        <v>1906</v>
      </c>
      <c r="G506" t="s">
        <v>1907</v>
      </c>
      <c r="H506" t="s">
        <v>1908</v>
      </c>
      <c r="I506">
        <v>8</v>
      </c>
      <c r="J506">
        <v>5</v>
      </c>
      <c r="K506">
        <v>100</v>
      </c>
      <c r="L506">
        <v>100</v>
      </c>
      <c r="M506">
        <v>100</v>
      </c>
      <c r="N506">
        <v>379</v>
      </c>
      <c r="O506">
        <v>379</v>
      </c>
      <c r="P506">
        <v>150</v>
      </c>
      <c r="Q506">
        <v>190</v>
      </c>
      <c r="R506">
        <v>150</v>
      </c>
      <c r="S506">
        <v>190</v>
      </c>
    </row>
    <row r="507" spans="3:19" x14ac:dyDescent="0.2">
      <c r="C507">
        <v>1482</v>
      </c>
      <c r="D507">
        <v>1482</v>
      </c>
      <c r="E507">
        <v>1</v>
      </c>
      <c r="F507" t="s">
        <v>1909</v>
      </c>
      <c r="G507" t="s">
        <v>1910</v>
      </c>
      <c r="H507" t="s">
        <v>1911</v>
      </c>
      <c r="I507">
        <v>8</v>
      </c>
      <c r="J507">
        <v>5</v>
      </c>
      <c r="K507">
        <v>100</v>
      </c>
      <c r="L507">
        <v>100</v>
      </c>
      <c r="M507">
        <v>100</v>
      </c>
      <c r="N507">
        <v>379</v>
      </c>
      <c r="O507">
        <v>379</v>
      </c>
      <c r="P507">
        <v>150</v>
      </c>
      <c r="Q507">
        <v>190</v>
      </c>
      <c r="R507">
        <v>150</v>
      </c>
      <c r="S507">
        <v>190</v>
      </c>
    </row>
    <row r="508" spans="3:19" x14ac:dyDescent="0.2">
      <c r="C508">
        <v>1483</v>
      </c>
      <c r="D508">
        <v>1483</v>
      </c>
      <c r="E508">
        <v>1</v>
      </c>
      <c r="F508" t="s">
        <v>1912</v>
      </c>
      <c r="G508" t="s">
        <v>1913</v>
      </c>
      <c r="H508" t="s">
        <v>1914</v>
      </c>
      <c r="I508">
        <v>5</v>
      </c>
      <c r="J508">
        <v>5</v>
      </c>
      <c r="K508">
        <v>100</v>
      </c>
      <c r="L508">
        <v>100</v>
      </c>
      <c r="M508">
        <v>100</v>
      </c>
      <c r="N508">
        <v>379</v>
      </c>
      <c r="O508">
        <v>379</v>
      </c>
      <c r="P508">
        <v>150</v>
      </c>
      <c r="Q508">
        <v>190</v>
      </c>
      <c r="R508">
        <v>150</v>
      </c>
      <c r="S508">
        <v>190</v>
      </c>
    </row>
    <row r="509" spans="3:19" x14ac:dyDescent="0.2">
      <c r="C509">
        <v>1484</v>
      </c>
      <c r="D509">
        <v>1484</v>
      </c>
      <c r="E509">
        <v>1</v>
      </c>
      <c r="F509" t="s">
        <v>1546</v>
      </c>
      <c r="G509" t="s">
        <v>1915</v>
      </c>
      <c r="H509" t="s">
        <v>1916</v>
      </c>
      <c r="I509">
        <v>0</v>
      </c>
      <c r="J509">
        <v>5</v>
      </c>
      <c r="N509">
        <v>151</v>
      </c>
      <c r="O509">
        <v>106</v>
      </c>
      <c r="P509">
        <v>50</v>
      </c>
      <c r="Q509">
        <v>90</v>
      </c>
      <c r="R509">
        <v>50</v>
      </c>
      <c r="S509">
        <v>90</v>
      </c>
    </row>
    <row r="510" spans="3:19" x14ac:dyDescent="0.2">
      <c r="C510">
        <v>1485</v>
      </c>
      <c r="D510">
        <v>1485</v>
      </c>
      <c r="E510">
        <v>1</v>
      </c>
      <c r="F510" t="s">
        <v>1546</v>
      </c>
      <c r="G510" t="s">
        <v>1915</v>
      </c>
      <c r="H510" t="s">
        <v>1916</v>
      </c>
      <c r="I510">
        <v>0</v>
      </c>
      <c r="J510">
        <v>5</v>
      </c>
      <c r="N510">
        <v>67</v>
      </c>
      <c r="O510">
        <v>107</v>
      </c>
      <c r="P510">
        <v>50</v>
      </c>
      <c r="Q510">
        <v>90</v>
      </c>
      <c r="R510">
        <v>50</v>
      </c>
      <c r="S510">
        <v>90</v>
      </c>
    </row>
    <row r="511" spans="3:19" x14ac:dyDescent="0.2">
      <c r="C511">
        <v>1486</v>
      </c>
      <c r="D511">
        <v>1486</v>
      </c>
      <c r="E511">
        <v>1</v>
      </c>
      <c r="F511" t="s">
        <v>1546</v>
      </c>
      <c r="G511" t="s">
        <v>1915</v>
      </c>
      <c r="H511" t="s">
        <v>1916</v>
      </c>
      <c r="I511">
        <v>0</v>
      </c>
      <c r="J511">
        <v>5</v>
      </c>
      <c r="N511">
        <v>67</v>
      </c>
      <c r="O511">
        <v>107</v>
      </c>
      <c r="P511">
        <v>50</v>
      </c>
      <c r="Q511">
        <v>90</v>
      </c>
      <c r="R511">
        <v>50</v>
      </c>
      <c r="S511">
        <v>90</v>
      </c>
    </row>
    <row r="512" spans="3:19" x14ac:dyDescent="0.2">
      <c r="C512">
        <v>1487</v>
      </c>
      <c r="D512">
        <v>1487</v>
      </c>
      <c r="E512">
        <v>1</v>
      </c>
      <c r="F512" t="s">
        <v>1546</v>
      </c>
      <c r="G512" t="s">
        <v>1915</v>
      </c>
      <c r="H512" t="s">
        <v>1916</v>
      </c>
      <c r="I512">
        <v>0</v>
      </c>
      <c r="J512">
        <v>5</v>
      </c>
      <c r="N512">
        <v>67</v>
      </c>
      <c r="O512">
        <v>107</v>
      </c>
      <c r="P512">
        <v>50</v>
      </c>
      <c r="Q512">
        <v>90</v>
      </c>
      <c r="R512">
        <v>50</v>
      </c>
      <c r="S512">
        <v>90</v>
      </c>
    </row>
    <row r="513" spans="3:19" x14ac:dyDescent="0.2">
      <c r="C513">
        <v>1488</v>
      </c>
      <c r="D513">
        <v>1488</v>
      </c>
      <c r="E513">
        <v>1</v>
      </c>
      <c r="F513" t="s">
        <v>1546</v>
      </c>
      <c r="G513" t="s">
        <v>1915</v>
      </c>
      <c r="H513" t="s">
        <v>1916</v>
      </c>
      <c r="I513">
        <v>0</v>
      </c>
      <c r="J513">
        <v>5</v>
      </c>
      <c r="N513">
        <v>67</v>
      </c>
      <c r="O513">
        <v>107</v>
      </c>
      <c r="P513">
        <v>50</v>
      </c>
      <c r="Q513">
        <v>90</v>
      </c>
      <c r="R513">
        <v>50</v>
      </c>
      <c r="S513">
        <v>90</v>
      </c>
    </row>
    <row r="514" spans="3:19" x14ac:dyDescent="0.2">
      <c r="C514">
        <v>1489</v>
      </c>
      <c r="D514">
        <v>1489</v>
      </c>
      <c r="E514">
        <v>1</v>
      </c>
      <c r="F514" t="s">
        <v>1546</v>
      </c>
      <c r="G514" t="s">
        <v>1915</v>
      </c>
      <c r="H514" t="s">
        <v>1916</v>
      </c>
      <c r="I514">
        <v>0</v>
      </c>
      <c r="J514">
        <v>5</v>
      </c>
      <c r="N514">
        <v>67</v>
      </c>
      <c r="O514">
        <v>107</v>
      </c>
      <c r="P514">
        <v>50</v>
      </c>
      <c r="Q514">
        <v>90</v>
      </c>
      <c r="R514">
        <v>50</v>
      </c>
      <c r="S514">
        <v>90</v>
      </c>
    </row>
    <row r="515" spans="3:19" x14ac:dyDescent="0.2">
      <c r="C515">
        <v>1490</v>
      </c>
      <c r="D515">
        <v>1490</v>
      </c>
      <c r="E515">
        <v>1</v>
      </c>
      <c r="F515" t="s">
        <v>1546</v>
      </c>
      <c r="G515" t="s">
        <v>1915</v>
      </c>
      <c r="H515" t="s">
        <v>1916</v>
      </c>
      <c r="I515">
        <v>0</v>
      </c>
      <c r="J515">
        <v>5</v>
      </c>
      <c r="N515">
        <v>67</v>
      </c>
      <c r="O515">
        <v>107</v>
      </c>
      <c r="P515">
        <v>50</v>
      </c>
      <c r="Q515">
        <v>90</v>
      </c>
      <c r="R515">
        <v>50</v>
      </c>
      <c r="S515">
        <v>90</v>
      </c>
    </row>
    <row r="516" spans="3:19" x14ac:dyDescent="0.2">
      <c r="C516">
        <v>1491</v>
      </c>
      <c r="D516">
        <v>1491</v>
      </c>
      <c r="E516">
        <v>1</v>
      </c>
      <c r="F516" t="s">
        <v>1546</v>
      </c>
      <c r="G516" t="s">
        <v>1915</v>
      </c>
      <c r="H516" t="s">
        <v>1916</v>
      </c>
      <c r="I516">
        <v>0</v>
      </c>
      <c r="J516">
        <v>5</v>
      </c>
      <c r="N516">
        <v>67</v>
      </c>
      <c r="O516">
        <v>107</v>
      </c>
      <c r="P516">
        <v>50</v>
      </c>
      <c r="Q516">
        <v>90</v>
      </c>
      <c r="R516">
        <v>50</v>
      </c>
      <c r="S516">
        <v>90</v>
      </c>
    </row>
    <row r="517" spans="3:19" x14ac:dyDescent="0.2">
      <c r="C517">
        <v>1492</v>
      </c>
      <c r="D517">
        <v>1492</v>
      </c>
      <c r="E517">
        <v>1</v>
      </c>
      <c r="F517" t="s">
        <v>1917</v>
      </c>
      <c r="G517" t="s">
        <v>1918</v>
      </c>
      <c r="H517" t="s">
        <v>1919</v>
      </c>
      <c r="I517">
        <v>5</v>
      </c>
      <c r="J517">
        <v>5</v>
      </c>
      <c r="K517">
        <v>100</v>
      </c>
      <c r="L517">
        <v>100</v>
      </c>
      <c r="M517">
        <v>100</v>
      </c>
      <c r="N517">
        <v>45</v>
      </c>
      <c r="O517">
        <v>65</v>
      </c>
      <c r="P517">
        <v>45</v>
      </c>
      <c r="Q517">
        <v>65</v>
      </c>
      <c r="R517">
        <v>45</v>
      </c>
      <c r="S517">
        <v>65</v>
      </c>
    </row>
    <row r="518" spans="3:19" x14ac:dyDescent="0.2">
      <c r="C518">
        <v>1493</v>
      </c>
      <c r="D518">
        <v>1493</v>
      </c>
      <c r="E518">
        <v>1</v>
      </c>
      <c r="F518" t="s">
        <v>1920</v>
      </c>
      <c r="G518" t="s">
        <v>1921</v>
      </c>
      <c r="H518" t="s">
        <v>1922</v>
      </c>
      <c r="I518">
        <v>5</v>
      </c>
      <c r="J518">
        <v>5</v>
      </c>
      <c r="K518">
        <v>100</v>
      </c>
      <c r="L518">
        <v>100</v>
      </c>
      <c r="M518">
        <v>100</v>
      </c>
      <c r="N518">
        <v>45</v>
      </c>
      <c r="O518">
        <v>65</v>
      </c>
      <c r="P518">
        <v>45</v>
      </c>
      <c r="Q518">
        <v>65</v>
      </c>
      <c r="R518">
        <v>45</v>
      </c>
      <c r="S518">
        <v>65</v>
      </c>
    </row>
    <row r="519" spans="3:19" x14ac:dyDescent="0.2">
      <c r="C519">
        <v>1494</v>
      </c>
      <c r="D519">
        <v>1494</v>
      </c>
      <c r="E519">
        <v>1</v>
      </c>
      <c r="F519" t="s">
        <v>1923</v>
      </c>
      <c r="G519" t="s">
        <v>1924</v>
      </c>
      <c r="H519" t="s">
        <v>1925</v>
      </c>
      <c r="I519">
        <v>5</v>
      </c>
      <c r="J519">
        <v>5</v>
      </c>
      <c r="K519">
        <v>100</v>
      </c>
      <c r="L519">
        <v>100</v>
      </c>
      <c r="M519">
        <v>100</v>
      </c>
      <c r="N519">
        <v>45</v>
      </c>
      <c r="O519">
        <v>65</v>
      </c>
      <c r="P519">
        <v>45</v>
      </c>
      <c r="Q519">
        <v>65</v>
      </c>
      <c r="R519">
        <v>45</v>
      </c>
      <c r="S519">
        <v>65</v>
      </c>
    </row>
    <row r="520" spans="3:19" x14ac:dyDescent="0.2">
      <c r="C520">
        <v>1495</v>
      </c>
      <c r="D520">
        <v>1495</v>
      </c>
      <c r="E520">
        <v>1</v>
      </c>
      <c r="F520" t="s">
        <v>1926</v>
      </c>
      <c r="G520" t="s">
        <v>1927</v>
      </c>
      <c r="H520" t="s">
        <v>1928</v>
      </c>
      <c r="I520">
        <v>5</v>
      </c>
      <c r="J520">
        <v>5</v>
      </c>
      <c r="K520">
        <v>100</v>
      </c>
      <c r="L520">
        <v>100</v>
      </c>
      <c r="M520">
        <v>100</v>
      </c>
      <c r="N520">
        <v>45</v>
      </c>
      <c r="O520">
        <v>65</v>
      </c>
      <c r="P520">
        <v>45</v>
      </c>
      <c r="Q520">
        <v>65</v>
      </c>
      <c r="R520">
        <v>45</v>
      </c>
      <c r="S520">
        <v>65</v>
      </c>
    </row>
    <row r="521" spans="3:19" x14ac:dyDescent="0.2">
      <c r="C521">
        <v>1496</v>
      </c>
      <c r="D521">
        <v>1496</v>
      </c>
      <c r="E521">
        <v>1</v>
      </c>
      <c r="F521" t="s">
        <v>1929</v>
      </c>
      <c r="G521" t="s">
        <v>1930</v>
      </c>
      <c r="H521" t="s">
        <v>1931</v>
      </c>
      <c r="I521">
        <v>5</v>
      </c>
      <c r="J521">
        <v>5</v>
      </c>
      <c r="K521">
        <v>100</v>
      </c>
      <c r="L521">
        <v>100</v>
      </c>
      <c r="M521">
        <v>100</v>
      </c>
      <c r="N521">
        <v>45</v>
      </c>
      <c r="O521">
        <v>65</v>
      </c>
      <c r="P521">
        <v>45</v>
      </c>
      <c r="Q521">
        <v>65</v>
      </c>
      <c r="R521">
        <v>45</v>
      </c>
      <c r="S521">
        <v>65</v>
      </c>
    </row>
    <row r="522" spans="3:19" x14ac:dyDescent="0.2">
      <c r="C522">
        <v>1497</v>
      </c>
      <c r="D522">
        <v>1497</v>
      </c>
      <c r="E522">
        <v>1</v>
      </c>
      <c r="F522" t="s">
        <v>1932</v>
      </c>
      <c r="G522" t="s">
        <v>1933</v>
      </c>
      <c r="H522" t="s">
        <v>1934</v>
      </c>
      <c r="I522">
        <v>0</v>
      </c>
      <c r="J522">
        <v>0</v>
      </c>
      <c r="N522">
        <v>191</v>
      </c>
      <c r="O522">
        <v>379</v>
      </c>
      <c r="P522">
        <v>300</v>
      </c>
      <c r="Q522">
        <v>350</v>
      </c>
      <c r="R522">
        <v>300</v>
      </c>
      <c r="S522">
        <v>350</v>
      </c>
    </row>
    <row r="523" spans="3:19" x14ac:dyDescent="0.2">
      <c r="C523">
        <v>1498</v>
      </c>
      <c r="D523">
        <v>1498</v>
      </c>
      <c r="E523">
        <v>1</v>
      </c>
      <c r="F523" t="s">
        <v>1932</v>
      </c>
      <c r="G523" t="s">
        <v>1933</v>
      </c>
      <c r="H523" t="s">
        <v>1934</v>
      </c>
      <c r="I523">
        <v>0</v>
      </c>
      <c r="J523">
        <v>0</v>
      </c>
      <c r="N523">
        <v>191</v>
      </c>
      <c r="O523">
        <v>379</v>
      </c>
      <c r="P523">
        <v>300</v>
      </c>
      <c r="Q523">
        <v>350</v>
      </c>
      <c r="R523">
        <v>300</v>
      </c>
      <c r="S523">
        <v>350</v>
      </c>
    </row>
    <row r="524" spans="3:19" x14ac:dyDescent="0.2">
      <c r="C524">
        <v>1499</v>
      </c>
      <c r="D524">
        <v>1499</v>
      </c>
      <c r="E524">
        <v>1</v>
      </c>
      <c r="F524" t="s">
        <v>1932</v>
      </c>
      <c r="G524" t="s">
        <v>1933</v>
      </c>
      <c r="H524" t="s">
        <v>1934</v>
      </c>
      <c r="I524">
        <v>0</v>
      </c>
      <c r="J524">
        <v>0</v>
      </c>
      <c r="N524">
        <v>190</v>
      </c>
      <c r="O524">
        <v>379</v>
      </c>
      <c r="P524">
        <v>300</v>
      </c>
      <c r="Q524">
        <v>350</v>
      </c>
      <c r="R524">
        <v>300</v>
      </c>
      <c r="S524">
        <v>350</v>
      </c>
    </row>
    <row r="525" spans="3:19" x14ac:dyDescent="0.2">
      <c r="C525">
        <v>1500</v>
      </c>
      <c r="D525">
        <v>1500</v>
      </c>
      <c r="E525">
        <v>1</v>
      </c>
      <c r="F525" t="s">
        <v>1932</v>
      </c>
      <c r="G525" t="s">
        <v>1933</v>
      </c>
      <c r="H525" t="s">
        <v>1934</v>
      </c>
      <c r="I525">
        <v>0</v>
      </c>
      <c r="J525">
        <v>0</v>
      </c>
      <c r="N525">
        <v>191</v>
      </c>
      <c r="O525">
        <v>379</v>
      </c>
      <c r="P525">
        <v>300</v>
      </c>
      <c r="Q525">
        <v>350</v>
      </c>
      <c r="R525">
        <v>300</v>
      </c>
      <c r="S525">
        <v>350</v>
      </c>
    </row>
    <row r="526" spans="3:19" x14ac:dyDescent="0.2">
      <c r="C526">
        <v>1501</v>
      </c>
      <c r="D526">
        <v>1501</v>
      </c>
      <c r="E526">
        <v>1</v>
      </c>
      <c r="F526" t="s">
        <v>1935</v>
      </c>
      <c r="G526" t="s">
        <v>1936</v>
      </c>
      <c r="H526" t="s">
        <v>1937</v>
      </c>
      <c r="I526">
        <v>5</v>
      </c>
      <c r="J526">
        <v>5</v>
      </c>
      <c r="K526">
        <v>100</v>
      </c>
      <c r="L526">
        <v>85</v>
      </c>
      <c r="M526">
        <v>75</v>
      </c>
      <c r="N526">
        <v>285</v>
      </c>
      <c r="O526">
        <v>379</v>
      </c>
      <c r="P526">
        <v>190</v>
      </c>
      <c r="Q526">
        <v>230</v>
      </c>
      <c r="R526">
        <v>190</v>
      </c>
      <c r="S526">
        <v>230</v>
      </c>
    </row>
    <row r="527" spans="3:19" x14ac:dyDescent="0.2">
      <c r="C527">
        <v>1502</v>
      </c>
      <c r="D527">
        <v>1502</v>
      </c>
      <c r="E527">
        <v>1</v>
      </c>
      <c r="F527" t="s">
        <v>1938</v>
      </c>
      <c r="G527" t="s">
        <v>1939</v>
      </c>
      <c r="H527" t="s">
        <v>1940</v>
      </c>
      <c r="I527">
        <v>5</v>
      </c>
      <c r="J527">
        <v>5</v>
      </c>
      <c r="K527">
        <v>100</v>
      </c>
      <c r="L527">
        <v>85</v>
      </c>
      <c r="M527">
        <v>75</v>
      </c>
      <c r="N527">
        <v>284</v>
      </c>
      <c r="O527">
        <v>379</v>
      </c>
      <c r="P527">
        <v>190</v>
      </c>
      <c r="Q527">
        <v>230</v>
      </c>
      <c r="R527">
        <v>190</v>
      </c>
      <c r="S527">
        <v>230</v>
      </c>
    </row>
    <row r="528" spans="3:19" x14ac:dyDescent="0.2">
      <c r="C528">
        <v>1503</v>
      </c>
      <c r="D528">
        <v>1503</v>
      </c>
      <c r="E528">
        <v>1</v>
      </c>
      <c r="F528" t="s">
        <v>1941</v>
      </c>
      <c r="G528" t="s">
        <v>1942</v>
      </c>
      <c r="H528" t="s">
        <v>1943</v>
      </c>
      <c r="I528">
        <v>5</v>
      </c>
      <c r="J528">
        <v>5</v>
      </c>
      <c r="K528">
        <v>100</v>
      </c>
      <c r="L528">
        <v>85</v>
      </c>
      <c r="M528">
        <v>75</v>
      </c>
      <c r="N528">
        <v>284</v>
      </c>
      <c r="O528">
        <v>379</v>
      </c>
      <c r="P528">
        <v>190</v>
      </c>
      <c r="Q528">
        <v>230</v>
      </c>
      <c r="R528">
        <v>190</v>
      </c>
      <c r="S528">
        <v>230</v>
      </c>
    </row>
    <row r="529" spans="3:19" x14ac:dyDescent="0.2">
      <c r="C529">
        <v>1504</v>
      </c>
      <c r="D529">
        <v>1504</v>
      </c>
      <c r="E529">
        <v>1</v>
      </c>
      <c r="F529" t="s">
        <v>1944</v>
      </c>
      <c r="G529" t="s">
        <v>1942</v>
      </c>
      <c r="H529" t="s">
        <v>1945</v>
      </c>
      <c r="I529">
        <v>5</v>
      </c>
      <c r="J529">
        <v>5</v>
      </c>
      <c r="K529">
        <v>100</v>
      </c>
      <c r="L529">
        <v>85</v>
      </c>
      <c r="M529">
        <v>75</v>
      </c>
      <c r="N529">
        <v>285</v>
      </c>
      <c r="O529">
        <v>379</v>
      </c>
      <c r="P529">
        <v>190</v>
      </c>
      <c r="Q529">
        <v>230</v>
      </c>
      <c r="R529">
        <v>190</v>
      </c>
      <c r="S529">
        <v>230</v>
      </c>
    </row>
    <row r="530" spans="3:19" x14ac:dyDescent="0.2">
      <c r="C530">
        <v>1505</v>
      </c>
      <c r="D530">
        <v>1505</v>
      </c>
      <c r="E530">
        <v>1</v>
      </c>
      <c r="F530" t="s">
        <v>1946</v>
      </c>
      <c r="G530" t="s">
        <v>1942</v>
      </c>
      <c r="H530" t="s">
        <v>1947</v>
      </c>
      <c r="I530">
        <v>5</v>
      </c>
      <c r="J530">
        <v>5</v>
      </c>
      <c r="K530">
        <v>100</v>
      </c>
      <c r="L530">
        <v>85</v>
      </c>
      <c r="M530">
        <v>75</v>
      </c>
      <c r="N530">
        <v>284</v>
      </c>
      <c r="O530">
        <v>379</v>
      </c>
      <c r="P530">
        <v>190</v>
      </c>
      <c r="Q530">
        <v>230</v>
      </c>
      <c r="R530">
        <v>190</v>
      </c>
      <c r="S530">
        <v>230</v>
      </c>
    </row>
    <row r="531" spans="3:19" x14ac:dyDescent="0.2">
      <c r="C531">
        <v>1506</v>
      </c>
      <c r="D531">
        <v>1506</v>
      </c>
      <c r="E531">
        <v>1</v>
      </c>
      <c r="F531" t="s">
        <v>1948</v>
      </c>
      <c r="G531" t="s">
        <v>1949</v>
      </c>
      <c r="H531" t="s">
        <v>1950</v>
      </c>
      <c r="I531">
        <v>5</v>
      </c>
      <c r="J531">
        <v>5</v>
      </c>
      <c r="K531">
        <v>100</v>
      </c>
      <c r="L531">
        <v>85</v>
      </c>
      <c r="M531">
        <v>75</v>
      </c>
      <c r="N531">
        <v>284</v>
      </c>
      <c r="O531">
        <v>380</v>
      </c>
      <c r="P531">
        <v>240</v>
      </c>
      <c r="Q531">
        <v>300</v>
      </c>
      <c r="R531">
        <v>240</v>
      </c>
      <c r="S531">
        <v>300</v>
      </c>
    </row>
    <row r="532" spans="3:19" x14ac:dyDescent="0.2">
      <c r="C532">
        <v>1507</v>
      </c>
      <c r="D532">
        <v>1507</v>
      </c>
      <c r="E532">
        <v>1</v>
      </c>
      <c r="F532" t="s">
        <v>1951</v>
      </c>
      <c r="G532" t="s">
        <v>1952</v>
      </c>
      <c r="H532" t="s">
        <v>1953</v>
      </c>
      <c r="I532">
        <v>5</v>
      </c>
      <c r="J532">
        <v>5</v>
      </c>
      <c r="K532">
        <v>100</v>
      </c>
      <c r="L532">
        <v>85</v>
      </c>
      <c r="M532">
        <v>75</v>
      </c>
      <c r="N532">
        <v>284</v>
      </c>
      <c r="O532">
        <v>380</v>
      </c>
      <c r="P532">
        <v>240</v>
      </c>
      <c r="Q532">
        <v>300</v>
      </c>
      <c r="R532">
        <v>240</v>
      </c>
      <c r="S532">
        <v>300</v>
      </c>
    </row>
    <row r="533" spans="3:19" x14ac:dyDescent="0.2">
      <c r="C533">
        <v>1508</v>
      </c>
      <c r="D533">
        <v>1508</v>
      </c>
      <c r="E533">
        <v>1</v>
      </c>
      <c r="F533" t="s">
        <v>1954</v>
      </c>
      <c r="G533" t="s">
        <v>1949</v>
      </c>
      <c r="H533" t="s">
        <v>1955</v>
      </c>
      <c r="I533">
        <v>5</v>
      </c>
      <c r="J533">
        <v>5</v>
      </c>
      <c r="K533">
        <v>100</v>
      </c>
      <c r="L533">
        <v>85</v>
      </c>
      <c r="M533">
        <v>75</v>
      </c>
      <c r="N533">
        <v>284</v>
      </c>
      <c r="O533">
        <v>379</v>
      </c>
      <c r="P533">
        <v>240</v>
      </c>
      <c r="Q533">
        <v>300</v>
      </c>
      <c r="R533">
        <v>240</v>
      </c>
      <c r="S533">
        <v>300</v>
      </c>
    </row>
    <row r="534" spans="3:19" x14ac:dyDescent="0.2">
      <c r="C534">
        <v>1509</v>
      </c>
      <c r="D534">
        <v>1509</v>
      </c>
      <c r="E534">
        <v>1</v>
      </c>
      <c r="F534" t="s">
        <v>1956</v>
      </c>
      <c r="G534" t="s">
        <v>1952</v>
      </c>
      <c r="H534" t="s">
        <v>1957</v>
      </c>
      <c r="I534">
        <v>5</v>
      </c>
      <c r="J534">
        <v>5</v>
      </c>
      <c r="K534">
        <v>100</v>
      </c>
      <c r="L534">
        <v>85</v>
      </c>
      <c r="M534">
        <v>75</v>
      </c>
      <c r="N534">
        <v>285</v>
      </c>
      <c r="O534">
        <v>379</v>
      </c>
      <c r="P534">
        <v>240</v>
      </c>
      <c r="Q534">
        <v>300</v>
      </c>
      <c r="R534">
        <v>240</v>
      </c>
      <c r="S534">
        <v>300</v>
      </c>
    </row>
    <row r="535" spans="3:19" x14ac:dyDescent="0.2">
      <c r="C535">
        <v>1510</v>
      </c>
      <c r="D535">
        <v>1510</v>
      </c>
      <c r="E535">
        <v>1</v>
      </c>
      <c r="F535" t="s">
        <v>1958</v>
      </c>
      <c r="G535" t="s">
        <v>1952</v>
      </c>
      <c r="H535" t="s">
        <v>1959</v>
      </c>
      <c r="I535">
        <v>5</v>
      </c>
      <c r="J535">
        <v>5</v>
      </c>
      <c r="K535">
        <v>100</v>
      </c>
      <c r="L535">
        <v>85</v>
      </c>
      <c r="M535">
        <v>75</v>
      </c>
      <c r="N535">
        <v>283</v>
      </c>
      <c r="O535">
        <v>379</v>
      </c>
      <c r="P535">
        <v>240</v>
      </c>
      <c r="Q535">
        <v>300</v>
      </c>
      <c r="R535">
        <v>240</v>
      </c>
      <c r="S535">
        <v>300</v>
      </c>
    </row>
    <row r="536" spans="3:19" x14ac:dyDescent="0.2">
      <c r="C536">
        <v>1511</v>
      </c>
      <c r="D536">
        <v>1511</v>
      </c>
      <c r="E536">
        <v>1</v>
      </c>
      <c r="F536" t="s">
        <v>935</v>
      </c>
      <c r="G536" t="s">
        <v>1038</v>
      </c>
      <c r="H536" t="s">
        <v>935</v>
      </c>
      <c r="I536">
        <v>5</v>
      </c>
      <c r="J536">
        <v>0</v>
      </c>
    </row>
    <row r="537" spans="3:19" x14ac:dyDescent="0.2">
      <c r="C537">
        <v>1512</v>
      </c>
      <c r="D537">
        <v>1512</v>
      </c>
      <c r="E537">
        <v>1</v>
      </c>
      <c r="F537" t="s">
        <v>935</v>
      </c>
      <c r="G537" t="s">
        <v>1038</v>
      </c>
      <c r="H537" t="s">
        <v>935</v>
      </c>
      <c r="I537">
        <v>5</v>
      </c>
      <c r="J537">
        <v>0</v>
      </c>
    </row>
    <row r="538" spans="3:19" x14ac:dyDescent="0.2">
      <c r="C538">
        <v>1513</v>
      </c>
      <c r="D538">
        <v>1513</v>
      </c>
      <c r="E538">
        <v>1</v>
      </c>
      <c r="F538" t="s">
        <v>935</v>
      </c>
      <c r="G538" t="s">
        <v>1038</v>
      </c>
      <c r="H538" t="s">
        <v>935</v>
      </c>
      <c r="I538">
        <v>5</v>
      </c>
      <c r="J538">
        <v>0</v>
      </c>
    </row>
    <row r="539" spans="3:19" x14ac:dyDescent="0.2">
      <c r="C539">
        <v>1514</v>
      </c>
      <c r="D539">
        <v>1514</v>
      </c>
      <c r="E539">
        <v>1</v>
      </c>
      <c r="F539" t="s">
        <v>935</v>
      </c>
      <c r="G539" t="s">
        <v>1038</v>
      </c>
      <c r="H539" t="s">
        <v>935</v>
      </c>
      <c r="I539">
        <v>5</v>
      </c>
      <c r="J539">
        <v>0</v>
      </c>
    </row>
    <row r="540" spans="3:19" x14ac:dyDescent="0.2">
      <c r="C540">
        <v>1515</v>
      </c>
      <c r="D540">
        <v>1515</v>
      </c>
      <c r="E540">
        <v>1</v>
      </c>
      <c r="F540" t="s">
        <v>935</v>
      </c>
      <c r="G540" t="s">
        <v>1038</v>
      </c>
      <c r="H540" t="s">
        <v>935</v>
      </c>
      <c r="I540">
        <v>5</v>
      </c>
      <c r="J540">
        <v>0</v>
      </c>
    </row>
    <row r="541" spans="3:19" x14ac:dyDescent="0.2">
      <c r="C541">
        <v>1516</v>
      </c>
      <c r="D541">
        <v>1516</v>
      </c>
      <c r="E541">
        <v>1</v>
      </c>
      <c r="F541" t="s">
        <v>935</v>
      </c>
      <c r="G541" t="s">
        <v>1038</v>
      </c>
      <c r="H541" t="s">
        <v>935</v>
      </c>
      <c r="I541">
        <v>5</v>
      </c>
      <c r="J541">
        <v>0</v>
      </c>
    </row>
    <row r="542" spans="3:19" x14ac:dyDescent="0.2">
      <c r="C542">
        <v>1517</v>
      </c>
      <c r="D542">
        <v>1517</v>
      </c>
      <c r="E542">
        <v>1</v>
      </c>
      <c r="F542" t="s">
        <v>935</v>
      </c>
      <c r="G542" t="s">
        <v>1038</v>
      </c>
      <c r="H542" t="s">
        <v>935</v>
      </c>
      <c r="I542">
        <v>5</v>
      </c>
      <c r="J542">
        <v>0</v>
      </c>
    </row>
    <row r="543" spans="3:19" x14ac:dyDescent="0.2">
      <c r="C543">
        <v>1518</v>
      </c>
      <c r="D543">
        <v>1518</v>
      </c>
      <c r="E543">
        <v>1</v>
      </c>
      <c r="F543" t="s">
        <v>935</v>
      </c>
      <c r="G543" t="s">
        <v>1038</v>
      </c>
      <c r="H543" t="s">
        <v>935</v>
      </c>
      <c r="I543">
        <v>5</v>
      </c>
      <c r="J543">
        <v>0</v>
      </c>
    </row>
    <row r="544" spans="3:19" x14ac:dyDescent="0.2">
      <c r="C544">
        <v>1519</v>
      </c>
      <c r="D544">
        <v>1519</v>
      </c>
      <c r="E544">
        <v>1</v>
      </c>
      <c r="F544" t="s">
        <v>935</v>
      </c>
      <c r="G544" t="s">
        <v>1038</v>
      </c>
      <c r="H544" t="s">
        <v>935</v>
      </c>
      <c r="I544">
        <v>5</v>
      </c>
      <c r="J544">
        <v>0</v>
      </c>
    </row>
    <row r="545" spans="3:19" x14ac:dyDescent="0.2">
      <c r="C545">
        <v>1520</v>
      </c>
      <c r="D545">
        <v>1520</v>
      </c>
      <c r="E545">
        <v>1</v>
      </c>
      <c r="F545" t="s">
        <v>935</v>
      </c>
      <c r="G545" t="s">
        <v>1038</v>
      </c>
      <c r="H545" t="s">
        <v>935</v>
      </c>
      <c r="I545">
        <v>5</v>
      </c>
      <c r="J545">
        <v>0</v>
      </c>
    </row>
    <row r="546" spans="3:19" x14ac:dyDescent="0.2">
      <c r="C546">
        <v>1521</v>
      </c>
      <c r="D546">
        <v>1521</v>
      </c>
      <c r="E546">
        <v>1</v>
      </c>
      <c r="F546" t="s">
        <v>935</v>
      </c>
      <c r="G546" t="s">
        <v>1038</v>
      </c>
      <c r="H546" t="s">
        <v>935</v>
      </c>
      <c r="I546">
        <v>5</v>
      </c>
      <c r="J546">
        <v>0</v>
      </c>
    </row>
    <row r="547" spans="3:19" x14ac:dyDescent="0.2">
      <c r="C547">
        <v>1522</v>
      </c>
      <c r="D547">
        <v>1522</v>
      </c>
      <c r="E547">
        <v>1</v>
      </c>
      <c r="F547" t="s">
        <v>1960</v>
      </c>
      <c r="G547" t="s">
        <v>1961</v>
      </c>
      <c r="H547" t="s">
        <v>1961</v>
      </c>
      <c r="I547">
        <v>5</v>
      </c>
      <c r="J547">
        <v>5</v>
      </c>
      <c r="K547">
        <v>100</v>
      </c>
      <c r="L547">
        <v>100</v>
      </c>
      <c r="M547">
        <v>100</v>
      </c>
      <c r="N547">
        <v>571</v>
      </c>
      <c r="O547">
        <v>761</v>
      </c>
      <c r="P547">
        <v>60</v>
      </c>
      <c r="Q547">
        <v>80</v>
      </c>
      <c r="R547">
        <v>30</v>
      </c>
      <c r="S547">
        <v>50</v>
      </c>
    </row>
    <row r="548" spans="3:19" x14ac:dyDescent="0.2">
      <c r="C548">
        <v>1523</v>
      </c>
      <c r="D548">
        <v>1523</v>
      </c>
      <c r="E548">
        <v>1</v>
      </c>
      <c r="F548" t="s">
        <v>1962</v>
      </c>
      <c r="G548" t="s">
        <v>1961</v>
      </c>
      <c r="H548" t="s">
        <v>1961</v>
      </c>
      <c r="I548">
        <v>5</v>
      </c>
      <c r="J548">
        <v>5</v>
      </c>
      <c r="K548">
        <v>100</v>
      </c>
      <c r="L548">
        <v>100</v>
      </c>
      <c r="M548">
        <v>100</v>
      </c>
      <c r="N548">
        <v>226</v>
      </c>
      <c r="O548">
        <v>355</v>
      </c>
      <c r="P548">
        <v>60</v>
      </c>
      <c r="Q548">
        <v>80</v>
      </c>
      <c r="R548">
        <v>30</v>
      </c>
      <c r="S548">
        <v>50</v>
      </c>
    </row>
    <row r="549" spans="3:19" x14ac:dyDescent="0.2">
      <c r="C549">
        <v>1524</v>
      </c>
      <c r="D549">
        <v>1524</v>
      </c>
      <c r="E549">
        <v>1</v>
      </c>
      <c r="F549" t="s">
        <v>1798</v>
      </c>
      <c r="G549" t="s">
        <v>1799</v>
      </c>
      <c r="H549" t="s">
        <v>1963</v>
      </c>
      <c r="I549">
        <v>0</v>
      </c>
      <c r="J549">
        <v>0</v>
      </c>
      <c r="N549">
        <v>95</v>
      </c>
      <c r="O549">
        <v>152</v>
      </c>
      <c r="P549">
        <v>250</v>
      </c>
      <c r="Q549">
        <v>300</v>
      </c>
      <c r="R549">
        <v>250</v>
      </c>
      <c r="S549">
        <v>300</v>
      </c>
    </row>
    <row r="550" spans="3:19" x14ac:dyDescent="0.2">
      <c r="C550">
        <v>1525</v>
      </c>
      <c r="D550">
        <v>1525</v>
      </c>
      <c r="E550">
        <v>1</v>
      </c>
      <c r="F550" t="s">
        <v>1798</v>
      </c>
      <c r="G550" t="s">
        <v>1799</v>
      </c>
      <c r="H550" t="s">
        <v>1963</v>
      </c>
      <c r="I550">
        <v>0</v>
      </c>
      <c r="J550">
        <v>0</v>
      </c>
      <c r="N550">
        <v>95</v>
      </c>
      <c r="O550">
        <v>152</v>
      </c>
      <c r="P550">
        <v>250</v>
      </c>
      <c r="Q550">
        <v>300</v>
      </c>
      <c r="R550">
        <v>250</v>
      </c>
      <c r="S550">
        <v>300</v>
      </c>
    </row>
    <row r="551" spans="3:19" x14ac:dyDescent="0.2">
      <c r="C551">
        <v>1526</v>
      </c>
      <c r="D551">
        <v>1526</v>
      </c>
      <c r="E551">
        <v>1</v>
      </c>
      <c r="F551" t="s">
        <v>1964</v>
      </c>
      <c r="G551" t="s">
        <v>1965</v>
      </c>
      <c r="H551" t="s">
        <v>1966</v>
      </c>
      <c r="I551">
        <v>0</v>
      </c>
      <c r="J551">
        <v>5</v>
      </c>
      <c r="K551">
        <v>100</v>
      </c>
      <c r="L551">
        <v>100</v>
      </c>
      <c r="M551">
        <v>100</v>
      </c>
      <c r="N551">
        <v>191</v>
      </c>
      <c r="O551">
        <v>191</v>
      </c>
      <c r="P551">
        <v>191</v>
      </c>
      <c r="Q551">
        <v>191</v>
      </c>
      <c r="R551">
        <v>191</v>
      </c>
      <c r="S551">
        <v>191</v>
      </c>
    </row>
    <row r="552" spans="3:19" x14ac:dyDescent="0.2">
      <c r="C552">
        <v>1527</v>
      </c>
      <c r="D552">
        <v>1527</v>
      </c>
      <c r="E552">
        <v>1</v>
      </c>
      <c r="F552" t="s">
        <v>935</v>
      </c>
      <c r="G552" t="s">
        <v>1038</v>
      </c>
      <c r="H552" t="s">
        <v>935</v>
      </c>
      <c r="I552">
        <v>5</v>
      </c>
      <c r="J552">
        <v>0</v>
      </c>
    </row>
    <row r="553" spans="3:19" x14ac:dyDescent="0.2">
      <c r="C553">
        <v>1528</v>
      </c>
      <c r="D553">
        <v>1528</v>
      </c>
      <c r="E553">
        <v>1</v>
      </c>
      <c r="F553" t="s">
        <v>1967</v>
      </c>
      <c r="G553" t="s">
        <v>1968</v>
      </c>
      <c r="H553" t="s">
        <v>1969</v>
      </c>
      <c r="I553">
        <v>0</v>
      </c>
      <c r="J553">
        <v>0</v>
      </c>
      <c r="N553">
        <v>284</v>
      </c>
      <c r="O553">
        <v>475</v>
      </c>
      <c r="P553">
        <v>330</v>
      </c>
      <c r="Q553">
        <v>400</v>
      </c>
      <c r="R553">
        <v>330</v>
      </c>
      <c r="S553">
        <v>400</v>
      </c>
    </row>
    <row r="554" spans="3:19" x14ac:dyDescent="0.2">
      <c r="C554">
        <v>1529</v>
      </c>
      <c r="D554">
        <v>1529</v>
      </c>
      <c r="E554">
        <v>1</v>
      </c>
      <c r="F554" t="s">
        <v>1970</v>
      </c>
      <c r="G554" t="s">
        <v>1971</v>
      </c>
      <c r="H554" t="s">
        <v>1972</v>
      </c>
      <c r="I554">
        <v>5</v>
      </c>
      <c r="J554">
        <v>5</v>
      </c>
      <c r="K554">
        <v>100</v>
      </c>
      <c r="L554">
        <v>85</v>
      </c>
      <c r="M554">
        <v>75</v>
      </c>
      <c r="N554">
        <v>123</v>
      </c>
      <c r="O554">
        <v>152</v>
      </c>
      <c r="P554">
        <v>115</v>
      </c>
      <c r="Q554">
        <v>145</v>
      </c>
      <c r="R554">
        <v>115</v>
      </c>
      <c r="S554">
        <v>145</v>
      </c>
    </row>
    <row r="555" spans="3:19" x14ac:dyDescent="0.2">
      <c r="C555">
        <v>1530</v>
      </c>
      <c r="D555">
        <v>1530</v>
      </c>
      <c r="E555">
        <v>1</v>
      </c>
      <c r="F555" t="s">
        <v>1973</v>
      </c>
      <c r="G555" t="s">
        <v>1974</v>
      </c>
      <c r="H555" t="s">
        <v>1972</v>
      </c>
      <c r="I555">
        <v>5</v>
      </c>
      <c r="J555">
        <v>5</v>
      </c>
      <c r="K555">
        <v>100</v>
      </c>
      <c r="L555">
        <v>85</v>
      </c>
      <c r="M555">
        <v>75</v>
      </c>
      <c r="N555">
        <v>124</v>
      </c>
      <c r="O555">
        <v>152</v>
      </c>
      <c r="P555">
        <v>115</v>
      </c>
      <c r="Q555">
        <v>145</v>
      </c>
      <c r="R555">
        <v>115</v>
      </c>
      <c r="S555">
        <v>145</v>
      </c>
    </row>
    <row r="556" spans="3:19" x14ac:dyDescent="0.2">
      <c r="C556">
        <v>1531</v>
      </c>
      <c r="D556">
        <v>1531</v>
      </c>
      <c r="E556">
        <v>1</v>
      </c>
      <c r="F556" t="s">
        <v>1970</v>
      </c>
      <c r="G556" t="s">
        <v>1974</v>
      </c>
      <c r="H556" t="s">
        <v>1975</v>
      </c>
      <c r="I556">
        <v>5</v>
      </c>
      <c r="J556">
        <v>5</v>
      </c>
      <c r="K556">
        <v>100</v>
      </c>
      <c r="L556">
        <v>85</v>
      </c>
      <c r="M556">
        <v>75</v>
      </c>
      <c r="N556">
        <v>124</v>
      </c>
      <c r="O556">
        <v>152</v>
      </c>
      <c r="P556">
        <v>115</v>
      </c>
      <c r="Q556">
        <v>145</v>
      </c>
      <c r="R556">
        <v>115</v>
      </c>
      <c r="S556">
        <v>145</v>
      </c>
    </row>
    <row r="557" spans="3:19" x14ac:dyDescent="0.2">
      <c r="C557">
        <v>1532</v>
      </c>
      <c r="D557">
        <v>1532</v>
      </c>
      <c r="E557">
        <v>1</v>
      </c>
      <c r="F557" t="s">
        <v>1976</v>
      </c>
      <c r="G557" t="s">
        <v>1974</v>
      </c>
      <c r="H557" t="s">
        <v>1977</v>
      </c>
      <c r="I557">
        <v>5</v>
      </c>
      <c r="J557">
        <v>5</v>
      </c>
      <c r="K557">
        <v>100</v>
      </c>
      <c r="L557">
        <v>85</v>
      </c>
      <c r="M557">
        <v>75</v>
      </c>
      <c r="N557">
        <v>124</v>
      </c>
      <c r="O557">
        <v>152</v>
      </c>
      <c r="P557">
        <v>115</v>
      </c>
      <c r="Q557">
        <v>145</v>
      </c>
      <c r="R557">
        <v>115</v>
      </c>
      <c r="S557">
        <v>145</v>
      </c>
    </row>
    <row r="558" spans="3:19" x14ac:dyDescent="0.2">
      <c r="C558">
        <v>1533</v>
      </c>
      <c r="D558">
        <v>1533</v>
      </c>
      <c r="E558">
        <v>1</v>
      </c>
      <c r="F558" t="s">
        <v>1978</v>
      </c>
      <c r="G558" t="s">
        <v>1974</v>
      </c>
      <c r="H558" t="s">
        <v>1979</v>
      </c>
      <c r="I558">
        <v>5</v>
      </c>
      <c r="J558">
        <v>5</v>
      </c>
      <c r="K558">
        <v>100</v>
      </c>
      <c r="L558">
        <v>85</v>
      </c>
      <c r="M558">
        <v>75</v>
      </c>
      <c r="N558">
        <v>123</v>
      </c>
      <c r="O558">
        <v>152</v>
      </c>
      <c r="P558">
        <v>115</v>
      </c>
      <c r="Q558">
        <v>145</v>
      </c>
      <c r="R558">
        <v>115</v>
      </c>
      <c r="S558">
        <v>145</v>
      </c>
    </row>
    <row r="559" spans="3:19" x14ac:dyDescent="0.2">
      <c r="C559">
        <v>1534</v>
      </c>
      <c r="D559">
        <v>1534</v>
      </c>
      <c r="E559">
        <v>1</v>
      </c>
      <c r="F559" t="s">
        <v>1980</v>
      </c>
      <c r="G559" t="s">
        <v>1981</v>
      </c>
      <c r="H559" t="s">
        <v>1982</v>
      </c>
      <c r="I559">
        <v>8</v>
      </c>
      <c r="J559">
        <v>5</v>
      </c>
      <c r="K559">
        <v>100</v>
      </c>
      <c r="L559">
        <v>100</v>
      </c>
      <c r="M559">
        <v>100</v>
      </c>
      <c r="N559">
        <v>946</v>
      </c>
      <c r="O559">
        <v>1324</v>
      </c>
      <c r="P559">
        <v>1100</v>
      </c>
      <c r="Q559">
        <v>1400</v>
      </c>
      <c r="R559">
        <v>1100</v>
      </c>
      <c r="S559">
        <v>1400</v>
      </c>
    </row>
    <row r="560" spans="3:19" x14ac:dyDescent="0.2">
      <c r="C560">
        <v>1535</v>
      </c>
      <c r="D560">
        <v>1535</v>
      </c>
      <c r="E560">
        <v>1</v>
      </c>
      <c r="F560" t="s">
        <v>1983</v>
      </c>
      <c r="G560" t="s">
        <v>1038</v>
      </c>
      <c r="H560" t="s">
        <v>935</v>
      </c>
      <c r="I560">
        <v>0</v>
      </c>
      <c r="J560">
        <v>5</v>
      </c>
      <c r="K560">
        <v>100</v>
      </c>
      <c r="L560">
        <v>100</v>
      </c>
      <c r="M560">
        <v>100</v>
      </c>
    </row>
    <row r="561" spans="3:19" x14ac:dyDescent="0.2">
      <c r="C561">
        <v>1536</v>
      </c>
      <c r="D561">
        <v>1536</v>
      </c>
      <c r="E561">
        <v>1</v>
      </c>
      <c r="F561" t="s">
        <v>935</v>
      </c>
      <c r="G561" t="s">
        <v>1038</v>
      </c>
      <c r="H561" t="s">
        <v>935</v>
      </c>
      <c r="I561">
        <v>0</v>
      </c>
      <c r="J561">
        <v>5</v>
      </c>
      <c r="K561">
        <v>100</v>
      </c>
      <c r="L561">
        <v>100</v>
      </c>
      <c r="M561">
        <v>100</v>
      </c>
    </row>
    <row r="562" spans="3:19" x14ac:dyDescent="0.2">
      <c r="C562">
        <v>1537</v>
      </c>
      <c r="D562">
        <v>1537</v>
      </c>
      <c r="E562">
        <v>1</v>
      </c>
      <c r="F562" t="s">
        <v>935</v>
      </c>
      <c r="G562" t="s">
        <v>1038</v>
      </c>
      <c r="H562" t="s">
        <v>935</v>
      </c>
      <c r="I562">
        <v>0</v>
      </c>
      <c r="J562">
        <v>0</v>
      </c>
    </row>
    <row r="563" spans="3:19" x14ac:dyDescent="0.2">
      <c r="C563">
        <v>1538</v>
      </c>
      <c r="D563">
        <v>1538</v>
      </c>
      <c r="E563">
        <v>1</v>
      </c>
      <c r="F563" t="s">
        <v>935</v>
      </c>
      <c r="G563" t="s">
        <v>1038</v>
      </c>
      <c r="H563" t="s">
        <v>935</v>
      </c>
      <c r="I563">
        <v>0</v>
      </c>
      <c r="J563">
        <v>0</v>
      </c>
    </row>
    <row r="564" spans="3:19" x14ac:dyDescent="0.2">
      <c r="C564">
        <v>1539</v>
      </c>
      <c r="D564">
        <v>1539</v>
      </c>
      <c r="E564">
        <v>1</v>
      </c>
      <c r="F564" t="s">
        <v>935</v>
      </c>
      <c r="G564" t="s">
        <v>1038</v>
      </c>
      <c r="H564" t="s">
        <v>935</v>
      </c>
      <c r="I564">
        <v>0</v>
      </c>
      <c r="J564">
        <v>0</v>
      </c>
    </row>
    <row r="565" spans="3:19" x14ac:dyDescent="0.2">
      <c r="C565">
        <v>1540</v>
      </c>
      <c r="D565">
        <v>1540</v>
      </c>
      <c r="E565">
        <v>1</v>
      </c>
      <c r="F565" t="s">
        <v>1984</v>
      </c>
      <c r="G565" t="s">
        <v>1985</v>
      </c>
      <c r="H565" t="s">
        <v>1986</v>
      </c>
      <c r="I565">
        <v>0</v>
      </c>
      <c r="J565">
        <v>5</v>
      </c>
      <c r="K565">
        <v>100</v>
      </c>
      <c r="L565">
        <v>100</v>
      </c>
      <c r="M565">
        <v>100</v>
      </c>
      <c r="N565">
        <v>500</v>
      </c>
      <c r="O565">
        <v>600</v>
      </c>
      <c r="P565">
        <v>600</v>
      </c>
      <c r="Q565">
        <v>800</v>
      </c>
      <c r="R565">
        <v>800</v>
      </c>
      <c r="S565">
        <v>1000</v>
      </c>
    </row>
    <row r="566" spans="3:19" x14ac:dyDescent="0.2">
      <c r="C566">
        <v>1541</v>
      </c>
      <c r="D566">
        <v>1541</v>
      </c>
      <c r="E566">
        <v>1</v>
      </c>
      <c r="F566" t="s">
        <v>1987</v>
      </c>
      <c r="G566" t="s">
        <v>1988</v>
      </c>
      <c r="H566" t="s">
        <v>1989</v>
      </c>
      <c r="I566">
        <v>0</v>
      </c>
      <c r="J566">
        <v>5</v>
      </c>
      <c r="K566">
        <v>100</v>
      </c>
      <c r="L566">
        <v>100</v>
      </c>
      <c r="M566">
        <v>100</v>
      </c>
      <c r="N566">
        <v>500</v>
      </c>
      <c r="O566">
        <v>600</v>
      </c>
      <c r="P566">
        <v>600</v>
      </c>
      <c r="Q566">
        <v>800</v>
      </c>
      <c r="R566">
        <v>800</v>
      </c>
      <c r="S566">
        <v>1000</v>
      </c>
    </row>
    <row r="567" spans="3:19" x14ac:dyDescent="0.2">
      <c r="C567">
        <v>1542</v>
      </c>
      <c r="D567">
        <v>1542</v>
      </c>
      <c r="E567">
        <v>1</v>
      </c>
      <c r="F567" t="s">
        <v>1984</v>
      </c>
      <c r="G567" t="s">
        <v>1985</v>
      </c>
      <c r="H567" t="s">
        <v>1990</v>
      </c>
      <c r="I567">
        <v>0</v>
      </c>
      <c r="J567">
        <v>5</v>
      </c>
      <c r="K567">
        <v>100</v>
      </c>
      <c r="L567">
        <v>100</v>
      </c>
      <c r="M567">
        <v>100</v>
      </c>
      <c r="N567">
        <v>500</v>
      </c>
      <c r="O567">
        <v>600</v>
      </c>
      <c r="P567">
        <v>600</v>
      </c>
      <c r="Q567">
        <v>800</v>
      </c>
      <c r="R567">
        <v>800</v>
      </c>
      <c r="S567">
        <v>1000</v>
      </c>
    </row>
    <row r="568" spans="3:19" x14ac:dyDescent="0.2">
      <c r="C568">
        <v>1543</v>
      </c>
      <c r="D568">
        <v>1543</v>
      </c>
      <c r="E568">
        <v>1</v>
      </c>
      <c r="F568" t="s">
        <v>1991</v>
      </c>
      <c r="G568" t="s">
        <v>1992</v>
      </c>
      <c r="H568" t="s">
        <v>1993</v>
      </c>
      <c r="I568">
        <v>0</v>
      </c>
      <c r="J568">
        <v>5</v>
      </c>
      <c r="N568">
        <v>6336</v>
      </c>
      <c r="O568">
        <v>6336</v>
      </c>
      <c r="P568">
        <v>6336</v>
      </c>
      <c r="Q568">
        <v>6336</v>
      </c>
      <c r="R568">
        <v>6336</v>
      </c>
      <c r="S568">
        <v>6336</v>
      </c>
    </row>
    <row r="569" spans="3:19" x14ac:dyDescent="0.2">
      <c r="C569">
        <v>1544</v>
      </c>
      <c r="D569">
        <v>1544</v>
      </c>
      <c r="E569">
        <v>1</v>
      </c>
      <c r="F569" t="s">
        <v>1994</v>
      </c>
      <c r="G569" t="s">
        <v>1995</v>
      </c>
      <c r="H569" t="s">
        <v>1996</v>
      </c>
      <c r="I569">
        <v>0</v>
      </c>
      <c r="J569">
        <v>5</v>
      </c>
      <c r="K569">
        <v>100</v>
      </c>
      <c r="L569">
        <v>50</v>
      </c>
      <c r="M569">
        <v>20</v>
      </c>
      <c r="N569">
        <v>6336</v>
      </c>
      <c r="O569">
        <v>6336</v>
      </c>
      <c r="P569">
        <v>6336</v>
      </c>
      <c r="Q569">
        <v>6336</v>
      </c>
      <c r="R569">
        <v>6336</v>
      </c>
      <c r="S569">
        <v>6336</v>
      </c>
    </row>
    <row r="570" spans="3:19" x14ac:dyDescent="0.2">
      <c r="C570">
        <v>1545</v>
      </c>
      <c r="D570">
        <v>1545</v>
      </c>
      <c r="E570">
        <v>1</v>
      </c>
      <c r="F570" t="s">
        <v>935</v>
      </c>
      <c r="G570" t="s">
        <v>1038</v>
      </c>
      <c r="H570" t="s">
        <v>935</v>
      </c>
      <c r="I570">
        <v>5</v>
      </c>
      <c r="J570">
        <v>0</v>
      </c>
    </row>
    <row r="571" spans="3:19" x14ac:dyDescent="0.2">
      <c r="C571">
        <v>1546</v>
      </c>
      <c r="D571">
        <v>1546</v>
      </c>
      <c r="E571">
        <v>1</v>
      </c>
      <c r="F571" t="s">
        <v>1997</v>
      </c>
      <c r="G571" t="s">
        <v>1998</v>
      </c>
      <c r="H571" t="s">
        <v>1999</v>
      </c>
      <c r="I571">
        <v>5</v>
      </c>
      <c r="J571">
        <v>5</v>
      </c>
      <c r="K571">
        <v>100</v>
      </c>
      <c r="L571">
        <v>85</v>
      </c>
      <c r="M571">
        <v>75</v>
      </c>
      <c r="N571">
        <v>114</v>
      </c>
      <c r="O571">
        <v>189</v>
      </c>
      <c r="P571">
        <v>80</v>
      </c>
      <c r="Q571">
        <v>130</v>
      </c>
      <c r="R571">
        <v>80</v>
      </c>
      <c r="S571">
        <v>130</v>
      </c>
    </row>
    <row r="572" spans="3:19" x14ac:dyDescent="0.2">
      <c r="C572">
        <v>1547</v>
      </c>
      <c r="D572">
        <v>1547</v>
      </c>
      <c r="E572">
        <v>1</v>
      </c>
      <c r="F572" t="s">
        <v>2000</v>
      </c>
      <c r="G572" t="s">
        <v>1998</v>
      </c>
      <c r="H572" t="s">
        <v>2001</v>
      </c>
      <c r="I572">
        <v>5</v>
      </c>
      <c r="J572">
        <v>5</v>
      </c>
      <c r="K572">
        <v>100</v>
      </c>
      <c r="L572">
        <v>85</v>
      </c>
      <c r="M572">
        <v>75</v>
      </c>
      <c r="N572">
        <v>114</v>
      </c>
      <c r="O572">
        <v>190</v>
      </c>
      <c r="P572">
        <v>80</v>
      </c>
      <c r="Q572">
        <v>130</v>
      </c>
      <c r="R572">
        <v>80</v>
      </c>
      <c r="S572">
        <v>130</v>
      </c>
    </row>
    <row r="573" spans="3:19" x14ac:dyDescent="0.2">
      <c r="C573">
        <v>1548</v>
      </c>
      <c r="D573">
        <v>1548</v>
      </c>
      <c r="E573">
        <v>1</v>
      </c>
      <c r="F573" t="s">
        <v>2002</v>
      </c>
      <c r="G573" t="s">
        <v>1998</v>
      </c>
      <c r="H573" t="s">
        <v>2003</v>
      </c>
      <c r="I573">
        <v>5</v>
      </c>
      <c r="J573">
        <v>5</v>
      </c>
      <c r="K573">
        <v>100</v>
      </c>
      <c r="L573">
        <v>85</v>
      </c>
      <c r="M573">
        <v>75</v>
      </c>
      <c r="N573">
        <v>115</v>
      </c>
      <c r="O573">
        <v>190</v>
      </c>
      <c r="P573">
        <v>80</v>
      </c>
      <c r="Q573">
        <v>130</v>
      </c>
      <c r="R573">
        <v>80</v>
      </c>
      <c r="S573">
        <v>130</v>
      </c>
    </row>
    <row r="574" spans="3:19" x14ac:dyDescent="0.2">
      <c r="C574">
        <v>1549</v>
      </c>
      <c r="D574">
        <v>1549</v>
      </c>
      <c r="E574">
        <v>1</v>
      </c>
      <c r="F574" t="s">
        <v>2004</v>
      </c>
      <c r="G574" t="s">
        <v>1998</v>
      </c>
      <c r="H574" t="s">
        <v>2005</v>
      </c>
      <c r="I574">
        <v>5</v>
      </c>
      <c r="J574">
        <v>5</v>
      </c>
      <c r="K574">
        <v>100</v>
      </c>
      <c r="L574">
        <v>85</v>
      </c>
      <c r="M574">
        <v>75</v>
      </c>
      <c r="N574">
        <v>114</v>
      </c>
      <c r="O574">
        <v>189</v>
      </c>
      <c r="P574">
        <v>80</v>
      </c>
      <c r="Q574">
        <v>130</v>
      </c>
      <c r="R574">
        <v>80</v>
      </c>
      <c r="S574">
        <v>130</v>
      </c>
    </row>
    <row r="575" spans="3:19" x14ac:dyDescent="0.2">
      <c r="C575">
        <v>1550</v>
      </c>
      <c r="D575">
        <v>1550</v>
      </c>
      <c r="E575">
        <v>1</v>
      </c>
      <c r="F575" t="s">
        <v>2006</v>
      </c>
      <c r="G575" t="s">
        <v>1998</v>
      </c>
      <c r="H575" t="s">
        <v>2007</v>
      </c>
      <c r="I575">
        <v>5</v>
      </c>
      <c r="J575">
        <v>5</v>
      </c>
      <c r="K575">
        <v>100</v>
      </c>
      <c r="L575">
        <v>85</v>
      </c>
      <c r="M575">
        <v>75</v>
      </c>
      <c r="N575">
        <v>114</v>
      </c>
      <c r="O575">
        <v>190</v>
      </c>
      <c r="P575">
        <v>80</v>
      </c>
      <c r="Q575">
        <v>130</v>
      </c>
      <c r="R575">
        <v>80</v>
      </c>
      <c r="S575">
        <v>130</v>
      </c>
    </row>
    <row r="576" spans="3:19" x14ac:dyDescent="0.2">
      <c r="C576">
        <v>1551</v>
      </c>
      <c r="D576">
        <v>1551</v>
      </c>
      <c r="E576">
        <v>1</v>
      </c>
      <c r="F576" t="s">
        <v>2008</v>
      </c>
      <c r="G576" t="s">
        <v>2009</v>
      </c>
      <c r="H576" t="s">
        <v>2010</v>
      </c>
      <c r="I576">
        <v>5</v>
      </c>
      <c r="J576">
        <v>5</v>
      </c>
      <c r="K576">
        <v>100</v>
      </c>
      <c r="L576">
        <v>85</v>
      </c>
      <c r="M576">
        <v>75</v>
      </c>
      <c r="N576">
        <v>65</v>
      </c>
      <c r="O576">
        <v>106</v>
      </c>
      <c r="P576">
        <v>35</v>
      </c>
      <c r="Q576">
        <v>65</v>
      </c>
      <c r="R576">
        <v>35</v>
      </c>
      <c r="S576">
        <v>65</v>
      </c>
    </row>
    <row r="577" spans="3:19" x14ac:dyDescent="0.2">
      <c r="C577">
        <v>1552</v>
      </c>
      <c r="D577">
        <v>1552</v>
      </c>
      <c r="E577">
        <v>1</v>
      </c>
      <c r="F577" t="s">
        <v>2011</v>
      </c>
      <c r="G577" t="s">
        <v>2012</v>
      </c>
      <c r="H577" t="s">
        <v>2013</v>
      </c>
      <c r="I577">
        <v>5</v>
      </c>
      <c r="J577">
        <v>5</v>
      </c>
      <c r="K577">
        <v>100</v>
      </c>
      <c r="L577">
        <v>85</v>
      </c>
      <c r="M577">
        <v>75</v>
      </c>
      <c r="N577">
        <v>64</v>
      </c>
      <c r="O577">
        <v>106</v>
      </c>
      <c r="P577">
        <v>35</v>
      </c>
      <c r="Q577">
        <v>65</v>
      </c>
      <c r="R577">
        <v>35</v>
      </c>
      <c r="S577">
        <v>65</v>
      </c>
    </row>
    <row r="578" spans="3:19" x14ac:dyDescent="0.2">
      <c r="C578">
        <v>1553</v>
      </c>
      <c r="D578">
        <v>1553</v>
      </c>
      <c r="E578">
        <v>1</v>
      </c>
      <c r="F578" t="s">
        <v>2014</v>
      </c>
      <c r="G578" t="s">
        <v>2015</v>
      </c>
      <c r="H578" t="s">
        <v>2016</v>
      </c>
      <c r="I578">
        <v>5</v>
      </c>
      <c r="J578">
        <v>5</v>
      </c>
      <c r="K578">
        <v>100</v>
      </c>
      <c r="L578">
        <v>85</v>
      </c>
      <c r="M578">
        <v>75</v>
      </c>
      <c r="N578">
        <v>65</v>
      </c>
      <c r="O578">
        <v>106</v>
      </c>
      <c r="P578">
        <v>35</v>
      </c>
      <c r="Q578">
        <v>65</v>
      </c>
      <c r="R578">
        <v>35</v>
      </c>
      <c r="S578">
        <v>65</v>
      </c>
    </row>
    <row r="579" spans="3:19" x14ac:dyDescent="0.2">
      <c r="C579">
        <v>1554</v>
      </c>
      <c r="D579">
        <v>1554</v>
      </c>
      <c r="E579">
        <v>1</v>
      </c>
      <c r="F579" t="s">
        <v>2017</v>
      </c>
      <c r="G579" t="s">
        <v>2018</v>
      </c>
      <c r="H579" t="s">
        <v>2019</v>
      </c>
      <c r="I579">
        <v>5</v>
      </c>
      <c r="J579">
        <v>5</v>
      </c>
      <c r="K579">
        <v>100</v>
      </c>
      <c r="L579">
        <v>85</v>
      </c>
      <c r="M579">
        <v>75</v>
      </c>
      <c r="N579">
        <v>65</v>
      </c>
      <c r="O579">
        <v>107</v>
      </c>
      <c r="P579">
        <v>35</v>
      </c>
      <c r="Q579">
        <v>65</v>
      </c>
      <c r="R579">
        <v>35</v>
      </c>
      <c r="S579">
        <v>65</v>
      </c>
    </row>
    <row r="580" spans="3:19" x14ac:dyDescent="0.2">
      <c r="C580">
        <v>1555</v>
      </c>
      <c r="D580">
        <v>1555</v>
      </c>
      <c r="E580">
        <v>1</v>
      </c>
      <c r="F580" t="s">
        <v>2020</v>
      </c>
      <c r="G580" t="s">
        <v>2021</v>
      </c>
      <c r="H580" t="s">
        <v>2022</v>
      </c>
      <c r="I580">
        <v>5</v>
      </c>
      <c r="J580">
        <v>5</v>
      </c>
      <c r="K580">
        <v>100</v>
      </c>
      <c r="L580">
        <v>85</v>
      </c>
      <c r="M580">
        <v>75</v>
      </c>
      <c r="N580">
        <v>64</v>
      </c>
      <c r="O580">
        <v>106</v>
      </c>
      <c r="P580">
        <v>35</v>
      </c>
      <c r="Q580">
        <v>65</v>
      </c>
      <c r="R580">
        <v>35</v>
      </c>
      <c r="S580">
        <v>65</v>
      </c>
    </row>
    <row r="581" spans="3:19" x14ac:dyDescent="0.2">
      <c r="C581">
        <v>1556</v>
      </c>
      <c r="D581">
        <v>1556</v>
      </c>
      <c r="E581">
        <v>1</v>
      </c>
      <c r="F581" t="s">
        <v>935</v>
      </c>
      <c r="G581" t="s">
        <v>1038</v>
      </c>
      <c r="H581" t="s">
        <v>935</v>
      </c>
      <c r="I581">
        <v>5</v>
      </c>
      <c r="J581">
        <v>0</v>
      </c>
    </row>
    <row r="582" spans="3:19" x14ac:dyDescent="0.2">
      <c r="C582">
        <v>1557</v>
      </c>
      <c r="D582">
        <v>1557</v>
      </c>
      <c r="E582">
        <v>1</v>
      </c>
      <c r="F582" t="s">
        <v>2023</v>
      </c>
      <c r="G582" t="s">
        <v>2024</v>
      </c>
      <c r="H582" t="s">
        <v>2024</v>
      </c>
      <c r="I582">
        <v>0</v>
      </c>
      <c r="J582">
        <v>5</v>
      </c>
      <c r="K582">
        <v>100</v>
      </c>
      <c r="L582">
        <v>75</v>
      </c>
      <c r="M582">
        <v>50</v>
      </c>
      <c r="N582">
        <v>190</v>
      </c>
      <c r="O582">
        <v>379</v>
      </c>
      <c r="P582">
        <v>220</v>
      </c>
      <c r="Q582">
        <v>270</v>
      </c>
      <c r="R582">
        <v>220</v>
      </c>
      <c r="S582">
        <v>270</v>
      </c>
    </row>
    <row r="583" spans="3:19" x14ac:dyDescent="0.2">
      <c r="C583">
        <v>1558</v>
      </c>
      <c r="D583">
        <v>1558</v>
      </c>
      <c r="E583">
        <v>1</v>
      </c>
      <c r="F583" t="s">
        <v>2025</v>
      </c>
      <c r="G583" t="s">
        <v>2026</v>
      </c>
      <c r="H583" t="s">
        <v>2027</v>
      </c>
      <c r="I583">
        <v>5</v>
      </c>
      <c r="J583">
        <v>5</v>
      </c>
      <c r="K583">
        <v>100</v>
      </c>
      <c r="L583">
        <v>75</v>
      </c>
      <c r="M583">
        <v>50</v>
      </c>
      <c r="N583">
        <v>190</v>
      </c>
      <c r="O583">
        <v>379</v>
      </c>
      <c r="P583">
        <v>300</v>
      </c>
      <c r="Q583">
        <v>350</v>
      </c>
      <c r="R583">
        <v>300</v>
      </c>
      <c r="S583">
        <v>350</v>
      </c>
    </row>
    <row r="584" spans="3:19" x14ac:dyDescent="0.2">
      <c r="C584">
        <v>1559</v>
      </c>
      <c r="D584">
        <v>1559</v>
      </c>
      <c r="E584">
        <v>1</v>
      </c>
      <c r="F584" t="s">
        <v>2028</v>
      </c>
      <c r="G584" t="s">
        <v>2029</v>
      </c>
      <c r="H584" t="s">
        <v>2030</v>
      </c>
      <c r="I584">
        <v>0</v>
      </c>
      <c r="J584">
        <v>0</v>
      </c>
    </row>
    <row r="585" spans="3:19" x14ac:dyDescent="0.2">
      <c r="C585">
        <v>1560</v>
      </c>
      <c r="D585">
        <v>1560</v>
      </c>
      <c r="E585">
        <v>1</v>
      </c>
      <c r="F585" t="s">
        <v>1983</v>
      </c>
      <c r="G585" t="s">
        <v>2031</v>
      </c>
      <c r="H585" t="s">
        <v>1983</v>
      </c>
      <c r="I585">
        <v>25</v>
      </c>
      <c r="J585">
        <v>5</v>
      </c>
      <c r="K585">
        <v>100</v>
      </c>
      <c r="L585">
        <v>100</v>
      </c>
      <c r="M585">
        <v>100</v>
      </c>
    </row>
    <row r="586" spans="3:19" x14ac:dyDescent="0.2">
      <c r="C586">
        <v>1561</v>
      </c>
      <c r="D586">
        <v>1561</v>
      </c>
      <c r="E586">
        <v>1</v>
      </c>
      <c r="F586" t="s">
        <v>1983</v>
      </c>
      <c r="G586" t="s">
        <v>2031</v>
      </c>
      <c r="H586" t="s">
        <v>1983</v>
      </c>
      <c r="I586">
        <v>25</v>
      </c>
      <c r="J586">
        <v>5</v>
      </c>
      <c r="K586">
        <v>100</v>
      </c>
      <c r="L586">
        <v>100</v>
      </c>
      <c r="M586">
        <v>100</v>
      </c>
    </row>
    <row r="587" spans="3:19" x14ac:dyDescent="0.2">
      <c r="C587">
        <v>1562</v>
      </c>
      <c r="D587">
        <v>1562</v>
      </c>
      <c r="E587">
        <v>1</v>
      </c>
      <c r="F587" t="s">
        <v>2032</v>
      </c>
      <c r="G587" t="s">
        <v>2033</v>
      </c>
      <c r="H587" t="s">
        <v>2034</v>
      </c>
      <c r="I587">
        <v>5</v>
      </c>
      <c r="J587">
        <v>5</v>
      </c>
      <c r="K587">
        <v>100</v>
      </c>
      <c r="L587">
        <v>100</v>
      </c>
      <c r="M587">
        <v>100</v>
      </c>
      <c r="N587">
        <v>65</v>
      </c>
      <c r="O587">
        <v>106</v>
      </c>
      <c r="P587">
        <v>50</v>
      </c>
      <c r="Q587">
        <v>80</v>
      </c>
      <c r="R587">
        <v>50</v>
      </c>
      <c r="S587">
        <v>80</v>
      </c>
    </row>
    <row r="588" spans="3:19" x14ac:dyDescent="0.2">
      <c r="C588">
        <v>1563</v>
      </c>
      <c r="D588">
        <v>1563</v>
      </c>
      <c r="E588">
        <v>1</v>
      </c>
      <c r="F588" t="s">
        <v>2035</v>
      </c>
      <c r="G588" t="s">
        <v>2036</v>
      </c>
      <c r="H588" t="s">
        <v>2037</v>
      </c>
      <c r="I588">
        <v>5</v>
      </c>
      <c r="J588">
        <v>5</v>
      </c>
      <c r="K588">
        <v>100</v>
      </c>
      <c r="L588">
        <v>100</v>
      </c>
      <c r="M588">
        <v>100</v>
      </c>
      <c r="N588">
        <v>64</v>
      </c>
      <c r="O588">
        <v>106</v>
      </c>
      <c r="P588">
        <v>50</v>
      </c>
      <c r="Q588">
        <v>80</v>
      </c>
      <c r="R588">
        <v>50</v>
      </c>
      <c r="S588">
        <v>80</v>
      </c>
    </row>
    <row r="589" spans="3:19" x14ac:dyDescent="0.2">
      <c r="C589">
        <v>1564</v>
      </c>
      <c r="D589">
        <v>1564</v>
      </c>
      <c r="E589">
        <v>1</v>
      </c>
      <c r="F589" t="s">
        <v>2038</v>
      </c>
      <c r="G589" t="s">
        <v>2039</v>
      </c>
      <c r="H589" t="s">
        <v>2040</v>
      </c>
      <c r="I589">
        <v>5</v>
      </c>
      <c r="J589">
        <v>5</v>
      </c>
      <c r="K589">
        <v>100</v>
      </c>
      <c r="L589">
        <v>100</v>
      </c>
      <c r="M589">
        <v>100</v>
      </c>
      <c r="N589">
        <v>65</v>
      </c>
      <c r="O589">
        <v>106</v>
      </c>
      <c r="P589">
        <v>50</v>
      </c>
      <c r="Q589">
        <v>80</v>
      </c>
      <c r="R589">
        <v>50</v>
      </c>
      <c r="S589">
        <v>80</v>
      </c>
    </row>
    <row r="590" spans="3:19" x14ac:dyDescent="0.2">
      <c r="C590">
        <v>1565</v>
      </c>
      <c r="D590">
        <v>1565</v>
      </c>
      <c r="E590">
        <v>1</v>
      </c>
      <c r="F590" t="s">
        <v>2041</v>
      </c>
      <c r="G590" t="s">
        <v>2042</v>
      </c>
      <c r="H590" t="s">
        <v>2043</v>
      </c>
      <c r="I590">
        <v>5</v>
      </c>
      <c r="J590">
        <v>5</v>
      </c>
      <c r="K590">
        <v>100</v>
      </c>
      <c r="L590">
        <v>100</v>
      </c>
      <c r="M590">
        <v>100</v>
      </c>
      <c r="N590">
        <v>65</v>
      </c>
      <c r="O590">
        <v>107</v>
      </c>
      <c r="P590">
        <v>50</v>
      </c>
      <c r="Q590">
        <v>80</v>
      </c>
      <c r="R590">
        <v>50</v>
      </c>
      <c r="S590">
        <v>80</v>
      </c>
    </row>
    <row r="591" spans="3:19" x14ac:dyDescent="0.2">
      <c r="C591">
        <v>1566</v>
      </c>
      <c r="D591">
        <v>1566</v>
      </c>
      <c r="E591">
        <v>1</v>
      </c>
      <c r="F591" t="s">
        <v>2044</v>
      </c>
      <c r="G591" t="s">
        <v>2045</v>
      </c>
      <c r="H591" t="s">
        <v>2046</v>
      </c>
      <c r="I591">
        <v>5</v>
      </c>
      <c r="J591">
        <v>5</v>
      </c>
      <c r="K591">
        <v>100</v>
      </c>
      <c r="L591">
        <v>100</v>
      </c>
      <c r="M591">
        <v>100</v>
      </c>
      <c r="N591">
        <v>64</v>
      </c>
      <c r="O591">
        <v>106</v>
      </c>
      <c r="P591">
        <v>50</v>
      </c>
      <c r="Q591">
        <v>80</v>
      </c>
      <c r="R591">
        <v>50</v>
      </c>
      <c r="S591">
        <v>80</v>
      </c>
    </row>
    <row r="592" spans="3:19" x14ac:dyDescent="0.2">
      <c r="C592">
        <v>1567</v>
      </c>
      <c r="D592">
        <v>1567</v>
      </c>
      <c r="E592">
        <v>1</v>
      </c>
      <c r="F592" t="s">
        <v>935</v>
      </c>
      <c r="G592" t="s">
        <v>1038</v>
      </c>
      <c r="H592" t="s">
        <v>935</v>
      </c>
      <c r="I592">
        <v>5</v>
      </c>
      <c r="J592">
        <v>0</v>
      </c>
    </row>
    <row r="593" spans="3:19" x14ac:dyDescent="0.2">
      <c r="C593">
        <v>1568</v>
      </c>
      <c r="D593">
        <v>1568</v>
      </c>
      <c r="E593">
        <v>1</v>
      </c>
      <c r="F593" t="s">
        <v>935</v>
      </c>
      <c r="G593" t="s">
        <v>1038</v>
      </c>
      <c r="H593" t="s">
        <v>935</v>
      </c>
      <c r="I593">
        <v>5</v>
      </c>
      <c r="J593">
        <v>0</v>
      </c>
    </row>
    <row r="594" spans="3:19" x14ac:dyDescent="0.2">
      <c r="C594">
        <v>1569</v>
      </c>
      <c r="D594">
        <v>1569</v>
      </c>
      <c r="E594">
        <v>1</v>
      </c>
      <c r="F594" t="s">
        <v>935</v>
      </c>
      <c r="G594" t="s">
        <v>1038</v>
      </c>
      <c r="H594" t="s">
        <v>935</v>
      </c>
      <c r="I594">
        <v>5</v>
      </c>
      <c r="J594">
        <v>0</v>
      </c>
    </row>
    <row r="595" spans="3:19" x14ac:dyDescent="0.2">
      <c r="C595">
        <v>1570</v>
      </c>
      <c r="D595">
        <v>1570</v>
      </c>
      <c r="E595">
        <v>1</v>
      </c>
      <c r="F595" t="s">
        <v>2047</v>
      </c>
      <c r="G595" t="s">
        <v>2048</v>
      </c>
      <c r="H595" t="s">
        <v>2049</v>
      </c>
      <c r="I595">
        <v>0</v>
      </c>
      <c r="J595">
        <v>5</v>
      </c>
      <c r="K595">
        <v>100</v>
      </c>
      <c r="L595">
        <v>50</v>
      </c>
      <c r="M595">
        <v>20</v>
      </c>
      <c r="N595">
        <v>1901</v>
      </c>
      <c r="O595">
        <v>1901</v>
      </c>
      <c r="P595">
        <v>2801</v>
      </c>
      <c r="Q595">
        <v>2801</v>
      </c>
      <c r="R595">
        <v>2801</v>
      </c>
      <c r="S595">
        <v>2801</v>
      </c>
    </row>
    <row r="596" spans="3:19" x14ac:dyDescent="0.2">
      <c r="C596">
        <v>1571</v>
      </c>
      <c r="D596">
        <v>1571</v>
      </c>
      <c r="E596">
        <v>1</v>
      </c>
      <c r="F596" t="s">
        <v>2050</v>
      </c>
      <c r="G596" t="s">
        <v>2051</v>
      </c>
      <c r="H596" t="s">
        <v>2052</v>
      </c>
      <c r="I596">
        <v>5</v>
      </c>
      <c r="J596">
        <v>5</v>
      </c>
      <c r="K596">
        <v>100</v>
      </c>
      <c r="L596">
        <v>75</v>
      </c>
      <c r="M596">
        <v>50</v>
      </c>
      <c r="N596">
        <v>472</v>
      </c>
      <c r="O596">
        <v>660</v>
      </c>
      <c r="P596">
        <v>430</v>
      </c>
      <c r="Q596">
        <v>480</v>
      </c>
      <c r="R596">
        <v>430</v>
      </c>
      <c r="S596">
        <v>480</v>
      </c>
    </row>
    <row r="597" spans="3:19" x14ac:dyDescent="0.2">
      <c r="C597">
        <v>1572</v>
      </c>
      <c r="D597">
        <v>1572</v>
      </c>
      <c r="E597">
        <v>1</v>
      </c>
      <c r="F597" t="s">
        <v>2053</v>
      </c>
      <c r="G597" t="s">
        <v>2051</v>
      </c>
      <c r="H597" t="s">
        <v>2052</v>
      </c>
      <c r="I597">
        <v>5</v>
      </c>
      <c r="J597">
        <v>5</v>
      </c>
      <c r="K597">
        <v>100</v>
      </c>
      <c r="L597">
        <v>75</v>
      </c>
      <c r="M597">
        <v>50</v>
      </c>
      <c r="N597">
        <v>472</v>
      </c>
      <c r="O597">
        <v>661</v>
      </c>
      <c r="P597">
        <v>430</v>
      </c>
      <c r="Q597">
        <v>480</v>
      </c>
      <c r="R597">
        <v>430</v>
      </c>
      <c r="S597">
        <v>480</v>
      </c>
    </row>
    <row r="598" spans="3:19" x14ac:dyDescent="0.2">
      <c r="C598">
        <v>1573</v>
      </c>
      <c r="D598">
        <v>1573</v>
      </c>
      <c r="E598">
        <v>1</v>
      </c>
      <c r="F598" t="s">
        <v>2054</v>
      </c>
      <c r="G598" t="s">
        <v>2051</v>
      </c>
      <c r="H598" t="s">
        <v>2052</v>
      </c>
      <c r="I598">
        <v>5</v>
      </c>
      <c r="J598">
        <v>5</v>
      </c>
      <c r="K598">
        <v>100</v>
      </c>
      <c r="L598">
        <v>75</v>
      </c>
      <c r="M598">
        <v>50</v>
      </c>
      <c r="N598">
        <v>476</v>
      </c>
      <c r="O598">
        <v>666</v>
      </c>
      <c r="P598">
        <v>430</v>
      </c>
      <c r="Q598">
        <v>480</v>
      </c>
      <c r="R598">
        <v>430</v>
      </c>
      <c r="S598">
        <v>480</v>
      </c>
    </row>
    <row r="599" spans="3:19" x14ac:dyDescent="0.2">
      <c r="C599">
        <v>1574</v>
      </c>
      <c r="D599">
        <v>1574</v>
      </c>
      <c r="E599">
        <v>1</v>
      </c>
      <c r="F599" t="s">
        <v>935</v>
      </c>
      <c r="G599" t="s">
        <v>1038</v>
      </c>
      <c r="H599" t="s">
        <v>935</v>
      </c>
      <c r="I599">
        <v>5</v>
      </c>
      <c r="J599">
        <v>0</v>
      </c>
      <c r="K599">
        <v>100</v>
      </c>
      <c r="L599">
        <v>100</v>
      </c>
      <c r="M599">
        <v>100</v>
      </c>
    </row>
    <row r="600" spans="3:19" x14ac:dyDescent="0.2">
      <c r="C600">
        <v>1575</v>
      </c>
      <c r="D600">
        <v>1575</v>
      </c>
      <c r="E600">
        <v>1</v>
      </c>
      <c r="F600" t="s">
        <v>2055</v>
      </c>
      <c r="G600" t="s">
        <v>2056</v>
      </c>
      <c r="H600" t="s">
        <v>2057</v>
      </c>
      <c r="I600">
        <v>5</v>
      </c>
      <c r="J600">
        <v>5</v>
      </c>
      <c r="N600">
        <v>70</v>
      </c>
      <c r="O600">
        <v>100</v>
      </c>
      <c r="P600">
        <v>70</v>
      </c>
      <c r="Q600">
        <v>100</v>
      </c>
      <c r="R600">
        <v>70</v>
      </c>
      <c r="S600">
        <v>100</v>
      </c>
    </row>
    <row r="601" spans="3:19" x14ac:dyDescent="0.2">
      <c r="C601">
        <v>1576</v>
      </c>
      <c r="D601">
        <v>1576</v>
      </c>
      <c r="E601">
        <v>1</v>
      </c>
      <c r="F601" t="s">
        <v>2058</v>
      </c>
      <c r="G601" t="s">
        <v>2059</v>
      </c>
      <c r="H601" t="s">
        <v>2060</v>
      </c>
      <c r="I601">
        <v>5</v>
      </c>
      <c r="J601">
        <v>5</v>
      </c>
      <c r="N601">
        <v>70</v>
      </c>
      <c r="O601">
        <v>100</v>
      </c>
      <c r="P601">
        <v>70</v>
      </c>
      <c r="Q601">
        <v>100</v>
      </c>
      <c r="R601">
        <v>70</v>
      </c>
      <c r="S601">
        <v>100</v>
      </c>
    </row>
    <row r="602" spans="3:19" x14ac:dyDescent="0.2">
      <c r="C602">
        <v>1577</v>
      </c>
      <c r="D602">
        <v>1577</v>
      </c>
      <c r="E602">
        <v>1</v>
      </c>
      <c r="F602" t="s">
        <v>2061</v>
      </c>
      <c r="G602" t="s">
        <v>2062</v>
      </c>
      <c r="H602" t="s">
        <v>2063</v>
      </c>
      <c r="I602">
        <v>5</v>
      </c>
      <c r="J602">
        <v>5</v>
      </c>
      <c r="N602">
        <v>70</v>
      </c>
      <c r="O602">
        <v>100</v>
      </c>
      <c r="P602">
        <v>70</v>
      </c>
      <c r="Q602">
        <v>100</v>
      </c>
      <c r="R602">
        <v>70</v>
      </c>
      <c r="S602">
        <v>100</v>
      </c>
    </row>
    <row r="603" spans="3:19" x14ac:dyDescent="0.2">
      <c r="C603">
        <v>1578</v>
      </c>
      <c r="D603">
        <v>1578</v>
      </c>
      <c r="E603">
        <v>1</v>
      </c>
      <c r="F603" t="s">
        <v>2064</v>
      </c>
      <c r="G603" t="s">
        <v>2065</v>
      </c>
      <c r="H603" t="s">
        <v>2066</v>
      </c>
      <c r="I603">
        <v>5</v>
      </c>
      <c r="J603">
        <v>5</v>
      </c>
      <c r="N603">
        <v>70</v>
      </c>
      <c r="O603">
        <v>100</v>
      </c>
      <c r="P603">
        <v>70</v>
      </c>
      <c r="Q603">
        <v>100</v>
      </c>
      <c r="R603">
        <v>70</v>
      </c>
      <c r="S603">
        <v>100</v>
      </c>
    </row>
    <row r="604" spans="3:19" x14ac:dyDescent="0.2">
      <c r="C604">
        <v>1579</v>
      </c>
      <c r="D604">
        <v>1579</v>
      </c>
      <c r="E604">
        <v>1</v>
      </c>
      <c r="F604" t="s">
        <v>2067</v>
      </c>
      <c r="G604" t="s">
        <v>2068</v>
      </c>
      <c r="H604" t="s">
        <v>2069</v>
      </c>
      <c r="I604">
        <v>5</v>
      </c>
      <c r="J604">
        <v>5</v>
      </c>
      <c r="N604">
        <v>70</v>
      </c>
      <c r="O604">
        <v>100</v>
      </c>
      <c r="P604">
        <v>70</v>
      </c>
      <c r="Q604">
        <v>100</v>
      </c>
      <c r="R604">
        <v>70</v>
      </c>
      <c r="S604">
        <v>100</v>
      </c>
    </row>
    <row r="605" spans="3:19" x14ac:dyDescent="0.2">
      <c r="C605">
        <v>1580</v>
      </c>
      <c r="D605">
        <v>1580</v>
      </c>
      <c r="E605">
        <v>1</v>
      </c>
      <c r="F605" t="s">
        <v>2070</v>
      </c>
      <c r="G605" t="s">
        <v>2071</v>
      </c>
      <c r="H605" t="s">
        <v>2072</v>
      </c>
      <c r="I605">
        <v>5</v>
      </c>
      <c r="J605">
        <v>5</v>
      </c>
      <c r="K605">
        <v>100</v>
      </c>
      <c r="L605">
        <v>85</v>
      </c>
      <c r="M605">
        <v>75</v>
      </c>
      <c r="N605">
        <v>80</v>
      </c>
      <c r="O605">
        <v>130</v>
      </c>
      <c r="P605">
        <v>80</v>
      </c>
      <c r="Q605">
        <v>120</v>
      </c>
      <c r="R605">
        <v>80</v>
      </c>
      <c r="S605">
        <v>120</v>
      </c>
    </row>
    <row r="606" spans="3:19" x14ac:dyDescent="0.2">
      <c r="C606">
        <v>1581</v>
      </c>
      <c r="D606">
        <v>1581</v>
      </c>
      <c r="E606">
        <v>1</v>
      </c>
      <c r="F606" t="s">
        <v>2073</v>
      </c>
      <c r="G606" t="s">
        <v>2074</v>
      </c>
      <c r="H606" t="s">
        <v>2075</v>
      </c>
      <c r="I606">
        <v>5</v>
      </c>
      <c r="J606">
        <v>5</v>
      </c>
      <c r="K606">
        <v>100</v>
      </c>
      <c r="L606">
        <v>85</v>
      </c>
      <c r="M606">
        <v>75</v>
      </c>
      <c r="N606">
        <v>80</v>
      </c>
      <c r="O606">
        <v>130</v>
      </c>
      <c r="P606">
        <v>80</v>
      </c>
      <c r="Q606">
        <v>120</v>
      </c>
      <c r="R606">
        <v>80</v>
      </c>
      <c r="S606">
        <v>120</v>
      </c>
    </row>
    <row r="607" spans="3:19" x14ac:dyDescent="0.2">
      <c r="C607">
        <v>1582</v>
      </c>
      <c r="D607">
        <v>1582</v>
      </c>
      <c r="E607">
        <v>1</v>
      </c>
      <c r="F607" t="s">
        <v>2076</v>
      </c>
      <c r="G607" t="s">
        <v>2077</v>
      </c>
      <c r="H607" t="s">
        <v>2078</v>
      </c>
      <c r="I607">
        <v>5</v>
      </c>
      <c r="J607">
        <v>5</v>
      </c>
      <c r="K607">
        <v>100</v>
      </c>
      <c r="L607">
        <v>85</v>
      </c>
      <c r="M607">
        <v>75</v>
      </c>
      <c r="N607">
        <v>80</v>
      </c>
      <c r="O607">
        <v>130</v>
      </c>
      <c r="P607">
        <v>80</v>
      </c>
      <c r="Q607">
        <v>120</v>
      </c>
      <c r="R607">
        <v>80</v>
      </c>
      <c r="S607">
        <v>120</v>
      </c>
    </row>
    <row r="608" spans="3:19" x14ac:dyDescent="0.2">
      <c r="C608">
        <v>1583</v>
      </c>
      <c r="D608">
        <v>1583</v>
      </c>
      <c r="E608">
        <v>1</v>
      </c>
      <c r="F608" t="s">
        <v>2079</v>
      </c>
      <c r="G608" t="s">
        <v>2080</v>
      </c>
      <c r="H608" t="s">
        <v>2075</v>
      </c>
      <c r="I608">
        <v>5</v>
      </c>
      <c r="J608">
        <v>5</v>
      </c>
      <c r="K608">
        <v>100</v>
      </c>
      <c r="L608">
        <v>85</v>
      </c>
      <c r="M608">
        <v>75</v>
      </c>
      <c r="N608">
        <v>80</v>
      </c>
      <c r="O608">
        <v>130</v>
      </c>
      <c r="P608">
        <v>80</v>
      </c>
      <c r="Q608">
        <v>120</v>
      </c>
      <c r="R608">
        <v>80</v>
      </c>
      <c r="S608">
        <v>120</v>
      </c>
    </row>
    <row r="609" spans="3:19" x14ac:dyDescent="0.2">
      <c r="C609">
        <v>1584</v>
      </c>
      <c r="D609">
        <v>1584</v>
      </c>
      <c r="E609">
        <v>1</v>
      </c>
      <c r="F609" t="s">
        <v>2081</v>
      </c>
      <c r="G609" t="s">
        <v>2082</v>
      </c>
      <c r="H609" t="s">
        <v>2083</v>
      </c>
      <c r="I609">
        <v>5</v>
      </c>
      <c r="J609">
        <v>5</v>
      </c>
      <c r="K609">
        <v>100</v>
      </c>
      <c r="L609">
        <v>85</v>
      </c>
      <c r="M609">
        <v>75</v>
      </c>
      <c r="N609">
        <v>80</v>
      </c>
      <c r="O609">
        <v>130</v>
      </c>
      <c r="P609">
        <v>80</v>
      </c>
      <c r="Q609">
        <v>120</v>
      </c>
      <c r="R609">
        <v>80</v>
      </c>
      <c r="S609">
        <v>120</v>
      </c>
    </row>
    <row r="610" spans="3:19" x14ac:dyDescent="0.2">
      <c r="C610">
        <v>1585</v>
      </c>
      <c r="D610">
        <v>1585</v>
      </c>
      <c r="E610">
        <v>1</v>
      </c>
      <c r="F610" t="s">
        <v>2084</v>
      </c>
      <c r="G610" t="s">
        <v>2085</v>
      </c>
      <c r="H610" t="s">
        <v>2086</v>
      </c>
      <c r="I610">
        <v>5</v>
      </c>
      <c r="J610">
        <v>5</v>
      </c>
      <c r="K610">
        <v>100</v>
      </c>
      <c r="L610">
        <v>90</v>
      </c>
      <c r="M610">
        <v>80</v>
      </c>
      <c r="N610">
        <v>115</v>
      </c>
      <c r="O610">
        <v>140</v>
      </c>
      <c r="P610">
        <v>115</v>
      </c>
      <c r="Q610">
        <v>140</v>
      </c>
      <c r="R610">
        <v>115</v>
      </c>
      <c r="S610">
        <v>140</v>
      </c>
    </row>
    <row r="611" spans="3:19" x14ac:dyDescent="0.2">
      <c r="C611">
        <v>1586</v>
      </c>
      <c r="D611">
        <v>1586</v>
      </c>
      <c r="E611">
        <v>1</v>
      </c>
      <c r="F611" t="s">
        <v>2084</v>
      </c>
      <c r="G611" t="s">
        <v>2087</v>
      </c>
      <c r="H611" t="s">
        <v>2088</v>
      </c>
      <c r="I611">
        <v>5</v>
      </c>
      <c r="J611">
        <v>5</v>
      </c>
      <c r="K611">
        <v>100</v>
      </c>
      <c r="L611">
        <v>90</v>
      </c>
      <c r="M611">
        <v>80</v>
      </c>
      <c r="N611">
        <v>115</v>
      </c>
      <c r="O611">
        <v>140</v>
      </c>
      <c r="P611">
        <v>115</v>
      </c>
      <c r="Q611">
        <v>140</v>
      </c>
      <c r="R611">
        <v>115</v>
      </c>
      <c r="S611">
        <v>140</v>
      </c>
    </row>
    <row r="612" spans="3:19" x14ac:dyDescent="0.2">
      <c r="C612">
        <v>1587</v>
      </c>
      <c r="D612">
        <v>1587</v>
      </c>
      <c r="E612">
        <v>1</v>
      </c>
      <c r="F612" t="s">
        <v>2084</v>
      </c>
      <c r="G612" t="s">
        <v>2087</v>
      </c>
      <c r="H612" t="s">
        <v>2089</v>
      </c>
      <c r="I612">
        <v>5</v>
      </c>
      <c r="J612">
        <v>5</v>
      </c>
      <c r="K612">
        <v>100</v>
      </c>
      <c r="L612">
        <v>90</v>
      </c>
      <c r="M612">
        <v>80</v>
      </c>
      <c r="N612">
        <v>115</v>
      </c>
      <c r="O612">
        <v>140</v>
      </c>
      <c r="P612">
        <v>115</v>
      </c>
      <c r="Q612">
        <v>140</v>
      </c>
      <c r="R612">
        <v>115</v>
      </c>
      <c r="S612">
        <v>140</v>
      </c>
    </row>
    <row r="613" spans="3:19" x14ac:dyDescent="0.2">
      <c r="C613">
        <v>1588</v>
      </c>
      <c r="D613">
        <v>1588</v>
      </c>
      <c r="E613">
        <v>1</v>
      </c>
      <c r="F613" t="s">
        <v>2090</v>
      </c>
      <c r="G613" t="s">
        <v>2091</v>
      </c>
      <c r="H613" t="s">
        <v>2092</v>
      </c>
      <c r="I613">
        <v>5</v>
      </c>
      <c r="J613">
        <v>5</v>
      </c>
      <c r="K613">
        <v>100</v>
      </c>
      <c r="L613">
        <v>90</v>
      </c>
      <c r="M613">
        <v>80</v>
      </c>
      <c r="N613">
        <v>115</v>
      </c>
      <c r="O613">
        <v>140</v>
      </c>
      <c r="P613">
        <v>115</v>
      </c>
      <c r="Q613">
        <v>140</v>
      </c>
      <c r="R613">
        <v>115</v>
      </c>
      <c r="S613">
        <v>140</v>
      </c>
    </row>
    <row r="614" spans="3:19" x14ac:dyDescent="0.2">
      <c r="C614">
        <v>1589</v>
      </c>
      <c r="D614">
        <v>1589</v>
      </c>
      <c r="E614">
        <v>1</v>
      </c>
      <c r="F614" t="s">
        <v>2093</v>
      </c>
      <c r="G614" t="s">
        <v>2094</v>
      </c>
      <c r="H614" t="s">
        <v>2095</v>
      </c>
      <c r="I614">
        <v>5</v>
      </c>
      <c r="J614">
        <v>5</v>
      </c>
      <c r="K614">
        <v>100</v>
      </c>
      <c r="L614">
        <v>90</v>
      </c>
      <c r="M614">
        <v>80</v>
      </c>
      <c r="N614">
        <v>115</v>
      </c>
      <c r="O614">
        <v>140</v>
      </c>
      <c r="P614">
        <v>115</v>
      </c>
      <c r="Q614">
        <v>140</v>
      </c>
      <c r="R614">
        <v>115</v>
      </c>
      <c r="S614">
        <v>140</v>
      </c>
    </row>
    <row r="615" spans="3:19" x14ac:dyDescent="0.2">
      <c r="C615">
        <v>1590</v>
      </c>
      <c r="D615">
        <v>1590</v>
      </c>
      <c r="E615">
        <v>1</v>
      </c>
      <c r="F615" t="s">
        <v>2096</v>
      </c>
      <c r="G615" t="s">
        <v>2097</v>
      </c>
      <c r="H615" t="s">
        <v>2098</v>
      </c>
      <c r="I615">
        <v>5</v>
      </c>
      <c r="J615">
        <v>5</v>
      </c>
      <c r="K615">
        <v>100</v>
      </c>
      <c r="L615">
        <v>100</v>
      </c>
      <c r="M615">
        <v>100</v>
      </c>
      <c r="N615">
        <v>40</v>
      </c>
      <c r="O615">
        <v>55</v>
      </c>
      <c r="P615">
        <v>40</v>
      </c>
      <c r="Q615">
        <v>55</v>
      </c>
      <c r="R615">
        <v>40</v>
      </c>
      <c r="S615">
        <v>55</v>
      </c>
    </row>
    <row r="616" spans="3:19" x14ac:dyDescent="0.2">
      <c r="C616">
        <v>1591</v>
      </c>
      <c r="D616">
        <v>1591</v>
      </c>
      <c r="E616">
        <v>1</v>
      </c>
      <c r="F616" t="s">
        <v>2099</v>
      </c>
      <c r="G616" t="s">
        <v>2100</v>
      </c>
      <c r="H616" t="s">
        <v>2101</v>
      </c>
      <c r="I616">
        <v>5</v>
      </c>
      <c r="J616">
        <v>5</v>
      </c>
      <c r="K616">
        <v>100</v>
      </c>
      <c r="L616">
        <v>100</v>
      </c>
      <c r="M616">
        <v>100</v>
      </c>
      <c r="N616">
        <v>40</v>
      </c>
      <c r="O616">
        <v>55</v>
      </c>
      <c r="P616">
        <v>40</v>
      </c>
      <c r="Q616">
        <v>55</v>
      </c>
      <c r="R616">
        <v>40</v>
      </c>
      <c r="S616">
        <v>55</v>
      </c>
    </row>
    <row r="617" spans="3:19" x14ac:dyDescent="0.2">
      <c r="C617">
        <v>1592</v>
      </c>
      <c r="D617">
        <v>1592</v>
      </c>
      <c r="E617">
        <v>1</v>
      </c>
      <c r="F617" t="s">
        <v>2102</v>
      </c>
      <c r="G617" t="s">
        <v>2103</v>
      </c>
      <c r="H617" t="s">
        <v>2104</v>
      </c>
      <c r="I617">
        <v>5</v>
      </c>
      <c r="J617">
        <v>5</v>
      </c>
      <c r="K617">
        <v>100</v>
      </c>
      <c r="L617">
        <v>100</v>
      </c>
      <c r="M617">
        <v>100</v>
      </c>
      <c r="N617">
        <v>40</v>
      </c>
      <c r="O617">
        <v>55</v>
      </c>
      <c r="P617">
        <v>40</v>
      </c>
      <c r="Q617">
        <v>55</v>
      </c>
      <c r="R617">
        <v>40</v>
      </c>
      <c r="S617">
        <v>55</v>
      </c>
    </row>
    <row r="618" spans="3:19" x14ac:dyDescent="0.2">
      <c r="C618">
        <v>1593</v>
      </c>
      <c r="D618">
        <v>1593</v>
      </c>
      <c r="E618">
        <v>1</v>
      </c>
      <c r="F618" t="s">
        <v>2105</v>
      </c>
      <c r="G618" t="s">
        <v>2106</v>
      </c>
      <c r="H618" t="s">
        <v>2107</v>
      </c>
      <c r="I618">
        <v>5</v>
      </c>
      <c r="J618">
        <v>5</v>
      </c>
      <c r="K618">
        <v>100</v>
      </c>
      <c r="L618">
        <v>100</v>
      </c>
      <c r="M618">
        <v>100</v>
      </c>
      <c r="N618">
        <v>40</v>
      </c>
      <c r="O618">
        <v>55</v>
      </c>
      <c r="P618">
        <v>40</v>
      </c>
      <c r="Q618">
        <v>55</v>
      </c>
      <c r="R618">
        <v>40</v>
      </c>
      <c r="S618">
        <v>55</v>
      </c>
    </row>
    <row r="619" spans="3:19" x14ac:dyDescent="0.2">
      <c r="C619">
        <v>1594</v>
      </c>
      <c r="D619">
        <v>1594</v>
      </c>
      <c r="E619">
        <v>1</v>
      </c>
      <c r="F619" t="s">
        <v>2108</v>
      </c>
      <c r="G619" t="s">
        <v>2109</v>
      </c>
      <c r="H619" t="s">
        <v>2110</v>
      </c>
      <c r="I619">
        <v>5</v>
      </c>
      <c r="J619">
        <v>5</v>
      </c>
      <c r="K619">
        <v>100</v>
      </c>
      <c r="L619">
        <v>75</v>
      </c>
      <c r="M619">
        <v>50</v>
      </c>
      <c r="N619">
        <v>70</v>
      </c>
      <c r="O619">
        <v>95</v>
      </c>
      <c r="P619">
        <v>70</v>
      </c>
      <c r="Q619">
        <v>95</v>
      </c>
      <c r="R619">
        <v>70</v>
      </c>
      <c r="S619">
        <v>95</v>
      </c>
    </row>
    <row r="620" spans="3:19" x14ac:dyDescent="0.2">
      <c r="C620">
        <v>1595</v>
      </c>
      <c r="D620">
        <v>1595</v>
      </c>
      <c r="E620">
        <v>1</v>
      </c>
      <c r="F620" t="s">
        <v>2111</v>
      </c>
      <c r="G620" t="s">
        <v>2112</v>
      </c>
      <c r="H620" t="s">
        <v>2113</v>
      </c>
      <c r="I620">
        <v>5</v>
      </c>
      <c r="J620">
        <v>5</v>
      </c>
      <c r="K620">
        <v>100</v>
      </c>
      <c r="L620">
        <v>75</v>
      </c>
      <c r="M620">
        <v>50</v>
      </c>
      <c r="N620">
        <v>70</v>
      </c>
      <c r="O620">
        <v>95</v>
      </c>
      <c r="P620">
        <v>70</v>
      </c>
      <c r="Q620">
        <v>95</v>
      </c>
      <c r="R620">
        <v>70</v>
      </c>
      <c r="S620">
        <v>95</v>
      </c>
    </row>
    <row r="621" spans="3:19" x14ac:dyDescent="0.2">
      <c r="C621">
        <v>1596</v>
      </c>
      <c r="D621">
        <v>1596</v>
      </c>
      <c r="E621">
        <v>1</v>
      </c>
      <c r="F621" t="s">
        <v>2114</v>
      </c>
      <c r="G621" t="s">
        <v>2115</v>
      </c>
      <c r="H621" t="s">
        <v>2116</v>
      </c>
      <c r="I621">
        <v>5</v>
      </c>
      <c r="J621">
        <v>5</v>
      </c>
      <c r="K621">
        <v>100</v>
      </c>
      <c r="L621">
        <v>75</v>
      </c>
      <c r="M621">
        <v>50</v>
      </c>
      <c r="N621">
        <v>70</v>
      </c>
      <c r="O621">
        <v>95</v>
      </c>
      <c r="P621">
        <v>70</v>
      </c>
      <c r="Q621">
        <v>95</v>
      </c>
      <c r="R621">
        <v>70</v>
      </c>
      <c r="S621">
        <v>95</v>
      </c>
    </row>
    <row r="622" spans="3:19" x14ac:dyDescent="0.2">
      <c r="C622">
        <v>1597</v>
      </c>
      <c r="D622">
        <v>1597</v>
      </c>
      <c r="E622">
        <v>1</v>
      </c>
      <c r="F622" t="s">
        <v>2117</v>
      </c>
      <c r="G622" t="s">
        <v>2118</v>
      </c>
      <c r="H622" t="s">
        <v>2119</v>
      </c>
      <c r="I622">
        <v>5</v>
      </c>
      <c r="J622">
        <v>5</v>
      </c>
      <c r="K622">
        <v>100</v>
      </c>
      <c r="L622">
        <v>75</v>
      </c>
      <c r="M622">
        <v>50</v>
      </c>
      <c r="N622">
        <v>70</v>
      </c>
      <c r="O622">
        <v>95</v>
      </c>
      <c r="P622">
        <v>70</v>
      </c>
      <c r="Q622">
        <v>95</v>
      </c>
      <c r="R622">
        <v>70</v>
      </c>
      <c r="S622">
        <v>95</v>
      </c>
    </row>
    <row r="623" spans="3:19" x14ac:dyDescent="0.2">
      <c r="C623">
        <v>1598</v>
      </c>
      <c r="D623">
        <v>1598</v>
      </c>
      <c r="E623">
        <v>1</v>
      </c>
      <c r="F623" t="s">
        <v>2120</v>
      </c>
      <c r="G623" t="s">
        <v>2121</v>
      </c>
      <c r="H623" t="s">
        <v>2122</v>
      </c>
      <c r="I623">
        <v>5</v>
      </c>
      <c r="J623">
        <v>5</v>
      </c>
      <c r="K623">
        <v>100</v>
      </c>
      <c r="L623">
        <v>75</v>
      </c>
      <c r="M623">
        <v>50</v>
      </c>
      <c r="N623">
        <v>70</v>
      </c>
      <c r="O623">
        <v>95</v>
      </c>
      <c r="P623">
        <v>70</v>
      </c>
      <c r="Q623">
        <v>95</v>
      </c>
      <c r="R623">
        <v>70</v>
      </c>
      <c r="S623">
        <v>95</v>
      </c>
    </row>
    <row r="624" spans="3:19" x14ac:dyDescent="0.2">
      <c r="C624">
        <v>1599</v>
      </c>
      <c r="D624">
        <v>1599</v>
      </c>
      <c r="E624">
        <v>1</v>
      </c>
      <c r="F624" t="s">
        <v>2123</v>
      </c>
      <c r="G624" t="s">
        <v>2124</v>
      </c>
      <c r="H624" t="s">
        <v>2125</v>
      </c>
      <c r="I624">
        <v>5</v>
      </c>
      <c r="J624">
        <v>5</v>
      </c>
      <c r="K624">
        <v>100</v>
      </c>
      <c r="L624">
        <v>75</v>
      </c>
      <c r="M624">
        <v>66</v>
      </c>
      <c r="N624">
        <v>120</v>
      </c>
      <c r="O624">
        <v>150</v>
      </c>
      <c r="P624">
        <v>120</v>
      </c>
      <c r="Q624">
        <v>150</v>
      </c>
      <c r="R624">
        <v>120</v>
      </c>
      <c r="S624">
        <v>150</v>
      </c>
    </row>
    <row r="625" spans="3:19" x14ac:dyDescent="0.2">
      <c r="C625">
        <v>1600</v>
      </c>
      <c r="D625">
        <v>1600</v>
      </c>
      <c r="E625">
        <v>1</v>
      </c>
      <c r="F625" t="s">
        <v>2126</v>
      </c>
      <c r="G625" t="s">
        <v>2126</v>
      </c>
      <c r="H625" t="s">
        <v>2127</v>
      </c>
      <c r="I625">
        <v>5</v>
      </c>
      <c r="J625">
        <v>5</v>
      </c>
      <c r="K625">
        <v>100</v>
      </c>
      <c r="L625">
        <v>75</v>
      </c>
      <c r="M625">
        <v>66</v>
      </c>
      <c r="N625">
        <v>120</v>
      </c>
      <c r="O625">
        <v>150</v>
      </c>
      <c r="P625">
        <v>120</v>
      </c>
      <c r="Q625">
        <v>150</v>
      </c>
      <c r="R625">
        <v>120</v>
      </c>
      <c r="S625">
        <v>150</v>
      </c>
    </row>
    <row r="626" spans="3:19" x14ac:dyDescent="0.2">
      <c r="C626">
        <v>1601</v>
      </c>
      <c r="D626">
        <v>1601</v>
      </c>
      <c r="E626">
        <v>1</v>
      </c>
      <c r="F626" t="s">
        <v>2126</v>
      </c>
      <c r="G626" t="s">
        <v>2126</v>
      </c>
      <c r="H626" t="s">
        <v>2128</v>
      </c>
      <c r="I626">
        <v>5</v>
      </c>
      <c r="J626">
        <v>5</v>
      </c>
      <c r="K626">
        <v>100</v>
      </c>
      <c r="L626">
        <v>75</v>
      </c>
      <c r="M626">
        <v>66</v>
      </c>
      <c r="N626">
        <v>120</v>
      </c>
      <c r="O626">
        <v>150</v>
      </c>
      <c r="P626">
        <v>120</v>
      </c>
      <c r="Q626">
        <v>150</v>
      </c>
      <c r="R626">
        <v>120</v>
      </c>
      <c r="S626">
        <v>150</v>
      </c>
    </row>
    <row r="627" spans="3:19" x14ac:dyDescent="0.2">
      <c r="C627">
        <v>1602</v>
      </c>
      <c r="D627">
        <v>1602</v>
      </c>
      <c r="E627">
        <v>1</v>
      </c>
      <c r="F627" t="s">
        <v>2126</v>
      </c>
      <c r="G627" t="s">
        <v>2126</v>
      </c>
      <c r="H627" t="s">
        <v>2129</v>
      </c>
      <c r="I627">
        <v>5</v>
      </c>
      <c r="J627">
        <v>5</v>
      </c>
      <c r="K627">
        <v>100</v>
      </c>
      <c r="L627">
        <v>75</v>
      </c>
      <c r="M627">
        <v>66</v>
      </c>
      <c r="N627">
        <v>120</v>
      </c>
      <c r="O627">
        <v>150</v>
      </c>
      <c r="P627">
        <v>120</v>
      </c>
      <c r="Q627">
        <v>150</v>
      </c>
      <c r="R627">
        <v>120</v>
      </c>
      <c r="S627">
        <v>150</v>
      </c>
    </row>
    <row r="628" spans="3:19" x14ac:dyDescent="0.2">
      <c r="C628">
        <v>1603</v>
      </c>
      <c r="D628">
        <v>1603</v>
      </c>
      <c r="E628">
        <v>1</v>
      </c>
      <c r="F628" t="s">
        <v>2126</v>
      </c>
      <c r="G628" t="s">
        <v>2126</v>
      </c>
      <c r="H628" t="s">
        <v>2130</v>
      </c>
      <c r="I628">
        <v>5</v>
      </c>
      <c r="J628">
        <v>5</v>
      </c>
      <c r="K628">
        <v>100</v>
      </c>
      <c r="L628">
        <v>75</v>
      </c>
      <c r="M628">
        <v>66</v>
      </c>
      <c r="N628">
        <v>120</v>
      </c>
      <c r="O628">
        <v>150</v>
      </c>
      <c r="P628">
        <v>120</v>
      </c>
      <c r="Q628">
        <v>150</v>
      </c>
      <c r="R628">
        <v>120</v>
      </c>
      <c r="S628">
        <v>150</v>
      </c>
    </row>
    <row r="629" spans="3:19" x14ac:dyDescent="0.2">
      <c r="C629">
        <v>1604</v>
      </c>
      <c r="D629">
        <v>1604</v>
      </c>
      <c r="E629">
        <v>1</v>
      </c>
      <c r="F629" t="s">
        <v>1970</v>
      </c>
      <c r="G629" t="s">
        <v>1974</v>
      </c>
      <c r="H629" t="s">
        <v>2131</v>
      </c>
      <c r="I629">
        <v>5</v>
      </c>
      <c r="J629">
        <v>5</v>
      </c>
      <c r="K629">
        <v>100</v>
      </c>
      <c r="L629">
        <v>85</v>
      </c>
      <c r="M629">
        <v>75</v>
      </c>
      <c r="N629">
        <v>123</v>
      </c>
      <c r="O629">
        <v>152</v>
      </c>
      <c r="P629">
        <v>115</v>
      </c>
      <c r="Q629">
        <v>145</v>
      </c>
      <c r="R629">
        <v>115</v>
      </c>
      <c r="S629">
        <v>145</v>
      </c>
    </row>
    <row r="630" spans="3:19" x14ac:dyDescent="0.2">
      <c r="C630">
        <v>1605</v>
      </c>
      <c r="D630">
        <v>1605</v>
      </c>
      <c r="E630">
        <v>1</v>
      </c>
      <c r="F630" t="s">
        <v>1111</v>
      </c>
      <c r="G630" t="s">
        <v>2132</v>
      </c>
      <c r="H630" t="s">
        <v>2133</v>
      </c>
      <c r="I630">
        <v>5</v>
      </c>
      <c r="J630">
        <v>5</v>
      </c>
      <c r="K630">
        <v>100</v>
      </c>
      <c r="L630">
        <v>100</v>
      </c>
      <c r="M630">
        <v>100</v>
      </c>
      <c r="N630">
        <v>90</v>
      </c>
      <c r="O630">
        <v>120</v>
      </c>
      <c r="P630">
        <v>90</v>
      </c>
      <c r="Q630">
        <v>120</v>
      </c>
      <c r="R630">
        <v>90</v>
      </c>
      <c r="S630">
        <v>120</v>
      </c>
    </row>
    <row r="631" spans="3:19" x14ac:dyDescent="0.2">
      <c r="C631">
        <v>1606</v>
      </c>
      <c r="D631">
        <v>1606</v>
      </c>
      <c r="E631">
        <v>1</v>
      </c>
      <c r="F631" t="s">
        <v>1111</v>
      </c>
      <c r="G631" t="s">
        <v>2134</v>
      </c>
      <c r="H631" t="s">
        <v>2135</v>
      </c>
      <c r="I631">
        <v>5</v>
      </c>
      <c r="J631">
        <v>5</v>
      </c>
      <c r="K631">
        <v>100</v>
      </c>
      <c r="L631">
        <v>100</v>
      </c>
      <c r="M631">
        <v>100</v>
      </c>
      <c r="N631">
        <v>90</v>
      </c>
      <c r="O631">
        <v>120</v>
      </c>
      <c r="P631">
        <v>90</v>
      </c>
      <c r="Q631">
        <v>120</v>
      </c>
      <c r="R631">
        <v>90</v>
      </c>
      <c r="S631">
        <v>120</v>
      </c>
    </row>
    <row r="632" spans="3:19" x14ac:dyDescent="0.2">
      <c r="C632">
        <v>1607</v>
      </c>
      <c r="D632">
        <v>1607</v>
      </c>
      <c r="E632">
        <v>1</v>
      </c>
      <c r="F632" t="s">
        <v>1111</v>
      </c>
      <c r="G632" t="s">
        <v>2134</v>
      </c>
      <c r="H632" t="s">
        <v>2136</v>
      </c>
      <c r="I632">
        <v>5</v>
      </c>
      <c r="J632">
        <v>5</v>
      </c>
      <c r="K632">
        <v>100</v>
      </c>
      <c r="L632">
        <v>100</v>
      </c>
      <c r="M632">
        <v>100</v>
      </c>
      <c r="N632">
        <v>90</v>
      </c>
      <c r="O632">
        <v>120</v>
      </c>
      <c r="P632">
        <v>90</v>
      </c>
      <c r="Q632">
        <v>120</v>
      </c>
      <c r="R632">
        <v>90</v>
      </c>
      <c r="S632">
        <v>120</v>
      </c>
    </row>
    <row r="633" spans="3:19" x14ac:dyDescent="0.2">
      <c r="C633">
        <v>1608</v>
      </c>
      <c r="D633">
        <v>1608</v>
      </c>
      <c r="E633">
        <v>1</v>
      </c>
      <c r="F633" t="s">
        <v>1234</v>
      </c>
      <c r="G633" t="s">
        <v>2137</v>
      </c>
      <c r="H633" t="s">
        <v>2138</v>
      </c>
      <c r="I633">
        <v>5</v>
      </c>
      <c r="J633">
        <v>5</v>
      </c>
      <c r="K633">
        <v>100</v>
      </c>
      <c r="L633">
        <v>100</v>
      </c>
      <c r="M633">
        <v>100</v>
      </c>
      <c r="N633">
        <v>67</v>
      </c>
      <c r="O633">
        <v>107</v>
      </c>
      <c r="P633">
        <v>60</v>
      </c>
      <c r="Q633">
        <v>90</v>
      </c>
      <c r="R633">
        <v>60</v>
      </c>
      <c r="S633">
        <v>90</v>
      </c>
    </row>
    <row r="634" spans="3:19" x14ac:dyDescent="0.2">
      <c r="C634">
        <v>1609</v>
      </c>
      <c r="D634">
        <v>1609</v>
      </c>
      <c r="E634">
        <v>1</v>
      </c>
      <c r="F634" t="s">
        <v>1292</v>
      </c>
      <c r="G634" t="s">
        <v>2139</v>
      </c>
      <c r="H634" t="s">
        <v>2140</v>
      </c>
      <c r="I634">
        <v>10</v>
      </c>
      <c r="J634">
        <v>5</v>
      </c>
      <c r="K634">
        <v>100</v>
      </c>
      <c r="L634">
        <v>85</v>
      </c>
      <c r="M634">
        <v>75</v>
      </c>
      <c r="N634">
        <v>152</v>
      </c>
      <c r="O634">
        <v>247</v>
      </c>
      <c r="P634">
        <v>190</v>
      </c>
      <c r="Q634">
        <v>250</v>
      </c>
      <c r="R634">
        <v>190</v>
      </c>
      <c r="S634">
        <v>250</v>
      </c>
    </row>
    <row r="635" spans="3:19" x14ac:dyDescent="0.2">
      <c r="C635">
        <v>1610</v>
      </c>
      <c r="D635">
        <v>1610</v>
      </c>
      <c r="E635">
        <v>1</v>
      </c>
      <c r="F635" t="s">
        <v>1685</v>
      </c>
      <c r="G635" t="s">
        <v>2141</v>
      </c>
      <c r="H635" t="s">
        <v>2142</v>
      </c>
      <c r="I635">
        <v>5</v>
      </c>
      <c r="J635">
        <v>5</v>
      </c>
      <c r="K635">
        <v>100</v>
      </c>
      <c r="L635">
        <v>100</v>
      </c>
      <c r="M635">
        <v>100</v>
      </c>
      <c r="N635">
        <v>53</v>
      </c>
      <c r="O635">
        <v>86</v>
      </c>
      <c r="P635">
        <v>55</v>
      </c>
      <c r="Q635">
        <v>85</v>
      </c>
      <c r="R635">
        <v>55</v>
      </c>
      <c r="S635">
        <v>85</v>
      </c>
    </row>
    <row r="636" spans="3:19" x14ac:dyDescent="0.2">
      <c r="C636">
        <v>1611</v>
      </c>
      <c r="D636">
        <v>1611</v>
      </c>
      <c r="E636">
        <v>1</v>
      </c>
      <c r="F636" t="s">
        <v>1685</v>
      </c>
      <c r="G636" t="s">
        <v>2143</v>
      </c>
      <c r="H636" t="s">
        <v>2144</v>
      </c>
      <c r="I636">
        <v>5</v>
      </c>
      <c r="J636">
        <v>5</v>
      </c>
      <c r="K636">
        <v>100</v>
      </c>
      <c r="L636">
        <v>100</v>
      </c>
      <c r="M636">
        <v>100</v>
      </c>
      <c r="N636">
        <v>53</v>
      </c>
      <c r="O636">
        <v>86</v>
      </c>
      <c r="P636">
        <v>55</v>
      </c>
      <c r="Q636">
        <v>85</v>
      </c>
      <c r="R636">
        <v>55</v>
      </c>
      <c r="S636">
        <v>85</v>
      </c>
    </row>
    <row r="637" spans="3:19" x14ac:dyDescent="0.2">
      <c r="C637">
        <v>1612</v>
      </c>
      <c r="D637">
        <v>1612</v>
      </c>
      <c r="E637">
        <v>1</v>
      </c>
      <c r="F637" t="s">
        <v>1685</v>
      </c>
      <c r="G637" t="s">
        <v>2145</v>
      </c>
      <c r="H637" t="s">
        <v>2146</v>
      </c>
      <c r="I637">
        <v>5</v>
      </c>
      <c r="J637">
        <v>5</v>
      </c>
      <c r="K637">
        <v>100</v>
      </c>
      <c r="L637">
        <v>100</v>
      </c>
      <c r="M637">
        <v>100</v>
      </c>
      <c r="N637">
        <v>53</v>
      </c>
      <c r="O637">
        <v>86</v>
      </c>
      <c r="P637">
        <v>55</v>
      </c>
      <c r="Q637">
        <v>85</v>
      </c>
      <c r="R637">
        <v>55</v>
      </c>
      <c r="S637">
        <v>85</v>
      </c>
    </row>
    <row r="638" spans="3:19" x14ac:dyDescent="0.2">
      <c r="C638">
        <v>1613</v>
      </c>
      <c r="D638">
        <v>1613</v>
      </c>
      <c r="E638">
        <v>1</v>
      </c>
      <c r="F638" t="s">
        <v>2147</v>
      </c>
      <c r="G638" t="s">
        <v>2148</v>
      </c>
      <c r="H638" t="s">
        <v>2149</v>
      </c>
      <c r="I638">
        <v>5</v>
      </c>
      <c r="J638">
        <v>5</v>
      </c>
      <c r="K638">
        <v>100</v>
      </c>
      <c r="L638">
        <v>100</v>
      </c>
      <c r="M638">
        <v>100</v>
      </c>
      <c r="N638">
        <v>93</v>
      </c>
      <c r="O638">
        <v>131</v>
      </c>
      <c r="P638">
        <v>55</v>
      </c>
      <c r="Q638">
        <v>95</v>
      </c>
      <c r="R638">
        <v>55</v>
      </c>
      <c r="S638">
        <v>95</v>
      </c>
    </row>
    <row r="639" spans="3:19" x14ac:dyDescent="0.2">
      <c r="C639">
        <v>1614</v>
      </c>
      <c r="D639">
        <v>1614</v>
      </c>
      <c r="E639">
        <v>1</v>
      </c>
      <c r="F639" t="s">
        <v>2147</v>
      </c>
      <c r="G639" t="s">
        <v>2150</v>
      </c>
      <c r="H639" t="s">
        <v>2151</v>
      </c>
      <c r="I639">
        <v>5</v>
      </c>
      <c r="J639">
        <v>5</v>
      </c>
      <c r="K639">
        <v>100</v>
      </c>
      <c r="L639">
        <v>100</v>
      </c>
      <c r="M639">
        <v>100</v>
      </c>
      <c r="N639">
        <v>93</v>
      </c>
      <c r="O639">
        <v>131</v>
      </c>
      <c r="P639">
        <v>55</v>
      </c>
      <c r="Q639">
        <v>95</v>
      </c>
      <c r="R639">
        <v>55</v>
      </c>
      <c r="S639">
        <v>95</v>
      </c>
    </row>
    <row r="640" spans="3:19" x14ac:dyDescent="0.2">
      <c r="C640">
        <v>1615</v>
      </c>
      <c r="D640">
        <v>1615</v>
      </c>
      <c r="E640">
        <v>1</v>
      </c>
      <c r="F640" t="s">
        <v>1364</v>
      </c>
      <c r="G640" t="s">
        <v>2152</v>
      </c>
      <c r="H640" t="s">
        <v>2153</v>
      </c>
      <c r="I640">
        <v>5</v>
      </c>
      <c r="J640">
        <v>5</v>
      </c>
      <c r="K640">
        <v>100</v>
      </c>
      <c r="L640">
        <v>100</v>
      </c>
      <c r="M640">
        <v>100</v>
      </c>
      <c r="N640">
        <v>85</v>
      </c>
      <c r="O640">
        <v>124</v>
      </c>
      <c r="P640">
        <v>80</v>
      </c>
      <c r="Q640">
        <v>115</v>
      </c>
      <c r="R640">
        <v>80</v>
      </c>
      <c r="S640">
        <v>115</v>
      </c>
    </row>
    <row r="641" spans="3:19" x14ac:dyDescent="0.2">
      <c r="C641">
        <v>1616</v>
      </c>
      <c r="D641">
        <v>1616</v>
      </c>
      <c r="E641">
        <v>1</v>
      </c>
      <c r="F641" t="s">
        <v>1364</v>
      </c>
      <c r="G641" t="s">
        <v>2152</v>
      </c>
      <c r="H641" t="s">
        <v>2153</v>
      </c>
      <c r="I641">
        <v>5</v>
      </c>
      <c r="J641">
        <v>5</v>
      </c>
      <c r="K641">
        <v>100</v>
      </c>
      <c r="L641">
        <v>100</v>
      </c>
      <c r="M641">
        <v>100</v>
      </c>
      <c r="N641">
        <v>85</v>
      </c>
      <c r="O641">
        <v>124</v>
      </c>
      <c r="P641">
        <v>80</v>
      </c>
      <c r="Q641">
        <v>115</v>
      </c>
      <c r="R641">
        <v>80</v>
      </c>
      <c r="S641">
        <v>115</v>
      </c>
    </row>
    <row r="642" spans="3:19" x14ac:dyDescent="0.2">
      <c r="C642">
        <v>1617</v>
      </c>
      <c r="D642">
        <v>1617</v>
      </c>
      <c r="E642">
        <v>1</v>
      </c>
      <c r="F642" t="s">
        <v>1364</v>
      </c>
      <c r="G642" t="s">
        <v>2152</v>
      </c>
      <c r="H642" t="s">
        <v>2153</v>
      </c>
      <c r="I642">
        <v>5</v>
      </c>
      <c r="J642">
        <v>5</v>
      </c>
      <c r="K642">
        <v>100</v>
      </c>
      <c r="L642">
        <v>100</v>
      </c>
      <c r="M642">
        <v>100</v>
      </c>
      <c r="N642">
        <v>85</v>
      </c>
      <c r="O642">
        <v>124</v>
      </c>
      <c r="P642">
        <v>80</v>
      </c>
      <c r="Q642">
        <v>115</v>
      </c>
      <c r="R642">
        <v>80</v>
      </c>
      <c r="S642">
        <v>115</v>
      </c>
    </row>
    <row r="643" spans="3:19" x14ac:dyDescent="0.2">
      <c r="C643">
        <v>1618</v>
      </c>
      <c r="D643">
        <v>1618</v>
      </c>
      <c r="E643">
        <v>1</v>
      </c>
      <c r="F643" t="s">
        <v>2154</v>
      </c>
      <c r="G643" t="s">
        <v>2155</v>
      </c>
      <c r="H643" t="s">
        <v>2156</v>
      </c>
      <c r="I643">
        <v>8</v>
      </c>
      <c r="J643">
        <v>5</v>
      </c>
      <c r="K643">
        <v>100</v>
      </c>
      <c r="L643">
        <v>100</v>
      </c>
      <c r="M643">
        <v>100</v>
      </c>
      <c r="N643">
        <v>108</v>
      </c>
      <c r="O643">
        <v>193</v>
      </c>
      <c r="P643">
        <v>200</v>
      </c>
      <c r="Q643">
        <v>260</v>
      </c>
      <c r="R643">
        <v>200</v>
      </c>
      <c r="S643">
        <v>260</v>
      </c>
    </row>
    <row r="644" spans="3:19" x14ac:dyDescent="0.2">
      <c r="C644">
        <v>1619</v>
      </c>
      <c r="D644">
        <v>1619</v>
      </c>
      <c r="E644">
        <v>1</v>
      </c>
      <c r="F644" t="s">
        <v>2154</v>
      </c>
      <c r="G644" t="s">
        <v>2155</v>
      </c>
      <c r="H644" t="s">
        <v>2156</v>
      </c>
      <c r="I644">
        <v>8</v>
      </c>
      <c r="J644">
        <v>5</v>
      </c>
      <c r="K644">
        <v>100</v>
      </c>
      <c r="L644">
        <v>100</v>
      </c>
      <c r="M644">
        <v>100</v>
      </c>
      <c r="N644">
        <v>108</v>
      </c>
      <c r="O644">
        <v>193</v>
      </c>
      <c r="P644">
        <v>200</v>
      </c>
      <c r="Q644">
        <v>260</v>
      </c>
      <c r="R644">
        <v>200</v>
      </c>
      <c r="S644">
        <v>260</v>
      </c>
    </row>
    <row r="645" spans="3:19" x14ac:dyDescent="0.2">
      <c r="C645">
        <v>1620</v>
      </c>
      <c r="D645">
        <v>1620</v>
      </c>
      <c r="E645">
        <v>1</v>
      </c>
      <c r="F645" t="s">
        <v>2157</v>
      </c>
      <c r="G645" t="s">
        <v>2158</v>
      </c>
      <c r="H645" t="s">
        <v>2159</v>
      </c>
      <c r="I645">
        <v>5</v>
      </c>
      <c r="J645">
        <v>5</v>
      </c>
      <c r="N645">
        <v>56</v>
      </c>
      <c r="O645">
        <v>84</v>
      </c>
      <c r="P645">
        <v>55</v>
      </c>
      <c r="Q645">
        <v>80</v>
      </c>
      <c r="R645">
        <v>55</v>
      </c>
      <c r="S645">
        <v>80</v>
      </c>
    </row>
    <row r="646" spans="3:19" x14ac:dyDescent="0.2">
      <c r="C646">
        <v>1621</v>
      </c>
      <c r="D646">
        <v>1621</v>
      </c>
      <c r="E646">
        <v>1</v>
      </c>
      <c r="F646" t="s">
        <v>2157</v>
      </c>
      <c r="G646" t="s">
        <v>2158</v>
      </c>
      <c r="H646" t="s">
        <v>2160</v>
      </c>
      <c r="I646">
        <v>5</v>
      </c>
      <c r="J646">
        <v>5</v>
      </c>
      <c r="N646">
        <v>56</v>
      </c>
      <c r="O646">
        <v>84</v>
      </c>
      <c r="P646">
        <v>55</v>
      </c>
      <c r="Q646">
        <v>80</v>
      </c>
      <c r="R646">
        <v>55</v>
      </c>
      <c r="S646">
        <v>80</v>
      </c>
    </row>
    <row r="647" spans="3:19" x14ac:dyDescent="0.2">
      <c r="C647">
        <v>1622</v>
      </c>
      <c r="D647">
        <v>1622</v>
      </c>
      <c r="E647">
        <v>1</v>
      </c>
      <c r="F647" t="s">
        <v>2161</v>
      </c>
      <c r="G647" t="s">
        <v>2162</v>
      </c>
      <c r="H647" t="s">
        <v>2163</v>
      </c>
      <c r="I647">
        <v>5</v>
      </c>
      <c r="J647">
        <v>5</v>
      </c>
      <c r="N647">
        <v>56</v>
      </c>
      <c r="O647">
        <v>84</v>
      </c>
      <c r="P647">
        <v>55</v>
      </c>
      <c r="Q647">
        <v>80</v>
      </c>
      <c r="R647">
        <v>55</v>
      </c>
      <c r="S647">
        <v>80</v>
      </c>
    </row>
    <row r="648" spans="3:19" x14ac:dyDescent="0.2">
      <c r="C648">
        <v>1623</v>
      </c>
      <c r="D648">
        <v>1623</v>
      </c>
      <c r="E648">
        <v>1</v>
      </c>
      <c r="F648" t="s">
        <v>2161</v>
      </c>
      <c r="G648" t="s">
        <v>2162</v>
      </c>
      <c r="H648" t="s">
        <v>2164</v>
      </c>
      <c r="I648">
        <v>5</v>
      </c>
      <c r="J648">
        <v>5</v>
      </c>
      <c r="N648">
        <v>56</v>
      </c>
      <c r="O648">
        <v>84</v>
      </c>
      <c r="P648">
        <v>55</v>
      </c>
      <c r="Q648">
        <v>80</v>
      </c>
      <c r="R648">
        <v>55</v>
      </c>
      <c r="S648">
        <v>80</v>
      </c>
    </row>
    <row r="649" spans="3:19" x14ac:dyDescent="0.2">
      <c r="C649">
        <v>1624</v>
      </c>
      <c r="D649">
        <v>1624</v>
      </c>
      <c r="E649">
        <v>1</v>
      </c>
      <c r="F649" t="s">
        <v>2165</v>
      </c>
      <c r="G649" t="s">
        <v>2166</v>
      </c>
      <c r="H649" t="s">
        <v>2167</v>
      </c>
      <c r="I649">
        <v>5</v>
      </c>
      <c r="J649">
        <v>5</v>
      </c>
      <c r="N649">
        <v>56</v>
      </c>
      <c r="O649">
        <v>84</v>
      </c>
      <c r="P649">
        <v>55</v>
      </c>
      <c r="Q649">
        <v>80</v>
      </c>
      <c r="R649">
        <v>55</v>
      </c>
      <c r="S649">
        <v>80</v>
      </c>
    </row>
    <row r="650" spans="3:19" x14ac:dyDescent="0.2">
      <c r="C650">
        <v>1625</v>
      </c>
      <c r="D650">
        <v>1625</v>
      </c>
      <c r="E650">
        <v>1</v>
      </c>
      <c r="F650" t="s">
        <v>1529</v>
      </c>
      <c r="G650" t="s">
        <v>1530</v>
      </c>
      <c r="H650" t="s">
        <v>2168</v>
      </c>
      <c r="I650">
        <v>5</v>
      </c>
      <c r="J650">
        <v>5</v>
      </c>
      <c r="N650">
        <v>56</v>
      </c>
      <c r="O650">
        <v>81</v>
      </c>
      <c r="P650">
        <v>55</v>
      </c>
      <c r="Q650">
        <v>80</v>
      </c>
      <c r="R650">
        <v>55</v>
      </c>
      <c r="S650">
        <v>80</v>
      </c>
    </row>
    <row r="651" spans="3:19" x14ac:dyDescent="0.2">
      <c r="C651">
        <v>1626</v>
      </c>
      <c r="D651">
        <v>1626</v>
      </c>
      <c r="E651">
        <v>1</v>
      </c>
      <c r="F651" t="s">
        <v>1529</v>
      </c>
      <c r="G651" t="s">
        <v>1530</v>
      </c>
      <c r="H651" t="s">
        <v>2168</v>
      </c>
      <c r="I651">
        <v>5</v>
      </c>
      <c r="J651">
        <v>5</v>
      </c>
      <c r="N651">
        <v>56</v>
      </c>
      <c r="O651">
        <v>81</v>
      </c>
      <c r="P651">
        <v>55</v>
      </c>
      <c r="Q651">
        <v>80</v>
      </c>
      <c r="R651">
        <v>55</v>
      </c>
      <c r="S651">
        <v>80</v>
      </c>
    </row>
    <row r="652" spans="3:19" x14ac:dyDescent="0.2">
      <c r="C652">
        <v>1627</v>
      </c>
      <c r="D652">
        <v>1627</v>
      </c>
      <c r="E652">
        <v>1</v>
      </c>
      <c r="F652" t="s">
        <v>1170</v>
      </c>
      <c r="G652" t="s">
        <v>2169</v>
      </c>
      <c r="H652" t="s">
        <v>2170</v>
      </c>
      <c r="I652">
        <v>5</v>
      </c>
      <c r="J652">
        <v>5</v>
      </c>
      <c r="K652">
        <v>100</v>
      </c>
      <c r="L652">
        <v>100</v>
      </c>
      <c r="M652">
        <v>100</v>
      </c>
      <c r="N652">
        <v>57</v>
      </c>
      <c r="O652">
        <v>97</v>
      </c>
      <c r="P652">
        <v>60</v>
      </c>
      <c r="Q652">
        <v>100</v>
      </c>
      <c r="R652">
        <v>60</v>
      </c>
      <c r="S652">
        <v>100</v>
      </c>
    </row>
    <row r="653" spans="3:19" x14ac:dyDescent="0.2">
      <c r="C653">
        <v>1628</v>
      </c>
      <c r="D653">
        <v>1628</v>
      </c>
      <c r="E653">
        <v>1</v>
      </c>
      <c r="F653" t="s">
        <v>1170</v>
      </c>
      <c r="G653" t="s">
        <v>2169</v>
      </c>
      <c r="H653" t="s">
        <v>2170</v>
      </c>
      <c r="I653">
        <v>5</v>
      </c>
      <c r="J653">
        <v>5</v>
      </c>
      <c r="K653">
        <v>100</v>
      </c>
      <c r="L653">
        <v>100</v>
      </c>
      <c r="M653">
        <v>100</v>
      </c>
      <c r="N653">
        <v>57</v>
      </c>
      <c r="O653">
        <v>97</v>
      </c>
      <c r="P653">
        <v>60</v>
      </c>
      <c r="Q653">
        <v>100</v>
      </c>
      <c r="R653">
        <v>60</v>
      </c>
      <c r="S653">
        <v>100</v>
      </c>
    </row>
    <row r="654" spans="3:19" x14ac:dyDescent="0.2">
      <c r="C654">
        <v>1629</v>
      </c>
      <c r="D654">
        <v>1629</v>
      </c>
      <c r="E654">
        <v>1</v>
      </c>
      <c r="F654" t="s">
        <v>1158</v>
      </c>
      <c r="G654" t="s">
        <v>2171</v>
      </c>
      <c r="H654" t="s">
        <v>2172</v>
      </c>
      <c r="I654">
        <v>5</v>
      </c>
      <c r="J654">
        <v>5</v>
      </c>
      <c r="K654">
        <v>100</v>
      </c>
      <c r="L654">
        <v>85</v>
      </c>
      <c r="M654">
        <v>75</v>
      </c>
      <c r="N654">
        <v>66</v>
      </c>
      <c r="O654">
        <v>194</v>
      </c>
      <c r="P654">
        <v>40</v>
      </c>
      <c r="Q654">
        <v>80</v>
      </c>
      <c r="R654">
        <v>40</v>
      </c>
      <c r="S654">
        <v>80</v>
      </c>
    </row>
    <row r="655" spans="3:19" x14ac:dyDescent="0.2">
      <c r="C655">
        <v>1630</v>
      </c>
      <c r="D655">
        <v>1630</v>
      </c>
      <c r="E655">
        <v>1</v>
      </c>
      <c r="F655" t="s">
        <v>1158</v>
      </c>
      <c r="G655" t="s">
        <v>2171</v>
      </c>
      <c r="H655" t="s">
        <v>2173</v>
      </c>
      <c r="I655">
        <v>5</v>
      </c>
      <c r="J655">
        <v>5</v>
      </c>
      <c r="K655">
        <v>100</v>
      </c>
      <c r="L655">
        <v>85</v>
      </c>
      <c r="M655">
        <v>75</v>
      </c>
      <c r="N655">
        <v>66</v>
      </c>
      <c r="O655">
        <v>194</v>
      </c>
      <c r="P655">
        <v>40</v>
      </c>
      <c r="Q655">
        <v>80</v>
      </c>
      <c r="R655">
        <v>40</v>
      </c>
      <c r="S655">
        <v>80</v>
      </c>
    </row>
    <row r="656" spans="3:19" x14ac:dyDescent="0.2">
      <c r="C656">
        <v>1631</v>
      </c>
      <c r="D656">
        <v>1631</v>
      </c>
      <c r="E656">
        <v>1</v>
      </c>
      <c r="F656" t="s">
        <v>1039</v>
      </c>
      <c r="G656" t="s">
        <v>1040</v>
      </c>
      <c r="H656" t="s">
        <v>2174</v>
      </c>
      <c r="I656">
        <v>5</v>
      </c>
      <c r="J656">
        <v>5</v>
      </c>
      <c r="N656">
        <v>83</v>
      </c>
      <c r="O656">
        <v>165</v>
      </c>
      <c r="P656">
        <v>65</v>
      </c>
      <c r="Q656">
        <v>90</v>
      </c>
      <c r="R656">
        <v>65</v>
      </c>
      <c r="S656">
        <v>90</v>
      </c>
    </row>
    <row r="657" spans="3:19" x14ac:dyDescent="0.2">
      <c r="C657">
        <v>1632</v>
      </c>
      <c r="D657">
        <v>1632</v>
      </c>
      <c r="E657">
        <v>1</v>
      </c>
      <c r="F657" t="s">
        <v>1039</v>
      </c>
      <c r="G657" t="s">
        <v>1040</v>
      </c>
      <c r="H657" t="s">
        <v>2174</v>
      </c>
      <c r="I657">
        <v>5</v>
      </c>
      <c r="J657">
        <v>5</v>
      </c>
      <c r="N657">
        <v>83</v>
      </c>
      <c r="O657">
        <v>165</v>
      </c>
      <c r="P657">
        <v>65</v>
      </c>
      <c r="Q657">
        <v>90</v>
      </c>
      <c r="R657">
        <v>65</v>
      </c>
      <c r="S657">
        <v>90</v>
      </c>
    </row>
    <row r="658" spans="3:19" x14ac:dyDescent="0.2">
      <c r="C658">
        <v>1633</v>
      </c>
      <c r="D658">
        <v>1633</v>
      </c>
      <c r="E658">
        <v>1</v>
      </c>
      <c r="F658" t="s">
        <v>1039</v>
      </c>
      <c r="G658" t="s">
        <v>1040</v>
      </c>
      <c r="H658" t="s">
        <v>2174</v>
      </c>
      <c r="I658">
        <v>5</v>
      </c>
      <c r="J658">
        <v>5</v>
      </c>
      <c r="N658">
        <v>83</v>
      </c>
      <c r="O658">
        <v>165</v>
      </c>
      <c r="P658">
        <v>65</v>
      </c>
      <c r="Q658">
        <v>90</v>
      </c>
      <c r="R658">
        <v>65</v>
      </c>
      <c r="S658">
        <v>90</v>
      </c>
    </row>
    <row r="659" spans="3:19" x14ac:dyDescent="0.2">
      <c r="C659">
        <v>1634</v>
      </c>
      <c r="D659">
        <v>1634</v>
      </c>
      <c r="E659">
        <v>1</v>
      </c>
      <c r="F659" t="s">
        <v>1884</v>
      </c>
      <c r="G659" t="s">
        <v>2175</v>
      </c>
      <c r="H659" t="s">
        <v>2176</v>
      </c>
      <c r="I659">
        <v>5</v>
      </c>
      <c r="J659">
        <v>5</v>
      </c>
      <c r="K659">
        <v>100</v>
      </c>
      <c r="L659">
        <v>85</v>
      </c>
      <c r="M659">
        <v>75</v>
      </c>
      <c r="N659">
        <v>95</v>
      </c>
      <c r="O659">
        <v>152</v>
      </c>
      <c r="P659">
        <v>60</v>
      </c>
      <c r="Q659">
        <v>90</v>
      </c>
      <c r="R659">
        <v>60</v>
      </c>
      <c r="S659">
        <v>90</v>
      </c>
    </row>
    <row r="660" spans="3:19" x14ac:dyDescent="0.2">
      <c r="C660">
        <v>1635</v>
      </c>
      <c r="D660">
        <v>1635</v>
      </c>
      <c r="E660">
        <v>1</v>
      </c>
      <c r="F660" t="s">
        <v>1884</v>
      </c>
      <c r="G660" t="s">
        <v>2175</v>
      </c>
      <c r="H660" t="s">
        <v>2176</v>
      </c>
      <c r="I660">
        <v>5</v>
      </c>
      <c r="J660">
        <v>5</v>
      </c>
      <c r="K660">
        <v>100</v>
      </c>
      <c r="L660">
        <v>85</v>
      </c>
      <c r="M660">
        <v>75</v>
      </c>
      <c r="N660">
        <v>95</v>
      </c>
      <c r="O660">
        <v>152</v>
      </c>
      <c r="P660">
        <v>60</v>
      </c>
      <c r="Q660">
        <v>90</v>
      </c>
      <c r="R660">
        <v>60</v>
      </c>
      <c r="S660">
        <v>90</v>
      </c>
    </row>
    <row r="661" spans="3:19" x14ac:dyDescent="0.2">
      <c r="C661">
        <v>1636</v>
      </c>
      <c r="D661">
        <v>1636</v>
      </c>
      <c r="E661">
        <v>1</v>
      </c>
      <c r="F661" t="s">
        <v>1897</v>
      </c>
      <c r="G661" t="s">
        <v>2177</v>
      </c>
      <c r="H661" t="s">
        <v>2178</v>
      </c>
      <c r="I661">
        <v>5</v>
      </c>
      <c r="J661">
        <v>5</v>
      </c>
      <c r="K661">
        <v>100</v>
      </c>
      <c r="L661">
        <v>85</v>
      </c>
      <c r="M661">
        <v>75</v>
      </c>
      <c r="N661">
        <v>95</v>
      </c>
      <c r="O661">
        <v>152</v>
      </c>
      <c r="P661">
        <v>60</v>
      </c>
      <c r="Q661">
        <v>90</v>
      </c>
      <c r="R661">
        <v>60</v>
      </c>
      <c r="S661">
        <v>90</v>
      </c>
    </row>
    <row r="662" spans="3:19" x14ac:dyDescent="0.2">
      <c r="C662">
        <v>1637</v>
      </c>
      <c r="D662">
        <v>1637</v>
      </c>
      <c r="E662">
        <v>1</v>
      </c>
      <c r="F662" t="s">
        <v>1897</v>
      </c>
      <c r="G662" t="s">
        <v>2177</v>
      </c>
      <c r="H662" t="s">
        <v>2179</v>
      </c>
      <c r="I662">
        <v>5</v>
      </c>
      <c r="J662">
        <v>5</v>
      </c>
      <c r="K662">
        <v>100</v>
      </c>
      <c r="L662">
        <v>85</v>
      </c>
      <c r="M662">
        <v>75</v>
      </c>
      <c r="N662">
        <v>95</v>
      </c>
      <c r="O662">
        <v>152</v>
      </c>
      <c r="P662">
        <v>60</v>
      </c>
      <c r="Q662">
        <v>90</v>
      </c>
      <c r="R662">
        <v>60</v>
      </c>
      <c r="S662">
        <v>90</v>
      </c>
    </row>
    <row r="663" spans="3:19" x14ac:dyDescent="0.2">
      <c r="C663">
        <v>1638</v>
      </c>
      <c r="D663">
        <v>1638</v>
      </c>
      <c r="E663">
        <v>1</v>
      </c>
      <c r="F663" t="s">
        <v>1897</v>
      </c>
      <c r="G663" t="s">
        <v>2177</v>
      </c>
      <c r="H663" t="s">
        <v>2180</v>
      </c>
      <c r="I663">
        <v>5</v>
      </c>
      <c r="J663">
        <v>5</v>
      </c>
      <c r="K663">
        <v>100</v>
      </c>
      <c r="L663">
        <v>85</v>
      </c>
      <c r="M663">
        <v>75</v>
      </c>
      <c r="N663">
        <v>95</v>
      </c>
      <c r="O663">
        <v>152</v>
      </c>
      <c r="P663">
        <v>60</v>
      </c>
      <c r="Q663">
        <v>90</v>
      </c>
      <c r="R663">
        <v>60</v>
      </c>
      <c r="S663">
        <v>90</v>
      </c>
    </row>
    <row r="664" spans="3:19" x14ac:dyDescent="0.2">
      <c r="C664">
        <v>1639</v>
      </c>
      <c r="D664">
        <v>1639</v>
      </c>
      <c r="E664">
        <v>1</v>
      </c>
      <c r="F664" t="s">
        <v>1267</v>
      </c>
      <c r="G664" t="s">
        <v>2181</v>
      </c>
      <c r="H664" t="s">
        <v>2182</v>
      </c>
      <c r="I664">
        <v>5</v>
      </c>
      <c r="J664">
        <v>5</v>
      </c>
      <c r="N664">
        <v>44</v>
      </c>
      <c r="O664">
        <v>87</v>
      </c>
      <c r="P664">
        <v>45</v>
      </c>
      <c r="Q664">
        <v>85</v>
      </c>
      <c r="R664">
        <v>45</v>
      </c>
      <c r="S664">
        <v>85</v>
      </c>
    </row>
    <row r="665" spans="3:19" x14ac:dyDescent="0.2">
      <c r="C665">
        <v>1640</v>
      </c>
      <c r="D665">
        <v>1640</v>
      </c>
      <c r="E665">
        <v>1</v>
      </c>
      <c r="F665" t="s">
        <v>1267</v>
      </c>
      <c r="G665" t="s">
        <v>2181</v>
      </c>
      <c r="H665" t="s">
        <v>2183</v>
      </c>
      <c r="I665">
        <v>5</v>
      </c>
      <c r="J665">
        <v>5</v>
      </c>
      <c r="N665">
        <v>44</v>
      </c>
      <c r="O665">
        <v>87</v>
      </c>
      <c r="P665">
        <v>45</v>
      </c>
      <c r="Q665">
        <v>85</v>
      </c>
      <c r="R665">
        <v>45</v>
      </c>
      <c r="S665">
        <v>85</v>
      </c>
    </row>
    <row r="666" spans="3:19" x14ac:dyDescent="0.2">
      <c r="C666">
        <v>1641</v>
      </c>
      <c r="D666">
        <v>1641</v>
      </c>
      <c r="E666">
        <v>1</v>
      </c>
      <c r="F666" t="s">
        <v>1267</v>
      </c>
      <c r="G666" t="s">
        <v>2181</v>
      </c>
      <c r="H666" t="s">
        <v>2184</v>
      </c>
      <c r="I666">
        <v>5</v>
      </c>
      <c r="J666">
        <v>5</v>
      </c>
      <c r="N666">
        <v>44</v>
      </c>
      <c r="O666">
        <v>87</v>
      </c>
      <c r="P666">
        <v>45</v>
      </c>
      <c r="Q666">
        <v>85</v>
      </c>
      <c r="R666">
        <v>45</v>
      </c>
      <c r="S666">
        <v>85</v>
      </c>
    </row>
    <row r="667" spans="3:19" x14ac:dyDescent="0.2">
      <c r="C667">
        <v>1642</v>
      </c>
      <c r="D667">
        <v>1642</v>
      </c>
      <c r="E667">
        <v>1</v>
      </c>
      <c r="F667" t="s">
        <v>1005</v>
      </c>
      <c r="G667" t="s">
        <v>1006</v>
      </c>
      <c r="H667" t="s">
        <v>1007</v>
      </c>
      <c r="I667">
        <v>5</v>
      </c>
      <c r="J667">
        <v>5</v>
      </c>
      <c r="K667">
        <v>100</v>
      </c>
      <c r="L667">
        <v>100</v>
      </c>
      <c r="M667">
        <v>100</v>
      </c>
      <c r="N667">
        <v>21</v>
      </c>
      <c r="O667">
        <v>55</v>
      </c>
      <c r="P667">
        <v>25</v>
      </c>
      <c r="Q667">
        <v>55</v>
      </c>
      <c r="R667">
        <v>25</v>
      </c>
      <c r="S667">
        <v>55</v>
      </c>
    </row>
    <row r="668" spans="3:19" x14ac:dyDescent="0.2">
      <c r="C668">
        <v>1643</v>
      </c>
      <c r="D668">
        <v>1643</v>
      </c>
      <c r="E668">
        <v>1</v>
      </c>
      <c r="F668" t="s">
        <v>1005</v>
      </c>
      <c r="G668" t="s">
        <v>1006</v>
      </c>
      <c r="H668" t="s">
        <v>1007</v>
      </c>
      <c r="I668">
        <v>5</v>
      </c>
      <c r="J668">
        <v>5</v>
      </c>
      <c r="K668">
        <v>100</v>
      </c>
      <c r="L668">
        <v>100</v>
      </c>
      <c r="M668">
        <v>100</v>
      </c>
      <c r="N668">
        <v>21</v>
      </c>
      <c r="O668">
        <v>55</v>
      </c>
      <c r="P668">
        <v>25</v>
      </c>
      <c r="Q668">
        <v>55</v>
      </c>
      <c r="R668">
        <v>25</v>
      </c>
      <c r="S668">
        <v>55</v>
      </c>
    </row>
    <row r="669" spans="3:19" x14ac:dyDescent="0.2">
      <c r="C669">
        <v>1644</v>
      </c>
      <c r="D669">
        <v>1644</v>
      </c>
      <c r="E669">
        <v>1</v>
      </c>
      <c r="F669" t="s">
        <v>1005</v>
      </c>
      <c r="G669" t="s">
        <v>1006</v>
      </c>
      <c r="H669" t="s">
        <v>1007</v>
      </c>
      <c r="I669">
        <v>5</v>
      </c>
      <c r="J669">
        <v>5</v>
      </c>
      <c r="K669">
        <v>100</v>
      </c>
      <c r="L669">
        <v>100</v>
      </c>
      <c r="M669">
        <v>100</v>
      </c>
      <c r="N669">
        <v>21</v>
      </c>
      <c r="O669">
        <v>55</v>
      </c>
      <c r="P669">
        <v>25</v>
      </c>
      <c r="Q669">
        <v>55</v>
      </c>
      <c r="R669">
        <v>25</v>
      </c>
      <c r="S669">
        <v>55</v>
      </c>
    </row>
    <row r="670" spans="3:19" x14ac:dyDescent="0.2">
      <c r="C670">
        <v>1645</v>
      </c>
      <c r="D670">
        <v>1645</v>
      </c>
      <c r="E670">
        <v>1</v>
      </c>
      <c r="F670" t="s">
        <v>1108</v>
      </c>
      <c r="G670" t="s">
        <v>2185</v>
      </c>
      <c r="H670" t="s">
        <v>2186</v>
      </c>
      <c r="I670">
        <v>5</v>
      </c>
      <c r="J670">
        <v>5</v>
      </c>
      <c r="K670">
        <v>100</v>
      </c>
      <c r="L670">
        <v>75</v>
      </c>
      <c r="M670">
        <v>66</v>
      </c>
      <c r="N670">
        <v>65</v>
      </c>
      <c r="O670">
        <v>107</v>
      </c>
      <c r="P670">
        <v>55</v>
      </c>
      <c r="Q670">
        <v>90</v>
      </c>
      <c r="R670">
        <v>55</v>
      </c>
      <c r="S670">
        <v>90</v>
      </c>
    </row>
    <row r="671" spans="3:19" x14ac:dyDescent="0.2">
      <c r="C671">
        <v>1646</v>
      </c>
      <c r="D671">
        <v>1646</v>
      </c>
      <c r="E671">
        <v>1</v>
      </c>
      <c r="F671" t="s">
        <v>1108</v>
      </c>
      <c r="G671" t="s">
        <v>2185</v>
      </c>
      <c r="H671" t="s">
        <v>2186</v>
      </c>
      <c r="I671">
        <v>5</v>
      </c>
      <c r="J671">
        <v>5</v>
      </c>
      <c r="K671">
        <v>100</v>
      </c>
      <c r="L671">
        <v>75</v>
      </c>
      <c r="M671">
        <v>66</v>
      </c>
      <c r="N671">
        <v>65</v>
      </c>
      <c r="O671">
        <v>107</v>
      </c>
      <c r="P671">
        <v>55</v>
      </c>
      <c r="Q671">
        <v>90</v>
      </c>
      <c r="R671">
        <v>55</v>
      </c>
      <c r="S671">
        <v>90</v>
      </c>
    </row>
    <row r="672" spans="3:19" x14ac:dyDescent="0.2">
      <c r="C672">
        <v>1647</v>
      </c>
      <c r="D672">
        <v>1647</v>
      </c>
      <c r="E672">
        <v>1</v>
      </c>
      <c r="F672" t="s">
        <v>1108</v>
      </c>
      <c r="G672" t="s">
        <v>2185</v>
      </c>
      <c r="H672" t="s">
        <v>2186</v>
      </c>
      <c r="I672">
        <v>5</v>
      </c>
      <c r="J672">
        <v>5</v>
      </c>
      <c r="K672">
        <v>100</v>
      </c>
      <c r="L672">
        <v>75</v>
      </c>
      <c r="M672">
        <v>66</v>
      </c>
      <c r="N672">
        <v>65</v>
      </c>
      <c r="O672">
        <v>107</v>
      </c>
      <c r="P672">
        <v>55</v>
      </c>
      <c r="Q672">
        <v>90</v>
      </c>
      <c r="R672">
        <v>55</v>
      </c>
      <c r="S672">
        <v>90</v>
      </c>
    </row>
    <row r="673" spans="3:19" x14ac:dyDescent="0.2">
      <c r="C673">
        <v>1648</v>
      </c>
      <c r="D673">
        <v>1648</v>
      </c>
      <c r="E673">
        <v>1</v>
      </c>
      <c r="F673" t="s">
        <v>948</v>
      </c>
      <c r="G673" t="s">
        <v>2187</v>
      </c>
      <c r="H673" t="s">
        <v>2188</v>
      </c>
      <c r="I673">
        <v>5</v>
      </c>
      <c r="J673">
        <v>5</v>
      </c>
      <c r="N673">
        <v>94</v>
      </c>
      <c r="O673">
        <v>131</v>
      </c>
      <c r="P673">
        <v>70</v>
      </c>
      <c r="Q673">
        <v>100</v>
      </c>
      <c r="R673">
        <v>70</v>
      </c>
      <c r="S673">
        <v>100</v>
      </c>
    </row>
    <row r="674" spans="3:19" x14ac:dyDescent="0.2">
      <c r="C674">
        <v>1649</v>
      </c>
      <c r="D674">
        <v>1649</v>
      </c>
      <c r="E674">
        <v>1</v>
      </c>
      <c r="F674" t="s">
        <v>948</v>
      </c>
      <c r="G674" t="s">
        <v>2187</v>
      </c>
      <c r="H674" t="s">
        <v>2189</v>
      </c>
      <c r="I674">
        <v>5</v>
      </c>
      <c r="J674">
        <v>5</v>
      </c>
      <c r="N674">
        <v>94</v>
      </c>
      <c r="O674">
        <v>131</v>
      </c>
      <c r="P674">
        <v>70</v>
      </c>
      <c r="Q674">
        <v>100</v>
      </c>
      <c r="R674">
        <v>70</v>
      </c>
      <c r="S674">
        <v>100</v>
      </c>
    </row>
    <row r="675" spans="3:19" x14ac:dyDescent="0.2">
      <c r="C675">
        <v>1650</v>
      </c>
      <c r="D675">
        <v>1650</v>
      </c>
      <c r="E675">
        <v>1</v>
      </c>
      <c r="F675" t="s">
        <v>1322</v>
      </c>
      <c r="G675" t="s">
        <v>2190</v>
      </c>
      <c r="H675" t="s">
        <v>2191</v>
      </c>
      <c r="I675">
        <v>5</v>
      </c>
      <c r="J675">
        <v>5</v>
      </c>
      <c r="K675">
        <v>100</v>
      </c>
      <c r="L675">
        <v>85</v>
      </c>
      <c r="M675">
        <v>75</v>
      </c>
      <c r="N675">
        <v>43</v>
      </c>
      <c r="O675">
        <v>151</v>
      </c>
      <c r="P675">
        <v>70</v>
      </c>
      <c r="Q675">
        <v>110</v>
      </c>
      <c r="R675">
        <v>70</v>
      </c>
      <c r="S675">
        <v>110</v>
      </c>
    </row>
    <row r="676" spans="3:19" x14ac:dyDescent="0.2">
      <c r="C676">
        <v>1651</v>
      </c>
      <c r="D676">
        <v>1651</v>
      </c>
      <c r="E676">
        <v>1</v>
      </c>
      <c r="F676" t="s">
        <v>1322</v>
      </c>
      <c r="G676" t="s">
        <v>2190</v>
      </c>
      <c r="H676" t="s">
        <v>2191</v>
      </c>
      <c r="I676">
        <v>5</v>
      </c>
      <c r="J676">
        <v>5</v>
      </c>
      <c r="K676">
        <v>100</v>
      </c>
      <c r="L676">
        <v>85</v>
      </c>
      <c r="M676">
        <v>75</v>
      </c>
      <c r="N676">
        <v>43</v>
      </c>
      <c r="O676">
        <v>151</v>
      </c>
      <c r="P676">
        <v>70</v>
      </c>
      <c r="Q676">
        <v>110</v>
      </c>
      <c r="R676">
        <v>70</v>
      </c>
      <c r="S676">
        <v>110</v>
      </c>
    </row>
    <row r="677" spans="3:19" x14ac:dyDescent="0.2">
      <c r="C677">
        <v>1652</v>
      </c>
      <c r="D677">
        <v>1652</v>
      </c>
      <c r="E677">
        <v>1</v>
      </c>
      <c r="F677" t="s">
        <v>1954</v>
      </c>
      <c r="G677" t="s">
        <v>2192</v>
      </c>
      <c r="H677" t="s">
        <v>2193</v>
      </c>
      <c r="I677">
        <v>5</v>
      </c>
      <c r="J677">
        <v>5</v>
      </c>
      <c r="K677">
        <v>100</v>
      </c>
      <c r="L677">
        <v>85</v>
      </c>
      <c r="M677">
        <v>75</v>
      </c>
      <c r="N677">
        <v>284</v>
      </c>
      <c r="O677">
        <v>379</v>
      </c>
      <c r="P677">
        <v>240</v>
      </c>
      <c r="Q677">
        <v>300</v>
      </c>
      <c r="R677">
        <v>240</v>
      </c>
      <c r="S677">
        <v>300</v>
      </c>
    </row>
    <row r="678" spans="3:19" x14ac:dyDescent="0.2">
      <c r="C678">
        <v>1653</v>
      </c>
      <c r="D678">
        <v>1653</v>
      </c>
      <c r="E678">
        <v>1</v>
      </c>
      <c r="F678" t="s">
        <v>1954</v>
      </c>
      <c r="G678" t="s">
        <v>2192</v>
      </c>
      <c r="H678" t="s">
        <v>2194</v>
      </c>
      <c r="I678">
        <v>5</v>
      </c>
      <c r="J678">
        <v>5</v>
      </c>
      <c r="K678">
        <v>100</v>
      </c>
      <c r="L678">
        <v>85</v>
      </c>
      <c r="M678">
        <v>75</v>
      </c>
      <c r="N678">
        <v>284</v>
      </c>
      <c r="O678">
        <v>379</v>
      </c>
      <c r="P678">
        <v>240</v>
      </c>
      <c r="Q678">
        <v>300</v>
      </c>
      <c r="R678">
        <v>240</v>
      </c>
      <c r="S678">
        <v>300</v>
      </c>
    </row>
    <row r="679" spans="3:19" x14ac:dyDescent="0.2">
      <c r="C679">
        <v>1654</v>
      </c>
      <c r="D679">
        <v>1654</v>
      </c>
      <c r="E679">
        <v>1</v>
      </c>
      <c r="F679" t="s">
        <v>1078</v>
      </c>
      <c r="G679" t="s">
        <v>1204</v>
      </c>
      <c r="H679" t="s">
        <v>2195</v>
      </c>
      <c r="I679">
        <v>15</v>
      </c>
      <c r="J679">
        <v>5</v>
      </c>
      <c r="K679">
        <v>100</v>
      </c>
      <c r="L679">
        <v>75</v>
      </c>
      <c r="M679">
        <v>50</v>
      </c>
      <c r="N679">
        <v>67</v>
      </c>
      <c r="O679">
        <v>111</v>
      </c>
      <c r="P679">
        <v>70</v>
      </c>
      <c r="Q679">
        <v>110</v>
      </c>
      <c r="R679">
        <v>70</v>
      </c>
      <c r="S679">
        <v>110</v>
      </c>
    </row>
    <row r="680" spans="3:19" x14ac:dyDescent="0.2">
      <c r="C680">
        <v>1655</v>
      </c>
      <c r="D680">
        <v>1655</v>
      </c>
      <c r="E680">
        <v>1</v>
      </c>
      <c r="F680" t="s">
        <v>1078</v>
      </c>
      <c r="G680" t="s">
        <v>1204</v>
      </c>
      <c r="H680" t="s">
        <v>2195</v>
      </c>
      <c r="I680">
        <v>15</v>
      </c>
      <c r="J680">
        <v>5</v>
      </c>
      <c r="K680">
        <v>100</v>
      </c>
      <c r="L680">
        <v>75</v>
      </c>
      <c r="M680">
        <v>50</v>
      </c>
      <c r="N680">
        <v>67</v>
      </c>
      <c r="O680">
        <v>111</v>
      </c>
      <c r="P680">
        <v>70</v>
      </c>
      <c r="Q680">
        <v>110</v>
      </c>
      <c r="R680">
        <v>70</v>
      </c>
      <c r="S680">
        <v>110</v>
      </c>
    </row>
    <row r="681" spans="3:19" x14ac:dyDescent="0.2">
      <c r="C681">
        <v>1656</v>
      </c>
      <c r="D681">
        <v>1656</v>
      </c>
      <c r="E681">
        <v>1</v>
      </c>
      <c r="F681" t="s">
        <v>1337</v>
      </c>
      <c r="G681" t="s">
        <v>1338</v>
      </c>
      <c r="H681" t="s">
        <v>2196</v>
      </c>
      <c r="I681">
        <v>5</v>
      </c>
      <c r="J681">
        <v>5</v>
      </c>
      <c r="K681">
        <v>100</v>
      </c>
      <c r="L681">
        <v>100</v>
      </c>
      <c r="M681">
        <v>100</v>
      </c>
      <c r="N681">
        <v>65</v>
      </c>
      <c r="O681">
        <v>107</v>
      </c>
      <c r="P681">
        <v>55</v>
      </c>
      <c r="Q681">
        <v>80</v>
      </c>
      <c r="R681">
        <v>55</v>
      </c>
      <c r="S681">
        <v>80</v>
      </c>
    </row>
    <row r="682" spans="3:19" x14ac:dyDescent="0.2">
      <c r="C682">
        <v>1657</v>
      </c>
      <c r="D682">
        <v>1657</v>
      </c>
      <c r="E682">
        <v>1</v>
      </c>
      <c r="F682" t="s">
        <v>1337</v>
      </c>
      <c r="G682" t="s">
        <v>1338</v>
      </c>
      <c r="H682" t="s">
        <v>2197</v>
      </c>
      <c r="I682">
        <v>5</v>
      </c>
      <c r="J682">
        <v>5</v>
      </c>
      <c r="K682">
        <v>100</v>
      </c>
      <c r="L682">
        <v>100</v>
      </c>
      <c r="M682">
        <v>100</v>
      </c>
      <c r="N682">
        <v>65</v>
      </c>
      <c r="O682">
        <v>107</v>
      </c>
      <c r="P682">
        <v>55</v>
      </c>
      <c r="Q682">
        <v>80</v>
      </c>
      <c r="R682">
        <v>55</v>
      </c>
      <c r="S682">
        <v>80</v>
      </c>
    </row>
    <row r="683" spans="3:19" x14ac:dyDescent="0.2">
      <c r="C683">
        <v>1658</v>
      </c>
      <c r="D683">
        <v>1658</v>
      </c>
      <c r="E683">
        <v>1</v>
      </c>
      <c r="F683" t="s">
        <v>1337</v>
      </c>
      <c r="G683" t="s">
        <v>1338</v>
      </c>
      <c r="H683" t="s">
        <v>2198</v>
      </c>
      <c r="I683">
        <v>5</v>
      </c>
      <c r="J683">
        <v>5</v>
      </c>
      <c r="K683">
        <v>100</v>
      </c>
      <c r="L683">
        <v>100</v>
      </c>
      <c r="M683">
        <v>100</v>
      </c>
      <c r="N683">
        <v>65</v>
      </c>
      <c r="O683">
        <v>107</v>
      </c>
      <c r="P683">
        <v>55</v>
      </c>
      <c r="Q683">
        <v>80</v>
      </c>
      <c r="R683">
        <v>55</v>
      </c>
      <c r="S683">
        <v>80</v>
      </c>
    </row>
    <row r="684" spans="3:19" x14ac:dyDescent="0.2">
      <c r="C684">
        <v>1659</v>
      </c>
      <c r="D684">
        <v>1659</v>
      </c>
      <c r="E684">
        <v>1</v>
      </c>
      <c r="F684" t="s">
        <v>2199</v>
      </c>
      <c r="G684" t="s">
        <v>2200</v>
      </c>
      <c r="H684" t="s">
        <v>2201</v>
      </c>
      <c r="I684">
        <v>5</v>
      </c>
      <c r="J684">
        <v>5</v>
      </c>
      <c r="K684">
        <v>100</v>
      </c>
      <c r="L684">
        <v>100</v>
      </c>
      <c r="M684">
        <v>100</v>
      </c>
      <c r="N684">
        <v>65</v>
      </c>
      <c r="O684">
        <v>107</v>
      </c>
      <c r="P684">
        <v>45</v>
      </c>
      <c r="Q684">
        <v>75</v>
      </c>
      <c r="R684">
        <v>45</v>
      </c>
      <c r="S684">
        <v>75</v>
      </c>
    </row>
    <row r="685" spans="3:19" x14ac:dyDescent="0.2">
      <c r="C685">
        <v>1660</v>
      </c>
      <c r="D685">
        <v>1660</v>
      </c>
      <c r="E685">
        <v>1</v>
      </c>
      <c r="F685" t="s">
        <v>2199</v>
      </c>
      <c r="G685" t="s">
        <v>2200</v>
      </c>
      <c r="H685" t="s">
        <v>2202</v>
      </c>
      <c r="I685">
        <v>5</v>
      </c>
      <c r="J685">
        <v>5</v>
      </c>
      <c r="K685">
        <v>100</v>
      </c>
      <c r="L685">
        <v>100</v>
      </c>
      <c r="M685">
        <v>100</v>
      </c>
      <c r="N685">
        <v>65</v>
      </c>
      <c r="O685">
        <v>107</v>
      </c>
      <c r="P685">
        <v>45</v>
      </c>
      <c r="Q685">
        <v>75</v>
      </c>
      <c r="R685">
        <v>45</v>
      </c>
      <c r="S685">
        <v>75</v>
      </c>
    </row>
    <row r="686" spans="3:19" x14ac:dyDescent="0.2">
      <c r="C686">
        <v>1661</v>
      </c>
      <c r="D686">
        <v>1661</v>
      </c>
      <c r="E686">
        <v>1</v>
      </c>
      <c r="F686" t="s">
        <v>2199</v>
      </c>
      <c r="G686" t="s">
        <v>2200</v>
      </c>
      <c r="H686" t="s">
        <v>2203</v>
      </c>
      <c r="I686">
        <v>5</v>
      </c>
      <c r="J686">
        <v>5</v>
      </c>
      <c r="K686">
        <v>100</v>
      </c>
      <c r="L686">
        <v>100</v>
      </c>
      <c r="M686">
        <v>100</v>
      </c>
      <c r="N686">
        <v>65</v>
      </c>
      <c r="O686">
        <v>107</v>
      </c>
      <c r="P686">
        <v>45</v>
      </c>
      <c r="Q686">
        <v>75</v>
      </c>
      <c r="R686">
        <v>45</v>
      </c>
      <c r="S686">
        <v>75</v>
      </c>
    </row>
    <row r="687" spans="3:19" x14ac:dyDescent="0.2">
      <c r="C687">
        <v>1662</v>
      </c>
      <c r="D687">
        <v>1662</v>
      </c>
      <c r="E687">
        <v>1</v>
      </c>
      <c r="F687" t="s">
        <v>1541</v>
      </c>
      <c r="G687" t="s">
        <v>1500</v>
      </c>
      <c r="H687" t="s">
        <v>2204</v>
      </c>
      <c r="I687">
        <v>5</v>
      </c>
      <c r="J687">
        <v>5</v>
      </c>
      <c r="K687">
        <v>100</v>
      </c>
      <c r="L687">
        <v>100</v>
      </c>
      <c r="M687">
        <v>100</v>
      </c>
      <c r="N687">
        <v>65</v>
      </c>
      <c r="O687">
        <v>107</v>
      </c>
      <c r="P687">
        <v>65</v>
      </c>
      <c r="Q687">
        <v>105</v>
      </c>
      <c r="R687">
        <v>65</v>
      </c>
      <c r="S687">
        <v>105</v>
      </c>
    </row>
    <row r="688" spans="3:19" x14ac:dyDescent="0.2">
      <c r="C688">
        <v>1663</v>
      </c>
      <c r="D688">
        <v>1663</v>
      </c>
      <c r="E688">
        <v>1</v>
      </c>
      <c r="F688" t="s">
        <v>1541</v>
      </c>
      <c r="G688" t="s">
        <v>1500</v>
      </c>
      <c r="H688" t="s">
        <v>2205</v>
      </c>
      <c r="I688">
        <v>5</v>
      </c>
      <c r="J688">
        <v>5</v>
      </c>
      <c r="K688">
        <v>100</v>
      </c>
      <c r="L688">
        <v>100</v>
      </c>
      <c r="M688">
        <v>100</v>
      </c>
      <c r="N688">
        <v>65</v>
      </c>
      <c r="O688">
        <v>107</v>
      </c>
      <c r="P688">
        <v>65</v>
      </c>
      <c r="Q688">
        <v>105</v>
      </c>
      <c r="R688">
        <v>65</v>
      </c>
      <c r="S688">
        <v>105</v>
      </c>
    </row>
    <row r="689" spans="3:19" x14ac:dyDescent="0.2">
      <c r="C689">
        <v>1664</v>
      </c>
      <c r="D689">
        <v>1664</v>
      </c>
      <c r="E689">
        <v>1</v>
      </c>
      <c r="F689" t="s">
        <v>1541</v>
      </c>
      <c r="G689" t="s">
        <v>1500</v>
      </c>
      <c r="H689" t="s">
        <v>2206</v>
      </c>
      <c r="I689">
        <v>5</v>
      </c>
      <c r="J689">
        <v>5</v>
      </c>
      <c r="K689">
        <v>100</v>
      </c>
      <c r="L689">
        <v>100</v>
      </c>
      <c r="M689">
        <v>100</v>
      </c>
      <c r="N689">
        <v>65</v>
      </c>
      <c r="O689">
        <v>107</v>
      </c>
      <c r="P689">
        <v>65</v>
      </c>
      <c r="Q689">
        <v>105</v>
      </c>
      <c r="R689">
        <v>65</v>
      </c>
      <c r="S689">
        <v>105</v>
      </c>
    </row>
    <row r="690" spans="3:19" x14ac:dyDescent="0.2">
      <c r="C690">
        <v>1665</v>
      </c>
      <c r="D690">
        <v>1665</v>
      </c>
      <c r="E690">
        <v>1</v>
      </c>
      <c r="F690" t="s">
        <v>1078</v>
      </c>
      <c r="G690" t="s">
        <v>1079</v>
      </c>
      <c r="H690" t="s">
        <v>2207</v>
      </c>
      <c r="I690">
        <v>5</v>
      </c>
      <c r="J690">
        <v>5</v>
      </c>
      <c r="K690">
        <v>100</v>
      </c>
      <c r="L690">
        <v>100</v>
      </c>
      <c r="M690">
        <v>100</v>
      </c>
      <c r="N690">
        <v>107</v>
      </c>
      <c r="O690">
        <v>151</v>
      </c>
      <c r="P690">
        <v>90</v>
      </c>
      <c r="Q690">
        <v>135</v>
      </c>
      <c r="R690">
        <v>90</v>
      </c>
      <c r="S690">
        <v>135</v>
      </c>
    </row>
    <row r="691" spans="3:19" x14ac:dyDescent="0.2">
      <c r="C691">
        <v>1666</v>
      </c>
      <c r="D691">
        <v>1666</v>
      </c>
      <c r="E691">
        <v>1</v>
      </c>
      <c r="F691" t="s">
        <v>1078</v>
      </c>
      <c r="G691" t="s">
        <v>1079</v>
      </c>
      <c r="H691" t="s">
        <v>2207</v>
      </c>
      <c r="I691">
        <v>5</v>
      </c>
      <c r="J691">
        <v>5</v>
      </c>
      <c r="K691">
        <v>100</v>
      </c>
      <c r="L691">
        <v>100</v>
      </c>
      <c r="M691">
        <v>100</v>
      </c>
      <c r="N691">
        <v>107</v>
      </c>
      <c r="O691">
        <v>151</v>
      </c>
      <c r="P691">
        <v>90</v>
      </c>
      <c r="Q691">
        <v>135</v>
      </c>
      <c r="R691">
        <v>90</v>
      </c>
      <c r="S691">
        <v>135</v>
      </c>
    </row>
    <row r="692" spans="3:19" x14ac:dyDescent="0.2">
      <c r="C692">
        <v>1667</v>
      </c>
      <c r="D692">
        <v>1667</v>
      </c>
      <c r="E692">
        <v>1</v>
      </c>
      <c r="F692" t="s">
        <v>2208</v>
      </c>
      <c r="G692" t="s">
        <v>2209</v>
      </c>
      <c r="H692" t="s">
        <v>2210</v>
      </c>
      <c r="I692">
        <v>5</v>
      </c>
      <c r="J692">
        <v>5</v>
      </c>
      <c r="K692">
        <v>100</v>
      </c>
      <c r="L692">
        <v>66</v>
      </c>
      <c r="M692">
        <v>33</v>
      </c>
      <c r="N692">
        <v>192</v>
      </c>
      <c r="O692">
        <v>235</v>
      </c>
      <c r="P692">
        <v>170</v>
      </c>
      <c r="Q692">
        <v>210</v>
      </c>
      <c r="R692">
        <v>170</v>
      </c>
      <c r="S692">
        <v>210</v>
      </c>
    </row>
    <row r="693" spans="3:19" x14ac:dyDescent="0.2">
      <c r="C693">
        <v>1668</v>
      </c>
      <c r="D693">
        <v>1668</v>
      </c>
      <c r="E693">
        <v>1</v>
      </c>
      <c r="F693" t="s">
        <v>2208</v>
      </c>
      <c r="G693" t="s">
        <v>2209</v>
      </c>
      <c r="H693" t="s">
        <v>2211</v>
      </c>
      <c r="I693">
        <v>5</v>
      </c>
      <c r="J693">
        <v>5</v>
      </c>
      <c r="K693">
        <v>100</v>
      </c>
      <c r="L693">
        <v>66</v>
      </c>
      <c r="M693">
        <v>33</v>
      </c>
      <c r="N693">
        <v>192</v>
      </c>
      <c r="O693">
        <v>235</v>
      </c>
      <c r="P693">
        <v>170</v>
      </c>
      <c r="Q693">
        <v>210</v>
      </c>
      <c r="R693">
        <v>170</v>
      </c>
      <c r="S693">
        <v>210</v>
      </c>
    </row>
    <row r="694" spans="3:19" x14ac:dyDescent="0.2">
      <c r="C694">
        <v>1669</v>
      </c>
      <c r="D694">
        <v>1669</v>
      </c>
      <c r="E694">
        <v>1</v>
      </c>
      <c r="F694" t="s">
        <v>2208</v>
      </c>
      <c r="G694" t="s">
        <v>2209</v>
      </c>
      <c r="H694" t="s">
        <v>2212</v>
      </c>
      <c r="I694">
        <v>5</v>
      </c>
      <c r="J694">
        <v>5</v>
      </c>
      <c r="K694">
        <v>100</v>
      </c>
      <c r="L694">
        <v>66</v>
      </c>
      <c r="M694">
        <v>33</v>
      </c>
      <c r="N694">
        <v>192</v>
      </c>
      <c r="O694">
        <v>235</v>
      </c>
      <c r="P694">
        <v>170</v>
      </c>
      <c r="Q694">
        <v>210</v>
      </c>
      <c r="R694">
        <v>170</v>
      </c>
      <c r="S694">
        <v>210</v>
      </c>
    </row>
    <row r="695" spans="3:19" x14ac:dyDescent="0.2">
      <c r="C695">
        <v>1670</v>
      </c>
      <c r="D695">
        <v>1670</v>
      </c>
      <c r="E695">
        <v>1</v>
      </c>
      <c r="F695" t="s">
        <v>2208</v>
      </c>
      <c r="G695" t="s">
        <v>2209</v>
      </c>
      <c r="H695" t="s">
        <v>2213</v>
      </c>
      <c r="I695">
        <v>5</v>
      </c>
      <c r="J695">
        <v>5</v>
      </c>
      <c r="K695">
        <v>100</v>
      </c>
      <c r="L695">
        <v>66</v>
      </c>
      <c r="M695">
        <v>33</v>
      </c>
      <c r="N695">
        <v>192</v>
      </c>
      <c r="O695">
        <v>235</v>
      </c>
      <c r="P695">
        <v>170</v>
      </c>
      <c r="Q695">
        <v>210</v>
      </c>
      <c r="R695">
        <v>170</v>
      </c>
      <c r="S695">
        <v>210</v>
      </c>
    </row>
    <row r="696" spans="3:19" x14ac:dyDescent="0.2">
      <c r="C696">
        <v>1671</v>
      </c>
      <c r="D696">
        <v>1671</v>
      </c>
      <c r="E696">
        <v>1</v>
      </c>
      <c r="F696" t="s">
        <v>1458</v>
      </c>
      <c r="G696" t="s">
        <v>1459</v>
      </c>
      <c r="H696" t="s">
        <v>2214</v>
      </c>
      <c r="I696">
        <v>5</v>
      </c>
      <c r="J696">
        <v>5</v>
      </c>
      <c r="K696">
        <v>100</v>
      </c>
      <c r="L696">
        <v>100</v>
      </c>
      <c r="M696">
        <v>100</v>
      </c>
      <c r="N696">
        <v>131</v>
      </c>
      <c r="O696">
        <v>173</v>
      </c>
      <c r="P696">
        <v>120</v>
      </c>
      <c r="Q696">
        <v>150</v>
      </c>
      <c r="R696">
        <v>120</v>
      </c>
      <c r="S696">
        <v>150</v>
      </c>
    </row>
    <row r="697" spans="3:19" x14ac:dyDescent="0.2">
      <c r="C697">
        <v>1672</v>
      </c>
      <c r="D697">
        <v>1672</v>
      </c>
      <c r="E697">
        <v>1</v>
      </c>
      <c r="F697" t="s">
        <v>1458</v>
      </c>
      <c r="G697" t="s">
        <v>1459</v>
      </c>
      <c r="H697" t="s">
        <v>2214</v>
      </c>
      <c r="I697">
        <v>5</v>
      </c>
      <c r="J697">
        <v>5</v>
      </c>
      <c r="K697">
        <v>100</v>
      </c>
      <c r="L697">
        <v>100</v>
      </c>
      <c r="M697">
        <v>100</v>
      </c>
      <c r="N697">
        <v>131</v>
      </c>
      <c r="O697">
        <v>173</v>
      </c>
      <c r="P697">
        <v>120</v>
      </c>
      <c r="Q697">
        <v>150</v>
      </c>
      <c r="R697">
        <v>120</v>
      </c>
      <c r="S697">
        <v>150</v>
      </c>
    </row>
    <row r="698" spans="3:19" x14ac:dyDescent="0.2">
      <c r="C698">
        <v>1673</v>
      </c>
      <c r="D698">
        <v>1673</v>
      </c>
      <c r="E698">
        <v>1</v>
      </c>
      <c r="F698" t="s">
        <v>1467</v>
      </c>
      <c r="G698" t="s">
        <v>1470</v>
      </c>
      <c r="H698" t="s">
        <v>2215</v>
      </c>
      <c r="I698">
        <v>5</v>
      </c>
      <c r="J698">
        <v>5</v>
      </c>
      <c r="K698">
        <v>100</v>
      </c>
      <c r="L698">
        <v>100</v>
      </c>
      <c r="M698">
        <v>100</v>
      </c>
      <c r="N698">
        <v>131</v>
      </c>
      <c r="O698">
        <v>173</v>
      </c>
      <c r="P698">
        <v>90</v>
      </c>
      <c r="Q698">
        <v>130</v>
      </c>
      <c r="R698">
        <v>90</v>
      </c>
      <c r="S698">
        <v>130</v>
      </c>
    </row>
    <row r="699" spans="3:19" x14ac:dyDescent="0.2">
      <c r="C699">
        <v>1674</v>
      </c>
      <c r="D699">
        <v>1674</v>
      </c>
      <c r="E699">
        <v>1</v>
      </c>
      <c r="F699" t="s">
        <v>1467</v>
      </c>
      <c r="G699" t="s">
        <v>1470</v>
      </c>
      <c r="H699" t="s">
        <v>2215</v>
      </c>
      <c r="I699">
        <v>5</v>
      </c>
      <c r="J699">
        <v>5</v>
      </c>
      <c r="K699">
        <v>100</v>
      </c>
      <c r="L699">
        <v>100</v>
      </c>
      <c r="M699">
        <v>100</v>
      </c>
      <c r="N699">
        <v>131</v>
      </c>
      <c r="O699">
        <v>173</v>
      </c>
      <c r="P699">
        <v>90</v>
      </c>
      <c r="Q699">
        <v>130</v>
      </c>
      <c r="R699">
        <v>90</v>
      </c>
      <c r="S699">
        <v>130</v>
      </c>
    </row>
    <row r="700" spans="3:19" x14ac:dyDescent="0.2">
      <c r="C700">
        <v>1675</v>
      </c>
      <c r="D700">
        <v>1675</v>
      </c>
      <c r="E700">
        <v>1</v>
      </c>
      <c r="F700" t="s">
        <v>1578</v>
      </c>
      <c r="G700" t="s">
        <v>2216</v>
      </c>
      <c r="H700" t="s">
        <v>2217</v>
      </c>
      <c r="I700">
        <v>5</v>
      </c>
      <c r="J700">
        <v>5</v>
      </c>
      <c r="K700">
        <v>100</v>
      </c>
      <c r="L700">
        <v>75</v>
      </c>
      <c r="M700">
        <v>50</v>
      </c>
      <c r="N700">
        <v>228</v>
      </c>
      <c r="O700">
        <v>294</v>
      </c>
      <c r="P700">
        <v>200</v>
      </c>
      <c r="Q700">
        <v>250</v>
      </c>
      <c r="R700">
        <v>200</v>
      </c>
      <c r="S700">
        <v>250</v>
      </c>
    </row>
    <row r="701" spans="3:19" x14ac:dyDescent="0.2">
      <c r="C701">
        <v>1676</v>
      </c>
      <c r="D701">
        <v>1676</v>
      </c>
      <c r="E701">
        <v>1</v>
      </c>
      <c r="F701" t="s">
        <v>1578</v>
      </c>
      <c r="G701" t="s">
        <v>2216</v>
      </c>
      <c r="H701" t="s">
        <v>2218</v>
      </c>
      <c r="I701">
        <v>5</v>
      </c>
      <c r="J701">
        <v>5</v>
      </c>
      <c r="K701">
        <v>100</v>
      </c>
      <c r="L701">
        <v>75</v>
      </c>
      <c r="M701">
        <v>50</v>
      </c>
      <c r="N701">
        <v>228</v>
      </c>
      <c r="O701">
        <v>294</v>
      </c>
      <c r="P701">
        <v>200</v>
      </c>
      <c r="Q701">
        <v>250</v>
      </c>
      <c r="R701">
        <v>200</v>
      </c>
      <c r="S701">
        <v>250</v>
      </c>
    </row>
    <row r="702" spans="3:19" x14ac:dyDescent="0.2">
      <c r="C702">
        <v>1677</v>
      </c>
      <c r="D702">
        <v>1677</v>
      </c>
      <c r="E702">
        <v>1</v>
      </c>
      <c r="F702" t="s">
        <v>1587</v>
      </c>
      <c r="G702" t="s">
        <v>1588</v>
      </c>
      <c r="H702" t="s">
        <v>2219</v>
      </c>
      <c r="I702">
        <v>5</v>
      </c>
      <c r="J702">
        <v>5</v>
      </c>
      <c r="K702">
        <v>100</v>
      </c>
      <c r="L702">
        <v>75</v>
      </c>
      <c r="M702">
        <v>50</v>
      </c>
      <c r="N702">
        <v>55</v>
      </c>
      <c r="O702">
        <v>84</v>
      </c>
      <c r="P702">
        <v>50</v>
      </c>
      <c r="Q702">
        <v>70</v>
      </c>
      <c r="R702">
        <v>50</v>
      </c>
      <c r="S702">
        <v>70</v>
      </c>
    </row>
    <row r="703" spans="3:19" x14ac:dyDescent="0.2">
      <c r="C703">
        <v>1678</v>
      </c>
      <c r="D703">
        <v>1678</v>
      </c>
      <c r="E703">
        <v>1</v>
      </c>
      <c r="F703" t="s">
        <v>1587</v>
      </c>
      <c r="G703" t="s">
        <v>1588</v>
      </c>
      <c r="H703" t="s">
        <v>2220</v>
      </c>
      <c r="I703">
        <v>5</v>
      </c>
      <c r="J703">
        <v>5</v>
      </c>
      <c r="K703">
        <v>100</v>
      </c>
      <c r="L703">
        <v>75</v>
      </c>
      <c r="M703">
        <v>50</v>
      </c>
      <c r="N703">
        <v>55</v>
      </c>
      <c r="O703">
        <v>84</v>
      </c>
      <c r="P703">
        <v>50</v>
      </c>
      <c r="Q703">
        <v>70</v>
      </c>
      <c r="R703">
        <v>50</v>
      </c>
      <c r="S703">
        <v>70</v>
      </c>
    </row>
    <row r="704" spans="3:19" x14ac:dyDescent="0.2">
      <c r="C704">
        <v>1679</v>
      </c>
      <c r="D704">
        <v>1679</v>
      </c>
      <c r="E704">
        <v>1</v>
      </c>
      <c r="F704" t="s">
        <v>1137</v>
      </c>
      <c r="G704" t="s">
        <v>1138</v>
      </c>
      <c r="H704" t="s">
        <v>2221</v>
      </c>
      <c r="I704">
        <v>5</v>
      </c>
      <c r="J704">
        <v>5</v>
      </c>
      <c r="K704">
        <v>100</v>
      </c>
      <c r="L704">
        <v>75</v>
      </c>
      <c r="M704">
        <v>50</v>
      </c>
      <c r="N704">
        <v>140</v>
      </c>
      <c r="O704">
        <v>172</v>
      </c>
      <c r="P704">
        <v>110</v>
      </c>
      <c r="Q704">
        <v>150</v>
      </c>
      <c r="R704">
        <v>110</v>
      </c>
      <c r="S704">
        <v>150</v>
      </c>
    </row>
    <row r="705" spans="3:19" x14ac:dyDescent="0.2">
      <c r="C705">
        <v>1680</v>
      </c>
      <c r="D705">
        <v>1680</v>
      </c>
      <c r="E705">
        <v>1</v>
      </c>
      <c r="F705" t="s">
        <v>1401</v>
      </c>
      <c r="G705" t="s">
        <v>1402</v>
      </c>
      <c r="H705" t="s">
        <v>2222</v>
      </c>
      <c r="I705">
        <v>5</v>
      </c>
      <c r="J705">
        <v>5</v>
      </c>
      <c r="K705">
        <v>100</v>
      </c>
      <c r="L705">
        <v>75</v>
      </c>
      <c r="M705">
        <v>50</v>
      </c>
      <c r="N705">
        <v>21</v>
      </c>
      <c r="O705">
        <v>65</v>
      </c>
      <c r="P705">
        <v>20</v>
      </c>
      <c r="Q705">
        <v>45</v>
      </c>
      <c r="R705">
        <v>20</v>
      </c>
      <c r="S705">
        <v>45</v>
      </c>
    </row>
    <row r="706" spans="3:19" x14ac:dyDescent="0.2">
      <c r="C706">
        <v>1681</v>
      </c>
      <c r="D706">
        <v>1681</v>
      </c>
      <c r="E706">
        <v>1</v>
      </c>
      <c r="F706" t="s">
        <v>1416</v>
      </c>
      <c r="G706" t="s">
        <v>1417</v>
      </c>
      <c r="H706" t="s">
        <v>2223</v>
      </c>
      <c r="I706">
        <v>5</v>
      </c>
      <c r="J706">
        <v>0</v>
      </c>
      <c r="K706">
        <v>100</v>
      </c>
      <c r="L706">
        <v>66</v>
      </c>
      <c r="M706">
        <v>33</v>
      </c>
      <c r="N706">
        <v>77</v>
      </c>
      <c r="O706">
        <v>95</v>
      </c>
      <c r="P706">
        <v>60</v>
      </c>
      <c r="Q706">
        <v>80</v>
      </c>
      <c r="R706">
        <v>60</v>
      </c>
      <c r="S706">
        <v>80</v>
      </c>
    </row>
    <row r="707" spans="3:19" x14ac:dyDescent="0.2">
      <c r="C707">
        <v>1682</v>
      </c>
      <c r="D707">
        <v>1682</v>
      </c>
      <c r="E707">
        <v>1</v>
      </c>
      <c r="F707" t="s">
        <v>1849</v>
      </c>
      <c r="G707" t="s">
        <v>2224</v>
      </c>
      <c r="H707" t="s">
        <v>2225</v>
      </c>
      <c r="I707">
        <v>5</v>
      </c>
      <c r="J707">
        <v>5</v>
      </c>
      <c r="K707">
        <v>100</v>
      </c>
      <c r="L707">
        <v>85</v>
      </c>
      <c r="M707">
        <v>75</v>
      </c>
      <c r="N707">
        <v>190</v>
      </c>
      <c r="O707">
        <v>237</v>
      </c>
      <c r="P707">
        <v>100</v>
      </c>
      <c r="Q707">
        <v>125</v>
      </c>
      <c r="R707">
        <v>100</v>
      </c>
      <c r="S707">
        <v>125</v>
      </c>
    </row>
    <row r="708" spans="3:19" x14ac:dyDescent="0.2">
      <c r="C708">
        <v>1683</v>
      </c>
      <c r="D708">
        <v>1683</v>
      </c>
      <c r="E708">
        <v>1</v>
      </c>
      <c r="F708" t="s">
        <v>1849</v>
      </c>
      <c r="G708" t="s">
        <v>2224</v>
      </c>
      <c r="H708" t="s">
        <v>2226</v>
      </c>
      <c r="I708">
        <v>5</v>
      </c>
      <c r="J708">
        <v>5</v>
      </c>
      <c r="K708">
        <v>100</v>
      </c>
      <c r="L708">
        <v>85</v>
      </c>
      <c r="M708">
        <v>75</v>
      </c>
      <c r="N708">
        <v>190</v>
      </c>
      <c r="O708">
        <v>237</v>
      </c>
      <c r="P708">
        <v>100</v>
      </c>
      <c r="Q708">
        <v>125</v>
      </c>
      <c r="R708">
        <v>100</v>
      </c>
      <c r="S708">
        <v>125</v>
      </c>
    </row>
    <row r="709" spans="3:19" x14ac:dyDescent="0.2">
      <c r="C709">
        <v>1684</v>
      </c>
      <c r="D709">
        <v>1684</v>
      </c>
      <c r="E709">
        <v>1</v>
      </c>
      <c r="F709" t="s">
        <v>1849</v>
      </c>
      <c r="G709" t="s">
        <v>2224</v>
      </c>
      <c r="H709" t="s">
        <v>2227</v>
      </c>
      <c r="I709">
        <v>5</v>
      </c>
      <c r="J709">
        <v>5</v>
      </c>
      <c r="K709">
        <v>100</v>
      </c>
      <c r="L709">
        <v>85</v>
      </c>
      <c r="M709">
        <v>75</v>
      </c>
      <c r="N709">
        <v>190</v>
      </c>
      <c r="O709">
        <v>237</v>
      </c>
      <c r="P709">
        <v>100</v>
      </c>
      <c r="Q709">
        <v>125</v>
      </c>
      <c r="R709">
        <v>100</v>
      </c>
      <c r="S709">
        <v>125</v>
      </c>
    </row>
    <row r="710" spans="3:19" x14ac:dyDescent="0.2">
      <c r="C710">
        <v>1685</v>
      </c>
      <c r="D710">
        <v>1685</v>
      </c>
      <c r="E710">
        <v>1</v>
      </c>
      <c r="F710" t="s">
        <v>1282</v>
      </c>
      <c r="G710" t="s">
        <v>2228</v>
      </c>
      <c r="H710" t="s">
        <v>2229</v>
      </c>
      <c r="I710">
        <v>15</v>
      </c>
      <c r="J710">
        <v>5</v>
      </c>
      <c r="K710">
        <v>100</v>
      </c>
      <c r="L710">
        <v>75</v>
      </c>
      <c r="M710">
        <v>50</v>
      </c>
      <c r="N710">
        <v>151</v>
      </c>
      <c r="O710">
        <v>190</v>
      </c>
      <c r="P710">
        <v>150</v>
      </c>
      <c r="Q710">
        <v>190</v>
      </c>
      <c r="R710">
        <v>150</v>
      </c>
      <c r="S710">
        <v>190</v>
      </c>
    </row>
    <row r="711" spans="3:19" x14ac:dyDescent="0.2">
      <c r="C711">
        <v>1686</v>
      </c>
      <c r="D711">
        <v>1686</v>
      </c>
      <c r="E711">
        <v>1</v>
      </c>
      <c r="F711" t="s">
        <v>1652</v>
      </c>
      <c r="G711" t="s">
        <v>2230</v>
      </c>
      <c r="H711" t="s">
        <v>2231</v>
      </c>
      <c r="I711">
        <v>5</v>
      </c>
      <c r="J711">
        <v>5</v>
      </c>
      <c r="K711">
        <v>100</v>
      </c>
      <c r="L711">
        <v>85</v>
      </c>
      <c r="M711">
        <v>66</v>
      </c>
      <c r="N711">
        <v>191</v>
      </c>
      <c r="O711">
        <v>228</v>
      </c>
      <c r="P711">
        <v>210</v>
      </c>
      <c r="Q711">
        <v>250</v>
      </c>
      <c r="R711">
        <v>210</v>
      </c>
      <c r="S711">
        <v>250</v>
      </c>
    </row>
    <row r="712" spans="3:19" x14ac:dyDescent="0.2">
      <c r="C712">
        <v>1687</v>
      </c>
      <c r="D712">
        <v>1687</v>
      </c>
      <c r="E712">
        <v>1</v>
      </c>
      <c r="F712" t="s">
        <v>1652</v>
      </c>
      <c r="G712" t="s">
        <v>2230</v>
      </c>
      <c r="H712" t="s">
        <v>2232</v>
      </c>
      <c r="I712">
        <v>5</v>
      </c>
      <c r="J712">
        <v>5</v>
      </c>
      <c r="K712">
        <v>100</v>
      </c>
      <c r="L712">
        <v>85</v>
      </c>
      <c r="M712">
        <v>66</v>
      </c>
      <c r="N712">
        <v>191</v>
      </c>
      <c r="O712">
        <v>228</v>
      </c>
      <c r="P712">
        <v>210</v>
      </c>
      <c r="Q712">
        <v>250</v>
      </c>
      <c r="R712">
        <v>210</v>
      </c>
      <c r="S712">
        <v>250</v>
      </c>
    </row>
    <row r="713" spans="3:19" x14ac:dyDescent="0.2">
      <c r="C713">
        <v>1688</v>
      </c>
      <c r="D713">
        <v>1688</v>
      </c>
      <c r="E713">
        <v>1</v>
      </c>
      <c r="F713" t="s">
        <v>1929</v>
      </c>
      <c r="G713" t="s">
        <v>1930</v>
      </c>
      <c r="H713" t="s">
        <v>2233</v>
      </c>
      <c r="I713">
        <v>5</v>
      </c>
      <c r="J713">
        <v>5</v>
      </c>
      <c r="K713">
        <v>100</v>
      </c>
      <c r="L713">
        <v>100</v>
      </c>
      <c r="M713">
        <v>100</v>
      </c>
      <c r="N713">
        <v>65</v>
      </c>
      <c r="O713">
        <v>107</v>
      </c>
      <c r="P713">
        <v>45</v>
      </c>
      <c r="Q713">
        <v>65</v>
      </c>
      <c r="R713">
        <v>45</v>
      </c>
      <c r="S713">
        <v>65</v>
      </c>
    </row>
    <row r="714" spans="3:19" x14ac:dyDescent="0.2">
      <c r="C714">
        <v>1689</v>
      </c>
      <c r="D714">
        <v>1689</v>
      </c>
      <c r="E714">
        <v>1</v>
      </c>
      <c r="F714" t="s">
        <v>1929</v>
      </c>
      <c r="G714" t="s">
        <v>1930</v>
      </c>
      <c r="H714" t="s">
        <v>2234</v>
      </c>
      <c r="I714">
        <v>5</v>
      </c>
      <c r="J714">
        <v>5</v>
      </c>
      <c r="K714">
        <v>100</v>
      </c>
      <c r="L714">
        <v>100</v>
      </c>
      <c r="M714">
        <v>100</v>
      </c>
      <c r="N714">
        <v>65</v>
      </c>
      <c r="O714">
        <v>107</v>
      </c>
      <c r="P714">
        <v>45</v>
      </c>
      <c r="Q714">
        <v>65</v>
      </c>
      <c r="R714">
        <v>45</v>
      </c>
      <c r="S714">
        <v>65</v>
      </c>
    </row>
    <row r="715" spans="3:19" x14ac:dyDescent="0.2">
      <c r="C715">
        <v>1690</v>
      </c>
      <c r="D715">
        <v>1690</v>
      </c>
      <c r="E715">
        <v>1</v>
      </c>
      <c r="F715" t="s">
        <v>1439</v>
      </c>
      <c r="G715" t="s">
        <v>1440</v>
      </c>
      <c r="H715" t="s">
        <v>2235</v>
      </c>
      <c r="I715">
        <v>5</v>
      </c>
      <c r="J715">
        <v>5</v>
      </c>
      <c r="K715">
        <v>100</v>
      </c>
      <c r="L715">
        <v>66</v>
      </c>
      <c r="M715">
        <v>33</v>
      </c>
      <c r="N715">
        <v>65</v>
      </c>
      <c r="O715">
        <v>107</v>
      </c>
      <c r="P715">
        <v>65</v>
      </c>
      <c r="Q715">
        <v>105</v>
      </c>
      <c r="R715">
        <v>65</v>
      </c>
      <c r="S715">
        <v>105</v>
      </c>
    </row>
    <row r="716" spans="3:19" x14ac:dyDescent="0.2">
      <c r="C716">
        <v>1691</v>
      </c>
      <c r="D716">
        <v>1691</v>
      </c>
      <c r="E716">
        <v>1</v>
      </c>
      <c r="F716" t="s">
        <v>1439</v>
      </c>
      <c r="G716" t="s">
        <v>1440</v>
      </c>
      <c r="H716" t="s">
        <v>2236</v>
      </c>
      <c r="I716">
        <v>5</v>
      </c>
      <c r="J716">
        <v>5</v>
      </c>
      <c r="K716">
        <v>100</v>
      </c>
      <c r="L716">
        <v>66</v>
      </c>
      <c r="M716">
        <v>33</v>
      </c>
      <c r="N716">
        <v>65</v>
      </c>
      <c r="O716">
        <v>107</v>
      </c>
      <c r="P716">
        <v>65</v>
      </c>
      <c r="Q716">
        <v>105</v>
      </c>
      <c r="R716">
        <v>65</v>
      </c>
      <c r="S716">
        <v>105</v>
      </c>
    </row>
    <row r="717" spans="3:19" x14ac:dyDescent="0.2">
      <c r="C717">
        <v>1692</v>
      </c>
      <c r="D717">
        <v>1692</v>
      </c>
      <c r="E717">
        <v>1</v>
      </c>
      <c r="F717" t="s">
        <v>1596</v>
      </c>
      <c r="G717" t="s">
        <v>1597</v>
      </c>
      <c r="H717" t="s">
        <v>2237</v>
      </c>
      <c r="I717">
        <v>5</v>
      </c>
      <c r="J717">
        <v>5</v>
      </c>
      <c r="K717">
        <v>100</v>
      </c>
      <c r="L717">
        <v>66</v>
      </c>
      <c r="M717">
        <v>33</v>
      </c>
      <c r="N717">
        <v>152</v>
      </c>
      <c r="O717">
        <v>209</v>
      </c>
      <c r="P717">
        <v>80</v>
      </c>
      <c r="Q717">
        <v>110</v>
      </c>
      <c r="R717">
        <v>80</v>
      </c>
      <c r="S717">
        <v>110</v>
      </c>
    </row>
    <row r="718" spans="3:19" x14ac:dyDescent="0.2">
      <c r="C718">
        <v>1693</v>
      </c>
      <c r="D718">
        <v>1693</v>
      </c>
      <c r="E718">
        <v>1</v>
      </c>
      <c r="F718" t="s">
        <v>1596</v>
      </c>
      <c r="G718" t="s">
        <v>1597</v>
      </c>
      <c r="H718" t="s">
        <v>2237</v>
      </c>
      <c r="I718">
        <v>5</v>
      </c>
      <c r="J718">
        <v>5</v>
      </c>
      <c r="K718">
        <v>100</v>
      </c>
      <c r="L718">
        <v>66</v>
      </c>
      <c r="M718">
        <v>33</v>
      </c>
      <c r="N718">
        <v>152</v>
      </c>
      <c r="O718">
        <v>209</v>
      </c>
      <c r="P718">
        <v>80</v>
      </c>
      <c r="Q718">
        <v>110</v>
      </c>
      <c r="R718">
        <v>80</v>
      </c>
      <c r="S718">
        <v>110</v>
      </c>
    </row>
    <row r="719" spans="3:19" x14ac:dyDescent="0.2">
      <c r="C719">
        <v>1694</v>
      </c>
      <c r="D719">
        <v>1694</v>
      </c>
      <c r="E719">
        <v>1</v>
      </c>
      <c r="F719" t="s">
        <v>1604</v>
      </c>
      <c r="G719" t="s">
        <v>1605</v>
      </c>
      <c r="H719" t="s">
        <v>1606</v>
      </c>
      <c r="I719">
        <v>5</v>
      </c>
      <c r="J719">
        <v>5</v>
      </c>
      <c r="K719">
        <v>100</v>
      </c>
      <c r="L719">
        <v>85</v>
      </c>
      <c r="M719">
        <v>75</v>
      </c>
      <c r="N719">
        <v>209</v>
      </c>
      <c r="O719">
        <v>283</v>
      </c>
      <c r="P719">
        <v>240</v>
      </c>
      <c r="Q719">
        <v>320</v>
      </c>
      <c r="R719">
        <v>240</v>
      </c>
      <c r="S719">
        <v>320</v>
      </c>
    </row>
    <row r="720" spans="3:19" x14ac:dyDescent="0.2">
      <c r="C720">
        <v>1695</v>
      </c>
      <c r="D720">
        <v>1695</v>
      </c>
      <c r="E720">
        <v>1</v>
      </c>
      <c r="F720" t="s">
        <v>1304</v>
      </c>
      <c r="G720" t="s">
        <v>2238</v>
      </c>
      <c r="H720" t="s">
        <v>2239</v>
      </c>
      <c r="I720">
        <v>13</v>
      </c>
      <c r="J720">
        <v>5</v>
      </c>
      <c r="K720">
        <v>100</v>
      </c>
      <c r="L720">
        <v>85</v>
      </c>
      <c r="M720">
        <v>75</v>
      </c>
      <c r="N720">
        <v>152</v>
      </c>
      <c r="O720">
        <v>210</v>
      </c>
      <c r="P720">
        <v>150</v>
      </c>
      <c r="Q720">
        <v>200</v>
      </c>
      <c r="R720">
        <v>150</v>
      </c>
      <c r="S720">
        <v>200</v>
      </c>
    </row>
    <row r="721" spans="3:19" x14ac:dyDescent="0.2">
      <c r="C721">
        <v>1696</v>
      </c>
      <c r="D721">
        <v>1696</v>
      </c>
      <c r="E721">
        <v>1</v>
      </c>
      <c r="F721" t="s">
        <v>1304</v>
      </c>
      <c r="G721" t="s">
        <v>2238</v>
      </c>
      <c r="H721" t="s">
        <v>2240</v>
      </c>
      <c r="I721">
        <v>13</v>
      </c>
      <c r="J721">
        <v>5</v>
      </c>
      <c r="K721">
        <v>100</v>
      </c>
      <c r="L721">
        <v>85</v>
      </c>
      <c r="M721">
        <v>75</v>
      </c>
      <c r="N721">
        <v>152</v>
      </c>
      <c r="O721">
        <v>210</v>
      </c>
      <c r="P721">
        <v>150</v>
      </c>
      <c r="Q721">
        <v>200</v>
      </c>
      <c r="R721">
        <v>150</v>
      </c>
      <c r="S721">
        <v>200</v>
      </c>
    </row>
    <row r="722" spans="3:19" x14ac:dyDescent="0.2">
      <c r="C722">
        <v>1697</v>
      </c>
      <c r="D722">
        <v>1697</v>
      </c>
      <c r="E722">
        <v>1</v>
      </c>
      <c r="F722" t="s">
        <v>1304</v>
      </c>
      <c r="G722" t="s">
        <v>2238</v>
      </c>
      <c r="H722" t="s">
        <v>2241</v>
      </c>
      <c r="I722">
        <v>13</v>
      </c>
      <c r="J722">
        <v>5</v>
      </c>
      <c r="K722">
        <v>100</v>
      </c>
      <c r="L722">
        <v>85</v>
      </c>
      <c r="M722">
        <v>75</v>
      </c>
      <c r="N722">
        <v>152</v>
      </c>
      <c r="O722">
        <v>210</v>
      </c>
      <c r="P722">
        <v>150</v>
      </c>
      <c r="Q722">
        <v>200</v>
      </c>
      <c r="R722">
        <v>150</v>
      </c>
      <c r="S722">
        <v>200</v>
      </c>
    </row>
    <row r="723" spans="3:19" x14ac:dyDescent="0.2">
      <c r="C723">
        <v>1698</v>
      </c>
      <c r="D723">
        <v>1698</v>
      </c>
      <c r="E723">
        <v>1</v>
      </c>
      <c r="F723" t="s">
        <v>1817</v>
      </c>
      <c r="G723" t="s">
        <v>1818</v>
      </c>
      <c r="H723" t="s">
        <v>2242</v>
      </c>
      <c r="I723">
        <v>5</v>
      </c>
      <c r="J723">
        <v>5</v>
      </c>
      <c r="K723">
        <v>100</v>
      </c>
      <c r="L723">
        <v>75</v>
      </c>
      <c r="M723">
        <v>66</v>
      </c>
      <c r="N723">
        <v>114</v>
      </c>
      <c r="O723">
        <v>170</v>
      </c>
      <c r="P723">
        <v>110</v>
      </c>
      <c r="Q723">
        <v>135</v>
      </c>
      <c r="R723">
        <v>110</v>
      </c>
      <c r="S723">
        <v>135</v>
      </c>
    </row>
    <row r="724" spans="3:19" x14ac:dyDescent="0.2">
      <c r="C724">
        <v>1699</v>
      </c>
      <c r="D724">
        <v>1699</v>
      </c>
      <c r="E724">
        <v>1</v>
      </c>
      <c r="F724" t="s">
        <v>1607</v>
      </c>
      <c r="G724" t="s">
        <v>1608</v>
      </c>
      <c r="H724" t="s">
        <v>2243</v>
      </c>
      <c r="I724">
        <v>5</v>
      </c>
      <c r="J724">
        <v>5</v>
      </c>
      <c r="K724">
        <v>100</v>
      </c>
      <c r="L724">
        <v>75</v>
      </c>
      <c r="M724">
        <v>33</v>
      </c>
      <c r="N724">
        <v>131</v>
      </c>
      <c r="O724">
        <v>173</v>
      </c>
      <c r="P724">
        <v>120</v>
      </c>
      <c r="Q724">
        <v>150</v>
      </c>
      <c r="R724">
        <v>120</v>
      </c>
      <c r="S724">
        <v>150</v>
      </c>
    </row>
    <row r="725" spans="3:19" x14ac:dyDescent="0.2">
      <c r="C725">
        <v>1700</v>
      </c>
      <c r="D725">
        <v>1700</v>
      </c>
      <c r="E725">
        <v>1</v>
      </c>
      <c r="F725" t="s">
        <v>2244</v>
      </c>
      <c r="G725" t="s">
        <v>1608</v>
      </c>
      <c r="H725" t="s">
        <v>2245</v>
      </c>
      <c r="I725">
        <v>5</v>
      </c>
      <c r="J725">
        <v>5</v>
      </c>
      <c r="K725">
        <v>100</v>
      </c>
      <c r="L725">
        <v>75</v>
      </c>
      <c r="M725">
        <v>33</v>
      </c>
      <c r="N725">
        <v>131</v>
      </c>
      <c r="O725">
        <v>173</v>
      </c>
      <c r="P725">
        <v>120</v>
      </c>
      <c r="Q725">
        <v>150</v>
      </c>
      <c r="R725">
        <v>120</v>
      </c>
      <c r="S725">
        <v>150</v>
      </c>
    </row>
    <row r="726" spans="3:19" x14ac:dyDescent="0.2">
      <c r="C726">
        <v>1701</v>
      </c>
      <c r="D726">
        <v>1701</v>
      </c>
      <c r="E726">
        <v>1</v>
      </c>
      <c r="F726" t="s">
        <v>1613</v>
      </c>
      <c r="G726" t="s">
        <v>1614</v>
      </c>
      <c r="H726" t="s">
        <v>2246</v>
      </c>
      <c r="I726">
        <v>5</v>
      </c>
      <c r="J726">
        <v>5</v>
      </c>
      <c r="K726">
        <v>100</v>
      </c>
      <c r="L726">
        <v>75</v>
      </c>
      <c r="M726">
        <v>33</v>
      </c>
      <c r="N726">
        <v>130</v>
      </c>
      <c r="O726">
        <v>171</v>
      </c>
      <c r="P726">
        <v>120</v>
      </c>
      <c r="Q726">
        <v>150</v>
      </c>
      <c r="R726">
        <v>120</v>
      </c>
      <c r="S726">
        <v>150</v>
      </c>
    </row>
    <row r="727" spans="3:19" x14ac:dyDescent="0.2">
      <c r="C727">
        <v>1702</v>
      </c>
      <c r="D727">
        <v>1702</v>
      </c>
      <c r="E727">
        <v>1</v>
      </c>
      <c r="F727" t="s">
        <v>1613</v>
      </c>
      <c r="G727" t="s">
        <v>1614</v>
      </c>
      <c r="H727" t="s">
        <v>2247</v>
      </c>
      <c r="I727">
        <v>5</v>
      </c>
      <c r="J727">
        <v>5</v>
      </c>
      <c r="K727">
        <v>100</v>
      </c>
      <c r="L727">
        <v>75</v>
      </c>
      <c r="M727">
        <v>33</v>
      </c>
      <c r="N727">
        <v>130</v>
      </c>
      <c r="O727">
        <v>171</v>
      </c>
      <c r="P727">
        <v>120</v>
      </c>
      <c r="Q727">
        <v>150</v>
      </c>
      <c r="R727">
        <v>120</v>
      </c>
      <c r="S727">
        <v>150</v>
      </c>
    </row>
    <row r="728" spans="3:19" x14ac:dyDescent="0.2">
      <c r="C728">
        <v>1703</v>
      </c>
      <c r="D728">
        <v>1703</v>
      </c>
      <c r="E728">
        <v>1</v>
      </c>
      <c r="F728" t="s">
        <v>1218</v>
      </c>
      <c r="G728" t="s">
        <v>1219</v>
      </c>
      <c r="H728" t="s">
        <v>2248</v>
      </c>
      <c r="I728">
        <v>5</v>
      </c>
      <c r="J728">
        <v>5</v>
      </c>
      <c r="K728">
        <v>100</v>
      </c>
      <c r="L728">
        <v>66</v>
      </c>
      <c r="M728">
        <v>33</v>
      </c>
      <c r="N728">
        <v>70</v>
      </c>
      <c r="O728">
        <v>154</v>
      </c>
      <c r="P728">
        <v>100</v>
      </c>
      <c r="Q728">
        <v>140</v>
      </c>
      <c r="R728">
        <v>100</v>
      </c>
      <c r="S728">
        <v>140</v>
      </c>
    </row>
    <row r="729" spans="3:19" x14ac:dyDescent="0.2">
      <c r="C729">
        <v>1704</v>
      </c>
      <c r="D729">
        <v>1704</v>
      </c>
      <c r="E729">
        <v>1</v>
      </c>
      <c r="F729" t="s">
        <v>1472</v>
      </c>
      <c r="G729" t="s">
        <v>1473</v>
      </c>
      <c r="H729" t="s">
        <v>2249</v>
      </c>
      <c r="I729">
        <v>10</v>
      </c>
      <c r="J729">
        <v>5</v>
      </c>
      <c r="K729">
        <v>100</v>
      </c>
      <c r="N729">
        <v>5695</v>
      </c>
      <c r="O729">
        <v>5695</v>
      </c>
      <c r="P729">
        <v>5695</v>
      </c>
      <c r="Q729">
        <v>5695</v>
      </c>
      <c r="R729">
        <v>6500</v>
      </c>
      <c r="S729">
        <v>6600</v>
      </c>
    </row>
    <row r="730" spans="3:19" x14ac:dyDescent="0.2">
      <c r="C730">
        <v>1705</v>
      </c>
      <c r="D730">
        <v>1705</v>
      </c>
      <c r="E730">
        <v>1</v>
      </c>
      <c r="F730" t="s">
        <v>1618</v>
      </c>
      <c r="G730" t="s">
        <v>1619</v>
      </c>
      <c r="H730" t="s">
        <v>2250</v>
      </c>
      <c r="I730">
        <v>10</v>
      </c>
      <c r="J730">
        <v>5</v>
      </c>
      <c r="K730">
        <v>15</v>
      </c>
      <c r="L730">
        <v>15</v>
      </c>
      <c r="M730">
        <v>15</v>
      </c>
      <c r="N730">
        <v>6427</v>
      </c>
      <c r="O730">
        <v>6427</v>
      </c>
      <c r="P730">
        <v>6427</v>
      </c>
      <c r="Q730">
        <v>6427</v>
      </c>
      <c r="R730">
        <v>6500</v>
      </c>
      <c r="S730">
        <v>6600</v>
      </c>
    </row>
    <row r="731" spans="3:19" x14ac:dyDescent="0.2">
      <c r="C731">
        <v>1706</v>
      </c>
      <c r="D731">
        <v>1706</v>
      </c>
      <c r="E731">
        <v>1</v>
      </c>
      <c r="F731" t="s">
        <v>1488</v>
      </c>
      <c r="G731" t="s">
        <v>1489</v>
      </c>
      <c r="H731" t="s">
        <v>2251</v>
      </c>
      <c r="I731">
        <v>10</v>
      </c>
      <c r="J731">
        <v>5</v>
      </c>
      <c r="K731">
        <v>100</v>
      </c>
      <c r="L731">
        <v>75</v>
      </c>
      <c r="M731">
        <v>50</v>
      </c>
      <c r="N731">
        <v>9481</v>
      </c>
      <c r="O731">
        <v>9481</v>
      </c>
      <c r="P731">
        <v>3111</v>
      </c>
      <c r="Q731">
        <v>3111</v>
      </c>
      <c r="R731">
        <v>6500</v>
      </c>
      <c r="S731">
        <v>6600</v>
      </c>
    </row>
    <row r="732" spans="3:19" x14ac:dyDescent="0.2">
      <c r="C732">
        <v>1707</v>
      </c>
      <c r="D732">
        <v>1707</v>
      </c>
      <c r="E732">
        <v>1</v>
      </c>
      <c r="F732" t="s">
        <v>1343</v>
      </c>
      <c r="G732" t="s">
        <v>1344</v>
      </c>
      <c r="H732" t="s">
        <v>2252</v>
      </c>
      <c r="I732">
        <v>10</v>
      </c>
      <c r="J732">
        <v>5</v>
      </c>
      <c r="K732">
        <v>100</v>
      </c>
      <c r="L732">
        <v>66</v>
      </c>
      <c r="M732">
        <v>33</v>
      </c>
      <c r="N732">
        <v>2562</v>
      </c>
      <c r="O732">
        <v>2562</v>
      </c>
      <c r="P732">
        <v>2562</v>
      </c>
      <c r="Q732">
        <v>2562</v>
      </c>
      <c r="R732">
        <v>6500</v>
      </c>
      <c r="S732">
        <v>6600</v>
      </c>
    </row>
    <row r="733" spans="3:19" x14ac:dyDescent="0.2">
      <c r="C733">
        <v>1708</v>
      </c>
      <c r="D733">
        <v>1708</v>
      </c>
      <c r="E733">
        <v>1</v>
      </c>
      <c r="F733" t="s">
        <v>1424</v>
      </c>
      <c r="G733" t="s">
        <v>1425</v>
      </c>
      <c r="H733" t="s">
        <v>2253</v>
      </c>
      <c r="I733">
        <v>10</v>
      </c>
      <c r="J733">
        <v>5</v>
      </c>
      <c r="K733">
        <v>100</v>
      </c>
      <c r="L733">
        <v>100</v>
      </c>
      <c r="M733">
        <v>100</v>
      </c>
      <c r="N733">
        <v>4757</v>
      </c>
      <c r="O733">
        <v>4757</v>
      </c>
      <c r="P733">
        <v>4757</v>
      </c>
      <c r="Q733">
        <v>4757</v>
      </c>
      <c r="R733">
        <v>6500</v>
      </c>
      <c r="S733">
        <v>6600</v>
      </c>
    </row>
    <row r="734" spans="3:19" x14ac:dyDescent="0.2">
      <c r="C734">
        <v>1709</v>
      </c>
      <c r="D734">
        <v>1709</v>
      </c>
      <c r="E734">
        <v>1</v>
      </c>
      <c r="F734" t="s">
        <v>1994</v>
      </c>
      <c r="G734" t="s">
        <v>1995</v>
      </c>
      <c r="H734" t="s">
        <v>2254</v>
      </c>
      <c r="I734">
        <v>10</v>
      </c>
      <c r="J734">
        <v>5</v>
      </c>
      <c r="K734">
        <v>100</v>
      </c>
      <c r="L734">
        <v>50</v>
      </c>
      <c r="M734">
        <v>20</v>
      </c>
      <c r="N734">
        <v>6336</v>
      </c>
      <c r="O734">
        <v>6336</v>
      </c>
      <c r="P734">
        <v>6336</v>
      </c>
      <c r="Q734">
        <v>6336</v>
      </c>
      <c r="R734">
        <v>6500</v>
      </c>
      <c r="S734">
        <v>6600</v>
      </c>
    </row>
    <row r="735" spans="3:19" x14ac:dyDescent="0.2">
      <c r="C735">
        <v>1710</v>
      </c>
      <c r="D735">
        <v>1710</v>
      </c>
      <c r="E735">
        <v>1</v>
      </c>
      <c r="F735" t="s">
        <v>1546</v>
      </c>
      <c r="G735" t="s">
        <v>1915</v>
      </c>
      <c r="H735" t="s">
        <v>1916</v>
      </c>
      <c r="I735">
        <v>0</v>
      </c>
      <c r="J735">
        <v>5</v>
      </c>
      <c r="N735">
        <v>67</v>
      </c>
      <c r="O735">
        <v>107</v>
      </c>
      <c r="P735">
        <v>50</v>
      </c>
      <c r="Q735">
        <v>90</v>
      </c>
      <c r="R735">
        <v>400</v>
      </c>
      <c r="S735">
        <v>500</v>
      </c>
    </row>
    <row r="736" spans="3:19" x14ac:dyDescent="0.2">
      <c r="C736">
        <v>1711</v>
      </c>
      <c r="D736">
        <v>1711</v>
      </c>
      <c r="E736">
        <v>1</v>
      </c>
      <c r="F736" t="s">
        <v>935</v>
      </c>
      <c r="G736" t="s">
        <v>1038</v>
      </c>
      <c r="H736" t="s">
        <v>935</v>
      </c>
      <c r="I736">
        <v>5</v>
      </c>
      <c r="J736">
        <v>0</v>
      </c>
    </row>
    <row r="737" spans="3:19" x14ac:dyDescent="0.2">
      <c r="C737">
        <v>1712</v>
      </c>
      <c r="D737">
        <v>1712</v>
      </c>
      <c r="E737">
        <v>1</v>
      </c>
      <c r="F737" t="s">
        <v>1652</v>
      </c>
      <c r="G737" t="s">
        <v>2230</v>
      </c>
      <c r="H737" t="s">
        <v>2255</v>
      </c>
      <c r="I737">
        <v>5</v>
      </c>
      <c r="J737">
        <v>5</v>
      </c>
      <c r="K737">
        <v>100</v>
      </c>
      <c r="L737">
        <v>85</v>
      </c>
      <c r="M737">
        <v>66</v>
      </c>
      <c r="N737">
        <v>191</v>
      </c>
      <c r="O737">
        <v>228</v>
      </c>
      <c r="P737">
        <v>400</v>
      </c>
      <c r="Q737">
        <v>500</v>
      </c>
      <c r="R737">
        <v>400</v>
      </c>
      <c r="S737">
        <v>500</v>
      </c>
    </row>
    <row r="738" spans="3:19" x14ac:dyDescent="0.2">
      <c r="C738">
        <v>1713</v>
      </c>
      <c r="D738">
        <v>1713</v>
      </c>
      <c r="E738">
        <v>1</v>
      </c>
      <c r="F738" t="s">
        <v>1613</v>
      </c>
      <c r="G738" t="s">
        <v>1614</v>
      </c>
      <c r="H738" t="s">
        <v>2256</v>
      </c>
      <c r="I738">
        <v>5</v>
      </c>
      <c r="J738">
        <v>5</v>
      </c>
      <c r="K738">
        <v>100</v>
      </c>
      <c r="L738">
        <v>75</v>
      </c>
      <c r="M738">
        <v>33</v>
      </c>
      <c r="N738">
        <v>130</v>
      </c>
      <c r="O738">
        <v>171</v>
      </c>
      <c r="P738">
        <v>400</v>
      </c>
      <c r="Q738">
        <v>500</v>
      </c>
      <c r="R738">
        <v>400</v>
      </c>
      <c r="S738">
        <v>500</v>
      </c>
    </row>
    <row r="739" spans="3:19" x14ac:dyDescent="0.2">
      <c r="C739">
        <v>1714</v>
      </c>
      <c r="D739">
        <v>1714</v>
      </c>
      <c r="E739">
        <v>1</v>
      </c>
      <c r="F739" t="s">
        <v>1929</v>
      </c>
      <c r="G739" t="s">
        <v>1930</v>
      </c>
      <c r="H739" t="s">
        <v>2257</v>
      </c>
      <c r="I739">
        <v>5</v>
      </c>
      <c r="J739">
        <v>5</v>
      </c>
      <c r="K739">
        <v>100</v>
      </c>
      <c r="L739">
        <v>100</v>
      </c>
      <c r="M739">
        <v>100</v>
      </c>
      <c r="N739">
        <v>65</v>
      </c>
      <c r="O739">
        <v>107</v>
      </c>
      <c r="P739">
        <v>400</v>
      </c>
      <c r="Q739">
        <v>500</v>
      </c>
      <c r="R739">
        <v>400</v>
      </c>
      <c r="S739">
        <v>500</v>
      </c>
    </row>
    <row r="740" spans="3:19" x14ac:dyDescent="0.2">
      <c r="C740">
        <v>1715</v>
      </c>
      <c r="D740">
        <v>1715</v>
      </c>
      <c r="E740">
        <v>1</v>
      </c>
      <c r="F740" t="s">
        <v>1190</v>
      </c>
      <c r="G740" t="s">
        <v>2258</v>
      </c>
      <c r="H740" t="s">
        <v>2259</v>
      </c>
      <c r="I740">
        <v>5</v>
      </c>
      <c r="J740">
        <v>5</v>
      </c>
      <c r="N740">
        <v>22</v>
      </c>
      <c r="O740">
        <v>44</v>
      </c>
      <c r="P740">
        <v>400</v>
      </c>
      <c r="Q740">
        <v>500</v>
      </c>
      <c r="R740">
        <v>400</v>
      </c>
      <c r="S740">
        <v>500</v>
      </c>
    </row>
    <row r="741" spans="3:19" x14ac:dyDescent="0.2">
      <c r="C741">
        <v>1716</v>
      </c>
      <c r="D741">
        <v>1716</v>
      </c>
      <c r="E741">
        <v>1</v>
      </c>
      <c r="F741" t="s">
        <v>1137</v>
      </c>
      <c r="G741" t="s">
        <v>2260</v>
      </c>
      <c r="H741" t="s">
        <v>2261</v>
      </c>
      <c r="I741">
        <v>5</v>
      </c>
      <c r="J741">
        <v>5</v>
      </c>
      <c r="K741">
        <v>100</v>
      </c>
      <c r="L741">
        <v>75</v>
      </c>
      <c r="M741">
        <v>50</v>
      </c>
      <c r="N741">
        <v>140</v>
      </c>
      <c r="O741">
        <v>172</v>
      </c>
      <c r="P741">
        <v>400</v>
      </c>
      <c r="Q741">
        <v>500</v>
      </c>
      <c r="R741">
        <v>400</v>
      </c>
      <c r="S741">
        <v>500</v>
      </c>
    </row>
    <row r="742" spans="3:19" x14ac:dyDescent="0.2">
      <c r="C742">
        <v>1717</v>
      </c>
      <c r="D742">
        <v>1717</v>
      </c>
      <c r="E742">
        <v>1</v>
      </c>
      <c r="F742" t="s">
        <v>1282</v>
      </c>
      <c r="G742" t="s">
        <v>2262</v>
      </c>
      <c r="H742" t="s">
        <v>2263</v>
      </c>
      <c r="I742">
        <v>15</v>
      </c>
      <c r="J742">
        <v>5</v>
      </c>
      <c r="K742">
        <v>100</v>
      </c>
      <c r="L742">
        <v>75</v>
      </c>
      <c r="M742">
        <v>50</v>
      </c>
      <c r="N742">
        <v>151</v>
      </c>
      <c r="O742">
        <v>190</v>
      </c>
      <c r="P742">
        <v>400</v>
      </c>
      <c r="Q742">
        <v>500</v>
      </c>
      <c r="R742">
        <v>400</v>
      </c>
      <c r="S742">
        <v>500</v>
      </c>
    </row>
    <row r="743" spans="3:19" x14ac:dyDescent="0.2">
      <c r="C743">
        <v>1718</v>
      </c>
      <c r="D743">
        <v>1718</v>
      </c>
      <c r="E743">
        <v>1</v>
      </c>
      <c r="F743" t="s">
        <v>1078</v>
      </c>
      <c r="G743" t="s">
        <v>2264</v>
      </c>
      <c r="H743" t="s">
        <v>2265</v>
      </c>
      <c r="I743">
        <v>15</v>
      </c>
      <c r="J743">
        <v>5</v>
      </c>
      <c r="K743">
        <v>100</v>
      </c>
      <c r="L743">
        <v>75</v>
      </c>
      <c r="M743">
        <v>50</v>
      </c>
      <c r="N743">
        <v>67</v>
      </c>
      <c r="O743">
        <v>111</v>
      </c>
      <c r="P743">
        <v>400</v>
      </c>
      <c r="Q743">
        <v>500</v>
      </c>
      <c r="R743">
        <v>400</v>
      </c>
      <c r="S743">
        <v>500</v>
      </c>
    </row>
    <row r="744" spans="3:19" x14ac:dyDescent="0.2">
      <c r="C744">
        <v>1719</v>
      </c>
      <c r="D744">
        <v>1719</v>
      </c>
      <c r="E744">
        <v>1</v>
      </c>
      <c r="F744" t="s">
        <v>1884</v>
      </c>
      <c r="G744" t="s">
        <v>2266</v>
      </c>
      <c r="H744" t="s">
        <v>2267</v>
      </c>
      <c r="I744">
        <v>5</v>
      </c>
      <c r="J744">
        <v>5</v>
      </c>
      <c r="K744">
        <v>100</v>
      </c>
      <c r="L744">
        <v>85</v>
      </c>
      <c r="M744">
        <v>75</v>
      </c>
      <c r="N744">
        <v>95</v>
      </c>
      <c r="O744">
        <v>152</v>
      </c>
      <c r="P744">
        <v>400</v>
      </c>
      <c r="Q744">
        <v>500</v>
      </c>
      <c r="R744">
        <v>400</v>
      </c>
      <c r="S744">
        <v>500</v>
      </c>
    </row>
    <row r="745" spans="3:19" x14ac:dyDescent="0.2">
      <c r="C745">
        <v>1720</v>
      </c>
      <c r="D745">
        <v>1720</v>
      </c>
      <c r="E745">
        <v>1</v>
      </c>
      <c r="F745" t="s">
        <v>1897</v>
      </c>
      <c r="G745" t="s">
        <v>2268</v>
      </c>
      <c r="H745" t="s">
        <v>2269</v>
      </c>
      <c r="I745">
        <v>5</v>
      </c>
      <c r="J745">
        <v>5</v>
      </c>
      <c r="K745">
        <v>100</v>
      </c>
      <c r="L745">
        <v>85</v>
      </c>
      <c r="M745">
        <v>75</v>
      </c>
      <c r="N745">
        <v>95</v>
      </c>
      <c r="O745">
        <v>152</v>
      </c>
      <c r="P745">
        <v>400</v>
      </c>
      <c r="Q745">
        <v>500</v>
      </c>
      <c r="R745">
        <v>400</v>
      </c>
      <c r="S745">
        <v>500</v>
      </c>
    </row>
    <row r="746" spans="3:19" x14ac:dyDescent="0.2">
      <c r="C746">
        <v>1721</v>
      </c>
      <c r="D746">
        <v>1721</v>
      </c>
      <c r="E746">
        <v>1</v>
      </c>
      <c r="F746" t="s">
        <v>1066</v>
      </c>
      <c r="G746" t="s">
        <v>2270</v>
      </c>
      <c r="H746" t="s">
        <v>2271</v>
      </c>
      <c r="I746">
        <v>5</v>
      </c>
      <c r="J746">
        <v>5</v>
      </c>
      <c r="K746">
        <v>100</v>
      </c>
      <c r="L746">
        <v>100</v>
      </c>
      <c r="M746">
        <v>100</v>
      </c>
      <c r="N746">
        <v>65</v>
      </c>
      <c r="O746">
        <v>107</v>
      </c>
      <c r="P746">
        <v>400</v>
      </c>
      <c r="Q746">
        <v>500</v>
      </c>
      <c r="R746">
        <v>400</v>
      </c>
      <c r="S746">
        <v>500</v>
      </c>
    </row>
    <row r="747" spans="3:19" x14ac:dyDescent="0.2">
      <c r="C747">
        <v>1722</v>
      </c>
      <c r="D747">
        <v>1722</v>
      </c>
      <c r="E747">
        <v>1</v>
      </c>
      <c r="F747" t="s">
        <v>2147</v>
      </c>
      <c r="G747" t="s">
        <v>2272</v>
      </c>
      <c r="H747" t="s">
        <v>2273</v>
      </c>
      <c r="I747">
        <v>5</v>
      </c>
      <c r="J747">
        <v>5</v>
      </c>
      <c r="K747">
        <v>100</v>
      </c>
      <c r="L747">
        <v>100</v>
      </c>
      <c r="M747">
        <v>100</v>
      </c>
      <c r="N747">
        <v>93</v>
      </c>
      <c r="O747">
        <v>131</v>
      </c>
      <c r="P747">
        <v>400</v>
      </c>
      <c r="Q747">
        <v>500</v>
      </c>
      <c r="R747">
        <v>400</v>
      </c>
      <c r="S747">
        <v>500</v>
      </c>
    </row>
    <row r="748" spans="3:19" x14ac:dyDescent="0.2">
      <c r="C748">
        <v>1723</v>
      </c>
      <c r="D748">
        <v>1723</v>
      </c>
      <c r="E748">
        <v>1</v>
      </c>
      <c r="F748" t="s">
        <v>1364</v>
      </c>
      <c r="G748" t="s">
        <v>2274</v>
      </c>
      <c r="H748" t="s">
        <v>2275</v>
      </c>
      <c r="I748">
        <v>5</v>
      </c>
      <c r="J748">
        <v>5</v>
      </c>
      <c r="K748">
        <v>100</v>
      </c>
      <c r="L748">
        <v>100</v>
      </c>
      <c r="M748">
        <v>100</v>
      </c>
      <c r="N748">
        <v>85</v>
      </c>
      <c r="O748">
        <v>124</v>
      </c>
      <c r="P748">
        <v>400</v>
      </c>
      <c r="Q748">
        <v>500</v>
      </c>
      <c r="R748">
        <v>400</v>
      </c>
      <c r="S748">
        <v>500</v>
      </c>
    </row>
    <row r="749" spans="3:19" x14ac:dyDescent="0.2">
      <c r="C749">
        <v>1724</v>
      </c>
      <c r="D749">
        <v>1724</v>
      </c>
      <c r="E749">
        <v>1</v>
      </c>
      <c r="F749" t="s">
        <v>1912</v>
      </c>
      <c r="G749" t="s">
        <v>2276</v>
      </c>
      <c r="H749" t="s">
        <v>2277</v>
      </c>
      <c r="I749">
        <v>5</v>
      </c>
      <c r="J749">
        <v>5</v>
      </c>
      <c r="K749">
        <v>100</v>
      </c>
      <c r="L749">
        <v>100</v>
      </c>
      <c r="M749">
        <v>100</v>
      </c>
      <c r="N749">
        <v>379</v>
      </c>
      <c r="O749">
        <v>379</v>
      </c>
      <c r="P749">
        <v>400</v>
      </c>
      <c r="Q749">
        <v>500</v>
      </c>
      <c r="R749">
        <v>400</v>
      </c>
      <c r="S749">
        <v>500</v>
      </c>
    </row>
    <row r="750" spans="3:19" x14ac:dyDescent="0.2">
      <c r="C750">
        <v>1725</v>
      </c>
      <c r="D750">
        <v>1725</v>
      </c>
      <c r="E750">
        <v>1</v>
      </c>
      <c r="F750" t="s">
        <v>948</v>
      </c>
      <c r="G750" t="s">
        <v>2187</v>
      </c>
      <c r="H750" t="s">
        <v>2278</v>
      </c>
      <c r="I750">
        <v>5</v>
      </c>
      <c r="J750">
        <v>5</v>
      </c>
      <c r="N750">
        <v>94</v>
      </c>
      <c r="O750">
        <v>131</v>
      </c>
      <c r="P750">
        <v>70</v>
      </c>
      <c r="Q750">
        <v>100</v>
      </c>
      <c r="R750">
        <v>70</v>
      </c>
      <c r="S750">
        <v>240</v>
      </c>
    </row>
    <row r="751" spans="3:19" x14ac:dyDescent="0.2">
      <c r="C751">
        <v>1726</v>
      </c>
      <c r="D751">
        <v>1726</v>
      </c>
      <c r="E751">
        <v>1</v>
      </c>
      <c r="F751" t="s">
        <v>2067</v>
      </c>
      <c r="G751" t="s">
        <v>2068</v>
      </c>
      <c r="H751" t="s">
        <v>2279</v>
      </c>
      <c r="I751">
        <v>5</v>
      </c>
      <c r="J751">
        <v>5</v>
      </c>
      <c r="N751">
        <v>70</v>
      </c>
      <c r="O751">
        <v>100</v>
      </c>
      <c r="P751">
        <v>70</v>
      </c>
      <c r="Q751">
        <v>100</v>
      </c>
      <c r="R751">
        <v>70</v>
      </c>
      <c r="S751">
        <v>240</v>
      </c>
    </row>
    <row r="752" spans="3:19" x14ac:dyDescent="0.2">
      <c r="C752">
        <v>1727</v>
      </c>
      <c r="D752">
        <v>1727</v>
      </c>
      <c r="E752">
        <v>1</v>
      </c>
      <c r="F752" t="s">
        <v>2157</v>
      </c>
      <c r="G752" t="s">
        <v>2158</v>
      </c>
      <c r="H752" t="s">
        <v>2280</v>
      </c>
      <c r="I752">
        <v>5</v>
      </c>
      <c r="J752">
        <v>5</v>
      </c>
      <c r="N752">
        <v>56</v>
      </c>
      <c r="O752">
        <v>84</v>
      </c>
      <c r="P752">
        <v>55</v>
      </c>
      <c r="Q752">
        <v>80</v>
      </c>
      <c r="R752">
        <v>55</v>
      </c>
      <c r="S752">
        <v>200</v>
      </c>
    </row>
    <row r="753" spans="3:19" x14ac:dyDescent="0.2">
      <c r="C753">
        <v>1728</v>
      </c>
      <c r="D753">
        <v>1728</v>
      </c>
      <c r="E753">
        <v>1</v>
      </c>
      <c r="F753" t="s">
        <v>2161</v>
      </c>
      <c r="G753" t="s">
        <v>2162</v>
      </c>
      <c r="H753" t="s">
        <v>2281</v>
      </c>
      <c r="I753">
        <v>5</v>
      </c>
      <c r="J753">
        <v>5</v>
      </c>
      <c r="N753">
        <v>56</v>
      </c>
      <c r="O753">
        <v>84</v>
      </c>
      <c r="P753">
        <v>55</v>
      </c>
      <c r="Q753">
        <v>80</v>
      </c>
      <c r="R753">
        <v>55</v>
      </c>
      <c r="S753">
        <v>200</v>
      </c>
    </row>
    <row r="754" spans="3:19" x14ac:dyDescent="0.2">
      <c r="C754">
        <v>1729</v>
      </c>
      <c r="D754">
        <v>1729</v>
      </c>
      <c r="E754">
        <v>1</v>
      </c>
      <c r="F754" t="s">
        <v>2165</v>
      </c>
      <c r="G754" t="s">
        <v>2166</v>
      </c>
      <c r="H754" t="s">
        <v>2282</v>
      </c>
      <c r="I754">
        <v>5</v>
      </c>
      <c r="J754">
        <v>5</v>
      </c>
      <c r="N754">
        <v>56</v>
      </c>
      <c r="O754">
        <v>84</v>
      </c>
      <c r="P754">
        <v>55</v>
      </c>
      <c r="Q754">
        <v>80</v>
      </c>
      <c r="R754">
        <v>55</v>
      </c>
      <c r="S754">
        <v>200</v>
      </c>
    </row>
    <row r="755" spans="3:19" x14ac:dyDescent="0.2">
      <c r="C755">
        <v>1730</v>
      </c>
      <c r="D755">
        <v>1730</v>
      </c>
      <c r="E755">
        <v>1</v>
      </c>
      <c r="F755" t="s">
        <v>1529</v>
      </c>
      <c r="G755" t="s">
        <v>1530</v>
      </c>
      <c r="H755" t="s">
        <v>2283</v>
      </c>
      <c r="I755">
        <v>5</v>
      </c>
      <c r="J755">
        <v>5</v>
      </c>
      <c r="N755">
        <v>56</v>
      </c>
      <c r="O755">
        <v>81</v>
      </c>
      <c r="P755">
        <v>55</v>
      </c>
      <c r="Q755">
        <v>80</v>
      </c>
      <c r="R755">
        <v>55</v>
      </c>
      <c r="S755">
        <v>200</v>
      </c>
    </row>
    <row r="756" spans="3:19" x14ac:dyDescent="0.2">
      <c r="C756">
        <v>1731</v>
      </c>
      <c r="D756">
        <v>1731</v>
      </c>
      <c r="E756">
        <v>1</v>
      </c>
      <c r="F756" t="s">
        <v>1304</v>
      </c>
      <c r="G756" t="s">
        <v>2238</v>
      </c>
      <c r="H756" t="s">
        <v>2284</v>
      </c>
      <c r="I756">
        <v>13</v>
      </c>
      <c r="J756">
        <v>5</v>
      </c>
      <c r="K756">
        <v>100</v>
      </c>
      <c r="L756">
        <v>85</v>
      </c>
      <c r="M756">
        <v>75</v>
      </c>
      <c r="N756">
        <v>152</v>
      </c>
      <c r="O756">
        <v>210</v>
      </c>
      <c r="P756">
        <v>150</v>
      </c>
      <c r="Q756">
        <v>200</v>
      </c>
      <c r="R756">
        <v>150</v>
      </c>
      <c r="S756">
        <v>200</v>
      </c>
    </row>
    <row r="757" spans="3:19" x14ac:dyDescent="0.2">
      <c r="C757">
        <v>1732</v>
      </c>
      <c r="D757">
        <v>1732</v>
      </c>
      <c r="E757">
        <v>1</v>
      </c>
      <c r="F757" t="s">
        <v>1039</v>
      </c>
      <c r="G757" t="s">
        <v>1040</v>
      </c>
      <c r="H757" t="s">
        <v>2174</v>
      </c>
      <c r="I757">
        <v>5</v>
      </c>
      <c r="J757">
        <v>5</v>
      </c>
      <c r="N757">
        <v>83</v>
      </c>
      <c r="O757">
        <v>165</v>
      </c>
      <c r="P757">
        <v>65</v>
      </c>
      <c r="Q757">
        <v>90</v>
      </c>
      <c r="R757">
        <v>65</v>
      </c>
      <c r="S757">
        <v>90</v>
      </c>
    </row>
    <row r="758" spans="3:19" x14ac:dyDescent="0.2">
      <c r="C758">
        <v>1733</v>
      </c>
      <c r="D758">
        <v>1733</v>
      </c>
      <c r="E758">
        <v>1</v>
      </c>
      <c r="F758" t="s">
        <v>1267</v>
      </c>
      <c r="G758" t="s">
        <v>2181</v>
      </c>
      <c r="H758" t="s">
        <v>2184</v>
      </c>
      <c r="I758">
        <v>5</v>
      </c>
      <c r="J758">
        <v>5</v>
      </c>
      <c r="N758">
        <v>44</v>
      </c>
      <c r="O758">
        <v>87</v>
      </c>
      <c r="P758">
        <v>45</v>
      </c>
      <c r="Q758">
        <v>85</v>
      </c>
      <c r="R758">
        <v>45</v>
      </c>
      <c r="S758">
        <v>85</v>
      </c>
    </row>
    <row r="759" spans="3:19" x14ac:dyDescent="0.2">
      <c r="C759">
        <v>1734</v>
      </c>
      <c r="D759">
        <v>1734</v>
      </c>
      <c r="E759">
        <v>1</v>
      </c>
      <c r="F759" t="s">
        <v>935</v>
      </c>
      <c r="G759" t="s">
        <v>1038</v>
      </c>
      <c r="H759" t="s">
        <v>935</v>
      </c>
      <c r="I759">
        <v>5</v>
      </c>
      <c r="J759">
        <v>0</v>
      </c>
    </row>
    <row r="760" spans="3:19" x14ac:dyDescent="0.2">
      <c r="C760">
        <v>1735</v>
      </c>
      <c r="D760">
        <v>1735</v>
      </c>
      <c r="E760">
        <v>1</v>
      </c>
      <c r="F760" t="s">
        <v>1724</v>
      </c>
      <c r="G760" t="s">
        <v>1725</v>
      </c>
      <c r="H760" t="s">
        <v>1726</v>
      </c>
      <c r="I760">
        <v>5</v>
      </c>
      <c r="J760">
        <v>5</v>
      </c>
      <c r="K760">
        <v>100</v>
      </c>
      <c r="L760">
        <v>75</v>
      </c>
      <c r="M760">
        <v>66</v>
      </c>
      <c r="N760">
        <v>133</v>
      </c>
      <c r="O760">
        <v>285</v>
      </c>
      <c r="P760">
        <v>220</v>
      </c>
      <c r="Q760">
        <v>270</v>
      </c>
      <c r="R760">
        <v>220</v>
      </c>
      <c r="S760">
        <v>270</v>
      </c>
    </row>
    <row r="761" spans="3:19" x14ac:dyDescent="0.2">
      <c r="C761">
        <v>1736</v>
      </c>
      <c r="D761">
        <v>1736</v>
      </c>
      <c r="E761">
        <v>1</v>
      </c>
      <c r="F761" t="s">
        <v>963</v>
      </c>
      <c r="G761" t="s">
        <v>964</v>
      </c>
      <c r="H761" t="s">
        <v>965</v>
      </c>
      <c r="I761">
        <v>5</v>
      </c>
      <c r="J761">
        <v>5</v>
      </c>
      <c r="K761">
        <v>100</v>
      </c>
      <c r="L761">
        <v>75</v>
      </c>
      <c r="M761">
        <v>50</v>
      </c>
      <c r="N761">
        <v>109</v>
      </c>
      <c r="O761">
        <v>192</v>
      </c>
      <c r="P761">
        <v>105</v>
      </c>
      <c r="Q761">
        <v>150</v>
      </c>
      <c r="R761">
        <v>105</v>
      </c>
      <c r="S761">
        <v>150</v>
      </c>
    </row>
    <row r="762" spans="3:19" x14ac:dyDescent="0.2">
      <c r="C762">
        <v>1737</v>
      </c>
      <c r="D762">
        <v>1737</v>
      </c>
      <c r="E762">
        <v>1</v>
      </c>
      <c r="F762" t="s">
        <v>935</v>
      </c>
      <c r="G762" t="s">
        <v>1038</v>
      </c>
      <c r="H762" t="s">
        <v>935</v>
      </c>
      <c r="I762">
        <v>5</v>
      </c>
      <c r="J762">
        <v>0</v>
      </c>
    </row>
    <row r="763" spans="3:19" x14ac:dyDescent="0.2">
      <c r="C763">
        <v>1738</v>
      </c>
      <c r="D763">
        <v>1738</v>
      </c>
      <c r="E763">
        <v>1</v>
      </c>
      <c r="F763" t="s">
        <v>935</v>
      </c>
      <c r="G763" t="s">
        <v>1038</v>
      </c>
      <c r="H763" t="s">
        <v>935</v>
      </c>
      <c r="I763">
        <v>5</v>
      </c>
      <c r="J763">
        <v>0</v>
      </c>
    </row>
    <row r="764" spans="3:19" x14ac:dyDescent="0.2">
      <c r="C764">
        <v>10101</v>
      </c>
      <c r="D764">
        <v>10101</v>
      </c>
      <c r="E764">
        <v>1</v>
      </c>
      <c r="F764" t="s">
        <v>2285</v>
      </c>
      <c r="G764" t="s">
        <v>2286</v>
      </c>
      <c r="H764" t="s">
        <v>2287</v>
      </c>
      <c r="I764">
        <v>0</v>
      </c>
      <c r="J764">
        <v>5</v>
      </c>
      <c r="K764">
        <v>100</v>
      </c>
      <c r="L764">
        <v>50</v>
      </c>
      <c r="M764">
        <v>0</v>
      </c>
      <c r="N764">
        <v>86</v>
      </c>
      <c r="O764">
        <v>129</v>
      </c>
      <c r="P764">
        <v>70</v>
      </c>
      <c r="Q764">
        <v>100</v>
      </c>
      <c r="R764">
        <v>70</v>
      </c>
      <c r="S764">
        <v>100</v>
      </c>
    </row>
    <row r="765" spans="3:19" x14ac:dyDescent="0.2">
      <c r="C765">
        <v>10102</v>
      </c>
      <c r="D765">
        <v>10102</v>
      </c>
      <c r="E765">
        <v>1</v>
      </c>
      <c r="F765" t="s">
        <v>2288</v>
      </c>
      <c r="G765" t="s">
        <v>2286</v>
      </c>
      <c r="H765" t="s">
        <v>2287</v>
      </c>
      <c r="I765">
        <v>0</v>
      </c>
      <c r="J765">
        <v>5</v>
      </c>
      <c r="K765">
        <v>100</v>
      </c>
      <c r="L765">
        <v>50</v>
      </c>
      <c r="M765">
        <v>0</v>
      </c>
      <c r="N765">
        <v>86</v>
      </c>
      <c r="O765">
        <v>129</v>
      </c>
      <c r="P765">
        <v>70</v>
      </c>
      <c r="Q765">
        <v>100</v>
      </c>
      <c r="R765">
        <v>70</v>
      </c>
      <c r="S765">
        <v>100</v>
      </c>
    </row>
    <row r="766" spans="3:19" x14ac:dyDescent="0.2">
      <c r="C766">
        <v>10103</v>
      </c>
      <c r="D766">
        <v>10103</v>
      </c>
      <c r="E766">
        <v>1</v>
      </c>
      <c r="F766" t="s">
        <v>2289</v>
      </c>
      <c r="G766" t="s">
        <v>2286</v>
      </c>
      <c r="H766" t="s">
        <v>2287</v>
      </c>
      <c r="I766">
        <v>0</v>
      </c>
      <c r="J766">
        <v>5</v>
      </c>
      <c r="K766">
        <v>100</v>
      </c>
      <c r="L766">
        <v>50</v>
      </c>
      <c r="M766">
        <v>0</v>
      </c>
      <c r="N766">
        <v>86</v>
      </c>
      <c r="O766">
        <v>129</v>
      </c>
      <c r="P766">
        <v>70</v>
      </c>
      <c r="Q766">
        <v>100</v>
      </c>
      <c r="R766">
        <v>70</v>
      </c>
      <c r="S766">
        <v>100</v>
      </c>
    </row>
    <row r="767" spans="3:19" x14ac:dyDescent="0.2">
      <c r="C767">
        <v>10201</v>
      </c>
      <c r="D767">
        <v>10201</v>
      </c>
      <c r="E767">
        <v>1</v>
      </c>
      <c r="F767" t="s">
        <v>2290</v>
      </c>
      <c r="G767" t="s">
        <v>2286</v>
      </c>
      <c r="H767" t="s">
        <v>2287</v>
      </c>
      <c r="I767">
        <v>0</v>
      </c>
      <c r="J767">
        <v>5</v>
      </c>
      <c r="K767">
        <v>100</v>
      </c>
      <c r="L767">
        <v>50</v>
      </c>
      <c r="M767">
        <v>0</v>
      </c>
      <c r="N767">
        <v>90</v>
      </c>
      <c r="O767">
        <v>135</v>
      </c>
      <c r="P767">
        <v>70</v>
      </c>
      <c r="Q767">
        <v>100</v>
      </c>
      <c r="R767">
        <v>70</v>
      </c>
      <c r="S767">
        <v>100</v>
      </c>
    </row>
    <row r="768" spans="3:19" x14ac:dyDescent="0.2">
      <c r="C768">
        <v>10202</v>
      </c>
      <c r="D768">
        <v>10202</v>
      </c>
      <c r="E768">
        <v>1</v>
      </c>
      <c r="F768" t="s">
        <v>2291</v>
      </c>
      <c r="G768" t="s">
        <v>2286</v>
      </c>
      <c r="H768" t="s">
        <v>2287</v>
      </c>
      <c r="I768">
        <v>0</v>
      </c>
      <c r="J768">
        <v>5</v>
      </c>
      <c r="K768">
        <v>100</v>
      </c>
      <c r="L768">
        <v>50</v>
      </c>
      <c r="M768">
        <v>0</v>
      </c>
      <c r="N768">
        <v>90</v>
      </c>
      <c r="O768">
        <v>135</v>
      </c>
      <c r="P768">
        <v>70</v>
      </c>
      <c r="Q768">
        <v>100</v>
      </c>
      <c r="R768">
        <v>70</v>
      </c>
      <c r="S768">
        <v>100</v>
      </c>
    </row>
    <row r="769" spans="3:19" x14ac:dyDescent="0.2">
      <c r="C769">
        <v>10203</v>
      </c>
      <c r="D769">
        <v>10203</v>
      </c>
      <c r="E769">
        <v>1</v>
      </c>
      <c r="F769" t="s">
        <v>2292</v>
      </c>
      <c r="G769" t="s">
        <v>2286</v>
      </c>
      <c r="H769" t="s">
        <v>2287</v>
      </c>
      <c r="I769">
        <v>0</v>
      </c>
      <c r="J769">
        <v>5</v>
      </c>
      <c r="K769">
        <v>100</v>
      </c>
      <c r="L769">
        <v>50</v>
      </c>
      <c r="M769">
        <v>0</v>
      </c>
      <c r="N769">
        <v>90</v>
      </c>
      <c r="O769">
        <v>135</v>
      </c>
      <c r="P769">
        <v>70</v>
      </c>
      <c r="Q769">
        <v>100</v>
      </c>
      <c r="R769">
        <v>70</v>
      </c>
      <c r="S769">
        <v>100</v>
      </c>
    </row>
    <row r="770" spans="3:19" x14ac:dyDescent="0.2">
      <c r="C770">
        <v>10204</v>
      </c>
      <c r="D770">
        <v>10204</v>
      </c>
      <c r="E770">
        <v>1</v>
      </c>
      <c r="F770" t="s">
        <v>2293</v>
      </c>
      <c r="G770" t="s">
        <v>2286</v>
      </c>
      <c r="H770" t="s">
        <v>2287</v>
      </c>
      <c r="I770">
        <v>0</v>
      </c>
      <c r="J770">
        <v>5</v>
      </c>
      <c r="K770">
        <v>100</v>
      </c>
      <c r="L770">
        <v>50</v>
      </c>
      <c r="M770">
        <v>0</v>
      </c>
      <c r="N770">
        <v>90</v>
      </c>
      <c r="O770">
        <v>135</v>
      </c>
      <c r="P770">
        <v>70</v>
      </c>
      <c r="Q770">
        <v>100</v>
      </c>
      <c r="R770">
        <v>70</v>
      </c>
      <c r="S770">
        <v>100</v>
      </c>
    </row>
    <row r="771" spans="3:19" x14ac:dyDescent="0.2">
      <c r="C771">
        <v>10301</v>
      </c>
      <c r="D771">
        <v>10301</v>
      </c>
      <c r="E771">
        <v>1</v>
      </c>
      <c r="F771" t="s">
        <v>2294</v>
      </c>
      <c r="G771" t="s">
        <v>2295</v>
      </c>
      <c r="H771" t="s">
        <v>2296</v>
      </c>
      <c r="I771">
        <v>0</v>
      </c>
      <c r="J771">
        <v>5</v>
      </c>
      <c r="K771">
        <v>100</v>
      </c>
      <c r="L771">
        <v>50</v>
      </c>
      <c r="M771">
        <v>0</v>
      </c>
      <c r="N771">
        <v>95</v>
      </c>
      <c r="O771">
        <v>142</v>
      </c>
      <c r="P771">
        <v>70</v>
      </c>
      <c r="Q771">
        <v>100</v>
      </c>
      <c r="R771">
        <v>70</v>
      </c>
      <c r="S771">
        <v>100</v>
      </c>
    </row>
    <row r="772" spans="3:19" x14ac:dyDescent="0.2">
      <c r="C772">
        <v>10302</v>
      </c>
      <c r="D772">
        <v>10302</v>
      </c>
      <c r="E772">
        <v>1</v>
      </c>
      <c r="F772" t="s">
        <v>2297</v>
      </c>
      <c r="G772" t="s">
        <v>2295</v>
      </c>
      <c r="H772" t="s">
        <v>2296</v>
      </c>
      <c r="I772">
        <v>0</v>
      </c>
      <c r="J772">
        <v>5</v>
      </c>
      <c r="K772">
        <v>100</v>
      </c>
      <c r="L772">
        <v>50</v>
      </c>
      <c r="M772">
        <v>0</v>
      </c>
      <c r="N772">
        <v>95</v>
      </c>
      <c r="O772">
        <v>142</v>
      </c>
      <c r="P772">
        <v>70</v>
      </c>
      <c r="Q772">
        <v>100</v>
      </c>
      <c r="R772">
        <v>70</v>
      </c>
      <c r="S772">
        <v>100</v>
      </c>
    </row>
    <row r="773" spans="3:19" x14ac:dyDescent="0.2">
      <c r="C773">
        <v>10303</v>
      </c>
      <c r="D773">
        <v>10303</v>
      </c>
      <c r="E773">
        <v>1</v>
      </c>
      <c r="F773" t="s">
        <v>2298</v>
      </c>
      <c r="G773" t="s">
        <v>2295</v>
      </c>
      <c r="H773" t="s">
        <v>2296</v>
      </c>
      <c r="I773">
        <v>0</v>
      </c>
      <c r="J773">
        <v>5</v>
      </c>
      <c r="K773">
        <v>100</v>
      </c>
      <c r="L773">
        <v>50</v>
      </c>
      <c r="M773">
        <v>0</v>
      </c>
      <c r="N773">
        <v>95</v>
      </c>
      <c r="O773">
        <v>142</v>
      </c>
      <c r="P773">
        <v>70</v>
      </c>
      <c r="Q773">
        <v>100</v>
      </c>
      <c r="R773">
        <v>70</v>
      </c>
      <c r="S773">
        <v>100</v>
      </c>
    </row>
    <row r="774" spans="3:19" x14ac:dyDescent="0.2">
      <c r="C774">
        <v>10304</v>
      </c>
      <c r="D774">
        <v>10304</v>
      </c>
      <c r="E774">
        <v>1</v>
      </c>
      <c r="F774" t="s">
        <v>2299</v>
      </c>
      <c r="G774" t="s">
        <v>2295</v>
      </c>
      <c r="H774" t="s">
        <v>2296</v>
      </c>
      <c r="I774">
        <v>0</v>
      </c>
      <c r="J774">
        <v>5</v>
      </c>
      <c r="K774">
        <v>100</v>
      </c>
      <c r="L774">
        <v>50</v>
      </c>
      <c r="M774">
        <v>0</v>
      </c>
      <c r="N774">
        <v>95</v>
      </c>
      <c r="O774">
        <v>142</v>
      </c>
      <c r="P774">
        <v>70</v>
      </c>
      <c r="Q774">
        <v>100</v>
      </c>
      <c r="R774">
        <v>70</v>
      </c>
      <c r="S774">
        <v>100</v>
      </c>
    </row>
    <row r="775" spans="3:19" x14ac:dyDescent="0.2">
      <c r="C775">
        <v>10401</v>
      </c>
      <c r="D775">
        <v>10401</v>
      </c>
      <c r="E775">
        <v>1</v>
      </c>
      <c r="F775" t="s">
        <v>2300</v>
      </c>
      <c r="G775" t="s">
        <v>2286</v>
      </c>
      <c r="H775" t="s">
        <v>2287</v>
      </c>
      <c r="I775">
        <v>0</v>
      </c>
      <c r="J775">
        <v>5</v>
      </c>
      <c r="K775">
        <v>100</v>
      </c>
      <c r="L775">
        <v>50</v>
      </c>
      <c r="M775">
        <v>0</v>
      </c>
      <c r="N775">
        <v>77</v>
      </c>
      <c r="O775">
        <v>116</v>
      </c>
      <c r="P775">
        <v>70</v>
      </c>
      <c r="Q775">
        <v>100</v>
      </c>
      <c r="R775">
        <v>70</v>
      </c>
      <c r="S775">
        <v>100</v>
      </c>
    </row>
    <row r="776" spans="3:19" x14ac:dyDescent="0.2">
      <c r="C776">
        <v>10402</v>
      </c>
      <c r="D776">
        <v>10402</v>
      </c>
      <c r="E776">
        <v>1</v>
      </c>
      <c r="F776" t="s">
        <v>2300</v>
      </c>
      <c r="G776" t="s">
        <v>2286</v>
      </c>
      <c r="H776" t="s">
        <v>2287</v>
      </c>
      <c r="I776">
        <v>0</v>
      </c>
      <c r="J776">
        <v>5</v>
      </c>
      <c r="K776">
        <v>100</v>
      </c>
      <c r="L776">
        <v>50</v>
      </c>
      <c r="M776">
        <v>0</v>
      </c>
      <c r="N776">
        <v>77</v>
      </c>
      <c r="O776">
        <v>116</v>
      </c>
      <c r="P776">
        <v>70</v>
      </c>
      <c r="Q776">
        <v>100</v>
      </c>
      <c r="R776">
        <v>70</v>
      </c>
      <c r="S776">
        <v>100</v>
      </c>
    </row>
    <row r="777" spans="3:19" x14ac:dyDescent="0.2">
      <c r="C777">
        <v>10501</v>
      </c>
      <c r="D777">
        <v>10501</v>
      </c>
      <c r="E777">
        <v>1</v>
      </c>
      <c r="F777" t="s">
        <v>2301</v>
      </c>
      <c r="G777" t="s">
        <v>2287</v>
      </c>
      <c r="H777" t="s">
        <v>2302</v>
      </c>
      <c r="I777">
        <v>0</v>
      </c>
      <c r="J777">
        <v>5</v>
      </c>
      <c r="K777">
        <v>100</v>
      </c>
      <c r="L777">
        <v>50</v>
      </c>
      <c r="M777">
        <v>0</v>
      </c>
      <c r="N777">
        <v>103</v>
      </c>
      <c r="O777">
        <v>155</v>
      </c>
      <c r="P777">
        <v>70</v>
      </c>
      <c r="Q777">
        <v>100</v>
      </c>
      <c r="R777">
        <v>70</v>
      </c>
      <c r="S777">
        <v>100</v>
      </c>
    </row>
    <row r="778" spans="3:19" x14ac:dyDescent="0.2">
      <c r="C778">
        <v>10601</v>
      </c>
      <c r="D778">
        <v>10601</v>
      </c>
      <c r="E778">
        <v>1</v>
      </c>
      <c r="F778" t="s">
        <v>2303</v>
      </c>
      <c r="G778" t="s">
        <v>2286</v>
      </c>
      <c r="H778" t="s">
        <v>2287</v>
      </c>
      <c r="I778">
        <v>0</v>
      </c>
      <c r="J778">
        <v>5</v>
      </c>
      <c r="K778">
        <v>100</v>
      </c>
      <c r="L778">
        <v>50</v>
      </c>
      <c r="M778">
        <v>0</v>
      </c>
      <c r="N778">
        <v>69</v>
      </c>
      <c r="O778">
        <v>103</v>
      </c>
      <c r="P778">
        <v>70</v>
      </c>
      <c r="Q778">
        <v>100</v>
      </c>
      <c r="R778">
        <v>70</v>
      </c>
      <c r="S778">
        <v>100</v>
      </c>
    </row>
    <row r="779" spans="3:19" x14ac:dyDescent="0.2">
      <c r="C779">
        <v>10602</v>
      </c>
      <c r="D779">
        <v>10602</v>
      </c>
      <c r="E779">
        <v>1</v>
      </c>
      <c r="F779" t="s">
        <v>2303</v>
      </c>
      <c r="G779" t="s">
        <v>2286</v>
      </c>
      <c r="H779" t="s">
        <v>2287</v>
      </c>
      <c r="I779">
        <v>0</v>
      </c>
      <c r="J779">
        <v>5</v>
      </c>
      <c r="K779">
        <v>100</v>
      </c>
      <c r="L779">
        <v>50</v>
      </c>
      <c r="M779">
        <v>0</v>
      </c>
      <c r="N779">
        <v>69</v>
      </c>
      <c r="O779">
        <v>103</v>
      </c>
      <c r="P779">
        <v>70</v>
      </c>
      <c r="Q779">
        <v>100</v>
      </c>
      <c r="R779">
        <v>70</v>
      </c>
      <c r="S779">
        <v>100</v>
      </c>
    </row>
    <row r="780" spans="3:19" x14ac:dyDescent="0.2">
      <c r="C780">
        <v>10603</v>
      </c>
      <c r="D780">
        <v>10603</v>
      </c>
      <c r="E780">
        <v>1</v>
      </c>
      <c r="F780" t="s">
        <v>2303</v>
      </c>
      <c r="G780" t="s">
        <v>2286</v>
      </c>
      <c r="H780" t="s">
        <v>2287</v>
      </c>
      <c r="I780">
        <v>0</v>
      </c>
      <c r="J780">
        <v>5</v>
      </c>
      <c r="K780">
        <v>100</v>
      </c>
      <c r="L780">
        <v>50</v>
      </c>
      <c r="M780">
        <v>0</v>
      </c>
      <c r="N780">
        <v>69</v>
      </c>
      <c r="O780">
        <v>103</v>
      </c>
      <c r="P780">
        <v>70</v>
      </c>
      <c r="Q780">
        <v>100</v>
      </c>
      <c r="R780">
        <v>70</v>
      </c>
      <c r="S780">
        <v>100</v>
      </c>
    </row>
    <row r="781" spans="3:19" x14ac:dyDescent="0.2">
      <c r="C781">
        <v>10604</v>
      </c>
      <c r="D781">
        <v>10604</v>
      </c>
      <c r="E781">
        <v>1</v>
      </c>
      <c r="F781" t="s">
        <v>2303</v>
      </c>
      <c r="G781" t="s">
        <v>2286</v>
      </c>
      <c r="H781" t="s">
        <v>2287</v>
      </c>
      <c r="I781">
        <v>0</v>
      </c>
      <c r="J781">
        <v>5</v>
      </c>
      <c r="K781">
        <v>100</v>
      </c>
      <c r="L781">
        <v>50</v>
      </c>
      <c r="M781">
        <v>0</v>
      </c>
      <c r="N781">
        <v>69</v>
      </c>
      <c r="O781">
        <v>103</v>
      </c>
      <c r="P781">
        <v>70</v>
      </c>
      <c r="Q781">
        <v>100</v>
      </c>
      <c r="R781">
        <v>70</v>
      </c>
      <c r="S781">
        <v>100</v>
      </c>
    </row>
    <row r="782" spans="3:19" x14ac:dyDescent="0.2">
      <c r="C782">
        <v>10701</v>
      </c>
      <c r="D782">
        <v>10701</v>
      </c>
      <c r="E782">
        <v>1</v>
      </c>
      <c r="F782" t="s">
        <v>2304</v>
      </c>
      <c r="G782" t="s">
        <v>2286</v>
      </c>
      <c r="H782" t="s">
        <v>2287</v>
      </c>
      <c r="I782">
        <v>0</v>
      </c>
      <c r="J782">
        <v>5</v>
      </c>
      <c r="K782">
        <v>100</v>
      </c>
      <c r="L782">
        <v>50</v>
      </c>
      <c r="M782">
        <v>0</v>
      </c>
      <c r="N782">
        <v>69</v>
      </c>
      <c r="O782">
        <v>103</v>
      </c>
      <c r="P782">
        <v>70</v>
      </c>
      <c r="Q782">
        <v>100</v>
      </c>
      <c r="R782">
        <v>70</v>
      </c>
      <c r="S782">
        <v>100</v>
      </c>
    </row>
    <row r="783" spans="3:19" x14ac:dyDescent="0.2">
      <c r="C783">
        <v>10801</v>
      </c>
      <c r="D783">
        <v>10801</v>
      </c>
      <c r="E783">
        <v>1</v>
      </c>
      <c r="F783" t="s">
        <v>2305</v>
      </c>
      <c r="G783" t="s">
        <v>2286</v>
      </c>
      <c r="H783" t="s">
        <v>2287</v>
      </c>
      <c r="I783">
        <v>0</v>
      </c>
      <c r="J783">
        <v>5</v>
      </c>
      <c r="K783">
        <v>100</v>
      </c>
      <c r="L783">
        <v>50</v>
      </c>
      <c r="M783">
        <v>0</v>
      </c>
      <c r="N783">
        <v>69</v>
      </c>
      <c r="O783">
        <v>103</v>
      </c>
      <c r="P783">
        <v>70</v>
      </c>
      <c r="Q783">
        <v>100</v>
      </c>
      <c r="R783">
        <v>70</v>
      </c>
      <c r="S783">
        <v>100</v>
      </c>
    </row>
    <row r="784" spans="3:19" x14ac:dyDescent="0.2">
      <c r="C784">
        <v>10802</v>
      </c>
      <c r="D784">
        <v>10802</v>
      </c>
      <c r="E784">
        <v>1</v>
      </c>
      <c r="F784" t="s">
        <v>2305</v>
      </c>
      <c r="G784" t="s">
        <v>2286</v>
      </c>
      <c r="H784" t="s">
        <v>2287</v>
      </c>
      <c r="I784">
        <v>0</v>
      </c>
      <c r="J784">
        <v>5</v>
      </c>
      <c r="K784">
        <v>100</v>
      </c>
      <c r="L784">
        <v>50</v>
      </c>
      <c r="M784">
        <v>0</v>
      </c>
      <c r="N784">
        <v>69</v>
      </c>
      <c r="O784">
        <v>103</v>
      </c>
      <c r="P784">
        <v>70</v>
      </c>
      <c r="Q784">
        <v>100</v>
      </c>
      <c r="R784">
        <v>70</v>
      </c>
      <c r="S784">
        <v>100</v>
      </c>
    </row>
    <row r="785" spans="3:19" x14ac:dyDescent="0.2">
      <c r="C785">
        <v>10803</v>
      </c>
      <c r="D785">
        <v>10803</v>
      </c>
      <c r="E785">
        <v>1</v>
      </c>
      <c r="F785" t="s">
        <v>2305</v>
      </c>
      <c r="G785" t="s">
        <v>2286</v>
      </c>
      <c r="H785" t="s">
        <v>2287</v>
      </c>
      <c r="I785">
        <v>0</v>
      </c>
      <c r="J785">
        <v>5</v>
      </c>
      <c r="K785">
        <v>100</v>
      </c>
      <c r="L785">
        <v>50</v>
      </c>
      <c r="M785">
        <v>0</v>
      </c>
      <c r="N785">
        <v>69</v>
      </c>
      <c r="O785">
        <v>103</v>
      </c>
      <c r="P785">
        <v>70</v>
      </c>
      <c r="Q785">
        <v>100</v>
      </c>
      <c r="R785">
        <v>70</v>
      </c>
      <c r="S785">
        <v>100</v>
      </c>
    </row>
    <row r="786" spans="3:19" x14ac:dyDescent="0.2">
      <c r="C786">
        <v>10901</v>
      </c>
      <c r="D786">
        <v>10901</v>
      </c>
      <c r="E786">
        <v>1</v>
      </c>
      <c r="F786" t="s">
        <v>2306</v>
      </c>
      <c r="G786" t="s">
        <v>2286</v>
      </c>
      <c r="H786" t="s">
        <v>2287</v>
      </c>
      <c r="I786">
        <v>0</v>
      </c>
      <c r="J786">
        <v>5</v>
      </c>
      <c r="K786">
        <v>100</v>
      </c>
      <c r="L786">
        <v>50</v>
      </c>
      <c r="M786">
        <v>0</v>
      </c>
      <c r="N786">
        <v>77</v>
      </c>
      <c r="O786">
        <v>116</v>
      </c>
      <c r="P786">
        <v>70</v>
      </c>
      <c r="Q786">
        <v>100</v>
      </c>
      <c r="R786">
        <v>70</v>
      </c>
      <c r="S786">
        <v>100</v>
      </c>
    </row>
    <row r="787" spans="3:19" x14ac:dyDescent="0.2">
      <c r="C787">
        <v>10902</v>
      </c>
      <c r="D787">
        <v>10902</v>
      </c>
      <c r="E787">
        <v>1</v>
      </c>
      <c r="F787" t="s">
        <v>2306</v>
      </c>
      <c r="G787" t="s">
        <v>2286</v>
      </c>
      <c r="H787" t="s">
        <v>2287</v>
      </c>
      <c r="I787">
        <v>0</v>
      </c>
      <c r="J787">
        <v>5</v>
      </c>
      <c r="K787">
        <v>100</v>
      </c>
      <c r="L787">
        <v>50</v>
      </c>
      <c r="M787">
        <v>0</v>
      </c>
      <c r="N787">
        <v>77</v>
      </c>
      <c r="O787">
        <v>116</v>
      </c>
      <c r="P787">
        <v>70</v>
      </c>
      <c r="Q787">
        <v>100</v>
      </c>
      <c r="R787">
        <v>70</v>
      </c>
      <c r="S787">
        <v>100</v>
      </c>
    </row>
    <row r="788" spans="3:19" x14ac:dyDescent="0.2">
      <c r="C788">
        <v>10903</v>
      </c>
      <c r="D788">
        <v>10903</v>
      </c>
      <c r="E788">
        <v>1</v>
      </c>
      <c r="F788" t="s">
        <v>2306</v>
      </c>
      <c r="G788" t="s">
        <v>2286</v>
      </c>
      <c r="H788" t="s">
        <v>2287</v>
      </c>
      <c r="I788">
        <v>0</v>
      </c>
      <c r="J788">
        <v>5</v>
      </c>
      <c r="K788">
        <v>100</v>
      </c>
      <c r="L788">
        <v>50</v>
      </c>
      <c r="M788">
        <v>0</v>
      </c>
      <c r="N788">
        <v>77</v>
      </c>
      <c r="O788">
        <v>116</v>
      </c>
      <c r="P788">
        <v>70</v>
      </c>
      <c r="Q788">
        <v>100</v>
      </c>
      <c r="R788">
        <v>70</v>
      </c>
      <c r="S788">
        <v>100</v>
      </c>
    </row>
    <row r="789" spans="3:19" x14ac:dyDescent="0.2">
      <c r="C789">
        <v>11001</v>
      </c>
      <c r="D789">
        <v>11001</v>
      </c>
      <c r="E789">
        <v>1</v>
      </c>
      <c r="F789" t="s">
        <v>2307</v>
      </c>
      <c r="G789" t="s">
        <v>2308</v>
      </c>
      <c r="H789" t="s">
        <v>2309</v>
      </c>
      <c r="I789">
        <v>0</v>
      </c>
      <c r="J789">
        <v>5</v>
      </c>
      <c r="K789">
        <v>100</v>
      </c>
      <c r="L789">
        <v>50</v>
      </c>
      <c r="M789">
        <v>0</v>
      </c>
      <c r="N789">
        <v>101</v>
      </c>
      <c r="O789">
        <v>181</v>
      </c>
      <c r="P789">
        <v>105</v>
      </c>
      <c r="Q789">
        <v>150</v>
      </c>
      <c r="R789">
        <v>105</v>
      </c>
      <c r="S789">
        <v>150</v>
      </c>
    </row>
    <row r="790" spans="3:19" x14ac:dyDescent="0.2">
      <c r="C790">
        <v>11002</v>
      </c>
      <c r="D790">
        <v>11002</v>
      </c>
      <c r="E790">
        <v>1</v>
      </c>
      <c r="F790" t="s">
        <v>2307</v>
      </c>
      <c r="G790" t="s">
        <v>2308</v>
      </c>
      <c r="H790" t="s">
        <v>2309</v>
      </c>
      <c r="I790">
        <v>0</v>
      </c>
      <c r="J790">
        <v>5</v>
      </c>
      <c r="K790">
        <v>100</v>
      </c>
      <c r="L790">
        <v>50</v>
      </c>
      <c r="M790">
        <v>0</v>
      </c>
      <c r="N790">
        <v>101</v>
      </c>
      <c r="O790">
        <v>181</v>
      </c>
      <c r="P790">
        <v>105</v>
      </c>
      <c r="Q790">
        <v>150</v>
      </c>
      <c r="R790">
        <v>105</v>
      </c>
      <c r="S790">
        <v>150</v>
      </c>
    </row>
    <row r="791" spans="3:19" x14ac:dyDescent="0.2">
      <c r="C791">
        <v>11101</v>
      </c>
      <c r="D791">
        <v>11101</v>
      </c>
      <c r="E791">
        <v>1</v>
      </c>
      <c r="F791" t="s">
        <v>2310</v>
      </c>
      <c r="G791" t="s">
        <v>2311</v>
      </c>
      <c r="H791" t="s">
        <v>2312</v>
      </c>
      <c r="I791">
        <v>0</v>
      </c>
      <c r="J791">
        <v>5</v>
      </c>
      <c r="K791">
        <v>100</v>
      </c>
      <c r="L791">
        <v>50</v>
      </c>
      <c r="M791">
        <v>0</v>
      </c>
      <c r="N791">
        <v>108</v>
      </c>
      <c r="O791">
        <v>197</v>
      </c>
      <c r="P791">
        <v>105</v>
      </c>
      <c r="Q791">
        <v>150</v>
      </c>
      <c r="R791">
        <v>105</v>
      </c>
      <c r="S791">
        <v>150</v>
      </c>
    </row>
    <row r="792" spans="3:19" x14ac:dyDescent="0.2">
      <c r="C792">
        <v>11201</v>
      </c>
      <c r="D792">
        <v>11201</v>
      </c>
      <c r="E792">
        <v>1</v>
      </c>
      <c r="F792" t="s">
        <v>2313</v>
      </c>
      <c r="G792" t="s">
        <v>2314</v>
      </c>
      <c r="H792" t="s">
        <v>2315</v>
      </c>
      <c r="I792">
        <v>0</v>
      </c>
      <c r="J792">
        <v>5</v>
      </c>
      <c r="K792">
        <v>100</v>
      </c>
      <c r="L792">
        <v>50</v>
      </c>
      <c r="M792">
        <v>0</v>
      </c>
      <c r="N792">
        <v>109</v>
      </c>
      <c r="O792">
        <v>192</v>
      </c>
      <c r="P792">
        <v>105</v>
      </c>
      <c r="Q792">
        <v>150</v>
      </c>
      <c r="R792">
        <v>105</v>
      </c>
      <c r="S792">
        <v>150</v>
      </c>
    </row>
    <row r="793" spans="3:19" x14ac:dyDescent="0.2">
      <c r="C793">
        <v>11301</v>
      </c>
      <c r="D793">
        <v>11301</v>
      </c>
      <c r="E793">
        <v>1</v>
      </c>
      <c r="F793" t="s">
        <v>2316</v>
      </c>
      <c r="G793" t="s">
        <v>2317</v>
      </c>
      <c r="H793" t="s">
        <v>2317</v>
      </c>
      <c r="I793">
        <v>8</v>
      </c>
      <c r="J793">
        <v>5</v>
      </c>
      <c r="K793">
        <v>100</v>
      </c>
      <c r="L793">
        <v>75</v>
      </c>
      <c r="M793">
        <v>50</v>
      </c>
      <c r="N793">
        <v>131</v>
      </c>
      <c r="O793">
        <v>235</v>
      </c>
      <c r="P793">
        <v>70</v>
      </c>
      <c r="Q793">
        <v>100</v>
      </c>
      <c r="R793">
        <v>70</v>
      </c>
      <c r="S793">
        <v>100</v>
      </c>
    </row>
    <row r="794" spans="3:19" x14ac:dyDescent="0.2">
      <c r="C794">
        <v>11302</v>
      </c>
      <c r="D794">
        <v>11302</v>
      </c>
      <c r="E794">
        <v>1</v>
      </c>
      <c r="F794" t="s">
        <v>2316</v>
      </c>
      <c r="G794" t="s">
        <v>2317</v>
      </c>
      <c r="H794" t="s">
        <v>2317</v>
      </c>
      <c r="I794">
        <v>8</v>
      </c>
      <c r="J794">
        <v>5</v>
      </c>
      <c r="K794">
        <v>100</v>
      </c>
      <c r="L794">
        <v>75</v>
      </c>
      <c r="M794">
        <v>50</v>
      </c>
      <c r="N794">
        <v>131</v>
      </c>
      <c r="O794">
        <v>235</v>
      </c>
      <c r="P794">
        <v>70</v>
      </c>
      <c r="Q794">
        <v>100</v>
      </c>
      <c r="R794">
        <v>70</v>
      </c>
      <c r="S794">
        <v>100</v>
      </c>
    </row>
    <row r="795" spans="3:19" x14ac:dyDescent="0.2">
      <c r="C795">
        <v>11303</v>
      </c>
      <c r="D795">
        <v>11303</v>
      </c>
      <c r="E795">
        <v>1</v>
      </c>
      <c r="F795" t="s">
        <v>2316</v>
      </c>
      <c r="G795" t="s">
        <v>2317</v>
      </c>
      <c r="H795" t="s">
        <v>2317</v>
      </c>
      <c r="I795">
        <v>8</v>
      </c>
      <c r="J795">
        <v>5</v>
      </c>
      <c r="K795">
        <v>100</v>
      </c>
      <c r="L795">
        <v>75</v>
      </c>
      <c r="M795">
        <v>50</v>
      </c>
      <c r="N795">
        <v>131</v>
      </c>
      <c r="O795">
        <v>235</v>
      </c>
      <c r="P795">
        <v>70</v>
      </c>
      <c r="Q795">
        <v>100</v>
      </c>
      <c r="R795">
        <v>70</v>
      </c>
      <c r="S795">
        <v>100</v>
      </c>
    </row>
    <row r="796" spans="3:19" x14ac:dyDescent="0.2">
      <c r="C796">
        <v>11401</v>
      </c>
      <c r="D796">
        <v>11401</v>
      </c>
      <c r="E796">
        <v>1</v>
      </c>
      <c r="F796" t="s">
        <v>2318</v>
      </c>
      <c r="G796" t="s">
        <v>2317</v>
      </c>
      <c r="H796" t="s">
        <v>2317</v>
      </c>
      <c r="I796">
        <v>12</v>
      </c>
      <c r="J796">
        <v>5</v>
      </c>
      <c r="K796">
        <v>100</v>
      </c>
      <c r="L796">
        <v>75</v>
      </c>
      <c r="M796">
        <v>50</v>
      </c>
      <c r="N796">
        <v>151</v>
      </c>
      <c r="O796">
        <v>271</v>
      </c>
      <c r="P796">
        <v>70</v>
      </c>
      <c r="Q796">
        <v>100</v>
      </c>
      <c r="R796">
        <v>70</v>
      </c>
      <c r="S796">
        <v>100</v>
      </c>
    </row>
    <row r="797" spans="3:19" x14ac:dyDescent="0.2">
      <c r="C797">
        <v>11501</v>
      </c>
      <c r="D797">
        <v>11501</v>
      </c>
      <c r="E797">
        <v>1</v>
      </c>
      <c r="F797" t="s">
        <v>2319</v>
      </c>
      <c r="G797" t="s">
        <v>2320</v>
      </c>
      <c r="H797" t="s">
        <v>2321</v>
      </c>
      <c r="I797">
        <v>5</v>
      </c>
      <c r="J797">
        <v>5</v>
      </c>
      <c r="K797">
        <v>100</v>
      </c>
      <c r="L797">
        <v>75</v>
      </c>
      <c r="M797">
        <v>50</v>
      </c>
      <c r="N797">
        <v>42</v>
      </c>
      <c r="O797">
        <v>102</v>
      </c>
      <c r="P797">
        <v>70</v>
      </c>
      <c r="Q797">
        <v>100</v>
      </c>
      <c r="R797">
        <v>70</v>
      </c>
      <c r="S797">
        <v>100</v>
      </c>
    </row>
    <row r="798" spans="3:19" x14ac:dyDescent="0.2">
      <c r="C798">
        <v>11601</v>
      </c>
      <c r="D798">
        <v>11601</v>
      </c>
      <c r="E798">
        <v>1</v>
      </c>
      <c r="F798" t="s">
        <v>2322</v>
      </c>
      <c r="G798" t="s">
        <v>2317</v>
      </c>
      <c r="H798" t="s">
        <v>2317</v>
      </c>
      <c r="I798">
        <v>5</v>
      </c>
      <c r="J798">
        <v>5</v>
      </c>
      <c r="K798">
        <v>100</v>
      </c>
      <c r="L798">
        <v>75</v>
      </c>
      <c r="M798">
        <v>50</v>
      </c>
      <c r="N798">
        <v>42</v>
      </c>
      <c r="O798">
        <v>102</v>
      </c>
      <c r="P798">
        <v>70</v>
      </c>
      <c r="Q798">
        <v>100</v>
      </c>
      <c r="R798">
        <v>70</v>
      </c>
      <c r="S798">
        <v>100</v>
      </c>
    </row>
    <row r="799" spans="3:19" x14ac:dyDescent="0.2">
      <c r="C799">
        <v>11801</v>
      </c>
      <c r="D799">
        <v>11801</v>
      </c>
      <c r="E799">
        <v>1</v>
      </c>
      <c r="F799" t="s">
        <v>2323</v>
      </c>
      <c r="G799" t="s">
        <v>2317</v>
      </c>
      <c r="H799" t="s">
        <v>2317</v>
      </c>
      <c r="I799">
        <v>5</v>
      </c>
      <c r="J799">
        <v>5</v>
      </c>
      <c r="K799">
        <v>100</v>
      </c>
      <c r="L799">
        <v>75</v>
      </c>
      <c r="M799">
        <v>50</v>
      </c>
      <c r="N799">
        <v>86</v>
      </c>
      <c r="O799">
        <v>129</v>
      </c>
      <c r="P799">
        <v>70</v>
      </c>
      <c r="Q799">
        <v>100</v>
      </c>
      <c r="R799">
        <v>70</v>
      </c>
      <c r="S799">
        <v>100</v>
      </c>
    </row>
    <row r="800" spans="3:19" x14ac:dyDescent="0.2">
      <c r="C800">
        <v>11901</v>
      </c>
      <c r="D800">
        <v>11901</v>
      </c>
      <c r="E800">
        <v>1</v>
      </c>
      <c r="F800" t="s">
        <v>2324</v>
      </c>
      <c r="G800" t="s">
        <v>2317</v>
      </c>
      <c r="H800" t="s">
        <v>2317</v>
      </c>
      <c r="I800">
        <v>5</v>
      </c>
      <c r="J800">
        <v>5</v>
      </c>
      <c r="K800">
        <v>100</v>
      </c>
      <c r="L800">
        <v>75</v>
      </c>
      <c r="M800">
        <v>50</v>
      </c>
      <c r="N800">
        <v>95</v>
      </c>
      <c r="O800">
        <v>142</v>
      </c>
      <c r="P800">
        <v>70</v>
      </c>
      <c r="Q800">
        <v>100</v>
      </c>
      <c r="R800">
        <v>70</v>
      </c>
      <c r="S800">
        <v>100</v>
      </c>
    </row>
    <row r="801" spans="3:19" x14ac:dyDescent="0.2">
      <c r="C801">
        <v>12001</v>
      </c>
      <c r="D801">
        <v>12001</v>
      </c>
      <c r="E801">
        <v>1</v>
      </c>
      <c r="F801" t="s">
        <v>2325</v>
      </c>
      <c r="G801" t="s">
        <v>2317</v>
      </c>
      <c r="H801" t="s">
        <v>2317</v>
      </c>
      <c r="I801">
        <v>5</v>
      </c>
      <c r="J801">
        <v>5</v>
      </c>
      <c r="K801">
        <v>100</v>
      </c>
      <c r="L801">
        <v>75</v>
      </c>
      <c r="M801">
        <v>50</v>
      </c>
      <c r="N801">
        <v>112</v>
      </c>
      <c r="O801">
        <v>168</v>
      </c>
      <c r="P801">
        <v>70</v>
      </c>
      <c r="Q801">
        <v>100</v>
      </c>
      <c r="R801">
        <v>70</v>
      </c>
      <c r="S801">
        <v>100</v>
      </c>
    </row>
    <row r="802" spans="3:19" x14ac:dyDescent="0.2">
      <c r="C802">
        <v>12002</v>
      </c>
      <c r="D802">
        <v>12002</v>
      </c>
      <c r="E802">
        <v>1</v>
      </c>
      <c r="F802" t="s">
        <v>2325</v>
      </c>
      <c r="G802" t="s">
        <v>2317</v>
      </c>
      <c r="H802" t="s">
        <v>2317</v>
      </c>
      <c r="I802">
        <v>5</v>
      </c>
      <c r="J802">
        <v>5</v>
      </c>
      <c r="K802">
        <v>100</v>
      </c>
      <c r="L802">
        <v>75</v>
      </c>
      <c r="M802">
        <v>50</v>
      </c>
      <c r="N802">
        <v>112</v>
      </c>
      <c r="O802">
        <v>168</v>
      </c>
      <c r="P802">
        <v>70</v>
      </c>
      <c r="Q802">
        <v>100</v>
      </c>
      <c r="R802">
        <v>70</v>
      </c>
      <c r="S802">
        <v>100</v>
      </c>
    </row>
    <row r="803" spans="3:19" x14ac:dyDescent="0.2">
      <c r="C803">
        <v>12003</v>
      </c>
      <c r="D803">
        <v>12003</v>
      </c>
      <c r="E803">
        <v>1</v>
      </c>
      <c r="F803" t="s">
        <v>2325</v>
      </c>
      <c r="G803" t="s">
        <v>2317</v>
      </c>
      <c r="H803" t="s">
        <v>2317</v>
      </c>
      <c r="I803">
        <v>5</v>
      </c>
      <c r="J803">
        <v>5</v>
      </c>
      <c r="K803">
        <v>100</v>
      </c>
      <c r="L803">
        <v>75</v>
      </c>
      <c r="M803">
        <v>50</v>
      </c>
      <c r="N803">
        <v>112</v>
      </c>
      <c r="O803">
        <v>168</v>
      </c>
      <c r="P803">
        <v>70</v>
      </c>
      <c r="Q803">
        <v>100</v>
      </c>
      <c r="R803">
        <v>70</v>
      </c>
      <c r="S803">
        <v>100</v>
      </c>
    </row>
    <row r="804" spans="3:19" x14ac:dyDescent="0.2">
      <c r="C804">
        <v>12101</v>
      </c>
      <c r="D804">
        <v>12101</v>
      </c>
      <c r="E804">
        <v>1</v>
      </c>
      <c r="F804" t="s">
        <v>2326</v>
      </c>
      <c r="G804" t="s">
        <v>2327</v>
      </c>
      <c r="H804" t="s">
        <v>2328</v>
      </c>
      <c r="I804">
        <v>5</v>
      </c>
      <c r="J804">
        <v>5</v>
      </c>
      <c r="K804">
        <v>100</v>
      </c>
      <c r="L804">
        <v>75</v>
      </c>
      <c r="M804">
        <v>50</v>
      </c>
      <c r="N804">
        <v>58</v>
      </c>
      <c r="O804">
        <v>101</v>
      </c>
      <c r="P804">
        <v>55</v>
      </c>
      <c r="Q804">
        <v>90</v>
      </c>
      <c r="R804">
        <v>55</v>
      </c>
      <c r="S804">
        <v>90</v>
      </c>
    </row>
    <row r="805" spans="3:19" x14ac:dyDescent="0.2">
      <c r="C805">
        <v>12102</v>
      </c>
      <c r="D805">
        <v>12102</v>
      </c>
      <c r="E805">
        <v>1</v>
      </c>
      <c r="F805" t="s">
        <v>2326</v>
      </c>
      <c r="G805" t="s">
        <v>2327</v>
      </c>
      <c r="H805" t="s">
        <v>2328</v>
      </c>
      <c r="I805">
        <v>5</v>
      </c>
      <c r="J805">
        <v>5</v>
      </c>
      <c r="K805">
        <v>100</v>
      </c>
      <c r="L805">
        <v>75</v>
      </c>
      <c r="M805">
        <v>50</v>
      </c>
      <c r="N805">
        <v>58</v>
      </c>
      <c r="O805">
        <v>101</v>
      </c>
      <c r="P805">
        <v>55</v>
      </c>
      <c r="Q805">
        <v>90</v>
      </c>
      <c r="R805">
        <v>55</v>
      </c>
      <c r="S805">
        <v>90</v>
      </c>
    </row>
    <row r="806" spans="3:19" x14ac:dyDescent="0.2">
      <c r="C806">
        <v>12201</v>
      </c>
      <c r="D806">
        <v>12201</v>
      </c>
      <c r="E806">
        <v>1</v>
      </c>
      <c r="F806" t="s">
        <v>2322</v>
      </c>
      <c r="G806" t="s">
        <v>2329</v>
      </c>
      <c r="H806" t="s">
        <v>2330</v>
      </c>
      <c r="I806">
        <v>5</v>
      </c>
      <c r="J806">
        <v>5</v>
      </c>
      <c r="K806">
        <v>100</v>
      </c>
      <c r="L806">
        <v>75</v>
      </c>
      <c r="M806">
        <v>50</v>
      </c>
      <c r="N806">
        <v>21</v>
      </c>
      <c r="O806">
        <v>61</v>
      </c>
      <c r="P806">
        <v>25</v>
      </c>
      <c r="Q806">
        <v>55</v>
      </c>
      <c r="R806">
        <v>25</v>
      </c>
      <c r="S806">
        <v>55</v>
      </c>
    </row>
    <row r="807" spans="3:19" x14ac:dyDescent="0.2">
      <c r="C807">
        <v>12202</v>
      </c>
      <c r="D807">
        <v>12202</v>
      </c>
      <c r="E807">
        <v>1</v>
      </c>
      <c r="F807" t="s">
        <v>2331</v>
      </c>
      <c r="G807" t="s">
        <v>2329</v>
      </c>
      <c r="H807" t="s">
        <v>2330</v>
      </c>
      <c r="I807">
        <v>5</v>
      </c>
      <c r="J807">
        <v>5</v>
      </c>
      <c r="K807">
        <v>100</v>
      </c>
      <c r="L807">
        <v>75</v>
      </c>
      <c r="M807">
        <v>50</v>
      </c>
      <c r="N807">
        <v>21</v>
      </c>
      <c r="O807">
        <v>61</v>
      </c>
      <c r="P807">
        <v>25</v>
      </c>
      <c r="Q807">
        <v>55</v>
      </c>
      <c r="R807">
        <v>25</v>
      </c>
      <c r="S807">
        <v>55</v>
      </c>
    </row>
    <row r="808" spans="3:19" x14ac:dyDescent="0.2">
      <c r="C808">
        <v>12203</v>
      </c>
      <c r="D808">
        <v>12203</v>
      </c>
      <c r="E808">
        <v>1</v>
      </c>
      <c r="F808" t="s">
        <v>2332</v>
      </c>
      <c r="G808" t="s">
        <v>2329</v>
      </c>
      <c r="H808" t="s">
        <v>2330</v>
      </c>
      <c r="I808">
        <v>5</v>
      </c>
      <c r="J808">
        <v>5</v>
      </c>
      <c r="K808">
        <v>100</v>
      </c>
      <c r="L808">
        <v>75</v>
      </c>
      <c r="M808">
        <v>50</v>
      </c>
      <c r="N808">
        <v>21</v>
      </c>
      <c r="O808">
        <v>61</v>
      </c>
      <c r="P808">
        <v>25</v>
      </c>
      <c r="Q808">
        <v>55</v>
      </c>
      <c r="R808">
        <v>25</v>
      </c>
      <c r="S808">
        <v>55</v>
      </c>
    </row>
    <row r="809" spans="3:19" x14ac:dyDescent="0.2">
      <c r="C809">
        <v>12301</v>
      </c>
      <c r="D809">
        <v>12301</v>
      </c>
      <c r="E809">
        <v>1</v>
      </c>
      <c r="F809" t="s">
        <v>2333</v>
      </c>
      <c r="G809" t="s">
        <v>2334</v>
      </c>
      <c r="H809" t="s">
        <v>2335</v>
      </c>
      <c r="I809">
        <v>5</v>
      </c>
      <c r="J809">
        <v>8</v>
      </c>
      <c r="K809">
        <v>100</v>
      </c>
      <c r="L809">
        <v>75</v>
      </c>
      <c r="M809">
        <v>50</v>
      </c>
      <c r="N809">
        <v>160</v>
      </c>
      <c r="O809">
        <v>200</v>
      </c>
      <c r="P809">
        <v>180</v>
      </c>
      <c r="Q809">
        <v>220</v>
      </c>
      <c r="R809">
        <v>180</v>
      </c>
      <c r="S809">
        <v>220</v>
      </c>
    </row>
    <row r="810" spans="3:19" x14ac:dyDescent="0.2">
      <c r="C810">
        <v>12302</v>
      </c>
      <c r="D810">
        <v>12302</v>
      </c>
      <c r="E810">
        <v>1</v>
      </c>
      <c r="F810" t="s">
        <v>2333</v>
      </c>
      <c r="G810" t="s">
        <v>2334</v>
      </c>
      <c r="H810" t="s">
        <v>2335</v>
      </c>
      <c r="I810">
        <v>5</v>
      </c>
      <c r="J810">
        <v>8</v>
      </c>
      <c r="K810">
        <v>100</v>
      </c>
      <c r="L810">
        <v>75</v>
      </c>
      <c r="M810">
        <v>50</v>
      </c>
      <c r="N810">
        <v>160</v>
      </c>
      <c r="O810">
        <v>200</v>
      </c>
      <c r="P810">
        <v>180</v>
      </c>
      <c r="Q810">
        <v>220</v>
      </c>
      <c r="R810">
        <v>180</v>
      </c>
      <c r="S810">
        <v>220</v>
      </c>
    </row>
    <row r="811" spans="3:19" x14ac:dyDescent="0.2">
      <c r="C811">
        <v>12401</v>
      </c>
      <c r="D811">
        <v>12401</v>
      </c>
      <c r="E811">
        <v>1</v>
      </c>
      <c r="F811" t="s">
        <v>2336</v>
      </c>
      <c r="G811" t="s">
        <v>2336</v>
      </c>
      <c r="H811" t="s">
        <v>2337</v>
      </c>
      <c r="I811">
        <v>5</v>
      </c>
      <c r="J811">
        <v>8</v>
      </c>
      <c r="K811">
        <v>100</v>
      </c>
      <c r="L811">
        <v>75</v>
      </c>
      <c r="M811">
        <v>50</v>
      </c>
      <c r="N811">
        <v>146</v>
      </c>
      <c r="O811">
        <v>221</v>
      </c>
      <c r="P811">
        <v>146</v>
      </c>
      <c r="Q811">
        <v>221</v>
      </c>
      <c r="R811">
        <v>146</v>
      </c>
      <c r="S811">
        <v>221</v>
      </c>
    </row>
    <row r="812" spans="3:19" x14ac:dyDescent="0.2">
      <c r="C812">
        <v>12402</v>
      </c>
      <c r="D812">
        <v>12402</v>
      </c>
      <c r="E812">
        <v>1</v>
      </c>
      <c r="F812" t="s">
        <v>2338</v>
      </c>
      <c r="G812" t="s">
        <v>2338</v>
      </c>
      <c r="H812" t="s">
        <v>2339</v>
      </c>
      <c r="I812">
        <v>5</v>
      </c>
      <c r="J812">
        <v>8</v>
      </c>
      <c r="K812">
        <v>100</v>
      </c>
      <c r="L812">
        <v>75</v>
      </c>
      <c r="M812">
        <v>50</v>
      </c>
      <c r="N812">
        <v>136</v>
      </c>
      <c r="O812">
        <v>211</v>
      </c>
      <c r="P812">
        <v>136</v>
      </c>
      <c r="Q812">
        <v>211</v>
      </c>
      <c r="R812">
        <v>136</v>
      </c>
      <c r="S812">
        <v>211</v>
      </c>
    </row>
    <row r="813" spans="3:19" x14ac:dyDescent="0.2">
      <c r="C813">
        <v>12403</v>
      </c>
      <c r="D813">
        <v>12403</v>
      </c>
      <c r="E813">
        <v>1</v>
      </c>
      <c r="F813" t="s">
        <v>2340</v>
      </c>
      <c r="G813" t="s">
        <v>2340</v>
      </c>
      <c r="H813" t="s">
        <v>2341</v>
      </c>
      <c r="I813">
        <v>5</v>
      </c>
      <c r="J813">
        <v>8</v>
      </c>
      <c r="K813">
        <v>100</v>
      </c>
      <c r="L813">
        <v>75</v>
      </c>
      <c r="M813">
        <v>50</v>
      </c>
      <c r="N813">
        <v>136</v>
      </c>
      <c r="O813">
        <v>211</v>
      </c>
      <c r="P813">
        <v>136</v>
      </c>
      <c r="Q813">
        <v>211</v>
      </c>
      <c r="R813">
        <v>136</v>
      </c>
      <c r="S813">
        <v>211</v>
      </c>
    </row>
    <row r="814" spans="3:19" x14ac:dyDescent="0.2">
      <c r="C814">
        <v>12501</v>
      </c>
      <c r="D814">
        <v>12501</v>
      </c>
      <c r="E814">
        <v>1</v>
      </c>
      <c r="F814" t="s">
        <v>1413</v>
      </c>
      <c r="G814" t="s">
        <v>1414</v>
      </c>
      <c r="H814" t="s">
        <v>1415</v>
      </c>
      <c r="I814">
        <v>5</v>
      </c>
      <c r="J814">
        <v>8</v>
      </c>
      <c r="K814">
        <v>100</v>
      </c>
      <c r="L814">
        <v>75</v>
      </c>
      <c r="M814">
        <v>50</v>
      </c>
      <c r="N814">
        <v>120</v>
      </c>
      <c r="O814">
        <v>150</v>
      </c>
      <c r="P814">
        <v>135</v>
      </c>
      <c r="Q814">
        <v>165</v>
      </c>
      <c r="R814">
        <v>135</v>
      </c>
      <c r="S814">
        <v>165</v>
      </c>
    </row>
    <row r="815" spans="3:19" x14ac:dyDescent="0.2">
      <c r="C815">
        <v>12502</v>
      </c>
      <c r="D815">
        <v>12502</v>
      </c>
      <c r="E815">
        <v>1</v>
      </c>
      <c r="F815" t="s">
        <v>1413</v>
      </c>
      <c r="G815" t="s">
        <v>1414</v>
      </c>
      <c r="H815" t="s">
        <v>1415</v>
      </c>
      <c r="I815">
        <v>5</v>
      </c>
      <c r="J815">
        <v>8</v>
      </c>
      <c r="K815">
        <v>100</v>
      </c>
      <c r="L815">
        <v>75</v>
      </c>
      <c r="M815">
        <v>50</v>
      </c>
      <c r="N815">
        <v>120</v>
      </c>
      <c r="O815">
        <v>150</v>
      </c>
      <c r="P815">
        <v>135</v>
      </c>
      <c r="Q815">
        <v>165</v>
      </c>
      <c r="R815">
        <v>135</v>
      </c>
      <c r="S815">
        <v>165</v>
      </c>
    </row>
    <row r="816" spans="3:19" x14ac:dyDescent="0.2">
      <c r="C816">
        <v>12701</v>
      </c>
      <c r="D816">
        <v>12701</v>
      </c>
      <c r="E816">
        <v>1</v>
      </c>
      <c r="F816" t="s">
        <v>2342</v>
      </c>
      <c r="G816" t="s">
        <v>2342</v>
      </c>
      <c r="H816" t="s">
        <v>2342</v>
      </c>
      <c r="I816">
        <v>5</v>
      </c>
      <c r="J816">
        <v>8</v>
      </c>
      <c r="K816">
        <v>100</v>
      </c>
      <c r="L816">
        <v>75</v>
      </c>
      <c r="M816">
        <v>50</v>
      </c>
      <c r="N816">
        <v>124</v>
      </c>
      <c r="O816">
        <v>188</v>
      </c>
      <c r="P816">
        <v>124</v>
      </c>
      <c r="Q816">
        <v>188</v>
      </c>
      <c r="R816">
        <v>124</v>
      </c>
      <c r="S816">
        <v>188</v>
      </c>
    </row>
    <row r="817" spans="3:19" x14ac:dyDescent="0.2">
      <c r="C817">
        <v>12702</v>
      </c>
      <c r="D817">
        <v>12702</v>
      </c>
      <c r="E817">
        <v>1</v>
      </c>
      <c r="F817" t="s">
        <v>2342</v>
      </c>
      <c r="G817" t="s">
        <v>2317</v>
      </c>
      <c r="H817" t="s">
        <v>2317</v>
      </c>
      <c r="I817">
        <v>5</v>
      </c>
      <c r="J817">
        <v>8</v>
      </c>
      <c r="K817">
        <v>100</v>
      </c>
      <c r="L817">
        <v>75</v>
      </c>
      <c r="M817">
        <v>50</v>
      </c>
      <c r="N817">
        <v>124</v>
      </c>
      <c r="O817">
        <v>188</v>
      </c>
      <c r="P817">
        <v>70</v>
      </c>
      <c r="Q817">
        <v>100</v>
      </c>
      <c r="R817">
        <v>70</v>
      </c>
      <c r="S817">
        <v>100</v>
      </c>
    </row>
    <row r="818" spans="3:19" x14ac:dyDescent="0.2">
      <c r="C818">
        <v>12703</v>
      </c>
      <c r="D818">
        <v>12703</v>
      </c>
      <c r="E818">
        <v>1</v>
      </c>
      <c r="F818" t="s">
        <v>2342</v>
      </c>
      <c r="G818" t="s">
        <v>2317</v>
      </c>
      <c r="H818" t="s">
        <v>2317</v>
      </c>
      <c r="I818">
        <v>5</v>
      </c>
      <c r="J818">
        <v>8</v>
      </c>
      <c r="K818">
        <v>100</v>
      </c>
      <c r="L818">
        <v>75</v>
      </c>
      <c r="M818">
        <v>50</v>
      </c>
      <c r="N818">
        <v>124</v>
      </c>
      <c r="O818">
        <v>188</v>
      </c>
      <c r="P818">
        <v>70</v>
      </c>
      <c r="Q818">
        <v>100</v>
      </c>
      <c r="R818">
        <v>70</v>
      </c>
      <c r="S818">
        <v>100</v>
      </c>
    </row>
    <row r="819" spans="3:19" x14ac:dyDescent="0.2">
      <c r="C819">
        <v>12801</v>
      </c>
      <c r="D819">
        <v>12801</v>
      </c>
      <c r="E819">
        <v>1</v>
      </c>
      <c r="F819" t="s">
        <v>2343</v>
      </c>
      <c r="G819" t="s">
        <v>2344</v>
      </c>
      <c r="H819" t="s">
        <v>2345</v>
      </c>
      <c r="I819">
        <v>5</v>
      </c>
      <c r="J819">
        <v>5</v>
      </c>
      <c r="K819">
        <v>100</v>
      </c>
      <c r="L819">
        <v>75</v>
      </c>
      <c r="M819">
        <v>50</v>
      </c>
      <c r="N819">
        <v>116</v>
      </c>
      <c r="O819">
        <v>202</v>
      </c>
      <c r="P819">
        <v>70</v>
      </c>
      <c r="Q819">
        <v>100</v>
      </c>
      <c r="R819">
        <v>70</v>
      </c>
      <c r="S819">
        <v>100</v>
      </c>
    </row>
    <row r="820" spans="3:19" x14ac:dyDescent="0.2">
      <c r="C820">
        <v>12901</v>
      </c>
      <c r="D820">
        <v>12901</v>
      </c>
      <c r="E820">
        <v>1</v>
      </c>
      <c r="F820" t="s">
        <v>2346</v>
      </c>
      <c r="G820" t="s">
        <v>2347</v>
      </c>
      <c r="H820" t="s">
        <v>2348</v>
      </c>
      <c r="I820">
        <v>5</v>
      </c>
      <c r="J820">
        <v>5</v>
      </c>
      <c r="K820">
        <v>100</v>
      </c>
      <c r="L820">
        <v>75</v>
      </c>
      <c r="M820">
        <v>50</v>
      </c>
      <c r="N820">
        <v>131</v>
      </c>
      <c r="O820">
        <v>173</v>
      </c>
      <c r="P820">
        <v>90</v>
      </c>
      <c r="Q820">
        <v>130</v>
      </c>
      <c r="R820">
        <v>90</v>
      </c>
      <c r="S820">
        <v>130</v>
      </c>
    </row>
    <row r="821" spans="3:19" x14ac:dyDescent="0.2">
      <c r="C821">
        <v>13101</v>
      </c>
      <c r="D821">
        <v>13101</v>
      </c>
      <c r="E821">
        <v>1</v>
      </c>
      <c r="F821" t="s">
        <v>2349</v>
      </c>
      <c r="G821" t="s">
        <v>2350</v>
      </c>
      <c r="H821" t="s">
        <v>2351</v>
      </c>
      <c r="I821">
        <v>5</v>
      </c>
      <c r="J821">
        <v>5</v>
      </c>
      <c r="K821">
        <v>100</v>
      </c>
      <c r="L821">
        <v>75</v>
      </c>
      <c r="M821">
        <v>50</v>
      </c>
      <c r="N821">
        <v>152</v>
      </c>
      <c r="O821">
        <v>210</v>
      </c>
      <c r="P821">
        <v>150</v>
      </c>
      <c r="Q821">
        <v>200</v>
      </c>
      <c r="R821">
        <v>150</v>
      </c>
      <c r="S821">
        <v>200</v>
      </c>
    </row>
    <row r="822" spans="3:19" x14ac:dyDescent="0.2">
      <c r="C822">
        <v>13201</v>
      </c>
      <c r="D822">
        <v>13201</v>
      </c>
      <c r="E822">
        <v>1</v>
      </c>
      <c r="F822" t="s">
        <v>2352</v>
      </c>
      <c r="G822" t="s">
        <v>2317</v>
      </c>
      <c r="H822" t="s">
        <v>2317</v>
      </c>
      <c r="I822">
        <v>5</v>
      </c>
      <c r="J822">
        <v>12</v>
      </c>
      <c r="K822">
        <v>100</v>
      </c>
      <c r="L822">
        <v>75</v>
      </c>
      <c r="M822">
        <v>50</v>
      </c>
      <c r="N822">
        <v>302</v>
      </c>
      <c r="O822">
        <v>542</v>
      </c>
      <c r="P822">
        <v>70</v>
      </c>
      <c r="Q822">
        <v>100</v>
      </c>
      <c r="R822">
        <v>70</v>
      </c>
      <c r="S822">
        <v>100</v>
      </c>
    </row>
    <row r="823" spans="3:19" x14ac:dyDescent="0.2">
      <c r="C823">
        <v>13301</v>
      </c>
      <c r="D823">
        <v>13301</v>
      </c>
      <c r="E823">
        <v>1</v>
      </c>
      <c r="F823" t="s">
        <v>2353</v>
      </c>
      <c r="G823" t="s">
        <v>2354</v>
      </c>
      <c r="H823" t="s">
        <v>2355</v>
      </c>
      <c r="I823">
        <v>0</v>
      </c>
      <c r="J823">
        <v>5</v>
      </c>
      <c r="K823">
        <v>100</v>
      </c>
      <c r="L823">
        <v>75</v>
      </c>
      <c r="M823">
        <v>50</v>
      </c>
      <c r="N823">
        <v>670</v>
      </c>
      <c r="O823">
        <v>1120</v>
      </c>
      <c r="P823">
        <v>600</v>
      </c>
      <c r="Q823">
        <v>1000</v>
      </c>
      <c r="R823">
        <v>600</v>
      </c>
      <c r="S823">
        <v>1000</v>
      </c>
    </row>
    <row r="824" spans="3:19" x14ac:dyDescent="0.2">
      <c r="C824">
        <v>13401</v>
      </c>
      <c r="D824">
        <v>13401</v>
      </c>
      <c r="E824">
        <v>1</v>
      </c>
      <c r="F824" t="s">
        <v>1343</v>
      </c>
      <c r="G824" t="s">
        <v>2356</v>
      </c>
      <c r="H824" t="s">
        <v>2357</v>
      </c>
      <c r="I824">
        <v>0</v>
      </c>
      <c r="J824">
        <v>5</v>
      </c>
      <c r="K824">
        <v>100</v>
      </c>
      <c r="L824">
        <v>75</v>
      </c>
      <c r="M824">
        <v>50</v>
      </c>
      <c r="N824">
        <v>2562</v>
      </c>
      <c r="O824">
        <v>2562</v>
      </c>
      <c r="P824">
        <v>2562</v>
      </c>
      <c r="Q824">
        <v>2562</v>
      </c>
      <c r="R824">
        <v>1193</v>
      </c>
      <c r="S824">
        <v>1193</v>
      </c>
    </row>
    <row r="825" spans="3:19" x14ac:dyDescent="0.2">
      <c r="C825">
        <v>10001</v>
      </c>
      <c r="D825">
        <v>10001</v>
      </c>
      <c r="E825">
        <v>1</v>
      </c>
      <c r="F825" t="s">
        <v>2349</v>
      </c>
      <c r="G825" t="s">
        <v>2350</v>
      </c>
      <c r="H825" t="s">
        <v>2351</v>
      </c>
      <c r="I825">
        <v>0</v>
      </c>
      <c r="J825">
        <v>5</v>
      </c>
      <c r="K825">
        <v>100</v>
      </c>
      <c r="L825">
        <v>75</v>
      </c>
      <c r="M825">
        <v>50</v>
      </c>
      <c r="N825">
        <v>152</v>
      </c>
      <c r="O825">
        <v>210</v>
      </c>
      <c r="P825">
        <v>150</v>
      </c>
      <c r="Q825">
        <v>200</v>
      </c>
      <c r="R825">
        <v>150</v>
      </c>
      <c r="S825">
        <v>200</v>
      </c>
    </row>
    <row r="826" spans="3:19" x14ac:dyDescent="0.2">
      <c r="C826">
        <v>10002</v>
      </c>
      <c r="D826">
        <v>10002</v>
      </c>
      <c r="E826">
        <v>1</v>
      </c>
      <c r="F826" t="s">
        <v>2316</v>
      </c>
      <c r="G826" t="s">
        <v>2317</v>
      </c>
      <c r="H826" t="s">
        <v>2317</v>
      </c>
      <c r="I826">
        <v>0</v>
      </c>
      <c r="J826">
        <v>8</v>
      </c>
      <c r="K826">
        <v>100</v>
      </c>
      <c r="L826">
        <v>75</v>
      </c>
      <c r="M826">
        <v>50</v>
      </c>
      <c r="N826">
        <v>131</v>
      </c>
      <c r="O826">
        <v>235</v>
      </c>
      <c r="P826">
        <v>70</v>
      </c>
      <c r="Q826">
        <v>100</v>
      </c>
      <c r="R826">
        <v>70</v>
      </c>
      <c r="S826">
        <v>100</v>
      </c>
    </row>
    <row r="827" spans="3:19" x14ac:dyDescent="0.2">
      <c r="C827">
        <v>10003</v>
      </c>
      <c r="D827">
        <v>10003</v>
      </c>
      <c r="E827">
        <v>1</v>
      </c>
      <c r="F827" t="s">
        <v>2316</v>
      </c>
      <c r="G827" t="s">
        <v>2317</v>
      </c>
      <c r="H827" t="s">
        <v>2317</v>
      </c>
      <c r="I827">
        <v>0</v>
      </c>
      <c r="J827">
        <v>8</v>
      </c>
      <c r="K827">
        <v>100</v>
      </c>
      <c r="L827">
        <v>75</v>
      </c>
      <c r="M827">
        <v>50</v>
      </c>
      <c r="N827">
        <v>131</v>
      </c>
      <c r="O827">
        <v>235</v>
      </c>
      <c r="P827">
        <v>70</v>
      </c>
      <c r="Q827">
        <v>100</v>
      </c>
      <c r="R827">
        <v>70</v>
      </c>
      <c r="S827">
        <v>100</v>
      </c>
    </row>
    <row r="828" spans="3:19" x14ac:dyDescent="0.2">
      <c r="C828">
        <v>10004</v>
      </c>
      <c r="D828">
        <v>10004</v>
      </c>
      <c r="E828">
        <v>1</v>
      </c>
      <c r="F828" t="s">
        <v>2353</v>
      </c>
      <c r="G828" t="s">
        <v>2354</v>
      </c>
      <c r="H828" t="s">
        <v>2355</v>
      </c>
      <c r="I828">
        <v>0</v>
      </c>
      <c r="J828">
        <v>5</v>
      </c>
      <c r="K828">
        <v>100</v>
      </c>
      <c r="L828">
        <v>75</v>
      </c>
      <c r="M828">
        <v>50</v>
      </c>
      <c r="N828">
        <v>670</v>
      </c>
      <c r="O828">
        <v>1120</v>
      </c>
      <c r="P828">
        <v>600</v>
      </c>
      <c r="Q828">
        <v>1000</v>
      </c>
      <c r="R828">
        <v>600</v>
      </c>
      <c r="S828">
        <v>1000</v>
      </c>
    </row>
    <row r="829" spans="3:19" x14ac:dyDescent="0.2">
      <c r="C829">
        <v>10005</v>
      </c>
      <c r="D829">
        <v>10005</v>
      </c>
      <c r="E829">
        <v>1</v>
      </c>
      <c r="F829" t="s">
        <v>2352</v>
      </c>
      <c r="G829" t="s">
        <v>2317</v>
      </c>
      <c r="H829" t="s">
        <v>2317</v>
      </c>
      <c r="I829">
        <v>0</v>
      </c>
      <c r="J829">
        <v>12</v>
      </c>
      <c r="K829">
        <v>100</v>
      </c>
      <c r="L829">
        <v>75</v>
      </c>
      <c r="M829">
        <v>50</v>
      </c>
      <c r="N829">
        <v>302</v>
      </c>
      <c r="O829">
        <v>542</v>
      </c>
      <c r="P829">
        <v>70</v>
      </c>
      <c r="Q829">
        <v>100</v>
      </c>
      <c r="R829">
        <v>70</v>
      </c>
      <c r="S829">
        <v>100</v>
      </c>
    </row>
    <row r="830" spans="3:19" x14ac:dyDescent="0.2">
      <c r="C830">
        <v>10006</v>
      </c>
      <c r="D830">
        <v>10006</v>
      </c>
      <c r="E830">
        <v>1</v>
      </c>
      <c r="F830" t="s">
        <v>1343</v>
      </c>
      <c r="G830" t="s">
        <v>2356</v>
      </c>
      <c r="H830" t="s">
        <v>2357</v>
      </c>
      <c r="I830">
        <v>0</v>
      </c>
      <c r="J830">
        <v>5</v>
      </c>
      <c r="K830">
        <v>100</v>
      </c>
      <c r="L830">
        <v>75</v>
      </c>
      <c r="M830">
        <v>50</v>
      </c>
      <c r="N830">
        <v>2562</v>
      </c>
      <c r="O830">
        <v>2562</v>
      </c>
      <c r="P830">
        <v>2562</v>
      </c>
      <c r="Q830">
        <v>2562</v>
      </c>
      <c r="R830">
        <v>1193</v>
      </c>
      <c r="S830">
        <v>1193</v>
      </c>
    </row>
    <row r="831" spans="3:19" x14ac:dyDescent="0.2">
      <c r="C831">
        <v>10011</v>
      </c>
      <c r="D831">
        <v>10011</v>
      </c>
      <c r="E831">
        <v>1</v>
      </c>
      <c r="F831" t="s">
        <v>2316</v>
      </c>
      <c r="G831" t="s">
        <v>2317</v>
      </c>
      <c r="H831" t="s">
        <v>2317</v>
      </c>
      <c r="I831">
        <v>0</v>
      </c>
      <c r="J831">
        <v>8</v>
      </c>
      <c r="K831">
        <v>100</v>
      </c>
      <c r="L831">
        <v>75</v>
      </c>
      <c r="M831">
        <v>50</v>
      </c>
      <c r="N831">
        <v>131</v>
      </c>
      <c r="O831">
        <v>235</v>
      </c>
      <c r="P831">
        <v>70</v>
      </c>
      <c r="Q831">
        <v>100</v>
      </c>
      <c r="R831">
        <v>70</v>
      </c>
      <c r="S831">
        <v>100</v>
      </c>
    </row>
    <row r="832" spans="3:19" x14ac:dyDescent="0.2">
      <c r="C832">
        <v>10012</v>
      </c>
      <c r="D832">
        <v>10012</v>
      </c>
      <c r="E832">
        <v>1</v>
      </c>
      <c r="F832" t="s">
        <v>2333</v>
      </c>
      <c r="G832" t="s">
        <v>2334</v>
      </c>
      <c r="H832" t="s">
        <v>2335</v>
      </c>
      <c r="I832">
        <v>0</v>
      </c>
      <c r="J832">
        <v>8</v>
      </c>
      <c r="K832">
        <v>100</v>
      </c>
      <c r="L832">
        <v>75</v>
      </c>
      <c r="M832">
        <v>50</v>
      </c>
      <c r="N832">
        <v>160</v>
      </c>
      <c r="O832">
        <v>200</v>
      </c>
      <c r="P832">
        <v>180</v>
      </c>
      <c r="Q832">
        <v>220</v>
      </c>
      <c r="R832">
        <v>180</v>
      </c>
      <c r="S832">
        <v>220</v>
      </c>
    </row>
    <row r="833" spans="3:19" x14ac:dyDescent="0.2">
      <c r="C833">
        <v>10013</v>
      </c>
      <c r="D833">
        <v>10013</v>
      </c>
      <c r="E833">
        <v>1</v>
      </c>
      <c r="F833" t="s">
        <v>2343</v>
      </c>
      <c r="G833" t="s">
        <v>2344</v>
      </c>
      <c r="H833" t="s">
        <v>2345</v>
      </c>
      <c r="I833">
        <v>0</v>
      </c>
      <c r="J833">
        <v>5</v>
      </c>
      <c r="K833">
        <v>100</v>
      </c>
      <c r="L833">
        <v>75</v>
      </c>
      <c r="M833">
        <v>50</v>
      </c>
      <c r="N833">
        <v>116</v>
      </c>
      <c r="O833">
        <v>202</v>
      </c>
      <c r="P833">
        <v>70</v>
      </c>
      <c r="Q833">
        <v>100</v>
      </c>
      <c r="R833">
        <v>70</v>
      </c>
      <c r="S833">
        <v>100</v>
      </c>
    </row>
    <row r="834" spans="3:19" x14ac:dyDescent="0.2">
      <c r="C834">
        <v>10014</v>
      </c>
      <c r="D834">
        <v>10014</v>
      </c>
      <c r="E834">
        <v>1</v>
      </c>
      <c r="F834" t="s">
        <v>2358</v>
      </c>
      <c r="G834" t="s">
        <v>2317</v>
      </c>
      <c r="H834" t="s">
        <v>2317</v>
      </c>
      <c r="I834">
        <v>0</v>
      </c>
      <c r="J834">
        <v>0</v>
      </c>
      <c r="K834">
        <v>100</v>
      </c>
      <c r="L834">
        <v>50</v>
      </c>
      <c r="M834">
        <v>0</v>
      </c>
      <c r="N834">
        <v>103</v>
      </c>
      <c r="O834">
        <v>155</v>
      </c>
      <c r="P834">
        <v>70</v>
      </c>
      <c r="Q834">
        <v>100</v>
      </c>
      <c r="R834">
        <v>70</v>
      </c>
      <c r="S834">
        <v>100</v>
      </c>
    </row>
    <row r="835" spans="3:19" x14ac:dyDescent="0.2">
      <c r="C835">
        <v>20101</v>
      </c>
      <c r="D835">
        <v>20101</v>
      </c>
      <c r="E835">
        <v>1</v>
      </c>
      <c r="F835" t="s">
        <v>2359</v>
      </c>
      <c r="G835" t="s">
        <v>2360</v>
      </c>
      <c r="H835" t="s">
        <v>2361</v>
      </c>
      <c r="I835">
        <v>5</v>
      </c>
      <c r="J835">
        <v>0</v>
      </c>
      <c r="K835">
        <v>100</v>
      </c>
      <c r="L835">
        <v>50</v>
      </c>
      <c r="M835">
        <v>0</v>
      </c>
      <c r="N835">
        <v>86</v>
      </c>
      <c r="O835">
        <v>129</v>
      </c>
      <c r="P835">
        <v>70</v>
      </c>
      <c r="Q835">
        <v>100</v>
      </c>
      <c r="R835">
        <v>70</v>
      </c>
      <c r="S835">
        <v>100</v>
      </c>
    </row>
    <row r="836" spans="3:19" x14ac:dyDescent="0.2">
      <c r="C836">
        <v>20102</v>
      </c>
      <c r="D836">
        <v>20102</v>
      </c>
      <c r="E836">
        <v>1</v>
      </c>
      <c r="F836" t="s">
        <v>2359</v>
      </c>
      <c r="G836" t="s">
        <v>2360</v>
      </c>
      <c r="H836" t="s">
        <v>2361</v>
      </c>
      <c r="I836">
        <v>5</v>
      </c>
      <c r="J836">
        <v>0</v>
      </c>
      <c r="K836">
        <v>100</v>
      </c>
      <c r="L836">
        <v>50</v>
      </c>
      <c r="M836">
        <v>0</v>
      </c>
      <c r="N836">
        <v>86</v>
      </c>
      <c r="O836">
        <v>129</v>
      </c>
      <c r="P836">
        <v>70</v>
      </c>
      <c r="Q836">
        <v>100</v>
      </c>
      <c r="R836">
        <v>70</v>
      </c>
      <c r="S836">
        <v>100</v>
      </c>
    </row>
    <row r="837" spans="3:19" x14ac:dyDescent="0.2">
      <c r="C837">
        <v>20201</v>
      </c>
      <c r="D837">
        <v>20201</v>
      </c>
      <c r="E837">
        <v>1</v>
      </c>
      <c r="F837" t="s">
        <v>2362</v>
      </c>
      <c r="G837" t="s">
        <v>2360</v>
      </c>
      <c r="H837" t="s">
        <v>2361</v>
      </c>
      <c r="I837">
        <v>5</v>
      </c>
      <c r="J837">
        <v>0</v>
      </c>
      <c r="K837">
        <v>100</v>
      </c>
      <c r="L837">
        <v>50</v>
      </c>
      <c r="M837">
        <v>0</v>
      </c>
      <c r="N837">
        <v>90</v>
      </c>
      <c r="O837">
        <v>135</v>
      </c>
      <c r="P837">
        <v>70</v>
      </c>
      <c r="Q837">
        <v>100</v>
      </c>
      <c r="R837">
        <v>70</v>
      </c>
      <c r="S837">
        <v>100</v>
      </c>
    </row>
    <row r="838" spans="3:19" x14ac:dyDescent="0.2">
      <c r="C838">
        <v>20202</v>
      </c>
      <c r="D838">
        <v>20202</v>
      </c>
      <c r="E838">
        <v>1</v>
      </c>
      <c r="F838" t="s">
        <v>2362</v>
      </c>
      <c r="G838" t="s">
        <v>2360</v>
      </c>
      <c r="H838" t="s">
        <v>2361</v>
      </c>
      <c r="I838">
        <v>5</v>
      </c>
      <c r="J838">
        <v>0</v>
      </c>
      <c r="K838">
        <v>100</v>
      </c>
      <c r="L838">
        <v>50</v>
      </c>
      <c r="M838">
        <v>0</v>
      </c>
      <c r="N838">
        <v>90</v>
      </c>
      <c r="O838">
        <v>135</v>
      </c>
      <c r="P838">
        <v>70</v>
      </c>
      <c r="Q838">
        <v>100</v>
      </c>
      <c r="R838">
        <v>70</v>
      </c>
      <c r="S838">
        <v>100</v>
      </c>
    </row>
    <row r="839" spans="3:19" x14ac:dyDescent="0.2">
      <c r="C839">
        <v>20301</v>
      </c>
      <c r="D839">
        <v>20301</v>
      </c>
      <c r="E839">
        <v>1</v>
      </c>
      <c r="F839" t="s">
        <v>2363</v>
      </c>
      <c r="G839" t="s">
        <v>2364</v>
      </c>
      <c r="H839" t="s">
        <v>2365</v>
      </c>
      <c r="I839">
        <v>5</v>
      </c>
      <c r="J839">
        <v>0</v>
      </c>
      <c r="K839">
        <v>100</v>
      </c>
      <c r="L839">
        <v>50</v>
      </c>
      <c r="M839">
        <v>0</v>
      </c>
      <c r="N839">
        <v>95</v>
      </c>
      <c r="O839">
        <v>142</v>
      </c>
      <c r="P839">
        <v>70</v>
      </c>
      <c r="Q839">
        <v>100</v>
      </c>
      <c r="R839">
        <v>70</v>
      </c>
      <c r="S839">
        <v>100</v>
      </c>
    </row>
    <row r="840" spans="3:19" x14ac:dyDescent="0.2">
      <c r="C840">
        <v>20302</v>
      </c>
      <c r="D840">
        <v>20302</v>
      </c>
      <c r="E840">
        <v>1</v>
      </c>
      <c r="F840" t="s">
        <v>2363</v>
      </c>
      <c r="G840" t="s">
        <v>2364</v>
      </c>
      <c r="H840" t="s">
        <v>2365</v>
      </c>
      <c r="I840">
        <v>5</v>
      </c>
      <c r="J840">
        <v>0</v>
      </c>
      <c r="K840">
        <v>100</v>
      </c>
      <c r="L840">
        <v>50</v>
      </c>
      <c r="M840">
        <v>0</v>
      </c>
      <c r="N840">
        <v>95</v>
      </c>
      <c r="O840">
        <v>142</v>
      </c>
      <c r="P840">
        <v>70</v>
      </c>
      <c r="Q840">
        <v>100</v>
      </c>
      <c r="R840">
        <v>70</v>
      </c>
      <c r="S840">
        <v>100</v>
      </c>
    </row>
    <row r="841" spans="3:19" x14ac:dyDescent="0.2">
      <c r="C841">
        <v>20401</v>
      </c>
      <c r="D841">
        <v>20401</v>
      </c>
      <c r="E841">
        <v>1</v>
      </c>
      <c r="F841" t="s">
        <v>2366</v>
      </c>
      <c r="G841" t="s">
        <v>2287</v>
      </c>
      <c r="H841" t="s">
        <v>2302</v>
      </c>
      <c r="I841">
        <v>5</v>
      </c>
      <c r="J841">
        <v>0</v>
      </c>
      <c r="K841">
        <v>100</v>
      </c>
      <c r="L841">
        <v>50</v>
      </c>
      <c r="M841">
        <v>0</v>
      </c>
      <c r="N841">
        <v>103</v>
      </c>
      <c r="O841">
        <v>155</v>
      </c>
      <c r="P841">
        <v>70</v>
      </c>
      <c r="Q841">
        <v>100</v>
      </c>
      <c r="R841">
        <v>70</v>
      </c>
      <c r="S841">
        <v>100</v>
      </c>
    </row>
    <row r="842" spans="3:19" x14ac:dyDescent="0.2">
      <c r="C842">
        <v>20402</v>
      </c>
      <c r="D842">
        <v>20402</v>
      </c>
      <c r="E842">
        <v>1</v>
      </c>
      <c r="F842" t="s">
        <v>2366</v>
      </c>
      <c r="G842" t="s">
        <v>2287</v>
      </c>
      <c r="H842" t="s">
        <v>2302</v>
      </c>
      <c r="I842">
        <v>5</v>
      </c>
      <c r="J842">
        <v>0</v>
      </c>
      <c r="K842">
        <v>100</v>
      </c>
      <c r="L842">
        <v>50</v>
      </c>
      <c r="M842">
        <v>0</v>
      </c>
      <c r="N842">
        <v>103</v>
      </c>
      <c r="O842">
        <v>155</v>
      </c>
      <c r="P842">
        <v>70</v>
      </c>
      <c r="Q842">
        <v>100</v>
      </c>
      <c r="R842">
        <v>70</v>
      </c>
      <c r="S842">
        <v>100</v>
      </c>
    </row>
    <row r="843" spans="3:19" x14ac:dyDescent="0.2">
      <c r="C843">
        <v>20501</v>
      </c>
      <c r="D843">
        <v>20501</v>
      </c>
      <c r="E843">
        <v>1</v>
      </c>
      <c r="F843" t="s">
        <v>2300</v>
      </c>
      <c r="G843" t="s">
        <v>2286</v>
      </c>
      <c r="H843" t="s">
        <v>2287</v>
      </c>
      <c r="I843">
        <v>5</v>
      </c>
      <c r="J843">
        <v>0</v>
      </c>
      <c r="K843">
        <v>100</v>
      </c>
      <c r="L843">
        <v>50</v>
      </c>
      <c r="M843">
        <v>0</v>
      </c>
      <c r="N843">
        <v>77</v>
      </c>
      <c r="O843">
        <v>116</v>
      </c>
      <c r="P843">
        <v>70</v>
      </c>
      <c r="Q843">
        <v>100</v>
      </c>
      <c r="R843">
        <v>70</v>
      </c>
      <c r="S843">
        <v>100</v>
      </c>
    </row>
    <row r="844" spans="3:19" x14ac:dyDescent="0.2">
      <c r="C844">
        <v>20502</v>
      </c>
      <c r="D844">
        <v>20502</v>
      </c>
      <c r="E844">
        <v>1</v>
      </c>
      <c r="F844" t="s">
        <v>2300</v>
      </c>
      <c r="G844" t="s">
        <v>2286</v>
      </c>
      <c r="H844" t="s">
        <v>2287</v>
      </c>
      <c r="I844">
        <v>5</v>
      </c>
      <c r="J844">
        <v>0</v>
      </c>
      <c r="K844">
        <v>100</v>
      </c>
      <c r="L844">
        <v>50</v>
      </c>
      <c r="M844">
        <v>0</v>
      </c>
      <c r="N844">
        <v>77</v>
      </c>
      <c r="O844">
        <v>116</v>
      </c>
      <c r="P844">
        <v>70</v>
      </c>
      <c r="Q844">
        <v>100</v>
      </c>
      <c r="R844">
        <v>70</v>
      </c>
      <c r="S844">
        <v>100</v>
      </c>
    </row>
    <row r="845" spans="3:19" x14ac:dyDescent="0.2">
      <c r="C845">
        <v>20503</v>
      </c>
      <c r="D845">
        <v>20503</v>
      </c>
      <c r="E845">
        <v>1</v>
      </c>
      <c r="F845" t="s">
        <v>2300</v>
      </c>
      <c r="G845" t="s">
        <v>2286</v>
      </c>
      <c r="H845" t="s">
        <v>2287</v>
      </c>
      <c r="I845">
        <v>5</v>
      </c>
      <c r="J845">
        <v>0</v>
      </c>
      <c r="K845">
        <v>100</v>
      </c>
      <c r="L845">
        <v>50</v>
      </c>
      <c r="M845">
        <v>0</v>
      </c>
      <c r="N845">
        <v>77</v>
      </c>
      <c r="O845">
        <v>116</v>
      </c>
      <c r="P845">
        <v>70</v>
      </c>
      <c r="Q845">
        <v>100</v>
      </c>
      <c r="R845">
        <v>70</v>
      </c>
      <c r="S845">
        <v>100</v>
      </c>
    </row>
    <row r="846" spans="3:19" x14ac:dyDescent="0.2">
      <c r="C846">
        <v>20601</v>
      </c>
      <c r="D846">
        <v>20601</v>
      </c>
      <c r="E846">
        <v>1</v>
      </c>
      <c r="F846" t="s">
        <v>2303</v>
      </c>
      <c r="G846" t="s">
        <v>2286</v>
      </c>
      <c r="H846" t="s">
        <v>2287</v>
      </c>
      <c r="I846">
        <v>5</v>
      </c>
      <c r="J846">
        <v>0</v>
      </c>
      <c r="K846">
        <v>100</v>
      </c>
      <c r="L846">
        <v>50</v>
      </c>
      <c r="M846">
        <v>0</v>
      </c>
      <c r="N846">
        <v>69</v>
      </c>
      <c r="O846">
        <v>103</v>
      </c>
      <c r="P846">
        <v>70</v>
      </c>
      <c r="Q846">
        <v>100</v>
      </c>
      <c r="R846">
        <v>70</v>
      </c>
      <c r="S846">
        <v>100</v>
      </c>
    </row>
    <row r="847" spans="3:19" x14ac:dyDescent="0.2">
      <c r="C847">
        <v>20602</v>
      </c>
      <c r="D847">
        <v>20602</v>
      </c>
      <c r="E847">
        <v>1</v>
      </c>
      <c r="F847" t="s">
        <v>2303</v>
      </c>
      <c r="G847" t="s">
        <v>2286</v>
      </c>
      <c r="H847" t="s">
        <v>2287</v>
      </c>
      <c r="I847">
        <v>5</v>
      </c>
      <c r="J847">
        <v>0</v>
      </c>
      <c r="K847">
        <v>100</v>
      </c>
      <c r="L847">
        <v>50</v>
      </c>
      <c r="M847">
        <v>0</v>
      </c>
      <c r="N847">
        <v>69</v>
      </c>
      <c r="O847">
        <v>103</v>
      </c>
      <c r="P847">
        <v>70</v>
      </c>
      <c r="Q847">
        <v>100</v>
      </c>
      <c r="R847">
        <v>70</v>
      </c>
      <c r="S847">
        <v>100</v>
      </c>
    </row>
    <row r="848" spans="3:19" x14ac:dyDescent="0.2">
      <c r="C848">
        <v>20603</v>
      </c>
      <c r="D848">
        <v>20603</v>
      </c>
      <c r="E848">
        <v>1</v>
      </c>
      <c r="F848" t="s">
        <v>2303</v>
      </c>
      <c r="G848" t="s">
        <v>2286</v>
      </c>
      <c r="H848" t="s">
        <v>2287</v>
      </c>
      <c r="I848">
        <v>5</v>
      </c>
      <c r="J848">
        <v>0</v>
      </c>
      <c r="K848">
        <v>100</v>
      </c>
      <c r="L848">
        <v>50</v>
      </c>
      <c r="M848">
        <v>0</v>
      </c>
      <c r="N848">
        <v>69</v>
      </c>
      <c r="O848">
        <v>103</v>
      </c>
      <c r="P848">
        <v>70</v>
      </c>
      <c r="Q848">
        <v>100</v>
      </c>
      <c r="R848">
        <v>70</v>
      </c>
      <c r="S848">
        <v>100</v>
      </c>
    </row>
    <row r="849" spans="3:19" x14ac:dyDescent="0.2">
      <c r="C849">
        <v>20604</v>
      </c>
      <c r="D849">
        <v>20604</v>
      </c>
      <c r="E849">
        <v>1</v>
      </c>
      <c r="F849" t="s">
        <v>2303</v>
      </c>
      <c r="G849" t="s">
        <v>2286</v>
      </c>
      <c r="H849" t="s">
        <v>2287</v>
      </c>
      <c r="I849">
        <v>5</v>
      </c>
      <c r="J849">
        <v>0</v>
      </c>
      <c r="K849">
        <v>100</v>
      </c>
      <c r="L849">
        <v>50</v>
      </c>
      <c r="M849">
        <v>0</v>
      </c>
      <c r="N849">
        <v>69</v>
      </c>
      <c r="O849">
        <v>103</v>
      </c>
      <c r="P849">
        <v>70</v>
      </c>
      <c r="Q849">
        <v>100</v>
      </c>
      <c r="R849">
        <v>70</v>
      </c>
      <c r="S849">
        <v>100</v>
      </c>
    </row>
    <row r="850" spans="3:19" x14ac:dyDescent="0.2">
      <c r="C850">
        <v>20701</v>
      </c>
      <c r="D850">
        <v>20701</v>
      </c>
      <c r="E850">
        <v>1</v>
      </c>
      <c r="F850" t="s">
        <v>1029</v>
      </c>
      <c r="G850" t="s">
        <v>1030</v>
      </c>
      <c r="H850" t="s">
        <v>1031</v>
      </c>
      <c r="I850">
        <v>5</v>
      </c>
      <c r="J850">
        <v>0</v>
      </c>
      <c r="K850">
        <v>100</v>
      </c>
      <c r="L850">
        <v>50</v>
      </c>
      <c r="M850">
        <v>0</v>
      </c>
      <c r="N850">
        <v>1350</v>
      </c>
      <c r="O850">
        <v>2110</v>
      </c>
      <c r="P850">
        <v>1350</v>
      </c>
      <c r="Q850">
        <v>1800</v>
      </c>
      <c r="R850">
        <v>1350</v>
      </c>
      <c r="S850">
        <v>1800</v>
      </c>
    </row>
    <row r="851" spans="3:19" x14ac:dyDescent="0.2">
      <c r="C851">
        <v>20801</v>
      </c>
      <c r="D851">
        <v>20801</v>
      </c>
      <c r="E851">
        <v>1</v>
      </c>
      <c r="F851" t="s">
        <v>2367</v>
      </c>
      <c r="G851" t="s">
        <v>2368</v>
      </c>
      <c r="H851" t="s">
        <v>2369</v>
      </c>
      <c r="I851">
        <v>5</v>
      </c>
      <c r="J851">
        <v>0</v>
      </c>
      <c r="K851">
        <v>100</v>
      </c>
      <c r="L851">
        <v>50</v>
      </c>
      <c r="M851">
        <v>0</v>
      </c>
      <c r="N851">
        <v>70</v>
      </c>
      <c r="O851">
        <v>95</v>
      </c>
      <c r="P851">
        <v>70</v>
      </c>
      <c r="Q851">
        <v>95</v>
      </c>
      <c r="R851">
        <v>70</v>
      </c>
      <c r="S851">
        <v>95</v>
      </c>
    </row>
    <row r="852" spans="3:19" x14ac:dyDescent="0.2">
      <c r="C852">
        <v>20802</v>
      </c>
      <c r="D852">
        <v>20802</v>
      </c>
      <c r="E852">
        <v>1</v>
      </c>
      <c r="F852" t="s">
        <v>2370</v>
      </c>
      <c r="G852" t="s">
        <v>2371</v>
      </c>
      <c r="H852" t="s">
        <v>2372</v>
      </c>
      <c r="I852">
        <v>5</v>
      </c>
      <c r="J852">
        <v>0</v>
      </c>
      <c r="K852">
        <v>100</v>
      </c>
      <c r="L852">
        <v>50</v>
      </c>
      <c r="M852">
        <v>0</v>
      </c>
      <c r="N852">
        <v>70</v>
      </c>
      <c r="O852">
        <v>95</v>
      </c>
      <c r="P852">
        <v>70</v>
      </c>
      <c r="Q852">
        <v>95</v>
      </c>
      <c r="R852">
        <v>70</v>
      </c>
      <c r="S852">
        <v>95</v>
      </c>
    </row>
    <row r="853" spans="3:19" x14ac:dyDescent="0.2">
      <c r="C853">
        <v>20803</v>
      </c>
      <c r="D853">
        <v>20803</v>
      </c>
      <c r="E853">
        <v>1</v>
      </c>
      <c r="F853" t="s">
        <v>2373</v>
      </c>
      <c r="G853" t="s">
        <v>2374</v>
      </c>
      <c r="H853" t="s">
        <v>2375</v>
      </c>
      <c r="I853">
        <v>5</v>
      </c>
      <c r="J853">
        <v>0</v>
      </c>
      <c r="K853">
        <v>100</v>
      </c>
      <c r="L853">
        <v>50</v>
      </c>
      <c r="M853">
        <v>0</v>
      </c>
      <c r="N853">
        <v>70</v>
      </c>
      <c r="O853">
        <v>95</v>
      </c>
      <c r="P853">
        <v>70</v>
      </c>
      <c r="Q853">
        <v>95</v>
      </c>
      <c r="R853">
        <v>70</v>
      </c>
      <c r="S853">
        <v>95</v>
      </c>
    </row>
    <row r="854" spans="3:19" x14ac:dyDescent="0.2">
      <c r="C854">
        <v>20901</v>
      </c>
      <c r="D854">
        <v>20901</v>
      </c>
      <c r="E854">
        <v>1</v>
      </c>
      <c r="F854" t="s">
        <v>2376</v>
      </c>
      <c r="G854" t="s">
        <v>2377</v>
      </c>
      <c r="H854" t="s">
        <v>2378</v>
      </c>
      <c r="I854">
        <v>5</v>
      </c>
      <c r="J854">
        <v>0</v>
      </c>
      <c r="K854">
        <v>100</v>
      </c>
      <c r="L854">
        <v>50</v>
      </c>
      <c r="M854">
        <v>0</v>
      </c>
      <c r="N854">
        <v>44</v>
      </c>
      <c r="O854">
        <v>151</v>
      </c>
      <c r="P854">
        <v>70</v>
      </c>
      <c r="Q854">
        <v>110</v>
      </c>
      <c r="R854">
        <v>70</v>
      </c>
      <c r="S854">
        <v>110</v>
      </c>
    </row>
    <row r="855" spans="3:19" x14ac:dyDescent="0.2">
      <c r="C855">
        <v>21001</v>
      </c>
      <c r="D855">
        <v>21001</v>
      </c>
      <c r="E855">
        <v>1</v>
      </c>
      <c r="F855" t="s">
        <v>2379</v>
      </c>
      <c r="G855" t="s">
        <v>2380</v>
      </c>
      <c r="H855" t="s">
        <v>2381</v>
      </c>
      <c r="I855">
        <v>5</v>
      </c>
      <c r="J855">
        <v>0</v>
      </c>
      <c r="K855">
        <v>100</v>
      </c>
      <c r="L855">
        <v>50</v>
      </c>
      <c r="M855">
        <v>0</v>
      </c>
      <c r="N855">
        <v>131</v>
      </c>
      <c r="O855">
        <v>172</v>
      </c>
      <c r="P855">
        <v>120</v>
      </c>
      <c r="Q855">
        <v>150</v>
      </c>
      <c r="R855">
        <v>120</v>
      </c>
      <c r="S855">
        <v>150</v>
      </c>
    </row>
    <row r="856" spans="3:19" x14ac:dyDescent="0.2">
      <c r="C856">
        <v>21101</v>
      </c>
      <c r="D856">
        <v>21101</v>
      </c>
      <c r="E856">
        <v>1</v>
      </c>
      <c r="F856" t="s">
        <v>2382</v>
      </c>
      <c r="G856" t="s">
        <v>2383</v>
      </c>
      <c r="H856" t="s">
        <v>2384</v>
      </c>
      <c r="I856">
        <v>5</v>
      </c>
      <c r="J856">
        <v>0</v>
      </c>
      <c r="K856">
        <v>100</v>
      </c>
      <c r="L856">
        <v>50</v>
      </c>
      <c r="M856">
        <v>0</v>
      </c>
      <c r="N856">
        <v>130</v>
      </c>
      <c r="O856">
        <v>171</v>
      </c>
      <c r="P856">
        <v>90</v>
      </c>
      <c r="Q856">
        <v>130</v>
      </c>
      <c r="R856">
        <v>90</v>
      </c>
      <c r="S856">
        <v>130</v>
      </c>
    </row>
    <row r="857" spans="3:19" x14ac:dyDescent="0.2">
      <c r="C857">
        <v>21201</v>
      </c>
      <c r="D857">
        <v>21201</v>
      </c>
      <c r="E857">
        <v>1</v>
      </c>
      <c r="F857" t="s">
        <v>2346</v>
      </c>
      <c r="G857" t="s">
        <v>2385</v>
      </c>
      <c r="H857" t="s">
        <v>2386</v>
      </c>
      <c r="I857">
        <v>5</v>
      </c>
      <c r="J857">
        <v>0</v>
      </c>
      <c r="K857">
        <v>100</v>
      </c>
      <c r="L857">
        <v>50</v>
      </c>
      <c r="M857">
        <v>0</v>
      </c>
      <c r="N857">
        <v>197</v>
      </c>
      <c r="O857">
        <v>260</v>
      </c>
      <c r="P857">
        <v>135</v>
      </c>
      <c r="Q857">
        <v>195</v>
      </c>
      <c r="R857">
        <v>135</v>
      </c>
      <c r="S857">
        <v>195</v>
      </c>
    </row>
    <row r="858" spans="3:19" x14ac:dyDescent="0.2">
      <c r="C858">
        <v>21301</v>
      </c>
      <c r="D858">
        <v>21301</v>
      </c>
      <c r="E858">
        <v>1</v>
      </c>
      <c r="F858" t="s">
        <v>2326</v>
      </c>
      <c r="G858" t="s">
        <v>2327</v>
      </c>
      <c r="H858" t="s">
        <v>2328</v>
      </c>
      <c r="I858">
        <v>5</v>
      </c>
      <c r="J858">
        <v>0</v>
      </c>
      <c r="K858">
        <v>100</v>
      </c>
      <c r="L858">
        <v>50</v>
      </c>
      <c r="M858">
        <v>0</v>
      </c>
      <c r="N858">
        <v>58</v>
      </c>
      <c r="O858">
        <v>101</v>
      </c>
      <c r="P858">
        <v>55</v>
      </c>
      <c r="Q858">
        <v>90</v>
      </c>
      <c r="R858">
        <v>55</v>
      </c>
      <c r="S858">
        <v>90</v>
      </c>
    </row>
    <row r="859" spans="3:19" x14ac:dyDescent="0.2">
      <c r="C859">
        <v>21401</v>
      </c>
      <c r="D859">
        <v>21401</v>
      </c>
      <c r="E859">
        <v>1</v>
      </c>
      <c r="F859" t="s">
        <v>2387</v>
      </c>
      <c r="G859" t="s">
        <v>2388</v>
      </c>
      <c r="H859" t="s">
        <v>2389</v>
      </c>
      <c r="I859">
        <v>5</v>
      </c>
      <c r="J859">
        <v>0</v>
      </c>
      <c r="K859">
        <v>100</v>
      </c>
      <c r="L859">
        <v>50</v>
      </c>
      <c r="M859">
        <v>0</v>
      </c>
      <c r="N859">
        <v>115</v>
      </c>
      <c r="O859">
        <v>171</v>
      </c>
      <c r="P859">
        <v>110</v>
      </c>
      <c r="Q859">
        <v>135</v>
      </c>
      <c r="R859">
        <v>110</v>
      </c>
      <c r="S859">
        <v>135</v>
      </c>
    </row>
    <row r="860" spans="3:19" x14ac:dyDescent="0.2">
      <c r="C860">
        <v>21402</v>
      </c>
      <c r="D860">
        <v>21402</v>
      </c>
      <c r="E860">
        <v>1</v>
      </c>
      <c r="F860" t="s">
        <v>2387</v>
      </c>
      <c r="G860" t="s">
        <v>2388</v>
      </c>
      <c r="H860" t="s">
        <v>2389</v>
      </c>
      <c r="I860">
        <v>5</v>
      </c>
      <c r="J860">
        <v>0</v>
      </c>
      <c r="K860">
        <v>100</v>
      </c>
      <c r="L860">
        <v>50</v>
      </c>
      <c r="M860">
        <v>0</v>
      </c>
      <c r="N860">
        <v>115</v>
      </c>
      <c r="O860">
        <v>171</v>
      </c>
      <c r="P860">
        <v>110</v>
      </c>
      <c r="Q860">
        <v>135</v>
      </c>
      <c r="R860">
        <v>110</v>
      </c>
      <c r="S860">
        <v>135</v>
      </c>
    </row>
    <row r="861" spans="3:19" x14ac:dyDescent="0.2">
      <c r="C861">
        <v>21403</v>
      </c>
      <c r="D861">
        <v>21403</v>
      </c>
      <c r="E861">
        <v>1</v>
      </c>
      <c r="F861" t="s">
        <v>2390</v>
      </c>
      <c r="G861" t="s">
        <v>2391</v>
      </c>
      <c r="H861" t="s">
        <v>2392</v>
      </c>
      <c r="I861">
        <v>5</v>
      </c>
      <c r="J861">
        <v>0</v>
      </c>
      <c r="K861">
        <v>100</v>
      </c>
      <c r="L861">
        <v>50</v>
      </c>
      <c r="M861">
        <v>0</v>
      </c>
      <c r="N861">
        <v>114</v>
      </c>
      <c r="O861">
        <v>171</v>
      </c>
      <c r="P861">
        <v>110</v>
      </c>
      <c r="Q861">
        <v>135</v>
      </c>
      <c r="R861">
        <v>110</v>
      </c>
      <c r="S861">
        <v>135</v>
      </c>
    </row>
    <row r="862" spans="3:19" x14ac:dyDescent="0.2">
      <c r="C862">
        <v>21404</v>
      </c>
      <c r="D862">
        <v>21404</v>
      </c>
      <c r="E862">
        <v>1</v>
      </c>
      <c r="F862" t="s">
        <v>2393</v>
      </c>
      <c r="G862" t="s">
        <v>2394</v>
      </c>
      <c r="H862" t="s">
        <v>2395</v>
      </c>
      <c r="I862">
        <v>5</v>
      </c>
      <c r="J862">
        <v>0</v>
      </c>
      <c r="K862">
        <v>100</v>
      </c>
      <c r="L862">
        <v>50</v>
      </c>
      <c r="M862">
        <v>0</v>
      </c>
      <c r="N862">
        <v>114</v>
      </c>
      <c r="O862">
        <v>171</v>
      </c>
      <c r="P862">
        <v>110</v>
      </c>
      <c r="Q862">
        <v>135</v>
      </c>
      <c r="R862">
        <v>110</v>
      </c>
      <c r="S862">
        <v>135</v>
      </c>
    </row>
    <row r="863" spans="3:19" x14ac:dyDescent="0.2">
      <c r="C863">
        <v>21501</v>
      </c>
      <c r="D863">
        <v>21501</v>
      </c>
      <c r="E863">
        <v>1</v>
      </c>
      <c r="F863" t="s">
        <v>2396</v>
      </c>
      <c r="G863" t="s">
        <v>2397</v>
      </c>
      <c r="H863" t="s">
        <v>2398</v>
      </c>
      <c r="I863">
        <v>5</v>
      </c>
      <c r="J863">
        <v>0</v>
      </c>
      <c r="K863">
        <v>100</v>
      </c>
      <c r="L863">
        <v>50</v>
      </c>
      <c r="M863">
        <v>0</v>
      </c>
      <c r="N863">
        <v>171</v>
      </c>
      <c r="O863">
        <v>257</v>
      </c>
      <c r="P863">
        <v>165</v>
      </c>
      <c r="Q863">
        <v>203</v>
      </c>
      <c r="R863">
        <v>165</v>
      </c>
      <c r="S863">
        <v>203</v>
      </c>
    </row>
    <row r="864" spans="3:19" x14ac:dyDescent="0.2">
      <c r="C864">
        <v>21502</v>
      </c>
      <c r="D864">
        <v>21502</v>
      </c>
      <c r="E864">
        <v>1</v>
      </c>
      <c r="F864" t="s">
        <v>2396</v>
      </c>
      <c r="G864" t="s">
        <v>2397</v>
      </c>
      <c r="H864" t="s">
        <v>2398</v>
      </c>
      <c r="I864">
        <v>5</v>
      </c>
      <c r="J864">
        <v>0</v>
      </c>
      <c r="K864">
        <v>100</v>
      </c>
      <c r="L864">
        <v>50</v>
      </c>
      <c r="M864">
        <v>0</v>
      </c>
      <c r="N864">
        <v>171</v>
      </c>
      <c r="O864">
        <v>257</v>
      </c>
      <c r="P864">
        <v>165</v>
      </c>
      <c r="Q864">
        <v>203</v>
      </c>
      <c r="R864">
        <v>165</v>
      </c>
      <c r="S864">
        <v>203</v>
      </c>
    </row>
    <row r="865" spans="3:19" x14ac:dyDescent="0.2">
      <c r="C865">
        <v>21503</v>
      </c>
      <c r="D865">
        <v>21503</v>
      </c>
      <c r="E865">
        <v>1</v>
      </c>
      <c r="F865" t="s">
        <v>2399</v>
      </c>
      <c r="G865" t="s">
        <v>2400</v>
      </c>
      <c r="H865" t="s">
        <v>2401</v>
      </c>
      <c r="I865">
        <v>5</v>
      </c>
      <c r="J865">
        <v>0</v>
      </c>
      <c r="K865">
        <v>100</v>
      </c>
      <c r="L865">
        <v>50</v>
      </c>
      <c r="M865">
        <v>0</v>
      </c>
      <c r="N865">
        <v>134</v>
      </c>
      <c r="O865">
        <v>190</v>
      </c>
      <c r="P865">
        <v>110</v>
      </c>
      <c r="Q865">
        <v>135</v>
      </c>
      <c r="R865">
        <v>110</v>
      </c>
      <c r="S865">
        <v>135</v>
      </c>
    </row>
    <row r="866" spans="3:19" x14ac:dyDescent="0.2">
      <c r="C866">
        <v>21601</v>
      </c>
      <c r="D866">
        <v>21601</v>
      </c>
      <c r="E866">
        <v>1</v>
      </c>
      <c r="F866" t="s">
        <v>2402</v>
      </c>
      <c r="G866" t="s">
        <v>2403</v>
      </c>
      <c r="H866" t="s">
        <v>2404</v>
      </c>
      <c r="I866">
        <v>5</v>
      </c>
      <c r="J866">
        <v>0</v>
      </c>
      <c r="K866">
        <v>100</v>
      </c>
      <c r="L866">
        <v>50</v>
      </c>
      <c r="M866">
        <v>0</v>
      </c>
      <c r="N866">
        <v>67</v>
      </c>
      <c r="O866">
        <v>111</v>
      </c>
      <c r="P866">
        <v>70</v>
      </c>
      <c r="Q866">
        <v>110</v>
      </c>
      <c r="R866">
        <v>70</v>
      </c>
      <c r="S866">
        <v>110</v>
      </c>
    </row>
    <row r="867" spans="3:19" x14ac:dyDescent="0.2">
      <c r="C867">
        <v>21602</v>
      </c>
      <c r="D867">
        <v>21602</v>
      </c>
      <c r="E867">
        <v>1</v>
      </c>
      <c r="F867" t="s">
        <v>2405</v>
      </c>
      <c r="G867" t="s">
        <v>2403</v>
      </c>
      <c r="H867" t="s">
        <v>2406</v>
      </c>
      <c r="I867">
        <v>5</v>
      </c>
      <c r="J867">
        <v>0</v>
      </c>
      <c r="K867">
        <v>100</v>
      </c>
      <c r="L867">
        <v>50</v>
      </c>
      <c r="M867">
        <v>0</v>
      </c>
      <c r="N867">
        <v>68</v>
      </c>
      <c r="O867">
        <v>112</v>
      </c>
      <c r="P867">
        <v>70</v>
      </c>
      <c r="Q867">
        <v>110</v>
      </c>
      <c r="R867">
        <v>70</v>
      </c>
      <c r="S867">
        <v>110</v>
      </c>
    </row>
    <row r="868" spans="3:19" x14ac:dyDescent="0.2">
      <c r="C868">
        <v>21603</v>
      </c>
      <c r="D868">
        <v>21603</v>
      </c>
      <c r="E868">
        <v>1</v>
      </c>
      <c r="F868" t="s">
        <v>2407</v>
      </c>
      <c r="G868" t="s">
        <v>2403</v>
      </c>
      <c r="H868" t="s">
        <v>2408</v>
      </c>
      <c r="I868">
        <v>5</v>
      </c>
      <c r="J868">
        <v>0</v>
      </c>
      <c r="K868">
        <v>100</v>
      </c>
      <c r="L868">
        <v>50</v>
      </c>
      <c r="M868">
        <v>0</v>
      </c>
      <c r="N868">
        <v>67</v>
      </c>
      <c r="O868">
        <v>112</v>
      </c>
      <c r="P868">
        <v>70</v>
      </c>
      <c r="Q868">
        <v>110</v>
      </c>
      <c r="R868">
        <v>70</v>
      </c>
      <c r="S868">
        <v>110</v>
      </c>
    </row>
    <row r="869" spans="3:19" x14ac:dyDescent="0.2">
      <c r="C869">
        <v>21701</v>
      </c>
      <c r="D869">
        <v>21701</v>
      </c>
      <c r="E869">
        <v>1</v>
      </c>
      <c r="F869" t="s">
        <v>2409</v>
      </c>
      <c r="G869" t="s">
        <v>2410</v>
      </c>
      <c r="H869" t="s">
        <v>2411</v>
      </c>
      <c r="I869">
        <v>5</v>
      </c>
      <c r="J869">
        <v>0</v>
      </c>
      <c r="K869">
        <v>100</v>
      </c>
      <c r="L869">
        <v>50</v>
      </c>
      <c r="M869">
        <v>0</v>
      </c>
      <c r="N869">
        <v>22</v>
      </c>
      <c r="O869">
        <v>107</v>
      </c>
      <c r="P869">
        <v>20</v>
      </c>
      <c r="Q869">
        <v>100</v>
      </c>
      <c r="R869">
        <v>20</v>
      </c>
      <c r="S869">
        <v>100</v>
      </c>
    </row>
    <row r="870" spans="3:19" x14ac:dyDescent="0.2">
      <c r="C870">
        <v>21702</v>
      </c>
      <c r="D870">
        <v>21702</v>
      </c>
      <c r="E870">
        <v>1</v>
      </c>
      <c r="F870" t="s">
        <v>2409</v>
      </c>
      <c r="G870" t="s">
        <v>2410</v>
      </c>
      <c r="H870" t="s">
        <v>2411</v>
      </c>
      <c r="I870">
        <v>5</v>
      </c>
      <c r="J870">
        <v>0</v>
      </c>
      <c r="K870">
        <v>100</v>
      </c>
      <c r="L870">
        <v>50</v>
      </c>
      <c r="M870">
        <v>0</v>
      </c>
      <c r="N870">
        <v>22</v>
      </c>
      <c r="O870">
        <v>107</v>
      </c>
      <c r="P870">
        <v>20</v>
      </c>
      <c r="Q870">
        <v>100</v>
      </c>
      <c r="R870">
        <v>20</v>
      </c>
      <c r="S870">
        <v>100</v>
      </c>
    </row>
    <row r="871" spans="3:19" x14ac:dyDescent="0.2">
      <c r="C871">
        <v>21801</v>
      </c>
      <c r="D871">
        <v>21801</v>
      </c>
      <c r="E871">
        <v>1</v>
      </c>
      <c r="F871" t="s">
        <v>2412</v>
      </c>
      <c r="G871" t="s">
        <v>2403</v>
      </c>
      <c r="H871" t="s">
        <v>2413</v>
      </c>
      <c r="I871">
        <v>5</v>
      </c>
      <c r="J871">
        <v>0</v>
      </c>
      <c r="K871">
        <v>100</v>
      </c>
      <c r="L871">
        <v>50</v>
      </c>
      <c r="M871">
        <v>0</v>
      </c>
      <c r="N871">
        <v>68</v>
      </c>
      <c r="O871">
        <v>111</v>
      </c>
      <c r="P871">
        <v>70</v>
      </c>
      <c r="Q871">
        <v>110</v>
      </c>
      <c r="R871">
        <v>70</v>
      </c>
      <c r="S871">
        <v>110</v>
      </c>
    </row>
    <row r="872" spans="3:19" x14ac:dyDescent="0.2">
      <c r="C872">
        <v>21802</v>
      </c>
      <c r="D872">
        <v>21802</v>
      </c>
      <c r="E872">
        <v>1</v>
      </c>
      <c r="F872" t="s">
        <v>2414</v>
      </c>
      <c r="G872" t="s">
        <v>2403</v>
      </c>
      <c r="H872" t="s">
        <v>2415</v>
      </c>
      <c r="I872">
        <v>5</v>
      </c>
      <c r="J872">
        <v>0</v>
      </c>
      <c r="K872">
        <v>100</v>
      </c>
      <c r="L872">
        <v>50</v>
      </c>
      <c r="M872">
        <v>0</v>
      </c>
      <c r="N872">
        <v>67</v>
      </c>
      <c r="O872">
        <v>111</v>
      </c>
      <c r="P872">
        <v>70</v>
      </c>
      <c r="Q872">
        <v>110</v>
      </c>
      <c r="R872">
        <v>70</v>
      </c>
      <c r="S872">
        <v>110</v>
      </c>
    </row>
    <row r="873" spans="3:19" x14ac:dyDescent="0.2">
      <c r="C873">
        <v>21901</v>
      </c>
      <c r="D873">
        <v>21901</v>
      </c>
      <c r="E873">
        <v>1</v>
      </c>
      <c r="F873" t="s">
        <v>2322</v>
      </c>
      <c r="G873" t="s">
        <v>2416</v>
      </c>
      <c r="H873" t="s">
        <v>2417</v>
      </c>
      <c r="I873">
        <v>5</v>
      </c>
      <c r="J873">
        <v>0</v>
      </c>
      <c r="K873">
        <v>100</v>
      </c>
      <c r="L873">
        <v>50</v>
      </c>
      <c r="M873">
        <v>0</v>
      </c>
      <c r="N873">
        <v>90</v>
      </c>
      <c r="O873">
        <v>120</v>
      </c>
      <c r="P873">
        <v>90</v>
      </c>
      <c r="Q873">
        <v>120</v>
      </c>
      <c r="R873">
        <v>90</v>
      </c>
      <c r="S873">
        <v>120</v>
      </c>
    </row>
    <row r="874" spans="3:19" x14ac:dyDescent="0.2">
      <c r="C874">
        <v>21902</v>
      </c>
      <c r="D874">
        <v>21902</v>
      </c>
      <c r="E874">
        <v>1</v>
      </c>
      <c r="F874" t="s">
        <v>2322</v>
      </c>
      <c r="G874" t="s">
        <v>2416</v>
      </c>
      <c r="H874" t="s">
        <v>2417</v>
      </c>
      <c r="I874">
        <v>5</v>
      </c>
      <c r="J874">
        <v>0</v>
      </c>
      <c r="K874">
        <v>100</v>
      </c>
      <c r="L874">
        <v>50</v>
      </c>
      <c r="M874">
        <v>0</v>
      </c>
      <c r="N874">
        <v>90</v>
      </c>
      <c r="O874">
        <v>120</v>
      </c>
      <c r="P874">
        <v>90</v>
      </c>
      <c r="Q874">
        <v>120</v>
      </c>
      <c r="R874">
        <v>90</v>
      </c>
      <c r="S874">
        <v>120</v>
      </c>
    </row>
    <row r="875" spans="3:19" x14ac:dyDescent="0.2">
      <c r="C875">
        <v>21903</v>
      </c>
      <c r="D875">
        <v>21903</v>
      </c>
      <c r="E875">
        <v>1</v>
      </c>
      <c r="F875" t="s">
        <v>2322</v>
      </c>
      <c r="G875" t="s">
        <v>2416</v>
      </c>
      <c r="H875" t="s">
        <v>2417</v>
      </c>
      <c r="I875">
        <v>5</v>
      </c>
      <c r="J875">
        <v>0</v>
      </c>
      <c r="K875">
        <v>100</v>
      </c>
      <c r="L875">
        <v>50</v>
      </c>
      <c r="M875">
        <v>0</v>
      </c>
      <c r="N875">
        <v>90</v>
      </c>
      <c r="O875">
        <v>120</v>
      </c>
      <c r="P875">
        <v>90</v>
      </c>
      <c r="Q875">
        <v>120</v>
      </c>
      <c r="R875">
        <v>90</v>
      </c>
      <c r="S875">
        <v>120</v>
      </c>
    </row>
    <row r="876" spans="3:19" x14ac:dyDescent="0.2">
      <c r="C876">
        <v>22001</v>
      </c>
      <c r="D876">
        <v>22001</v>
      </c>
      <c r="E876">
        <v>1</v>
      </c>
      <c r="F876" t="s">
        <v>2322</v>
      </c>
      <c r="G876" t="s">
        <v>2416</v>
      </c>
      <c r="H876" t="s">
        <v>2418</v>
      </c>
      <c r="I876">
        <v>5</v>
      </c>
      <c r="J876">
        <v>0</v>
      </c>
      <c r="K876">
        <v>100</v>
      </c>
      <c r="L876">
        <v>50</v>
      </c>
      <c r="M876">
        <v>0</v>
      </c>
      <c r="N876">
        <v>90</v>
      </c>
      <c r="O876">
        <v>120</v>
      </c>
      <c r="P876">
        <v>90</v>
      </c>
      <c r="Q876">
        <v>120</v>
      </c>
      <c r="R876">
        <v>90</v>
      </c>
      <c r="S876">
        <v>120</v>
      </c>
    </row>
    <row r="877" spans="3:19" x14ac:dyDescent="0.2">
      <c r="C877">
        <v>22002</v>
      </c>
      <c r="D877">
        <v>22002</v>
      </c>
      <c r="E877">
        <v>1</v>
      </c>
      <c r="F877" t="s">
        <v>2322</v>
      </c>
      <c r="G877" t="s">
        <v>2416</v>
      </c>
      <c r="H877" t="s">
        <v>2418</v>
      </c>
      <c r="I877">
        <v>5</v>
      </c>
      <c r="J877">
        <v>0</v>
      </c>
      <c r="K877">
        <v>100</v>
      </c>
      <c r="L877">
        <v>50</v>
      </c>
      <c r="M877">
        <v>0</v>
      </c>
      <c r="N877">
        <v>90</v>
      </c>
      <c r="O877">
        <v>120</v>
      </c>
      <c r="P877">
        <v>90</v>
      </c>
      <c r="Q877">
        <v>120</v>
      </c>
      <c r="R877">
        <v>90</v>
      </c>
      <c r="S877">
        <v>120</v>
      </c>
    </row>
    <row r="878" spans="3:19" x14ac:dyDescent="0.2">
      <c r="C878">
        <v>22003</v>
      </c>
      <c r="D878">
        <v>22003</v>
      </c>
      <c r="E878">
        <v>1</v>
      </c>
      <c r="F878" t="s">
        <v>2322</v>
      </c>
      <c r="G878" t="s">
        <v>2416</v>
      </c>
      <c r="H878" t="s">
        <v>2418</v>
      </c>
      <c r="I878">
        <v>5</v>
      </c>
      <c r="J878">
        <v>0</v>
      </c>
      <c r="K878">
        <v>100</v>
      </c>
      <c r="L878">
        <v>50</v>
      </c>
      <c r="M878">
        <v>0</v>
      </c>
      <c r="N878">
        <v>90</v>
      </c>
      <c r="O878">
        <v>120</v>
      </c>
      <c r="P878">
        <v>90</v>
      </c>
      <c r="Q878">
        <v>120</v>
      </c>
      <c r="R878">
        <v>90</v>
      </c>
      <c r="S878">
        <v>120</v>
      </c>
    </row>
    <row r="879" spans="3:19" x14ac:dyDescent="0.2">
      <c r="C879">
        <v>22101</v>
      </c>
      <c r="D879">
        <v>22101</v>
      </c>
      <c r="E879">
        <v>1</v>
      </c>
      <c r="F879" t="s">
        <v>2419</v>
      </c>
      <c r="G879" t="s">
        <v>2420</v>
      </c>
      <c r="H879" t="s">
        <v>2421</v>
      </c>
      <c r="I879">
        <v>5</v>
      </c>
      <c r="J879">
        <v>0</v>
      </c>
      <c r="K879">
        <v>100</v>
      </c>
      <c r="L879">
        <v>50</v>
      </c>
      <c r="M879">
        <v>0</v>
      </c>
      <c r="N879">
        <v>151</v>
      </c>
      <c r="O879">
        <v>192</v>
      </c>
      <c r="P879">
        <v>150</v>
      </c>
      <c r="Q879">
        <v>190</v>
      </c>
      <c r="R879">
        <v>150</v>
      </c>
      <c r="S879">
        <v>190</v>
      </c>
    </row>
    <row r="880" spans="3:19" x14ac:dyDescent="0.2">
      <c r="C880">
        <v>22102</v>
      </c>
      <c r="D880">
        <v>22102</v>
      </c>
      <c r="E880">
        <v>1</v>
      </c>
      <c r="F880" t="s">
        <v>2422</v>
      </c>
      <c r="G880" t="s">
        <v>2420</v>
      </c>
      <c r="H880" t="s">
        <v>2423</v>
      </c>
      <c r="I880">
        <v>5</v>
      </c>
      <c r="J880">
        <v>0</v>
      </c>
      <c r="K880">
        <v>100</v>
      </c>
      <c r="L880">
        <v>50</v>
      </c>
      <c r="M880">
        <v>0</v>
      </c>
      <c r="N880">
        <v>151</v>
      </c>
      <c r="O880">
        <v>190</v>
      </c>
      <c r="P880">
        <v>150</v>
      </c>
      <c r="Q880">
        <v>190</v>
      </c>
      <c r="R880">
        <v>150</v>
      </c>
      <c r="S880">
        <v>190</v>
      </c>
    </row>
    <row r="881" spans="3:19" x14ac:dyDescent="0.2">
      <c r="C881">
        <v>22201</v>
      </c>
      <c r="D881">
        <v>22201</v>
      </c>
      <c r="E881">
        <v>1</v>
      </c>
      <c r="F881" t="s">
        <v>2409</v>
      </c>
      <c r="G881" t="s">
        <v>2410</v>
      </c>
      <c r="H881" t="s">
        <v>2424</v>
      </c>
      <c r="I881">
        <v>5</v>
      </c>
      <c r="J881">
        <v>0</v>
      </c>
      <c r="K881">
        <v>100</v>
      </c>
      <c r="L881">
        <v>50</v>
      </c>
      <c r="M881">
        <v>0</v>
      </c>
      <c r="N881">
        <v>21</v>
      </c>
      <c r="O881">
        <v>107</v>
      </c>
      <c r="P881">
        <v>20</v>
      </c>
      <c r="Q881">
        <v>100</v>
      </c>
      <c r="R881">
        <v>20</v>
      </c>
      <c r="S881">
        <v>100</v>
      </c>
    </row>
    <row r="882" spans="3:19" x14ac:dyDescent="0.2">
      <c r="C882">
        <v>22202</v>
      </c>
      <c r="D882">
        <v>22202</v>
      </c>
      <c r="E882">
        <v>1</v>
      </c>
      <c r="F882" t="s">
        <v>2409</v>
      </c>
      <c r="G882" t="s">
        <v>2410</v>
      </c>
      <c r="H882" t="s">
        <v>2424</v>
      </c>
      <c r="I882">
        <v>5</v>
      </c>
      <c r="J882">
        <v>0</v>
      </c>
      <c r="K882">
        <v>100</v>
      </c>
      <c r="L882">
        <v>50</v>
      </c>
      <c r="M882">
        <v>0</v>
      </c>
      <c r="N882">
        <v>21</v>
      </c>
      <c r="O882">
        <v>107</v>
      </c>
      <c r="P882">
        <v>20</v>
      </c>
      <c r="Q882">
        <v>100</v>
      </c>
      <c r="R882">
        <v>20</v>
      </c>
      <c r="S882">
        <v>100</v>
      </c>
    </row>
    <row r="883" spans="3:19" x14ac:dyDescent="0.2">
      <c r="C883">
        <v>22301</v>
      </c>
      <c r="D883">
        <v>22301</v>
      </c>
      <c r="E883">
        <v>1</v>
      </c>
      <c r="F883" t="s">
        <v>2425</v>
      </c>
      <c r="G883" t="s">
        <v>2410</v>
      </c>
      <c r="H883" t="s">
        <v>2426</v>
      </c>
      <c r="I883">
        <v>5</v>
      </c>
      <c r="J883">
        <v>0</v>
      </c>
      <c r="K883">
        <v>100</v>
      </c>
      <c r="L883">
        <v>50</v>
      </c>
      <c r="M883">
        <v>0</v>
      </c>
      <c r="N883">
        <v>21</v>
      </c>
      <c r="O883">
        <v>107</v>
      </c>
      <c r="P883">
        <v>20</v>
      </c>
      <c r="Q883">
        <v>100</v>
      </c>
      <c r="R883">
        <v>20</v>
      </c>
      <c r="S883">
        <v>100</v>
      </c>
    </row>
    <row r="884" spans="3:19" x14ac:dyDescent="0.2">
      <c r="C884">
        <v>22401</v>
      </c>
      <c r="D884">
        <v>22401</v>
      </c>
      <c r="E884">
        <v>1</v>
      </c>
      <c r="F884" t="s">
        <v>2427</v>
      </c>
      <c r="G884" t="s">
        <v>2428</v>
      </c>
      <c r="H884" t="s">
        <v>2429</v>
      </c>
      <c r="I884">
        <v>5</v>
      </c>
      <c r="J884">
        <v>0</v>
      </c>
      <c r="K884">
        <v>100</v>
      </c>
      <c r="L884">
        <v>50</v>
      </c>
      <c r="M884">
        <v>0</v>
      </c>
      <c r="N884">
        <v>110</v>
      </c>
      <c r="O884">
        <v>137</v>
      </c>
      <c r="P884">
        <v>100</v>
      </c>
      <c r="Q884">
        <v>130</v>
      </c>
      <c r="R884">
        <v>100</v>
      </c>
      <c r="S884">
        <v>130</v>
      </c>
    </row>
    <row r="885" spans="3:19" x14ac:dyDescent="0.2">
      <c r="C885">
        <v>22402</v>
      </c>
      <c r="D885">
        <v>22402</v>
      </c>
      <c r="E885">
        <v>1</v>
      </c>
      <c r="F885" t="s">
        <v>2427</v>
      </c>
      <c r="G885" t="s">
        <v>2428</v>
      </c>
      <c r="H885" t="s">
        <v>2430</v>
      </c>
      <c r="I885">
        <v>5</v>
      </c>
      <c r="J885">
        <v>0</v>
      </c>
      <c r="K885">
        <v>100</v>
      </c>
      <c r="L885">
        <v>50</v>
      </c>
      <c r="M885">
        <v>0</v>
      </c>
      <c r="N885">
        <v>110</v>
      </c>
      <c r="O885">
        <v>137</v>
      </c>
      <c r="P885">
        <v>100</v>
      </c>
      <c r="Q885">
        <v>130</v>
      </c>
      <c r="R885">
        <v>100</v>
      </c>
      <c r="S885">
        <v>130</v>
      </c>
    </row>
    <row r="886" spans="3:19" x14ac:dyDescent="0.2">
      <c r="C886">
        <v>22403</v>
      </c>
      <c r="D886">
        <v>22403</v>
      </c>
      <c r="E886">
        <v>1</v>
      </c>
      <c r="F886" t="s">
        <v>2427</v>
      </c>
      <c r="G886" t="s">
        <v>2428</v>
      </c>
      <c r="H886" t="s">
        <v>2431</v>
      </c>
      <c r="I886">
        <v>5</v>
      </c>
      <c r="J886">
        <v>0</v>
      </c>
      <c r="K886">
        <v>100</v>
      </c>
      <c r="L886">
        <v>50</v>
      </c>
      <c r="M886">
        <v>0</v>
      </c>
      <c r="N886">
        <v>110</v>
      </c>
      <c r="O886">
        <v>137</v>
      </c>
      <c r="P886">
        <v>100</v>
      </c>
      <c r="Q886">
        <v>130</v>
      </c>
      <c r="R886">
        <v>100</v>
      </c>
      <c r="S886">
        <v>130</v>
      </c>
    </row>
    <row r="887" spans="3:19" x14ac:dyDescent="0.2">
      <c r="C887">
        <v>22501</v>
      </c>
      <c r="D887">
        <v>22501</v>
      </c>
      <c r="E887">
        <v>1</v>
      </c>
      <c r="F887" t="s">
        <v>2432</v>
      </c>
      <c r="G887" t="s">
        <v>2433</v>
      </c>
      <c r="H887" t="s">
        <v>2434</v>
      </c>
      <c r="I887">
        <v>5</v>
      </c>
      <c r="J887">
        <v>0</v>
      </c>
      <c r="K887">
        <v>100</v>
      </c>
      <c r="L887">
        <v>50</v>
      </c>
      <c r="M887">
        <v>0</v>
      </c>
      <c r="N887">
        <v>114</v>
      </c>
      <c r="O887">
        <v>141</v>
      </c>
      <c r="P887">
        <v>100</v>
      </c>
      <c r="Q887">
        <v>130</v>
      </c>
      <c r="R887">
        <v>100</v>
      </c>
      <c r="S887">
        <v>130</v>
      </c>
    </row>
    <row r="888" spans="3:19" x14ac:dyDescent="0.2">
      <c r="C888">
        <v>22502</v>
      </c>
      <c r="D888">
        <v>22502</v>
      </c>
      <c r="E888">
        <v>1</v>
      </c>
      <c r="F888" t="s">
        <v>2432</v>
      </c>
      <c r="G888" t="s">
        <v>2433</v>
      </c>
      <c r="H888" t="s">
        <v>2435</v>
      </c>
      <c r="I888">
        <v>5</v>
      </c>
      <c r="J888">
        <v>0</v>
      </c>
      <c r="K888">
        <v>100</v>
      </c>
      <c r="L888">
        <v>50</v>
      </c>
      <c r="M888">
        <v>0</v>
      </c>
      <c r="N888">
        <v>114</v>
      </c>
      <c r="O888">
        <v>141</v>
      </c>
      <c r="P888">
        <v>100</v>
      </c>
      <c r="Q888">
        <v>130</v>
      </c>
      <c r="R888">
        <v>100</v>
      </c>
      <c r="S888">
        <v>130</v>
      </c>
    </row>
    <row r="889" spans="3:19" x14ac:dyDescent="0.2">
      <c r="C889">
        <v>22601</v>
      </c>
      <c r="D889">
        <v>22601</v>
      </c>
      <c r="E889">
        <v>1</v>
      </c>
      <c r="F889" t="s">
        <v>2436</v>
      </c>
      <c r="G889" t="s">
        <v>2437</v>
      </c>
      <c r="H889" t="s">
        <v>2438</v>
      </c>
      <c r="I889">
        <v>5</v>
      </c>
      <c r="J889">
        <v>0</v>
      </c>
      <c r="K889">
        <v>100</v>
      </c>
      <c r="L889">
        <v>50</v>
      </c>
      <c r="M889">
        <v>0</v>
      </c>
      <c r="N889">
        <v>112</v>
      </c>
      <c r="O889">
        <v>136</v>
      </c>
      <c r="P889">
        <v>100</v>
      </c>
      <c r="Q889">
        <v>130</v>
      </c>
      <c r="R889">
        <v>100</v>
      </c>
      <c r="S889">
        <v>130</v>
      </c>
    </row>
    <row r="890" spans="3:19" x14ac:dyDescent="0.2">
      <c r="C890">
        <v>28101</v>
      </c>
      <c r="D890">
        <v>28101</v>
      </c>
      <c r="E890">
        <v>1</v>
      </c>
      <c r="F890" t="s">
        <v>2379</v>
      </c>
      <c r="G890" t="s">
        <v>2380</v>
      </c>
      <c r="H890" t="s">
        <v>2381</v>
      </c>
      <c r="I890">
        <v>0</v>
      </c>
      <c r="J890">
        <v>0</v>
      </c>
      <c r="K890">
        <v>100</v>
      </c>
      <c r="L890">
        <v>50</v>
      </c>
      <c r="M890">
        <v>0</v>
      </c>
      <c r="N890">
        <v>131</v>
      </c>
      <c r="O890">
        <v>172</v>
      </c>
      <c r="P890">
        <v>120</v>
      </c>
      <c r="Q890">
        <v>150</v>
      </c>
      <c r="R890">
        <v>120</v>
      </c>
      <c r="S890">
        <v>150</v>
      </c>
    </row>
    <row r="891" spans="3:19" x14ac:dyDescent="0.2">
      <c r="C891">
        <v>28102</v>
      </c>
      <c r="D891">
        <v>28102</v>
      </c>
      <c r="E891">
        <v>1</v>
      </c>
      <c r="F891" t="s">
        <v>2396</v>
      </c>
      <c r="G891" t="s">
        <v>2397</v>
      </c>
      <c r="H891" t="s">
        <v>2398</v>
      </c>
      <c r="I891">
        <v>0</v>
      </c>
      <c r="J891">
        <v>0</v>
      </c>
      <c r="K891">
        <v>100</v>
      </c>
      <c r="L891">
        <v>50</v>
      </c>
      <c r="M891">
        <v>0</v>
      </c>
      <c r="N891">
        <v>171</v>
      </c>
      <c r="O891">
        <v>257</v>
      </c>
      <c r="P891">
        <v>165</v>
      </c>
      <c r="Q891">
        <v>203</v>
      </c>
      <c r="R891">
        <v>165</v>
      </c>
      <c r="S891">
        <v>203</v>
      </c>
    </row>
    <row r="892" spans="3:19" x14ac:dyDescent="0.2">
      <c r="C892">
        <v>28201</v>
      </c>
      <c r="D892">
        <v>28201</v>
      </c>
      <c r="E892">
        <v>1</v>
      </c>
      <c r="F892" t="s">
        <v>2379</v>
      </c>
      <c r="G892" t="s">
        <v>2380</v>
      </c>
      <c r="H892" t="s">
        <v>2381</v>
      </c>
      <c r="I892">
        <v>0</v>
      </c>
      <c r="J892">
        <v>0</v>
      </c>
      <c r="K892">
        <v>100</v>
      </c>
      <c r="L892">
        <v>50</v>
      </c>
      <c r="M892">
        <v>0</v>
      </c>
      <c r="N892">
        <v>131</v>
      </c>
      <c r="O892">
        <v>172</v>
      </c>
      <c r="P892">
        <v>120</v>
      </c>
      <c r="Q892">
        <v>150</v>
      </c>
      <c r="R892">
        <v>120</v>
      </c>
      <c r="S892">
        <v>150</v>
      </c>
    </row>
    <row r="893" spans="3:19" x14ac:dyDescent="0.2">
      <c r="C893">
        <v>28202</v>
      </c>
      <c r="D893">
        <v>28202</v>
      </c>
      <c r="E893">
        <v>1</v>
      </c>
      <c r="F893" t="s">
        <v>2419</v>
      </c>
      <c r="G893" t="s">
        <v>2420</v>
      </c>
      <c r="H893" t="s">
        <v>2421</v>
      </c>
      <c r="I893">
        <v>0</v>
      </c>
      <c r="J893">
        <v>0</v>
      </c>
      <c r="K893">
        <v>100</v>
      </c>
      <c r="L893">
        <v>50</v>
      </c>
      <c r="M893">
        <v>0</v>
      </c>
      <c r="N893">
        <v>151</v>
      </c>
      <c r="O893">
        <v>192</v>
      </c>
      <c r="P893">
        <v>150</v>
      </c>
      <c r="Q893">
        <v>190</v>
      </c>
      <c r="R893">
        <v>150</v>
      </c>
      <c r="S893">
        <v>190</v>
      </c>
    </row>
    <row r="894" spans="3:19" x14ac:dyDescent="0.2">
      <c r="C894">
        <v>28301</v>
      </c>
      <c r="D894">
        <v>28301</v>
      </c>
      <c r="E894">
        <v>1</v>
      </c>
      <c r="F894" t="s">
        <v>2387</v>
      </c>
      <c r="G894" t="s">
        <v>2388</v>
      </c>
      <c r="H894" t="s">
        <v>2389</v>
      </c>
      <c r="I894">
        <v>0</v>
      </c>
      <c r="J894">
        <v>0</v>
      </c>
      <c r="K894">
        <v>100</v>
      </c>
      <c r="L894">
        <v>50</v>
      </c>
      <c r="M894">
        <v>0</v>
      </c>
      <c r="N894">
        <v>115</v>
      </c>
      <c r="O894">
        <v>171</v>
      </c>
      <c r="P894">
        <v>110</v>
      </c>
      <c r="Q894">
        <v>135</v>
      </c>
      <c r="R894">
        <v>110</v>
      </c>
      <c r="S894">
        <v>135</v>
      </c>
    </row>
    <row r="895" spans="3:19" x14ac:dyDescent="0.2">
      <c r="C895">
        <v>28401</v>
      </c>
      <c r="D895">
        <v>28401</v>
      </c>
      <c r="E895">
        <v>1</v>
      </c>
      <c r="F895" t="s">
        <v>2379</v>
      </c>
      <c r="G895" t="s">
        <v>2380</v>
      </c>
      <c r="H895" t="s">
        <v>2381</v>
      </c>
      <c r="I895">
        <v>0</v>
      </c>
      <c r="J895">
        <v>0</v>
      </c>
      <c r="K895">
        <v>100</v>
      </c>
      <c r="L895">
        <v>50</v>
      </c>
      <c r="M895">
        <v>0</v>
      </c>
      <c r="N895">
        <v>131</v>
      </c>
      <c r="O895">
        <v>172</v>
      </c>
      <c r="P895">
        <v>120</v>
      </c>
      <c r="Q895">
        <v>150</v>
      </c>
      <c r="R895">
        <v>120</v>
      </c>
      <c r="S895">
        <v>150</v>
      </c>
    </row>
    <row r="896" spans="3:19" x14ac:dyDescent="0.2">
      <c r="C896">
        <v>28501</v>
      </c>
      <c r="D896">
        <v>28501</v>
      </c>
      <c r="E896">
        <v>1</v>
      </c>
      <c r="F896" t="s">
        <v>2346</v>
      </c>
      <c r="G896" t="s">
        <v>2385</v>
      </c>
      <c r="H896" t="s">
        <v>2386</v>
      </c>
      <c r="I896">
        <v>0</v>
      </c>
      <c r="J896">
        <v>0</v>
      </c>
      <c r="K896">
        <v>100</v>
      </c>
      <c r="L896">
        <v>50</v>
      </c>
      <c r="M896">
        <v>0</v>
      </c>
      <c r="N896">
        <v>197</v>
      </c>
      <c r="O896">
        <v>260</v>
      </c>
      <c r="P896">
        <v>135</v>
      </c>
      <c r="Q896">
        <v>195</v>
      </c>
      <c r="R896">
        <v>135</v>
      </c>
      <c r="S896">
        <v>195</v>
      </c>
    </row>
    <row r="897" spans="3:19" x14ac:dyDescent="0.2">
      <c r="C897">
        <v>28601</v>
      </c>
      <c r="D897">
        <v>28601</v>
      </c>
      <c r="E897">
        <v>1</v>
      </c>
      <c r="F897" t="s">
        <v>1424</v>
      </c>
      <c r="G897" t="s">
        <v>1425</v>
      </c>
      <c r="H897" t="s">
        <v>1426</v>
      </c>
      <c r="I897">
        <v>0</v>
      </c>
      <c r="J897">
        <v>0</v>
      </c>
      <c r="K897">
        <v>100</v>
      </c>
      <c r="L897">
        <v>50</v>
      </c>
      <c r="M897">
        <v>0</v>
      </c>
      <c r="N897">
        <v>4757</v>
      </c>
      <c r="O897">
        <v>4757</v>
      </c>
      <c r="P897">
        <v>4757</v>
      </c>
      <c r="Q897">
        <v>4757</v>
      </c>
      <c r="R897">
        <v>1295</v>
      </c>
      <c r="S897">
        <v>1295</v>
      </c>
    </row>
    <row r="898" spans="3:19" x14ac:dyDescent="0.2">
      <c r="C898">
        <v>28701</v>
      </c>
      <c r="D898">
        <v>28701</v>
      </c>
      <c r="E898">
        <v>1</v>
      </c>
      <c r="F898" t="s">
        <v>2359</v>
      </c>
      <c r="G898" t="s">
        <v>2360</v>
      </c>
      <c r="H898" t="s">
        <v>2361</v>
      </c>
      <c r="I898">
        <v>0</v>
      </c>
      <c r="J898">
        <v>0</v>
      </c>
      <c r="K898">
        <v>100</v>
      </c>
      <c r="L898">
        <v>50</v>
      </c>
      <c r="M898">
        <v>0</v>
      </c>
      <c r="N898">
        <v>86</v>
      </c>
      <c r="O898">
        <v>129</v>
      </c>
      <c r="P898">
        <v>70</v>
      </c>
      <c r="Q898">
        <v>100</v>
      </c>
      <c r="R898">
        <v>70</v>
      </c>
      <c r="S898">
        <v>100</v>
      </c>
    </row>
    <row r="899" spans="3:19" x14ac:dyDescent="0.2">
      <c r="C899">
        <v>28901</v>
      </c>
      <c r="D899">
        <v>28901</v>
      </c>
      <c r="E899">
        <v>1</v>
      </c>
      <c r="F899" t="s">
        <v>2362</v>
      </c>
      <c r="G899" t="s">
        <v>2360</v>
      </c>
      <c r="H899" t="s">
        <v>2361</v>
      </c>
      <c r="I899">
        <v>0</v>
      </c>
      <c r="J899">
        <v>0</v>
      </c>
      <c r="K899">
        <v>100</v>
      </c>
      <c r="L899">
        <v>50</v>
      </c>
      <c r="M899">
        <v>0</v>
      </c>
      <c r="N899">
        <v>90</v>
      </c>
      <c r="O899">
        <v>135</v>
      </c>
      <c r="P899">
        <v>70</v>
      </c>
      <c r="Q899">
        <v>100</v>
      </c>
      <c r="R899">
        <v>70</v>
      </c>
      <c r="S899">
        <v>100</v>
      </c>
    </row>
    <row r="900" spans="3:19" x14ac:dyDescent="0.2">
      <c r="C900">
        <v>28902</v>
      </c>
      <c r="D900">
        <v>28902</v>
      </c>
      <c r="E900">
        <v>1</v>
      </c>
      <c r="F900" t="s">
        <v>2303</v>
      </c>
      <c r="G900" t="s">
        <v>2286</v>
      </c>
      <c r="H900" t="s">
        <v>2287</v>
      </c>
      <c r="I900">
        <v>0</v>
      </c>
      <c r="J900">
        <v>0</v>
      </c>
      <c r="K900">
        <v>100</v>
      </c>
      <c r="L900">
        <v>50</v>
      </c>
      <c r="M900">
        <v>0</v>
      </c>
      <c r="N900">
        <v>69</v>
      </c>
      <c r="O900">
        <v>103</v>
      </c>
      <c r="P900">
        <v>70</v>
      </c>
      <c r="Q900">
        <v>100</v>
      </c>
      <c r="R900">
        <v>70</v>
      </c>
      <c r="S900">
        <v>100</v>
      </c>
    </row>
    <row r="901" spans="3:19" x14ac:dyDescent="0.2">
      <c r="C901">
        <v>29001</v>
      </c>
      <c r="D901">
        <v>29001</v>
      </c>
      <c r="E901">
        <v>1</v>
      </c>
      <c r="F901" t="s">
        <v>2307</v>
      </c>
      <c r="G901" t="s">
        <v>2439</v>
      </c>
      <c r="H901" t="s">
        <v>2309</v>
      </c>
      <c r="I901">
        <v>0</v>
      </c>
      <c r="J901">
        <v>0</v>
      </c>
      <c r="K901">
        <v>100</v>
      </c>
      <c r="L901">
        <v>50</v>
      </c>
      <c r="M901">
        <v>0</v>
      </c>
      <c r="N901">
        <v>1090</v>
      </c>
      <c r="O901">
        <v>1920</v>
      </c>
      <c r="P901">
        <v>1050</v>
      </c>
      <c r="Q901">
        <v>1500</v>
      </c>
      <c r="R901">
        <v>1050</v>
      </c>
      <c r="S901">
        <v>1500</v>
      </c>
    </row>
    <row r="902" spans="3:19" x14ac:dyDescent="0.2">
      <c r="C902">
        <v>29101</v>
      </c>
      <c r="D902">
        <v>29101</v>
      </c>
      <c r="E902">
        <v>1</v>
      </c>
      <c r="F902" t="s">
        <v>2322</v>
      </c>
      <c r="G902" t="s">
        <v>2416</v>
      </c>
      <c r="H902" t="s">
        <v>2417</v>
      </c>
      <c r="I902">
        <v>0</v>
      </c>
      <c r="J902">
        <v>0</v>
      </c>
      <c r="K902">
        <v>100</v>
      </c>
      <c r="L902">
        <v>50</v>
      </c>
      <c r="M902">
        <v>0</v>
      </c>
      <c r="N902">
        <v>90</v>
      </c>
      <c r="O902">
        <v>120</v>
      </c>
      <c r="P902">
        <v>90</v>
      </c>
      <c r="Q902">
        <v>120</v>
      </c>
      <c r="R902">
        <v>90</v>
      </c>
      <c r="S902">
        <v>120</v>
      </c>
    </row>
    <row r="903" spans="3:19" x14ac:dyDescent="0.2">
      <c r="C903">
        <v>29102</v>
      </c>
      <c r="D903">
        <v>29102</v>
      </c>
      <c r="E903">
        <v>1</v>
      </c>
      <c r="F903" t="s">
        <v>1485</v>
      </c>
      <c r="G903" t="s">
        <v>2440</v>
      </c>
      <c r="H903" t="s">
        <v>1487</v>
      </c>
      <c r="I903">
        <v>0</v>
      </c>
      <c r="J903">
        <v>0</v>
      </c>
      <c r="K903">
        <v>100</v>
      </c>
      <c r="L903">
        <v>50</v>
      </c>
      <c r="M903">
        <v>0</v>
      </c>
      <c r="N903">
        <v>1290</v>
      </c>
      <c r="O903">
        <v>1720</v>
      </c>
      <c r="P903">
        <v>1100</v>
      </c>
      <c r="Q903">
        <v>1400</v>
      </c>
      <c r="R903">
        <v>1100</v>
      </c>
      <c r="S903">
        <v>1400</v>
      </c>
    </row>
    <row r="904" spans="3:19" x14ac:dyDescent="0.2">
      <c r="C904">
        <v>99999</v>
      </c>
      <c r="D904">
        <v>9999</v>
      </c>
      <c r="E904">
        <v>1</v>
      </c>
      <c r="F904" t="s">
        <v>2441</v>
      </c>
      <c r="G904" t="s">
        <v>2441</v>
      </c>
      <c r="H904" t="s">
        <v>2441</v>
      </c>
      <c r="I904">
        <v>0</v>
      </c>
      <c r="J904">
        <v>0</v>
      </c>
      <c r="K904">
        <v>100</v>
      </c>
      <c r="L904">
        <v>50</v>
      </c>
      <c r="M904">
        <v>0</v>
      </c>
      <c r="N904">
        <v>90</v>
      </c>
      <c r="O904">
        <v>120</v>
      </c>
      <c r="P904">
        <v>90</v>
      </c>
      <c r="Q904">
        <v>120</v>
      </c>
      <c r="R904">
        <v>90</v>
      </c>
      <c r="S904">
        <v>120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Y1163"/>
  <sheetViews>
    <sheetView workbookViewId="0">
      <selection activeCell="W2" sqref="W2:Y908"/>
    </sheetView>
  </sheetViews>
  <sheetFormatPr defaultColWidth="9" defaultRowHeight="14.25" x14ac:dyDescent="0.2"/>
  <cols>
    <col min="9" max="15" width="9" style="55"/>
  </cols>
  <sheetData>
    <row r="1" spans="3:25" x14ac:dyDescent="0.2">
      <c r="S1" s="57" t="s">
        <v>2442</v>
      </c>
    </row>
    <row r="2" spans="3:25" x14ac:dyDescent="0.2">
      <c r="C2">
        <v>1</v>
      </c>
      <c r="D2" t="s">
        <v>2443</v>
      </c>
      <c r="E2">
        <v>1</v>
      </c>
      <c r="M2" s="56">
        <v>28102</v>
      </c>
      <c r="N2" s="56">
        <v>1023</v>
      </c>
      <c r="S2" s="9">
        <v>1</v>
      </c>
      <c r="T2" s="9">
        <v>270</v>
      </c>
      <c r="U2" s="9">
        <v>522</v>
      </c>
      <c r="V2" s="9">
        <v>607</v>
      </c>
      <c r="W2" s="9">
        <f>IF(_xlfn.IFNA(VLOOKUP(S2,$M$2:$N$13,2,FALSE),T2)=0,"xxx",_xlfn.IFNA(VLOOKUP(S2,$M$2:$N$13,2,FALSE),T2))</f>
        <v>270</v>
      </c>
      <c r="X2" s="9">
        <f>IF(W2&lt;&gt;T2,W2,IF(_xlfn.IFNA(VLOOKUP(T2,$M$2:$N$13,2,FALSE),U2)=0,"xxx",_xlfn.IFNA(VLOOKUP(T2,$M$2:$N$13,2,FALSE),U2)))</f>
        <v>522</v>
      </c>
      <c r="Y2" s="9">
        <f>IF(X2&lt;&gt;U2,X2,IF(_xlfn.IFNA(VLOOKUP(U2,$M$2:$N$13,2,FALSE),V2)=0,"xxx",_xlfn.IFNA(VLOOKUP(U2,$M$2:$N$13,2,FALSE),V2)))</f>
        <v>607</v>
      </c>
    </row>
    <row r="3" spans="3:25" x14ac:dyDescent="0.2">
      <c r="C3">
        <v>2</v>
      </c>
      <c r="D3" t="s">
        <v>2444</v>
      </c>
      <c r="E3">
        <v>2</v>
      </c>
      <c r="M3" s="56">
        <v>28301</v>
      </c>
      <c r="N3" s="56">
        <v>1024</v>
      </c>
      <c r="S3" s="9">
        <v>2</v>
      </c>
      <c r="T3" s="9">
        <v>270</v>
      </c>
      <c r="U3" s="9">
        <v>522</v>
      </c>
      <c r="V3" s="9">
        <v>607</v>
      </c>
      <c r="W3" s="9">
        <f t="shared" ref="W3:W66" si="0">IF(_xlfn.IFNA(VLOOKUP(S3,$M$2:$N$13,2,FALSE),T3)=0,"xxx",_xlfn.IFNA(VLOOKUP(S3,$M$2:$N$13,2,FALSE),T3))</f>
        <v>270</v>
      </c>
      <c r="X3" s="9">
        <f t="shared" ref="X3:Y3" si="1">IF(W3&lt;&gt;T3,W3,IF(_xlfn.IFNA(VLOOKUP(T3,$M$2:$N$13,2,FALSE),U3)=0,"xxx",_xlfn.IFNA(VLOOKUP(T3,$M$2:$N$13,2,FALSE),U3)))</f>
        <v>522</v>
      </c>
      <c r="Y3" s="9">
        <f t="shared" si="1"/>
        <v>607</v>
      </c>
    </row>
    <row r="4" spans="3:25" x14ac:dyDescent="0.2">
      <c r="C4">
        <v>3</v>
      </c>
      <c r="D4" t="s">
        <v>2445</v>
      </c>
      <c r="E4">
        <v>3</v>
      </c>
      <c r="M4" s="56">
        <v>28701</v>
      </c>
      <c r="N4" s="56">
        <v>1018</v>
      </c>
      <c r="S4" s="9">
        <v>3</v>
      </c>
      <c r="T4" s="9">
        <v>270</v>
      </c>
      <c r="U4" s="9">
        <v>522</v>
      </c>
      <c r="V4" s="9">
        <v>607</v>
      </c>
      <c r="W4" s="9">
        <f t="shared" si="0"/>
        <v>270</v>
      </c>
      <c r="X4" s="9">
        <f t="shared" ref="X4:Y4" si="2">IF(W4&lt;&gt;T4,W4,IF(_xlfn.IFNA(VLOOKUP(T4,$M$2:$N$13,2,FALSE),U4)=0,"xxx",_xlfn.IFNA(VLOOKUP(T4,$M$2:$N$13,2,FALSE),U4)))</f>
        <v>522</v>
      </c>
      <c r="Y4" s="9">
        <f t="shared" si="2"/>
        <v>607</v>
      </c>
    </row>
    <row r="5" spans="3:25" x14ac:dyDescent="0.2">
      <c r="C5">
        <v>4</v>
      </c>
      <c r="D5" t="s">
        <v>2446</v>
      </c>
      <c r="E5">
        <v>4</v>
      </c>
      <c r="M5" s="56">
        <v>28201</v>
      </c>
      <c r="N5" s="56">
        <v>1012</v>
      </c>
      <c r="S5" s="9">
        <v>4</v>
      </c>
      <c r="T5" s="9">
        <v>270</v>
      </c>
      <c r="U5" s="9">
        <v>522</v>
      </c>
      <c r="V5" s="9">
        <v>607</v>
      </c>
      <c r="W5" s="9">
        <f t="shared" si="0"/>
        <v>270</v>
      </c>
      <c r="X5" s="9">
        <f t="shared" ref="X5:Y5" si="3">IF(W5&lt;&gt;T5,W5,IF(_xlfn.IFNA(VLOOKUP(T5,$M$2:$N$13,2,FALSE),U5)=0,"xxx",_xlfn.IFNA(VLOOKUP(T5,$M$2:$N$13,2,FALSE),U5)))</f>
        <v>522</v>
      </c>
      <c r="Y5" s="9">
        <f t="shared" si="3"/>
        <v>607</v>
      </c>
    </row>
    <row r="6" spans="3:25" x14ac:dyDescent="0.2">
      <c r="C6">
        <v>5</v>
      </c>
      <c r="D6" t="s">
        <v>2447</v>
      </c>
      <c r="E6">
        <v>5</v>
      </c>
      <c r="M6" s="56">
        <v>28202</v>
      </c>
      <c r="N6" s="56">
        <v>1013</v>
      </c>
      <c r="S6" s="9">
        <v>5</v>
      </c>
      <c r="T6" s="9">
        <v>270</v>
      </c>
      <c r="U6" s="9">
        <v>522</v>
      </c>
      <c r="V6" s="9">
        <v>607</v>
      </c>
      <c r="W6" s="9">
        <f t="shared" si="0"/>
        <v>270</v>
      </c>
      <c r="X6" s="9">
        <f t="shared" ref="X6:Y6" si="4">IF(W6&lt;&gt;T6,W6,IF(_xlfn.IFNA(VLOOKUP(T6,$M$2:$N$13,2,FALSE),U6)=0,"xxx",_xlfn.IFNA(VLOOKUP(T6,$M$2:$N$13,2,FALSE),U6)))</f>
        <v>522</v>
      </c>
      <c r="Y6" s="9">
        <f t="shared" si="4"/>
        <v>607</v>
      </c>
    </row>
    <row r="7" spans="3:25" x14ac:dyDescent="0.2">
      <c r="C7">
        <v>6</v>
      </c>
      <c r="D7" t="s">
        <v>2448</v>
      </c>
      <c r="E7">
        <v>6</v>
      </c>
      <c r="M7" s="56">
        <v>28101</v>
      </c>
      <c r="N7" s="56">
        <v>1025</v>
      </c>
      <c r="S7" s="9">
        <v>6</v>
      </c>
      <c r="T7" s="9">
        <v>271</v>
      </c>
      <c r="U7" s="9">
        <v>524</v>
      </c>
      <c r="V7" s="9">
        <v>609</v>
      </c>
      <c r="W7" s="9">
        <f t="shared" si="0"/>
        <v>271</v>
      </c>
      <c r="X7" s="9">
        <f t="shared" ref="X7:Y7" si="5">IF(W7&lt;&gt;T7,W7,IF(_xlfn.IFNA(VLOOKUP(T7,$M$2:$N$13,2,FALSE),U7)=0,"xxx",_xlfn.IFNA(VLOOKUP(T7,$M$2:$N$13,2,FALSE),U7)))</f>
        <v>524</v>
      </c>
      <c r="Y7" s="9">
        <f t="shared" si="5"/>
        <v>609</v>
      </c>
    </row>
    <row r="8" spans="3:25" x14ac:dyDescent="0.2">
      <c r="C8">
        <v>7</v>
      </c>
      <c r="D8" t="s">
        <v>2449</v>
      </c>
      <c r="E8">
        <v>7</v>
      </c>
      <c r="M8" s="56">
        <v>28401</v>
      </c>
      <c r="N8" s="56">
        <v>1014</v>
      </c>
      <c r="S8" s="9">
        <v>7</v>
      </c>
      <c r="T8" s="9">
        <v>270</v>
      </c>
      <c r="U8" s="9">
        <v>522</v>
      </c>
      <c r="V8" s="9">
        <v>607</v>
      </c>
      <c r="W8" s="9">
        <f t="shared" si="0"/>
        <v>270</v>
      </c>
      <c r="X8" s="9">
        <f t="shared" ref="X8:Y8" si="6">IF(W8&lt;&gt;T8,W8,IF(_xlfn.IFNA(VLOOKUP(T8,$M$2:$N$13,2,FALSE),U8)=0,"xxx",_xlfn.IFNA(VLOOKUP(T8,$M$2:$N$13,2,FALSE),U8)))</f>
        <v>522</v>
      </c>
      <c r="Y8" s="9">
        <f t="shared" si="6"/>
        <v>607</v>
      </c>
    </row>
    <row r="9" spans="3:25" x14ac:dyDescent="0.2">
      <c r="C9">
        <v>8</v>
      </c>
      <c r="D9" t="s">
        <v>2450</v>
      </c>
      <c r="E9">
        <v>8</v>
      </c>
      <c r="M9" s="56">
        <v>28501</v>
      </c>
      <c r="N9" s="56">
        <v>1026</v>
      </c>
      <c r="S9" s="9">
        <v>8</v>
      </c>
      <c r="T9" s="9">
        <v>270</v>
      </c>
      <c r="U9" s="9">
        <v>522</v>
      </c>
      <c r="V9" s="9">
        <v>607</v>
      </c>
      <c r="W9" s="9">
        <f t="shared" si="0"/>
        <v>270</v>
      </c>
      <c r="X9" s="9">
        <f t="shared" ref="X9:Y9" si="7">IF(W9&lt;&gt;T9,W9,IF(_xlfn.IFNA(VLOOKUP(T9,$M$2:$N$13,2,FALSE),U9)=0,"xxx",_xlfn.IFNA(VLOOKUP(T9,$M$2:$N$13,2,FALSE),U9)))</f>
        <v>522</v>
      </c>
      <c r="Y9" s="9">
        <f t="shared" si="7"/>
        <v>607</v>
      </c>
    </row>
    <row r="10" spans="3:25" x14ac:dyDescent="0.2">
      <c r="C10">
        <v>9</v>
      </c>
      <c r="D10" t="s">
        <v>2451</v>
      </c>
      <c r="E10">
        <v>9</v>
      </c>
      <c r="M10" s="56">
        <v>28802</v>
      </c>
      <c r="N10" s="56">
        <v>1027</v>
      </c>
      <c r="S10" s="9">
        <v>99</v>
      </c>
      <c r="T10" s="9">
        <v>270</v>
      </c>
      <c r="U10" s="9">
        <v>522</v>
      </c>
      <c r="V10" s="9">
        <v>607</v>
      </c>
      <c r="W10" s="9">
        <f t="shared" si="0"/>
        <v>270</v>
      </c>
      <c r="X10" s="9">
        <f t="shared" ref="X10:Y10" si="8">IF(W10&lt;&gt;T10,W10,IF(_xlfn.IFNA(VLOOKUP(T10,$M$2:$N$13,2,FALSE),U10)=0,"xxx",_xlfn.IFNA(VLOOKUP(T10,$M$2:$N$13,2,FALSE),U10)))</f>
        <v>522</v>
      </c>
      <c r="Y10" s="9">
        <f t="shared" si="8"/>
        <v>607</v>
      </c>
    </row>
    <row r="11" spans="3:25" x14ac:dyDescent="0.2">
      <c r="C11">
        <v>10</v>
      </c>
      <c r="D11" t="s">
        <v>2452</v>
      </c>
      <c r="E11">
        <v>10</v>
      </c>
      <c r="M11" s="56">
        <v>28803</v>
      </c>
      <c r="N11" s="56">
        <v>1028</v>
      </c>
      <c r="S11" s="9">
        <v>100</v>
      </c>
      <c r="T11" s="9">
        <v>270</v>
      </c>
      <c r="U11" s="9">
        <v>522</v>
      </c>
      <c r="V11" s="9">
        <v>607</v>
      </c>
      <c r="W11" s="9">
        <f t="shared" si="0"/>
        <v>270</v>
      </c>
      <c r="X11" s="9">
        <f t="shared" ref="X11:Y11" si="9">IF(W11&lt;&gt;T11,W11,IF(_xlfn.IFNA(VLOOKUP(T11,$M$2:$N$13,2,FALSE),U11)=0,"xxx",_xlfn.IFNA(VLOOKUP(T11,$M$2:$N$13,2,FALSE),U11)))</f>
        <v>522</v>
      </c>
      <c r="Y11" s="9">
        <f t="shared" si="9"/>
        <v>607</v>
      </c>
    </row>
    <row r="12" spans="3:25" x14ac:dyDescent="0.2">
      <c r="C12">
        <v>11</v>
      </c>
      <c r="D12" t="s">
        <v>2453</v>
      </c>
      <c r="E12">
        <v>11</v>
      </c>
      <c r="M12" s="56">
        <v>28804</v>
      </c>
      <c r="N12" s="56">
        <v>1029</v>
      </c>
      <c r="S12" s="9">
        <v>10101</v>
      </c>
      <c r="T12" s="9">
        <v>270</v>
      </c>
      <c r="U12" s="9">
        <v>522</v>
      </c>
      <c r="V12" s="9">
        <v>607</v>
      </c>
      <c r="W12" s="9">
        <f t="shared" si="0"/>
        <v>270</v>
      </c>
      <c r="X12" s="9">
        <f t="shared" ref="X12:Y12" si="10">IF(W12&lt;&gt;T12,W12,IF(_xlfn.IFNA(VLOOKUP(T12,$M$2:$N$13,2,FALSE),U12)=0,"xxx",_xlfn.IFNA(VLOOKUP(T12,$M$2:$N$13,2,FALSE),U12)))</f>
        <v>522</v>
      </c>
      <c r="Y12" s="9">
        <f t="shared" si="10"/>
        <v>607</v>
      </c>
    </row>
    <row r="13" spans="3:25" x14ac:dyDescent="0.2">
      <c r="C13">
        <v>12</v>
      </c>
      <c r="D13" t="s">
        <v>2454</v>
      </c>
      <c r="E13">
        <v>12</v>
      </c>
      <c r="M13" s="56">
        <v>29001</v>
      </c>
      <c r="N13" s="56">
        <v>1030</v>
      </c>
      <c r="S13" s="9">
        <v>10102</v>
      </c>
      <c r="T13" s="9">
        <v>270</v>
      </c>
      <c r="U13" s="9">
        <v>522</v>
      </c>
      <c r="V13" s="9">
        <v>607</v>
      </c>
      <c r="W13" s="9">
        <f t="shared" si="0"/>
        <v>270</v>
      </c>
      <c r="X13" s="9">
        <f t="shared" ref="X13:Y13" si="11">IF(W13&lt;&gt;T13,W13,IF(_xlfn.IFNA(VLOOKUP(T13,$M$2:$N$13,2,FALSE),U13)=0,"xxx",_xlfn.IFNA(VLOOKUP(T13,$M$2:$N$13,2,FALSE),U13)))</f>
        <v>522</v>
      </c>
      <c r="Y13" s="9">
        <f t="shared" si="11"/>
        <v>607</v>
      </c>
    </row>
    <row r="14" spans="3:25" x14ac:dyDescent="0.2">
      <c r="C14">
        <v>13</v>
      </c>
      <c r="D14" t="s">
        <v>2455</v>
      </c>
      <c r="E14">
        <v>13</v>
      </c>
      <c r="S14" s="9">
        <v>10103</v>
      </c>
      <c r="T14" s="9">
        <v>270</v>
      </c>
      <c r="U14" s="9">
        <v>522</v>
      </c>
      <c r="V14" s="9">
        <v>607</v>
      </c>
      <c r="W14" s="9">
        <f t="shared" si="0"/>
        <v>270</v>
      </c>
      <c r="X14" s="9">
        <f t="shared" ref="X14:Y14" si="12">IF(W14&lt;&gt;T14,W14,IF(_xlfn.IFNA(VLOOKUP(T14,$M$2:$N$13,2,FALSE),U14)=0,"xxx",_xlfn.IFNA(VLOOKUP(T14,$M$2:$N$13,2,FALSE),U14)))</f>
        <v>522</v>
      </c>
      <c r="Y14" s="9">
        <f t="shared" si="12"/>
        <v>607</v>
      </c>
    </row>
    <row r="15" spans="3:25" x14ac:dyDescent="0.2">
      <c r="C15">
        <v>14</v>
      </c>
      <c r="D15" t="s">
        <v>2456</v>
      </c>
      <c r="E15">
        <v>14</v>
      </c>
      <c r="S15" s="9">
        <v>10201</v>
      </c>
      <c r="T15" s="9">
        <v>270</v>
      </c>
      <c r="U15" s="9">
        <v>522</v>
      </c>
      <c r="V15" s="9">
        <v>607</v>
      </c>
      <c r="W15" s="9">
        <f t="shared" si="0"/>
        <v>270</v>
      </c>
      <c r="X15" s="9">
        <f t="shared" ref="X15:Y15" si="13">IF(W15&lt;&gt;T15,W15,IF(_xlfn.IFNA(VLOOKUP(T15,$M$2:$N$13,2,FALSE),U15)=0,"xxx",_xlfn.IFNA(VLOOKUP(T15,$M$2:$N$13,2,FALSE),U15)))</f>
        <v>522</v>
      </c>
      <c r="Y15" s="9">
        <f t="shared" si="13"/>
        <v>607</v>
      </c>
    </row>
    <row r="16" spans="3:25" x14ac:dyDescent="0.2">
      <c r="C16">
        <v>15</v>
      </c>
      <c r="D16" t="s">
        <v>2457</v>
      </c>
      <c r="E16">
        <v>15</v>
      </c>
      <c r="S16" s="9">
        <v>10202</v>
      </c>
      <c r="T16" s="9">
        <v>270</v>
      </c>
      <c r="U16" s="9">
        <v>522</v>
      </c>
      <c r="V16" s="9">
        <v>607</v>
      </c>
      <c r="W16" s="9">
        <f t="shared" si="0"/>
        <v>270</v>
      </c>
      <c r="X16" s="9">
        <f t="shared" ref="X16:Y16" si="14">IF(W16&lt;&gt;T16,W16,IF(_xlfn.IFNA(VLOOKUP(T16,$M$2:$N$13,2,FALSE),U16)=0,"xxx",_xlfn.IFNA(VLOOKUP(T16,$M$2:$N$13,2,FALSE),U16)))</f>
        <v>522</v>
      </c>
      <c r="Y16" s="9">
        <f t="shared" si="14"/>
        <v>607</v>
      </c>
    </row>
    <row r="17" spans="3:25" x14ac:dyDescent="0.2">
      <c r="C17">
        <v>16</v>
      </c>
      <c r="D17" t="s">
        <v>2458</v>
      </c>
      <c r="E17">
        <v>16</v>
      </c>
      <c r="S17" s="9">
        <v>10203</v>
      </c>
      <c r="T17" s="9">
        <v>270</v>
      </c>
      <c r="U17" s="9">
        <v>522</v>
      </c>
      <c r="V17" s="9">
        <v>607</v>
      </c>
      <c r="W17" s="9">
        <f t="shared" si="0"/>
        <v>270</v>
      </c>
      <c r="X17" s="9">
        <f t="shared" ref="X17:Y17" si="15">IF(W17&lt;&gt;T17,W17,IF(_xlfn.IFNA(VLOOKUP(T17,$M$2:$N$13,2,FALSE),U17)=0,"xxx",_xlfn.IFNA(VLOOKUP(T17,$M$2:$N$13,2,FALSE),U17)))</f>
        <v>522</v>
      </c>
      <c r="Y17" s="9">
        <f t="shared" si="15"/>
        <v>607</v>
      </c>
    </row>
    <row r="18" spans="3:25" x14ac:dyDescent="0.2">
      <c r="C18">
        <v>17</v>
      </c>
      <c r="D18" t="s">
        <v>2459</v>
      </c>
      <c r="E18">
        <v>17</v>
      </c>
      <c r="S18" s="9">
        <v>10204</v>
      </c>
      <c r="T18" s="9">
        <v>270</v>
      </c>
      <c r="U18" s="9">
        <v>522</v>
      </c>
      <c r="V18" s="9">
        <v>607</v>
      </c>
      <c r="W18" s="9">
        <f t="shared" si="0"/>
        <v>270</v>
      </c>
      <c r="X18" s="9">
        <f t="shared" ref="X18:Y18" si="16">IF(W18&lt;&gt;T18,W18,IF(_xlfn.IFNA(VLOOKUP(T18,$M$2:$N$13,2,FALSE),U18)=0,"xxx",_xlfn.IFNA(VLOOKUP(T18,$M$2:$N$13,2,FALSE),U18)))</f>
        <v>522</v>
      </c>
      <c r="Y18" s="9">
        <f t="shared" si="16"/>
        <v>607</v>
      </c>
    </row>
    <row r="19" spans="3:25" x14ac:dyDescent="0.2">
      <c r="C19">
        <v>18</v>
      </c>
      <c r="D19" t="s">
        <v>2460</v>
      </c>
      <c r="E19">
        <v>18</v>
      </c>
      <c r="S19" s="9">
        <v>10301</v>
      </c>
      <c r="T19" s="9">
        <v>270</v>
      </c>
      <c r="U19" s="9">
        <v>522</v>
      </c>
      <c r="V19" s="9">
        <v>607</v>
      </c>
      <c r="W19" s="9">
        <f t="shared" si="0"/>
        <v>270</v>
      </c>
      <c r="X19" s="9">
        <f t="shared" ref="X19:Y19" si="17">IF(W19&lt;&gt;T19,W19,IF(_xlfn.IFNA(VLOOKUP(T19,$M$2:$N$13,2,FALSE),U19)=0,"xxx",_xlfn.IFNA(VLOOKUP(T19,$M$2:$N$13,2,FALSE),U19)))</f>
        <v>522</v>
      </c>
      <c r="Y19" s="9">
        <f t="shared" si="17"/>
        <v>607</v>
      </c>
    </row>
    <row r="20" spans="3:25" x14ac:dyDescent="0.2">
      <c r="C20">
        <v>19</v>
      </c>
      <c r="D20" t="s">
        <v>2461</v>
      </c>
      <c r="E20">
        <v>19</v>
      </c>
      <c r="S20" s="9">
        <v>10302</v>
      </c>
      <c r="T20" s="9">
        <v>270</v>
      </c>
      <c r="U20" s="9">
        <v>522</v>
      </c>
      <c r="V20" s="9">
        <v>607</v>
      </c>
      <c r="W20" s="9">
        <f t="shared" si="0"/>
        <v>270</v>
      </c>
      <c r="X20" s="9">
        <f t="shared" ref="X20:Y20" si="18">IF(W20&lt;&gt;T20,W20,IF(_xlfn.IFNA(VLOOKUP(T20,$M$2:$N$13,2,FALSE),U20)=0,"xxx",_xlfn.IFNA(VLOOKUP(T20,$M$2:$N$13,2,FALSE),U20)))</f>
        <v>522</v>
      </c>
      <c r="Y20" s="9">
        <f t="shared" si="18"/>
        <v>607</v>
      </c>
    </row>
    <row r="21" spans="3:25" x14ac:dyDescent="0.2">
      <c r="C21">
        <v>20</v>
      </c>
      <c r="D21" t="s">
        <v>2462</v>
      </c>
      <c r="E21">
        <v>20</v>
      </c>
      <c r="S21" s="9">
        <v>10303</v>
      </c>
      <c r="T21" s="9">
        <v>270</v>
      </c>
      <c r="U21" s="9">
        <v>522</v>
      </c>
      <c r="V21" s="9">
        <v>607</v>
      </c>
      <c r="W21" s="9">
        <f t="shared" si="0"/>
        <v>270</v>
      </c>
      <c r="X21" s="9">
        <f t="shared" ref="X21:Y21" si="19">IF(W21&lt;&gt;T21,W21,IF(_xlfn.IFNA(VLOOKUP(T21,$M$2:$N$13,2,FALSE),U21)=0,"xxx",_xlfn.IFNA(VLOOKUP(T21,$M$2:$N$13,2,FALSE),U21)))</f>
        <v>522</v>
      </c>
      <c r="Y21" s="9">
        <f t="shared" si="19"/>
        <v>607</v>
      </c>
    </row>
    <row r="22" spans="3:25" x14ac:dyDescent="0.2">
      <c r="C22">
        <v>21</v>
      </c>
      <c r="D22" t="s">
        <v>2463</v>
      </c>
      <c r="E22">
        <v>21</v>
      </c>
      <c r="S22" s="9">
        <v>10304</v>
      </c>
      <c r="T22" s="9">
        <v>270</v>
      </c>
      <c r="U22" s="9">
        <v>522</v>
      </c>
      <c r="V22" s="9">
        <v>607</v>
      </c>
      <c r="W22" s="9">
        <f t="shared" si="0"/>
        <v>270</v>
      </c>
      <c r="X22" s="9">
        <f t="shared" ref="X22:Y22" si="20">IF(W22&lt;&gt;T22,W22,IF(_xlfn.IFNA(VLOOKUP(T22,$M$2:$N$13,2,FALSE),U22)=0,"xxx",_xlfn.IFNA(VLOOKUP(T22,$M$2:$N$13,2,FALSE),U22)))</f>
        <v>522</v>
      </c>
      <c r="Y22" s="9">
        <f t="shared" si="20"/>
        <v>607</v>
      </c>
    </row>
    <row r="23" spans="3:25" x14ac:dyDescent="0.2">
      <c r="C23">
        <v>22</v>
      </c>
      <c r="D23" t="s">
        <v>2464</v>
      </c>
      <c r="E23">
        <v>22</v>
      </c>
      <c r="S23" s="9">
        <v>10401</v>
      </c>
      <c r="T23" s="9">
        <v>354</v>
      </c>
      <c r="U23" s="9">
        <v>522</v>
      </c>
      <c r="V23" s="9">
        <v>607</v>
      </c>
      <c r="W23" s="9">
        <f t="shared" si="0"/>
        <v>354</v>
      </c>
      <c r="X23" s="9">
        <f t="shared" ref="X23:Y23" si="21">IF(W23&lt;&gt;T23,W23,IF(_xlfn.IFNA(VLOOKUP(T23,$M$2:$N$13,2,FALSE),U23)=0,"xxx",_xlfn.IFNA(VLOOKUP(T23,$M$2:$N$13,2,FALSE),U23)))</f>
        <v>522</v>
      </c>
      <c r="Y23" s="9">
        <f t="shared" si="21"/>
        <v>607</v>
      </c>
    </row>
    <row r="24" spans="3:25" x14ac:dyDescent="0.2">
      <c r="C24">
        <v>23</v>
      </c>
      <c r="D24" t="s">
        <v>2465</v>
      </c>
      <c r="E24">
        <v>23</v>
      </c>
      <c r="S24" s="9">
        <v>10402</v>
      </c>
      <c r="T24" s="9">
        <v>354</v>
      </c>
      <c r="U24" s="9">
        <v>522</v>
      </c>
      <c r="V24" s="9">
        <v>607</v>
      </c>
      <c r="W24" s="9">
        <f t="shared" si="0"/>
        <v>354</v>
      </c>
      <c r="X24" s="9">
        <f t="shared" ref="X24:Y24" si="22">IF(W24&lt;&gt;T24,W24,IF(_xlfn.IFNA(VLOOKUP(T24,$M$2:$N$13,2,FALSE),U24)=0,"xxx",_xlfn.IFNA(VLOOKUP(T24,$M$2:$N$13,2,FALSE),U24)))</f>
        <v>522</v>
      </c>
      <c r="Y24" s="9">
        <f t="shared" si="22"/>
        <v>607</v>
      </c>
    </row>
    <row r="25" spans="3:25" x14ac:dyDescent="0.2">
      <c r="C25">
        <v>24</v>
      </c>
      <c r="D25" t="s">
        <v>2466</v>
      </c>
      <c r="E25">
        <v>24</v>
      </c>
      <c r="S25" s="9">
        <v>10501</v>
      </c>
      <c r="T25" s="9">
        <v>270</v>
      </c>
      <c r="U25" s="9">
        <v>522</v>
      </c>
      <c r="V25" s="9">
        <v>607</v>
      </c>
      <c r="W25" s="9">
        <f t="shared" si="0"/>
        <v>270</v>
      </c>
      <c r="X25" s="9">
        <f t="shared" ref="X25:Y25" si="23">IF(W25&lt;&gt;T25,W25,IF(_xlfn.IFNA(VLOOKUP(T25,$M$2:$N$13,2,FALSE),U25)=0,"xxx",_xlfn.IFNA(VLOOKUP(T25,$M$2:$N$13,2,FALSE),U25)))</f>
        <v>522</v>
      </c>
      <c r="Y25" s="9">
        <f t="shared" si="23"/>
        <v>607</v>
      </c>
    </row>
    <row r="26" spans="3:25" x14ac:dyDescent="0.2">
      <c r="C26">
        <v>25</v>
      </c>
      <c r="D26" t="s">
        <v>2467</v>
      </c>
      <c r="E26">
        <v>25</v>
      </c>
      <c r="S26" s="9">
        <v>10601</v>
      </c>
      <c r="T26" s="9">
        <v>312</v>
      </c>
      <c r="U26" s="9">
        <v>522</v>
      </c>
      <c r="V26" s="9">
        <v>607</v>
      </c>
      <c r="W26" s="9">
        <f t="shared" si="0"/>
        <v>312</v>
      </c>
      <c r="X26" s="9">
        <f t="shared" ref="X26:Y26" si="24">IF(W26&lt;&gt;T26,W26,IF(_xlfn.IFNA(VLOOKUP(T26,$M$2:$N$13,2,FALSE),U26)=0,"xxx",_xlfn.IFNA(VLOOKUP(T26,$M$2:$N$13,2,FALSE),U26)))</f>
        <v>522</v>
      </c>
      <c r="Y26" s="9">
        <f t="shared" si="24"/>
        <v>607</v>
      </c>
    </row>
    <row r="27" spans="3:25" x14ac:dyDescent="0.2">
      <c r="C27">
        <v>26</v>
      </c>
      <c r="D27" t="s">
        <v>2468</v>
      </c>
      <c r="E27">
        <v>26</v>
      </c>
      <c r="S27" s="9">
        <v>10602</v>
      </c>
      <c r="T27" s="9">
        <v>312</v>
      </c>
      <c r="U27" s="9">
        <v>522</v>
      </c>
      <c r="V27" s="9">
        <v>607</v>
      </c>
      <c r="W27" s="9">
        <f t="shared" si="0"/>
        <v>312</v>
      </c>
      <c r="X27" s="9">
        <f t="shared" ref="X27:Y27" si="25">IF(W27&lt;&gt;T27,W27,IF(_xlfn.IFNA(VLOOKUP(T27,$M$2:$N$13,2,FALSE),U27)=0,"xxx",_xlfn.IFNA(VLOOKUP(T27,$M$2:$N$13,2,FALSE),U27)))</f>
        <v>522</v>
      </c>
      <c r="Y27" s="9">
        <f t="shared" si="25"/>
        <v>607</v>
      </c>
    </row>
    <row r="28" spans="3:25" x14ac:dyDescent="0.2">
      <c r="C28">
        <v>27</v>
      </c>
      <c r="D28" t="s">
        <v>2469</v>
      </c>
      <c r="E28">
        <v>27</v>
      </c>
      <c r="S28" s="9">
        <v>10603</v>
      </c>
      <c r="T28" s="9">
        <v>312</v>
      </c>
      <c r="U28" s="9">
        <v>522</v>
      </c>
      <c r="V28" s="9">
        <v>607</v>
      </c>
      <c r="W28" s="9">
        <f t="shared" si="0"/>
        <v>312</v>
      </c>
      <c r="X28" s="9">
        <f t="shared" ref="X28:Y28" si="26">IF(W28&lt;&gt;T28,W28,IF(_xlfn.IFNA(VLOOKUP(T28,$M$2:$N$13,2,FALSE),U28)=0,"xxx",_xlfn.IFNA(VLOOKUP(T28,$M$2:$N$13,2,FALSE),U28)))</f>
        <v>522</v>
      </c>
      <c r="Y28" s="9">
        <f t="shared" si="26"/>
        <v>607</v>
      </c>
    </row>
    <row r="29" spans="3:25" x14ac:dyDescent="0.2">
      <c r="C29">
        <v>28</v>
      </c>
      <c r="D29" t="s">
        <v>2470</v>
      </c>
      <c r="E29">
        <v>28</v>
      </c>
      <c r="S29" s="9">
        <v>10604</v>
      </c>
      <c r="T29" s="9">
        <v>312</v>
      </c>
      <c r="U29" s="9">
        <v>522</v>
      </c>
      <c r="V29" s="9">
        <v>607</v>
      </c>
      <c r="W29" s="9">
        <f t="shared" si="0"/>
        <v>312</v>
      </c>
      <c r="X29" s="9">
        <f t="shared" ref="X29:Y29" si="27">IF(W29&lt;&gt;T29,W29,IF(_xlfn.IFNA(VLOOKUP(T29,$M$2:$N$13,2,FALSE),U29)=0,"xxx",_xlfn.IFNA(VLOOKUP(T29,$M$2:$N$13,2,FALSE),U29)))</f>
        <v>522</v>
      </c>
      <c r="Y29" s="9">
        <f t="shared" si="27"/>
        <v>607</v>
      </c>
    </row>
    <row r="30" spans="3:25" x14ac:dyDescent="0.2">
      <c r="C30">
        <v>29</v>
      </c>
      <c r="D30" t="s">
        <v>2471</v>
      </c>
      <c r="E30">
        <v>29</v>
      </c>
      <c r="S30" s="9">
        <v>10701</v>
      </c>
      <c r="T30" s="9">
        <v>270</v>
      </c>
      <c r="U30" s="9">
        <v>522</v>
      </c>
      <c r="V30" s="9">
        <v>607</v>
      </c>
      <c r="W30" s="9">
        <f t="shared" si="0"/>
        <v>270</v>
      </c>
      <c r="X30" s="9">
        <f t="shared" ref="X30:Y30" si="28">IF(W30&lt;&gt;T30,W30,IF(_xlfn.IFNA(VLOOKUP(T30,$M$2:$N$13,2,FALSE),U30)=0,"xxx",_xlfn.IFNA(VLOOKUP(T30,$M$2:$N$13,2,FALSE),U30)))</f>
        <v>522</v>
      </c>
      <c r="Y30" s="9">
        <f t="shared" si="28"/>
        <v>607</v>
      </c>
    </row>
    <row r="31" spans="3:25" x14ac:dyDescent="0.2">
      <c r="C31">
        <v>30</v>
      </c>
      <c r="D31" t="s">
        <v>2472</v>
      </c>
      <c r="E31">
        <v>30</v>
      </c>
      <c r="S31" s="9">
        <v>10801</v>
      </c>
      <c r="T31" s="9">
        <v>312</v>
      </c>
      <c r="U31" s="9">
        <v>522</v>
      </c>
      <c r="V31" s="9">
        <v>607</v>
      </c>
      <c r="W31" s="9">
        <f t="shared" si="0"/>
        <v>312</v>
      </c>
      <c r="X31" s="9">
        <f t="shared" ref="X31:Y31" si="29">IF(W31&lt;&gt;T31,W31,IF(_xlfn.IFNA(VLOOKUP(T31,$M$2:$N$13,2,FALSE),U31)=0,"xxx",_xlfn.IFNA(VLOOKUP(T31,$M$2:$N$13,2,FALSE),U31)))</f>
        <v>522</v>
      </c>
      <c r="Y31" s="9">
        <f t="shared" si="29"/>
        <v>607</v>
      </c>
    </row>
    <row r="32" spans="3:25" x14ac:dyDescent="0.2">
      <c r="C32">
        <v>31</v>
      </c>
      <c r="D32" t="s">
        <v>2473</v>
      </c>
      <c r="E32">
        <v>31</v>
      </c>
      <c r="S32" s="9">
        <v>10802</v>
      </c>
      <c r="T32" s="9">
        <v>312</v>
      </c>
      <c r="U32" s="9">
        <v>522</v>
      </c>
      <c r="V32" s="9">
        <v>607</v>
      </c>
      <c r="W32" s="9">
        <f t="shared" si="0"/>
        <v>312</v>
      </c>
      <c r="X32" s="9">
        <f t="shared" ref="X32:Y32" si="30">IF(W32&lt;&gt;T32,W32,IF(_xlfn.IFNA(VLOOKUP(T32,$M$2:$N$13,2,FALSE),U32)=0,"xxx",_xlfn.IFNA(VLOOKUP(T32,$M$2:$N$13,2,FALSE),U32)))</f>
        <v>522</v>
      </c>
      <c r="Y32" s="9">
        <f t="shared" si="30"/>
        <v>607</v>
      </c>
    </row>
    <row r="33" spans="3:25" x14ac:dyDescent="0.2">
      <c r="C33">
        <v>32</v>
      </c>
      <c r="D33" t="s">
        <v>2474</v>
      </c>
      <c r="E33">
        <v>32</v>
      </c>
      <c r="S33" s="9">
        <v>10803</v>
      </c>
      <c r="T33" s="9">
        <v>312</v>
      </c>
      <c r="U33" s="9">
        <v>522</v>
      </c>
      <c r="V33" s="9">
        <v>607</v>
      </c>
      <c r="W33" s="9">
        <f t="shared" si="0"/>
        <v>312</v>
      </c>
      <c r="X33" s="9">
        <f t="shared" ref="X33:Y33" si="31">IF(W33&lt;&gt;T33,W33,IF(_xlfn.IFNA(VLOOKUP(T33,$M$2:$N$13,2,FALSE),U33)=0,"xxx",_xlfn.IFNA(VLOOKUP(T33,$M$2:$N$13,2,FALSE),U33)))</f>
        <v>522</v>
      </c>
      <c r="Y33" s="9">
        <f t="shared" si="31"/>
        <v>607</v>
      </c>
    </row>
    <row r="34" spans="3:25" x14ac:dyDescent="0.2">
      <c r="C34">
        <v>33</v>
      </c>
      <c r="D34" t="s">
        <v>2475</v>
      </c>
      <c r="E34">
        <v>33</v>
      </c>
      <c r="S34" s="9">
        <v>10901</v>
      </c>
      <c r="T34" s="9">
        <v>354</v>
      </c>
      <c r="U34" s="9">
        <v>522</v>
      </c>
      <c r="V34" s="9">
        <v>607</v>
      </c>
      <c r="W34" s="9">
        <f t="shared" si="0"/>
        <v>354</v>
      </c>
      <c r="X34" s="9">
        <f t="shared" ref="X34:Y34" si="32">IF(W34&lt;&gt;T34,W34,IF(_xlfn.IFNA(VLOOKUP(T34,$M$2:$N$13,2,FALSE),U34)=0,"xxx",_xlfn.IFNA(VLOOKUP(T34,$M$2:$N$13,2,FALSE),U34)))</f>
        <v>522</v>
      </c>
      <c r="Y34" s="9">
        <f t="shared" si="32"/>
        <v>607</v>
      </c>
    </row>
    <row r="35" spans="3:25" x14ac:dyDescent="0.2">
      <c r="C35">
        <v>34</v>
      </c>
      <c r="D35" t="s">
        <v>2476</v>
      </c>
      <c r="E35">
        <v>34</v>
      </c>
      <c r="S35" s="9">
        <v>10902</v>
      </c>
      <c r="T35" s="9">
        <v>354</v>
      </c>
      <c r="U35" s="9">
        <v>522</v>
      </c>
      <c r="V35" s="9">
        <v>607</v>
      </c>
      <c r="W35" s="9">
        <f t="shared" si="0"/>
        <v>354</v>
      </c>
      <c r="X35" s="9">
        <f t="shared" ref="X35:Y35" si="33">IF(W35&lt;&gt;T35,W35,IF(_xlfn.IFNA(VLOOKUP(T35,$M$2:$N$13,2,FALSE),U35)=0,"xxx",_xlfn.IFNA(VLOOKUP(T35,$M$2:$N$13,2,FALSE),U35)))</f>
        <v>522</v>
      </c>
      <c r="Y35" s="9">
        <f t="shared" si="33"/>
        <v>607</v>
      </c>
    </row>
    <row r="36" spans="3:25" x14ac:dyDescent="0.2">
      <c r="C36">
        <v>35</v>
      </c>
      <c r="D36" t="s">
        <v>2477</v>
      </c>
      <c r="E36">
        <v>35</v>
      </c>
      <c r="S36" s="9">
        <v>10903</v>
      </c>
      <c r="T36" s="9">
        <v>354</v>
      </c>
      <c r="U36" s="9">
        <v>522</v>
      </c>
      <c r="V36" s="9">
        <v>607</v>
      </c>
      <c r="W36" s="9">
        <f t="shared" si="0"/>
        <v>354</v>
      </c>
      <c r="X36" s="9">
        <f t="shared" ref="X36:Y36" si="34">IF(W36&lt;&gt;T36,W36,IF(_xlfn.IFNA(VLOOKUP(T36,$M$2:$N$13,2,FALSE),U36)=0,"xxx",_xlfn.IFNA(VLOOKUP(T36,$M$2:$N$13,2,FALSE),U36)))</f>
        <v>522</v>
      </c>
      <c r="Y36" s="9">
        <f t="shared" si="34"/>
        <v>607</v>
      </c>
    </row>
    <row r="37" spans="3:25" x14ac:dyDescent="0.2">
      <c r="C37">
        <v>36</v>
      </c>
      <c r="D37" t="s">
        <v>2478</v>
      </c>
      <c r="E37">
        <v>36</v>
      </c>
      <c r="S37" s="9">
        <v>11001</v>
      </c>
      <c r="T37" s="9">
        <v>270</v>
      </c>
      <c r="U37" s="9">
        <v>522</v>
      </c>
      <c r="V37" s="9">
        <v>607</v>
      </c>
      <c r="W37" s="9">
        <f t="shared" si="0"/>
        <v>270</v>
      </c>
      <c r="X37" s="9">
        <f t="shared" ref="X37:Y37" si="35">IF(W37&lt;&gt;T37,W37,IF(_xlfn.IFNA(VLOOKUP(T37,$M$2:$N$13,2,FALSE),U37)=0,"xxx",_xlfn.IFNA(VLOOKUP(T37,$M$2:$N$13,2,FALSE),U37)))</f>
        <v>522</v>
      </c>
      <c r="Y37" s="9">
        <f t="shared" si="35"/>
        <v>607</v>
      </c>
    </row>
    <row r="38" spans="3:25" x14ac:dyDescent="0.2">
      <c r="C38">
        <v>37</v>
      </c>
      <c r="D38" t="s">
        <v>2479</v>
      </c>
      <c r="E38">
        <v>37</v>
      </c>
      <c r="S38" s="9">
        <v>11002</v>
      </c>
      <c r="T38" s="9">
        <v>270</v>
      </c>
      <c r="U38" s="9">
        <v>522</v>
      </c>
      <c r="V38" s="9">
        <v>607</v>
      </c>
      <c r="W38" s="9">
        <f t="shared" si="0"/>
        <v>270</v>
      </c>
      <c r="X38" s="9">
        <f t="shared" ref="X38:Y38" si="36">IF(W38&lt;&gt;T38,W38,IF(_xlfn.IFNA(VLOOKUP(T38,$M$2:$N$13,2,FALSE),U38)=0,"xxx",_xlfn.IFNA(VLOOKUP(T38,$M$2:$N$13,2,FALSE),U38)))</f>
        <v>522</v>
      </c>
      <c r="Y38" s="9">
        <f t="shared" si="36"/>
        <v>607</v>
      </c>
    </row>
    <row r="39" spans="3:25" x14ac:dyDescent="0.2">
      <c r="C39">
        <v>38</v>
      </c>
      <c r="D39" t="s">
        <v>2480</v>
      </c>
      <c r="E39">
        <v>38</v>
      </c>
      <c r="S39" s="9">
        <v>11101</v>
      </c>
      <c r="T39" s="9">
        <v>270</v>
      </c>
      <c r="U39" s="9">
        <v>522</v>
      </c>
      <c r="V39" s="9">
        <v>607</v>
      </c>
      <c r="W39" s="9">
        <f t="shared" si="0"/>
        <v>270</v>
      </c>
      <c r="X39" s="9">
        <f t="shared" ref="X39:Y39" si="37">IF(W39&lt;&gt;T39,W39,IF(_xlfn.IFNA(VLOOKUP(T39,$M$2:$N$13,2,FALSE),U39)=0,"xxx",_xlfn.IFNA(VLOOKUP(T39,$M$2:$N$13,2,FALSE),U39)))</f>
        <v>522</v>
      </c>
      <c r="Y39" s="9">
        <f t="shared" si="37"/>
        <v>607</v>
      </c>
    </row>
    <row r="40" spans="3:25" x14ac:dyDescent="0.2">
      <c r="C40">
        <v>39</v>
      </c>
      <c r="D40" t="s">
        <v>2481</v>
      </c>
      <c r="E40">
        <v>39</v>
      </c>
      <c r="S40" s="9">
        <v>11201</v>
      </c>
      <c r="T40" s="9">
        <v>270</v>
      </c>
      <c r="U40" s="9">
        <v>522</v>
      </c>
      <c r="V40" s="9">
        <v>607</v>
      </c>
      <c r="W40" s="9">
        <f t="shared" si="0"/>
        <v>270</v>
      </c>
      <c r="X40" s="9">
        <f t="shared" ref="X40:Y40" si="38">IF(W40&lt;&gt;T40,W40,IF(_xlfn.IFNA(VLOOKUP(T40,$M$2:$N$13,2,FALSE),U40)=0,"xxx",_xlfn.IFNA(VLOOKUP(T40,$M$2:$N$13,2,FALSE),U40)))</f>
        <v>522</v>
      </c>
      <c r="Y40" s="9">
        <f t="shared" si="38"/>
        <v>607</v>
      </c>
    </row>
    <row r="41" spans="3:25" x14ac:dyDescent="0.2">
      <c r="C41">
        <v>40</v>
      </c>
      <c r="D41" t="s">
        <v>2482</v>
      </c>
      <c r="E41">
        <v>40</v>
      </c>
      <c r="S41" s="9">
        <v>11301</v>
      </c>
      <c r="T41" s="9">
        <v>270</v>
      </c>
      <c r="U41" s="9">
        <v>522</v>
      </c>
      <c r="V41" s="9">
        <v>607</v>
      </c>
      <c r="W41" s="9">
        <f t="shared" si="0"/>
        <v>270</v>
      </c>
      <c r="X41" s="9">
        <f t="shared" ref="X41:Y41" si="39">IF(W41&lt;&gt;T41,W41,IF(_xlfn.IFNA(VLOOKUP(T41,$M$2:$N$13,2,FALSE),U41)=0,"xxx",_xlfn.IFNA(VLOOKUP(T41,$M$2:$N$13,2,FALSE),U41)))</f>
        <v>522</v>
      </c>
      <c r="Y41" s="9">
        <f t="shared" si="39"/>
        <v>607</v>
      </c>
    </row>
    <row r="42" spans="3:25" x14ac:dyDescent="0.2">
      <c r="C42">
        <v>41</v>
      </c>
      <c r="D42" t="s">
        <v>2483</v>
      </c>
      <c r="E42">
        <v>41</v>
      </c>
      <c r="S42" s="9">
        <v>11302</v>
      </c>
      <c r="T42" s="9">
        <v>270</v>
      </c>
      <c r="U42" s="9">
        <v>522</v>
      </c>
      <c r="V42" s="9">
        <v>607</v>
      </c>
      <c r="W42" s="9">
        <f t="shared" si="0"/>
        <v>270</v>
      </c>
      <c r="X42" s="9">
        <f t="shared" ref="X42:Y42" si="40">IF(W42&lt;&gt;T42,W42,IF(_xlfn.IFNA(VLOOKUP(T42,$M$2:$N$13,2,FALSE),U42)=0,"xxx",_xlfn.IFNA(VLOOKUP(T42,$M$2:$N$13,2,FALSE),U42)))</f>
        <v>522</v>
      </c>
      <c r="Y42" s="9">
        <f t="shared" si="40"/>
        <v>607</v>
      </c>
    </row>
    <row r="43" spans="3:25" x14ac:dyDescent="0.2">
      <c r="C43">
        <v>42</v>
      </c>
      <c r="D43" t="s">
        <v>2484</v>
      </c>
      <c r="E43">
        <v>42</v>
      </c>
      <c r="S43" s="9">
        <v>11303</v>
      </c>
      <c r="T43" s="9">
        <v>270</v>
      </c>
      <c r="U43" s="9">
        <v>522</v>
      </c>
      <c r="V43" s="9">
        <v>607</v>
      </c>
      <c r="W43" s="9">
        <f t="shared" si="0"/>
        <v>270</v>
      </c>
      <c r="X43" s="9">
        <f t="shared" ref="X43:Y43" si="41">IF(W43&lt;&gt;T43,W43,IF(_xlfn.IFNA(VLOOKUP(T43,$M$2:$N$13,2,FALSE),U43)=0,"xxx",_xlfn.IFNA(VLOOKUP(T43,$M$2:$N$13,2,FALSE),U43)))</f>
        <v>522</v>
      </c>
      <c r="Y43" s="9">
        <f t="shared" si="41"/>
        <v>607</v>
      </c>
    </row>
    <row r="44" spans="3:25" x14ac:dyDescent="0.2">
      <c r="C44">
        <v>43</v>
      </c>
      <c r="D44" t="s">
        <v>2485</v>
      </c>
      <c r="E44">
        <v>43</v>
      </c>
      <c r="S44" s="9">
        <v>11401</v>
      </c>
      <c r="T44" s="9">
        <v>270</v>
      </c>
      <c r="U44" s="9">
        <v>270</v>
      </c>
      <c r="V44" s="9">
        <v>270</v>
      </c>
      <c r="W44" s="9">
        <f t="shared" si="0"/>
        <v>270</v>
      </c>
      <c r="X44" s="9">
        <f t="shared" ref="X44:Y44" si="42">IF(W44&lt;&gt;T44,W44,IF(_xlfn.IFNA(VLOOKUP(T44,$M$2:$N$13,2,FALSE),U44)=0,"xxx",_xlfn.IFNA(VLOOKUP(T44,$M$2:$N$13,2,FALSE),U44)))</f>
        <v>270</v>
      </c>
      <c r="Y44" s="9">
        <f t="shared" si="42"/>
        <v>270</v>
      </c>
    </row>
    <row r="45" spans="3:25" x14ac:dyDescent="0.2">
      <c r="C45">
        <v>44</v>
      </c>
      <c r="D45" t="s">
        <v>2486</v>
      </c>
      <c r="E45">
        <v>44</v>
      </c>
      <c r="S45" s="9">
        <v>11501</v>
      </c>
      <c r="T45" s="9">
        <v>270</v>
      </c>
      <c r="U45" s="9">
        <v>522</v>
      </c>
      <c r="V45" s="9">
        <v>607</v>
      </c>
      <c r="W45" s="9">
        <f t="shared" si="0"/>
        <v>270</v>
      </c>
      <c r="X45" s="9">
        <f t="shared" ref="X45:Y45" si="43">IF(W45&lt;&gt;T45,W45,IF(_xlfn.IFNA(VLOOKUP(T45,$M$2:$N$13,2,FALSE),U45)=0,"xxx",_xlfn.IFNA(VLOOKUP(T45,$M$2:$N$13,2,FALSE),U45)))</f>
        <v>522</v>
      </c>
      <c r="Y45" s="9">
        <f t="shared" si="43"/>
        <v>607</v>
      </c>
    </row>
    <row r="46" spans="3:25" x14ac:dyDescent="0.2">
      <c r="C46">
        <v>45</v>
      </c>
      <c r="D46" t="s">
        <v>2487</v>
      </c>
      <c r="E46">
        <v>45</v>
      </c>
      <c r="S46" s="9">
        <v>11601</v>
      </c>
      <c r="T46" s="9">
        <v>270</v>
      </c>
      <c r="U46" s="9">
        <v>522</v>
      </c>
      <c r="V46" s="9">
        <v>607</v>
      </c>
      <c r="W46" s="9">
        <f t="shared" si="0"/>
        <v>270</v>
      </c>
      <c r="X46" s="9">
        <f t="shared" ref="X46:Y46" si="44">IF(W46&lt;&gt;T46,W46,IF(_xlfn.IFNA(VLOOKUP(T46,$M$2:$N$13,2,FALSE),U46)=0,"xxx",_xlfn.IFNA(VLOOKUP(T46,$M$2:$N$13,2,FALSE),U46)))</f>
        <v>522</v>
      </c>
      <c r="Y46" s="9">
        <f t="shared" si="44"/>
        <v>607</v>
      </c>
    </row>
    <row r="47" spans="3:25" x14ac:dyDescent="0.2">
      <c r="C47">
        <v>46</v>
      </c>
      <c r="D47" t="s">
        <v>2488</v>
      </c>
      <c r="E47">
        <v>46</v>
      </c>
      <c r="S47" s="9">
        <v>11801</v>
      </c>
      <c r="T47" s="9">
        <v>270</v>
      </c>
      <c r="U47" s="9">
        <v>522</v>
      </c>
      <c r="V47" s="9">
        <v>607</v>
      </c>
      <c r="W47" s="9">
        <f t="shared" si="0"/>
        <v>270</v>
      </c>
      <c r="X47" s="9">
        <f t="shared" ref="X47:Y47" si="45">IF(W47&lt;&gt;T47,W47,IF(_xlfn.IFNA(VLOOKUP(T47,$M$2:$N$13,2,FALSE),U47)=0,"xxx",_xlfn.IFNA(VLOOKUP(T47,$M$2:$N$13,2,FALSE),U47)))</f>
        <v>522</v>
      </c>
      <c r="Y47" s="9">
        <f t="shared" si="45"/>
        <v>607</v>
      </c>
    </row>
    <row r="48" spans="3:25" x14ac:dyDescent="0.2">
      <c r="C48">
        <v>47</v>
      </c>
      <c r="D48" t="s">
        <v>2489</v>
      </c>
      <c r="E48">
        <v>47</v>
      </c>
      <c r="S48" s="9">
        <v>11901</v>
      </c>
      <c r="T48" s="9">
        <v>270</v>
      </c>
      <c r="U48" s="9">
        <v>522</v>
      </c>
      <c r="V48" s="9">
        <v>607</v>
      </c>
      <c r="W48" s="9">
        <f t="shared" si="0"/>
        <v>270</v>
      </c>
      <c r="X48" s="9">
        <f t="shared" ref="X48:Y48" si="46">IF(W48&lt;&gt;T48,W48,IF(_xlfn.IFNA(VLOOKUP(T48,$M$2:$N$13,2,FALSE),U48)=0,"xxx",_xlfn.IFNA(VLOOKUP(T48,$M$2:$N$13,2,FALSE),U48)))</f>
        <v>522</v>
      </c>
      <c r="Y48" s="9">
        <f t="shared" si="46"/>
        <v>607</v>
      </c>
    </row>
    <row r="49" spans="3:25" x14ac:dyDescent="0.2">
      <c r="C49">
        <v>48</v>
      </c>
      <c r="D49" t="s">
        <v>2490</v>
      </c>
      <c r="E49">
        <v>48</v>
      </c>
      <c r="S49" s="9">
        <v>12001</v>
      </c>
      <c r="T49" s="9">
        <v>270</v>
      </c>
      <c r="U49" s="9">
        <v>522</v>
      </c>
      <c r="V49" s="9">
        <v>607</v>
      </c>
      <c r="W49" s="9">
        <f t="shared" si="0"/>
        <v>270</v>
      </c>
      <c r="X49" s="9">
        <f t="shared" ref="X49:Y49" si="47">IF(W49&lt;&gt;T49,W49,IF(_xlfn.IFNA(VLOOKUP(T49,$M$2:$N$13,2,FALSE),U49)=0,"xxx",_xlfn.IFNA(VLOOKUP(T49,$M$2:$N$13,2,FALSE),U49)))</f>
        <v>522</v>
      </c>
      <c r="Y49" s="9">
        <f t="shared" si="47"/>
        <v>607</v>
      </c>
    </row>
    <row r="50" spans="3:25" x14ac:dyDescent="0.2">
      <c r="C50">
        <v>49</v>
      </c>
      <c r="D50" t="s">
        <v>2491</v>
      </c>
      <c r="E50">
        <v>49</v>
      </c>
      <c r="S50" s="9">
        <v>12002</v>
      </c>
      <c r="T50" s="9">
        <v>270</v>
      </c>
      <c r="U50" s="9">
        <v>522</v>
      </c>
      <c r="V50" s="9">
        <v>607</v>
      </c>
      <c r="W50" s="9">
        <f t="shared" si="0"/>
        <v>270</v>
      </c>
      <c r="X50" s="9">
        <f t="shared" ref="X50:Y50" si="48">IF(W50&lt;&gt;T50,W50,IF(_xlfn.IFNA(VLOOKUP(T50,$M$2:$N$13,2,FALSE),U50)=0,"xxx",_xlfn.IFNA(VLOOKUP(T50,$M$2:$N$13,2,FALSE),U50)))</f>
        <v>522</v>
      </c>
      <c r="Y50" s="9">
        <f t="shared" si="48"/>
        <v>607</v>
      </c>
    </row>
    <row r="51" spans="3:25" x14ac:dyDescent="0.2">
      <c r="C51">
        <v>50</v>
      </c>
      <c r="D51" t="s">
        <v>2492</v>
      </c>
      <c r="E51">
        <v>50</v>
      </c>
      <c r="S51" s="9">
        <v>12003</v>
      </c>
      <c r="T51" s="9">
        <v>270</v>
      </c>
      <c r="U51" s="9">
        <v>522</v>
      </c>
      <c r="V51" s="9">
        <v>607</v>
      </c>
      <c r="W51" s="9">
        <f t="shared" si="0"/>
        <v>270</v>
      </c>
      <c r="X51" s="9">
        <f t="shared" ref="X51:Y51" si="49">IF(W51&lt;&gt;T51,W51,IF(_xlfn.IFNA(VLOOKUP(T51,$M$2:$N$13,2,FALSE),U51)=0,"xxx",_xlfn.IFNA(VLOOKUP(T51,$M$2:$N$13,2,FALSE),U51)))</f>
        <v>522</v>
      </c>
      <c r="Y51" s="9">
        <f t="shared" si="49"/>
        <v>607</v>
      </c>
    </row>
    <row r="52" spans="3:25" x14ac:dyDescent="0.2">
      <c r="C52">
        <v>51</v>
      </c>
      <c r="D52" t="s">
        <v>2493</v>
      </c>
      <c r="E52">
        <v>51</v>
      </c>
      <c r="S52" s="9">
        <v>12101</v>
      </c>
      <c r="T52" s="9">
        <v>312</v>
      </c>
      <c r="U52" s="9">
        <v>522</v>
      </c>
      <c r="V52" s="9">
        <v>607</v>
      </c>
      <c r="W52" s="9">
        <f t="shared" si="0"/>
        <v>312</v>
      </c>
      <c r="X52" s="9">
        <f t="shared" ref="X52:Y52" si="50">IF(W52&lt;&gt;T52,W52,IF(_xlfn.IFNA(VLOOKUP(T52,$M$2:$N$13,2,FALSE),U52)=0,"xxx",_xlfn.IFNA(VLOOKUP(T52,$M$2:$N$13,2,FALSE),U52)))</f>
        <v>522</v>
      </c>
      <c r="Y52" s="9">
        <f t="shared" si="50"/>
        <v>607</v>
      </c>
    </row>
    <row r="53" spans="3:25" x14ac:dyDescent="0.2">
      <c r="C53">
        <v>52</v>
      </c>
      <c r="D53" t="s">
        <v>2494</v>
      </c>
      <c r="E53">
        <v>52</v>
      </c>
      <c r="S53" s="9">
        <v>12102</v>
      </c>
      <c r="T53" s="9">
        <v>312</v>
      </c>
      <c r="U53" s="9">
        <v>522</v>
      </c>
      <c r="V53" s="9">
        <v>607</v>
      </c>
      <c r="W53" s="9">
        <f t="shared" si="0"/>
        <v>312</v>
      </c>
      <c r="X53" s="9">
        <f t="shared" ref="X53:Y53" si="51">IF(W53&lt;&gt;T53,W53,IF(_xlfn.IFNA(VLOOKUP(T53,$M$2:$N$13,2,FALSE),U53)=0,"xxx",_xlfn.IFNA(VLOOKUP(T53,$M$2:$N$13,2,FALSE),U53)))</f>
        <v>522</v>
      </c>
      <c r="Y53" s="9">
        <f t="shared" si="51"/>
        <v>607</v>
      </c>
    </row>
    <row r="54" spans="3:25" x14ac:dyDescent="0.2">
      <c r="C54">
        <v>53</v>
      </c>
      <c r="D54" t="s">
        <v>2495</v>
      </c>
      <c r="E54">
        <v>53</v>
      </c>
      <c r="S54" s="9">
        <v>12201</v>
      </c>
      <c r="T54" s="9">
        <v>270</v>
      </c>
      <c r="U54" s="9">
        <v>522</v>
      </c>
      <c r="V54" s="9">
        <v>607</v>
      </c>
      <c r="W54" s="9">
        <f t="shared" si="0"/>
        <v>270</v>
      </c>
      <c r="X54" s="9">
        <f t="shared" ref="X54:Y54" si="52">IF(W54&lt;&gt;T54,W54,IF(_xlfn.IFNA(VLOOKUP(T54,$M$2:$N$13,2,FALSE),U54)=0,"xxx",_xlfn.IFNA(VLOOKUP(T54,$M$2:$N$13,2,FALSE),U54)))</f>
        <v>522</v>
      </c>
      <c r="Y54" s="9">
        <f t="shared" si="52"/>
        <v>607</v>
      </c>
    </row>
    <row r="55" spans="3:25" x14ac:dyDescent="0.2">
      <c r="C55">
        <v>54</v>
      </c>
      <c r="D55" t="s">
        <v>2496</v>
      </c>
      <c r="E55">
        <v>54</v>
      </c>
      <c r="S55" s="9">
        <v>12202</v>
      </c>
      <c r="T55" s="9">
        <v>270</v>
      </c>
      <c r="U55" s="9">
        <v>522</v>
      </c>
      <c r="V55" s="9">
        <v>607</v>
      </c>
      <c r="W55" s="9">
        <f t="shared" si="0"/>
        <v>270</v>
      </c>
      <c r="X55" s="9">
        <f t="shared" ref="X55:Y55" si="53">IF(W55&lt;&gt;T55,W55,IF(_xlfn.IFNA(VLOOKUP(T55,$M$2:$N$13,2,FALSE),U55)=0,"xxx",_xlfn.IFNA(VLOOKUP(T55,$M$2:$N$13,2,FALSE),U55)))</f>
        <v>522</v>
      </c>
      <c r="Y55" s="9">
        <f t="shared" si="53"/>
        <v>607</v>
      </c>
    </row>
    <row r="56" spans="3:25" x14ac:dyDescent="0.2">
      <c r="C56">
        <v>55</v>
      </c>
      <c r="D56" t="s">
        <v>2497</v>
      </c>
      <c r="E56">
        <v>55</v>
      </c>
      <c r="S56" s="9">
        <v>12203</v>
      </c>
      <c r="T56" s="9">
        <v>270</v>
      </c>
      <c r="U56" s="9">
        <v>522</v>
      </c>
      <c r="V56" s="9">
        <v>607</v>
      </c>
      <c r="W56" s="9">
        <f t="shared" si="0"/>
        <v>270</v>
      </c>
      <c r="X56" s="9">
        <f t="shared" ref="X56:Y56" si="54">IF(W56&lt;&gt;T56,W56,IF(_xlfn.IFNA(VLOOKUP(T56,$M$2:$N$13,2,FALSE),U56)=0,"xxx",_xlfn.IFNA(VLOOKUP(T56,$M$2:$N$13,2,FALSE),U56)))</f>
        <v>522</v>
      </c>
      <c r="Y56" s="9">
        <f t="shared" si="54"/>
        <v>607</v>
      </c>
    </row>
    <row r="57" spans="3:25" x14ac:dyDescent="0.2">
      <c r="C57">
        <v>56</v>
      </c>
      <c r="D57" t="s">
        <v>2498</v>
      </c>
      <c r="E57">
        <v>56</v>
      </c>
      <c r="S57" s="9">
        <v>12301</v>
      </c>
      <c r="T57" s="9">
        <v>270</v>
      </c>
      <c r="U57" s="9">
        <v>522</v>
      </c>
      <c r="V57" s="9">
        <v>607</v>
      </c>
      <c r="W57" s="9">
        <f t="shared" si="0"/>
        <v>270</v>
      </c>
      <c r="X57" s="9">
        <f t="shared" ref="X57:Y57" si="55">IF(W57&lt;&gt;T57,W57,IF(_xlfn.IFNA(VLOOKUP(T57,$M$2:$N$13,2,FALSE),U57)=0,"xxx",_xlfn.IFNA(VLOOKUP(T57,$M$2:$N$13,2,FALSE),U57)))</f>
        <v>522</v>
      </c>
      <c r="Y57" s="9">
        <f t="shared" si="55"/>
        <v>607</v>
      </c>
    </row>
    <row r="58" spans="3:25" x14ac:dyDescent="0.2">
      <c r="C58">
        <v>57</v>
      </c>
      <c r="D58" t="s">
        <v>2499</v>
      </c>
      <c r="E58">
        <v>57</v>
      </c>
      <c r="S58" s="9">
        <v>12302</v>
      </c>
      <c r="T58" s="9">
        <v>270</v>
      </c>
      <c r="U58" s="9">
        <v>522</v>
      </c>
      <c r="V58" s="9">
        <v>607</v>
      </c>
      <c r="W58" s="9">
        <f t="shared" si="0"/>
        <v>270</v>
      </c>
      <c r="X58" s="9">
        <f t="shared" ref="X58:Y58" si="56">IF(W58&lt;&gt;T58,W58,IF(_xlfn.IFNA(VLOOKUP(T58,$M$2:$N$13,2,FALSE),U58)=0,"xxx",_xlfn.IFNA(VLOOKUP(T58,$M$2:$N$13,2,FALSE),U58)))</f>
        <v>522</v>
      </c>
      <c r="Y58" s="9">
        <f t="shared" si="56"/>
        <v>607</v>
      </c>
    </row>
    <row r="59" spans="3:25" x14ac:dyDescent="0.2">
      <c r="C59">
        <v>58</v>
      </c>
      <c r="D59" t="s">
        <v>2500</v>
      </c>
      <c r="E59">
        <v>58</v>
      </c>
      <c r="S59" s="9">
        <v>12401</v>
      </c>
      <c r="T59" s="9">
        <v>270</v>
      </c>
      <c r="U59" s="9">
        <v>522</v>
      </c>
      <c r="V59" s="9">
        <v>607</v>
      </c>
      <c r="W59" s="9">
        <f t="shared" si="0"/>
        <v>270</v>
      </c>
      <c r="X59" s="9">
        <f t="shared" ref="X59:Y59" si="57">IF(W59&lt;&gt;T59,W59,IF(_xlfn.IFNA(VLOOKUP(T59,$M$2:$N$13,2,FALSE),U59)=0,"xxx",_xlfn.IFNA(VLOOKUP(T59,$M$2:$N$13,2,FALSE),U59)))</f>
        <v>522</v>
      </c>
      <c r="Y59" s="9">
        <f t="shared" si="57"/>
        <v>607</v>
      </c>
    </row>
    <row r="60" spans="3:25" x14ac:dyDescent="0.2">
      <c r="C60">
        <v>59</v>
      </c>
      <c r="D60" t="s">
        <v>2501</v>
      </c>
      <c r="E60">
        <v>59</v>
      </c>
      <c r="S60" s="9">
        <v>12402</v>
      </c>
      <c r="T60" s="9">
        <v>270</v>
      </c>
      <c r="U60" s="9">
        <v>522</v>
      </c>
      <c r="V60" s="9">
        <v>607</v>
      </c>
      <c r="W60" s="9">
        <f t="shared" si="0"/>
        <v>270</v>
      </c>
      <c r="X60" s="9">
        <f t="shared" ref="X60:Y60" si="58">IF(W60&lt;&gt;T60,W60,IF(_xlfn.IFNA(VLOOKUP(T60,$M$2:$N$13,2,FALSE),U60)=0,"xxx",_xlfn.IFNA(VLOOKUP(T60,$M$2:$N$13,2,FALSE),U60)))</f>
        <v>522</v>
      </c>
      <c r="Y60" s="9">
        <f t="shared" si="58"/>
        <v>607</v>
      </c>
    </row>
    <row r="61" spans="3:25" x14ac:dyDescent="0.2">
      <c r="C61">
        <v>60</v>
      </c>
      <c r="D61" t="s">
        <v>2502</v>
      </c>
      <c r="E61">
        <v>60</v>
      </c>
      <c r="S61" s="9">
        <v>12403</v>
      </c>
      <c r="T61" s="9">
        <v>270</v>
      </c>
      <c r="U61" s="9">
        <v>522</v>
      </c>
      <c r="V61" s="9">
        <v>607</v>
      </c>
      <c r="W61" s="9">
        <f t="shared" si="0"/>
        <v>270</v>
      </c>
      <c r="X61" s="9">
        <f t="shared" ref="X61:Y61" si="59">IF(W61&lt;&gt;T61,W61,IF(_xlfn.IFNA(VLOOKUP(T61,$M$2:$N$13,2,FALSE),U61)=0,"xxx",_xlfn.IFNA(VLOOKUP(T61,$M$2:$N$13,2,FALSE),U61)))</f>
        <v>522</v>
      </c>
      <c r="Y61" s="9">
        <f t="shared" si="59"/>
        <v>607</v>
      </c>
    </row>
    <row r="62" spans="3:25" x14ac:dyDescent="0.2">
      <c r="C62">
        <v>61</v>
      </c>
      <c r="D62" t="s">
        <v>2503</v>
      </c>
      <c r="E62">
        <v>61</v>
      </c>
      <c r="S62" s="9">
        <v>12501</v>
      </c>
      <c r="T62" s="9">
        <v>270</v>
      </c>
      <c r="U62" s="9">
        <v>522</v>
      </c>
      <c r="V62" s="9">
        <v>607</v>
      </c>
      <c r="W62" s="9">
        <f t="shared" si="0"/>
        <v>270</v>
      </c>
      <c r="X62" s="9">
        <f t="shared" ref="X62:Y62" si="60">IF(W62&lt;&gt;T62,W62,IF(_xlfn.IFNA(VLOOKUP(T62,$M$2:$N$13,2,FALSE),U62)=0,"xxx",_xlfn.IFNA(VLOOKUP(T62,$M$2:$N$13,2,FALSE),U62)))</f>
        <v>522</v>
      </c>
      <c r="Y62" s="9">
        <f t="shared" si="60"/>
        <v>607</v>
      </c>
    </row>
    <row r="63" spans="3:25" x14ac:dyDescent="0.2">
      <c r="C63">
        <v>62</v>
      </c>
      <c r="D63" t="s">
        <v>2504</v>
      </c>
      <c r="E63">
        <v>62</v>
      </c>
      <c r="S63" s="9">
        <v>12502</v>
      </c>
      <c r="T63" s="9">
        <v>270</v>
      </c>
      <c r="U63" s="9">
        <v>522</v>
      </c>
      <c r="V63" s="9">
        <v>607</v>
      </c>
      <c r="W63" s="9">
        <f t="shared" si="0"/>
        <v>270</v>
      </c>
      <c r="X63" s="9">
        <f t="shared" ref="X63:Y63" si="61">IF(W63&lt;&gt;T63,W63,IF(_xlfn.IFNA(VLOOKUP(T63,$M$2:$N$13,2,FALSE),U63)=0,"xxx",_xlfn.IFNA(VLOOKUP(T63,$M$2:$N$13,2,FALSE),U63)))</f>
        <v>522</v>
      </c>
      <c r="Y63" s="9">
        <f t="shared" si="61"/>
        <v>607</v>
      </c>
    </row>
    <row r="64" spans="3:25" x14ac:dyDescent="0.2">
      <c r="C64">
        <v>63</v>
      </c>
      <c r="D64" t="s">
        <v>2505</v>
      </c>
      <c r="E64">
        <v>63</v>
      </c>
      <c r="S64" s="9">
        <v>12701</v>
      </c>
      <c r="T64" s="9">
        <v>270</v>
      </c>
      <c r="U64" s="9">
        <v>522</v>
      </c>
      <c r="V64" s="9">
        <v>607</v>
      </c>
      <c r="W64" s="9">
        <f t="shared" si="0"/>
        <v>270</v>
      </c>
      <c r="X64" s="9">
        <f t="shared" ref="X64:Y64" si="62">IF(W64&lt;&gt;T64,W64,IF(_xlfn.IFNA(VLOOKUP(T64,$M$2:$N$13,2,FALSE),U64)=0,"xxx",_xlfn.IFNA(VLOOKUP(T64,$M$2:$N$13,2,FALSE),U64)))</f>
        <v>522</v>
      </c>
      <c r="Y64" s="9">
        <f t="shared" si="62"/>
        <v>607</v>
      </c>
    </row>
    <row r="65" spans="3:25" x14ac:dyDescent="0.2">
      <c r="C65">
        <v>64</v>
      </c>
      <c r="D65" t="s">
        <v>2506</v>
      </c>
      <c r="E65">
        <v>64</v>
      </c>
      <c r="S65" s="9">
        <v>12702</v>
      </c>
      <c r="T65" s="9">
        <v>270</v>
      </c>
      <c r="U65" s="9">
        <v>522</v>
      </c>
      <c r="V65" s="9">
        <v>607</v>
      </c>
      <c r="W65" s="9">
        <f t="shared" si="0"/>
        <v>270</v>
      </c>
      <c r="X65" s="9">
        <f t="shared" ref="X65:Y65" si="63">IF(W65&lt;&gt;T65,W65,IF(_xlfn.IFNA(VLOOKUP(T65,$M$2:$N$13,2,FALSE),U65)=0,"xxx",_xlfn.IFNA(VLOOKUP(T65,$M$2:$N$13,2,FALSE),U65)))</f>
        <v>522</v>
      </c>
      <c r="Y65" s="9">
        <f t="shared" si="63"/>
        <v>607</v>
      </c>
    </row>
    <row r="66" spans="3:25" x14ac:dyDescent="0.2">
      <c r="C66">
        <v>65</v>
      </c>
      <c r="D66" t="s">
        <v>2507</v>
      </c>
      <c r="E66">
        <v>65</v>
      </c>
      <c r="S66" s="9">
        <v>12703</v>
      </c>
      <c r="T66" s="9">
        <v>270</v>
      </c>
      <c r="U66" s="9">
        <v>522</v>
      </c>
      <c r="V66" s="9">
        <v>607</v>
      </c>
      <c r="W66" s="9">
        <f t="shared" si="0"/>
        <v>270</v>
      </c>
      <c r="X66" s="9">
        <f t="shared" ref="X66:Y66" si="64">IF(W66&lt;&gt;T66,W66,IF(_xlfn.IFNA(VLOOKUP(T66,$M$2:$N$13,2,FALSE),U66)=0,"xxx",_xlfn.IFNA(VLOOKUP(T66,$M$2:$N$13,2,FALSE),U66)))</f>
        <v>522</v>
      </c>
      <c r="Y66" s="9">
        <f t="shared" si="64"/>
        <v>607</v>
      </c>
    </row>
    <row r="67" spans="3:25" x14ac:dyDescent="0.2">
      <c r="C67">
        <v>66</v>
      </c>
      <c r="D67" t="s">
        <v>2508</v>
      </c>
      <c r="E67">
        <v>66</v>
      </c>
      <c r="S67" s="9">
        <v>12801</v>
      </c>
      <c r="T67" s="9">
        <v>781</v>
      </c>
      <c r="U67" s="9">
        <v>781</v>
      </c>
      <c r="V67" s="9">
        <v>781</v>
      </c>
      <c r="W67" s="9">
        <f t="shared" ref="W67:W130" si="65">IF(_xlfn.IFNA(VLOOKUP(S67,$M$2:$N$13,2,FALSE),T67)=0,"xxx",_xlfn.IFNA(VLOOKUP(S67,$M$2:$N$13,2,FALSE),T67))</f>
        <v>781</v>
      </c>
      <c r="X67" s="9">
        <f t="shared" ref="X67:Y67" si="66">IF(W67&lt;&gt;T67,W67,IF(_xlfn.IFNA(VLOOKUP(T67,$M$2:$N$13,2,FALSE),U67)=0,"xxx",_xlfn.IFNA(VLOOKUP(T67,$M$2:$N$13,2,FALSE),U67)))</f>
        <v>781</v>
      </c>
      <c r="Y67" s="9">
        <f t="shared" si="66"/>
        <v>781</v>
      </c>
    </row>
    <row r="68" spans="3:25" x14ac:dyDescent="0.2">
      <c r="C68">
        <v>67</v>
      </c>
      <c r="D68" t="s">
        <v>2509</v>
      </c>
      <c r="E68">
        <v>67</v>
      </c>
      <c r="S68" s="9">
        <v>12901</v>
      </c>
      <c r="T68" s="9">
        <v>312</v>
      </c>
      <c r="U68" s="9">
        <v>522</v>
      </c>
      <c r="V68" s="9">
        <v>607</v>
      </c>
      <c r="W68" s="9">
        <f t="shared" si="65"/>
        <v>312</v>
      </c>
      <c r="X68" s="9">
        <f t="shared" ref="X68:Y68" si="67">IF(W68&lt;&gt;T68,W68,IF(_xlfn.IFNA(VLOOKUP(T68,$M$2:$N$13,2,FALSE),U68)=0,"xxx",_xlfn.IFNA(VLOOKUP(T68,$M$2:$N$13,2,FALSE),U68)))</f>
        <v>522</v>
      </c>
      <c r="Y68" s="9">
        <f t="shared" si="67"/>
        <v>607</v>
      </c>
    </row>
    <row r="69" spans="3:25" x14ac:dyDescent="0.2">
      <c r="C69">
        <v>68</v>
      </c>
      <c r="D69" t="s">
        <v>2510</v>
      </c>
      <c r="E69">
        <v>68</v>
      </c>
      <c r="S69" s="9">
        <v>13101</v>
      </c>
      <c r="T69" s="9">
        <v>781</v>
      </c>
      <c r="U69" s="9">
        <v>781</v>
      </c>
      <c r="V69" s="9">
        <v>781</v>
      </c>
      <c r="W69" s="9">
        <f t="shared" si="65"/>
        <v>781</v>
      </c>
      <c r="X69" s="9">
        <f t="shared" ref="X69:Y69" si="68">IF(W69&lt;&gt;T69,W69,IF(_xlfn.IFNA(VLOOKUP(T69,$M$2:$N$13,2,FALSE),U69)=0,"xxx",_xlfn.IFNA(VLOOKUP(T69,$M$2:$N$13,2,FALSE),U69)))</f>
        <v>781</v>
      </c>
      <c r="Y69" s="9">
        <f t="shared" si="68"/>
        <v>781</v>
      </c>
    </row>
    <row r="70" spans="3:25" x14ac:dyDescent="0.2">
      <c r="C70">
        <v>69</v>
      </c>
      <c r="D70" t="s">
        <v>2511</v>
      </c>
      <c r="E70">
        <v>69</v>
      </c>
      <c r="S70" s="9">
        <v>13201</v>
      </c>
      <c r="T70" s="9">
        <v>781</v>
      </c>
      <c r="U70" s="9">
        <v>781</v>
      </c>
      <c r="V70" s="9">
        <v>781</v>
      </c>
      <c r="W70" s="9">
        <f t="shared" si="65"/>
        <v>781</v>
      </c>
      <c r="X70" s="9">
        <f t="shared" ref="X70:Y70" si="69">IF(W70&lt;&gt;T70,W70,IF(_xlfn.IFNA(VLOOKUP(T70,$M$2:$N$13,2,FALSE),U70)=0,"xxx",_xlfn.IFNA(VLOOKUP(T70,$M$2:$N$13,2,FALSE),U70)))</f>
        <v>781</v>
      </c>
      <c r="Y70" s="9">
        <f t="shared" si="69"/>
        <v>781</v>
      </c>
    </row>
    <row r="71" spans="3:25" x14ac:dyDescent="0.2">
      <c r="C71">
        <v>70</v>
      </c>
      <c r="D71" t="s">
        <v>2512</v>
      </c>
      <c r="E71">
        <v>70</v>
      </c>
      <c r="S71" s="9">
        <v>13301</v>
      </c>
      <c r="T71" s="9">
        <v>781</v>
      </c>
      <c r="U71" s="9">
        <v>781</v>
      </c>
      <c r="V71" s="9">
        <v>781</v>
      </c>
      <c r="W71" s="9">
        <f t="shared" si="65"/>
        <v>781</v>
      </c>
      <c r="X71" s="9">
        <f t="shared" ref="X71:Y71" si="70">IF(W71&lt;&gt;T71,W71,IF(_xlfn.IFNA(VLOOKUP(T71,$M$2:$N$13,2,FALSE),U71)=0,"xxx",_xlfn.IFNA(VLOOKUP(T71,$M$2:$N$13,2,FALSE),U71)))</f>
        <v>781</v>
      </c>
      <c r="Y71" s="9">
        <f t="shared" si="70"/>
        <v>781</v>
      </c>
    </row>
    <row r="72" spans="3:25" x14ac:dyDescent="0.2">
      <c r="C72">
        <v>71</v>
      </c>
      <c r="D72" t="s">
        <v>2513</v>
      </c>
      <c r="E72">
        <v>71</v>
      </c>
      <c r="S72" s="9">
        <v>13401</v>
      </c>
      <c r="T72" s="9">
        <v>670</v>
      </c>
      <c r="U72" s="9">
        <v>670</v>
      </c>
      <c r="V72" s="9">
        <v>670</v>
      </c>
      <c r="W72" s="9">
        <f t="shared" si="65"/>
        <v>670</v>
      </c>
      <c r="X72" s="9">
        <f t="shared" ref="X72:Y72" si="71">IF(W72&lt;&gt;T72,W72,IF(_xlfn.IFNA(VLOOKUP(T72,$M$2:$N$13,2,FALSE),U72)=0,"xxx",_xlfn.IFNA(VLOOKUP(T72,$M$2:$N$13,2,FALSE),U72)))</f>
        <v>670</v>
      </c>
      <c r="Y72" s="9">
        <f t="shared" si="71"/>
        <v>670</v>
      </c>
    </row>
    <row r="73" spans="3:25" x14ac:dyDescent="0.2">
      <c r="C73">
        <v>72</v>
      </c>
      <c r="D73" t="s">
        <v>2514</v>
      </c>
      <c r="E73">
        <v>72</v>
      </c>
      <c r="S73" s="9">
        <v>13501</v>
      </c>
      <c r="T73" s="9">
        <v>270</v>
      </c>
      <c r="U73" s="9">
        <v>522</v>
      </c>
      <c r="V73" s="9">
        <v>607</v>
      </c>
      <c r="W73" s="9">
        <f t="shared" si="65"/>
        <v>270</v>
      </c>
      <c r="X73" s="9">
        <f t="shared" ref="X73:Y73" si="72">IF(W73&lt;&gt;T73,W73,IF(_xlfn.IFNA(VLOOKUP(T73,$M$2:$N$13,2,FALSE),U73)=0,"xxx",_xlfn.IFNA(VLOOKUP(T73,$M$2:$N$13,2,FALSE),U73)))</f>
        <v>522</v>
      </c>
      <c r="Y73" s="9">
        <f t="shared" si="72"/>
        <v>607</v>
      </c>
    </row>
    <row r="74" spans="3:25" x14ac:dyDescent="0.2">
      <c r="C74">
        <v>73</v>
      </c>
      <c r="D74" t="s">
        <v>2515</v>
      </c>
      <c r="E74">
        <v>73</v>
      </c>
      <c r="S74" s="9">
        <v>13601</v>
      </c>
      <c r="T74" s="9">
        <v>270</v>
      </c>
      <c r="U74" s="9">
        <v>522</v>
      </c>
      <c r="V74" s="9">
        <v>607</v>
      </c>
      <c r="W74" s="9">
        <f t="shared" si="65"/>
        <v>270</v>
      </c>
      <c r="X74" s="9">
        <f t="shared" ref="X74:Y74" si="73">IF(W74&lt;&gt;T74,W74,IF(_xlfn.IFNA(VLOOKUP(T74,$M$2:$N$13,2,FALSE),U74)=0,"xxx",_xlfn.IFNA(VLOOKUP(T74,$M$2:$N$13,2,FALSE),U74)))</f>
        <v>522</v>
      </c>
      <c r="Y74" s="9">
        <f t="shared" si="73"/>
        <v>607</v>
      </c>
    </row>
    <row r="75" spans="3:25" x14ac:dyDescent="0.2">
      <c r="C75">
        <v>74</v>
      </c>
      <c r="D75" t="s">
        <v>2516</v>
      </c>
      <c r="E75">
        <v>74</v>
      </c>
      <c r="S75" s="9">
        <v>13701</v>
      </c>
      <c r="T75" s="9">
        <v>270</v>
      </c>
      <c r="U75" s="9">
        <v>522</v>
      </c>
      <c r="V75" s="9">
        <v>607</v>
      </c>
      <c r="W75" s="9">
        <f t="shared" si="65"/>
        <v>270</v>
      </c>
      <c r="X75" s="9">
        <f t="shared" ref="X75:Y75" si="74">IF(W75&lt;&gt;T75,W75,IF(_xlfn.IFNA(VLOOKUP(T75,$M$2:$N$13,2,FALSE),U75)=0,"xxx",_xlfn.IFNA(VLOOKUP(T75,$M$2:$N$13,2,FALSE),U75)))</f>
        <v>522</v>
      </c>
      <c r="Y75" s="9">
        <f t="shared" si="74"/>
        <v>607</v>
      </c>
    </row>
    <row r="76" spans="3:25" x14ac:dyDescent="0.2">
      <c r="C76">
        <v>75</v>
      </c>
      <c r="D76" t="s">
        <v>2517</v>
      </c>
      <c r="E76">
        <v>75</v>
      </c>
      <c r="S76" s="9">
        <v>10001</v>
      </c>
      <c r="T76" s="9">
        <v>1016</v>
      </c>
      <c r="U76" s="9">
        <v>1016</v>
      </c>
      <c r="V76" s="9">
        <v>1016</v>
      </c>
      <c r="W76" s="9">
        <f t="shared" si="65"/>
        <v>1016</v>
      </c>
      <c r="X76" s="9">
        <f t="shared" ref="X76:Y76" si="75">IF(W76&lt;&gt;T76,W76,IF(_xlfn.IFNA(VLOOKUP(T76,$M$2:$N$13,2,FALSE),U76)=0,"xxx",_xlfn.IFNA(VLOOKUP(T76,$M$2:$N$13,2,FALSE),U76)))</f>
        <v>1016</v>
      </c>
      <c r="Y76" s="9">
        <f t="shared" si="75"/>
        <v>1016</v>
      </c>
    </row>
    <row r="77" spans="3:25" x14ac:dyDescent="0.2">
      <c r="C77">
        <v>76</v>
      </c>
      <c r="D77" t="s">
        <v>2518</v>
      </c>
      <c r="E77">
        <v>76</v>
      </c>
      <c r="S77" s="9">
        <v>10002</v>
      </c>
      <c r="T77" s="9">
        <v>1017</v>
      </c>
      <c r="U77" s="9">
        <v>1017</v>
      </c>
      <c r="V77" s="9">
        <v>1017</v>
      </c>
      <c r="W77" s="9">
        <f t="shared" si="65"/>
        <v>1017</v>
      </c>
      <c r="X77" s="9">
        <f t="shared" ref="X77:Y77" si="76">IF(W77&lt;&gt;T77,W77,IF(_xlfn.IFNA(VLOOKUP(T77,$M$2:$N$13,2,FALSE),U77)=0,"xxx",_xlfn.IFNA(VLOOKUP(T77,$M$2:$N$13,2,FALSE),U77)))</f>
        <v>1017</v>
      </c>
      <c r="Y77" s="9">
        <f t="shared" si="76"/>
        <v>1017</v>
      </c>
    </row>
    <row r="78" spans="3:25" x14ac:dyDescent="0.2">
      <c r="C78">
        <v>77</v>
      </c>
      <c r="D78" t="s">
        <v>2519</v>
      </c>
      <c r="E78">
        <v>77</v>
      </c>
      <c r="S78" s="9">
        <v>10003</v>
      </c>
      <c r="T78" s="9">
        <v>781</v>
      </c>
      <c r="U78" s="9">
        <v>781</v>
      </c>
      <c r="V78" s="9">
        <v>781</v>
      </c>
      <c r="W78" s="9">
        <f t="shared" si="65"/>
        <v>781</v>
      </c>
      <c r="X78" s="9">
        <f t="shared" ref="X78:Y78" si="77">IF(W78&lt;&gt;T78,W78,IF(_xlfn.IFNA(VLOOKUP(T78,$M$2:$N$13,2,FALSE),U78)=0,"xxx",_xlfn.IFNA(VLOOKUP(T78,$M$2:$N$13,2,FALSE),U78)))</f>
        <v>781</v>
      </c>
      <c r="Y78" s="9">
        <f t="shared" si="77"/>
        <v>781</v>
      </c>
    </row>
    <row r="79" spans="3:25" x14ac:dyDescent="0.2">
      <c r="C79">
        <v>78</v>
      </c>
      <c r="D79" t="s">
        <v>2520</v>
      </c>
      <c r="E79">
        <v>78</v>
      </c>
      <c r="S79" s="9">
        <v>10004</v>
      </c>
      <c r="T79" s="9">
        <v>1011</v>
      </c>
      <c r="U79" s="9">
        <v>1011</v>
      </c>
      <c r="V79" s="9">
        <v>1011</v>
      </c>
      <c r="W79" s="9">
        <f t="shared" si="65"/>
        <v>1011</v>
      </c>
      <c r="X79" s="9">
        <f t="shared" ref="X79:Y79" si="78">IF(W79&lt;&gt;T79,W79,IF(_xlfn.IFNA(VLOOKUP(T79,$M$2:$N$13,2,FALSE),U79)=0,"xxx",_xlfn.IFNA(VLOOKUP(T79,$M$2:$N$13,2,FALSE),U79)))</f>
        <v>1011</v>
      </c>
      <c r="Y79" s="9">
        <f t="shared" si="78"/>
        <v>1011</v>
      </c>
    </row>
    <row r="80" spans="3:25" x14ac:dyDescent="0.2">
      <c r="C80">
        <v>79</v>
      </c>
      <c r="D80" t="s">
        <v>2521</v>
      </c>
      <c r="E80">
        <v>79</v>
      </c>
      <c r="S80" s="9">
        <v>10005</v>
      </c>
      <c r="T80" s="9">
        <v>781</v>
      </c>
      <c r="U80" s="9">
        <v>781</v>
      </c>
      <c r="V80" s="9">
        <v>781</v>
      </c>
      <c r="W80" s="9">
        <f t="shared" si="65"/>
        <v>781</v>
      </c>
      <c r="X80" s="9">
        <f t="shared" ref="X80:Y80" si="79">IF(W80&lt;&gt;T80,W80,IF(_xlfn.IFNA(VLOOKUP(T80,$M$2:$N$13,2,FALSE),U80)=0,"xxx",_xlfn.IFNA(VLOOKUP(T80,$M$2:$N$13,2,FALSE),U80)))</f>
        <v>781</v>
      </c>
      <c r="Y80" s="9">
        <f t="shared" si="79"/>
        <v>781</v>
      </c>
    </row>
    <row r="81" spans="3:25" x14ac:dyDescent="0.2">
      <c r="C81">
        <v>80</v>
      </c>
      <c r="D81" t="s">
        <v>2522</v>
      </c>
      <c r="E81">
        <v>80</v>
      </c>
      <c r="S81" s="9">
        <v>10006</v>
      </c>
      <c r="T81" s="9">
        <v>670</v>
      </c>
      <c r="U81" s="9">
        <v>670</v>
      </c>
      <c r="V81" s="9">
        <v>670</v>
      </c>
      <c r="W81" s="9">
        <f t="shared" si="65"/>
        <v>670</v>
      </c>
      <c r="X81" s="9">
        <f t="shared" ref="X81:Y81" si="80">IF(W81&lt;&gt;T81,W81,IF(_xlfn.IFNA(VLOOKUP(T81,$M$2:$N$13,2,FALSE),U81)=0,"xxx",_xlfn.IFNA(VLOOKUP(T81,$M$2:$N$13,2,FALSE),U81)))</f>
        <v>670</v>
      </c>
      <c r="Y81" s="9">
        <f t="shared" si="80"/>
        <v>670</v>
      </c>
    </row>
    <row r="82" spans="3:25" x14ac:dyDescent="0.2">
      <c r="C82">
        <v>81</v>
      </c>
      <c r="D82" t="s">
        <v>2523</v>
      </c>
      <c r="E82">
        <v>81</v>
      </c>
      <c r="S82" s="9">
        <v>10007</v>
      </c>
      <c r="T82" s="9">
        <v>270</v>
      </c>
      <c r="U82" s="9">
        <v>270</v>
      </c>
      <c r="V82" s="9">
        <v>270</v>
      </c>
      <c r="W82" s="9">
        <f t="shared" si="65"/>
        <v>270</v>
      </c>
      <c r="X82" s="9">
        <f t="shared" ref="X82:Y82" si="81">IF(W82&lt;&gt;T82,W82,IF(_xlfn.IFNA(VLOOKUP(T82,$M$2:$N$13,2,FALSE),U82)=0,"xxx",_xlfn.IFNA(VLOOKUP(T82,$M$2:$N$13,2,FALSE),U82)))</f>
        <v>270</v>
      </c>
      <c r="Y82" s="9">
        <f t="shared" si="81"/>
        <v>270</v>
      </c>
    </row>
    <row r="83" spans="3:25" x14ac:dyDescent="0.2">
      <c r="C83">
        <v>82</v>
      </c>
      <c r="D83" t="s">
        <v>2524</v>
      </c>
      <c r="E83">
        <v>82</v>
      </c>
      <c r="S83" s="9">
        <v>10011</v>
      </c>
      <c r="T83" s="9">
        <v>781</v>
      </c>
      <c r="U83" s="9">
        <v>781</v>
      </c>
      <c r="V83" s="9">
        <v>781</v>
      </c>
      <c r="W83" s="9">
        <f t="shared" si="65"/>
        <v>781</v>
      </c>
      <c r="X83" s="9">
        <f t="shared" ref="X83:Y83" si="82">IF(W83&lt;&gt;T83,W83,IF(_xlfn.IFNA(VLOOKUP(T83,$M$2:$N$13,2,FALSE),U83)=0,"xxx",_xlfn.IFNA(VLOOKUP(T83,$M$2:$N$13,2,FALSE),U83)))</f>
        <v>781</v>
      </c>
      <c r="Y83" s="9">
        <f t="shared" si="82"/>
        <v>781</v>
      </c>
    </row>
    <row r="84" spans="3:25" x14ac:dyDescent="0.2">
      <c r="C84">
        <v>83</v>
      </c>
      <c r="D84" t="s">
        <v>2525</v>
      </c>
      <c r="E84">
        <v>83</v>
      </c>
      <c r="S84" s="9">
        <v>10012</v>
      </c>
      <c r="T84" s="9">
        <v>1005</v>
      </c>
      <c r="U84" s="9">
        <v>1005</v>
      </c>
      <c r="V84" s="9">
        <v>1005</v>
      </c>
      <c r="W84" s="9">
        <f t="shared" si="65"/>
        <v>1005</v>
      </c>
      <c r="X84" s="9">
        <f t="shared" ref="X84:Y84" si="83">IF(W84&lt;&gt;T84,W84,IF(_xlfn.IFNA(VLOOKUP(T84,$M$2:$N$13,2,FALSE),U84)=0,"xxx",_xlfn.IFNA(VLOOKUP(T84,$M$2:$N$13,2,FALSE),U84)))</f>
        <v>1005</v>
      </c>
      <c r="Y84" s="9">
        <f t="shared" si="83"/>
        <v>1005</v>
      </c>
    </row>
    <row r="85" spans="3:25" x14ac:dyDescent="0.2">
      <c r="C85">
        <v>84</v>
      </c>
      <c r="D85" t="s">
        <v>2526</v>
      </c>
      <c r="E85">
        <v>84</v>
      </c>
      <c r="S85" s="9">
        <v>10013</v>
      </c>
      <c r="T85" s="9">
        <v>781</v>
      </c>
      <c r="U85" s="9">
        <v>781</v>
      </c>
      <c r="V85" s="9">
        <v>781</v>
      </c>
      <c r="W85" s="9">
        <f t="shared" si="65"/>
        <v>781</v>
      </c>
      <c r="X85" s="9">
        <f t="shared" ref="X85:Y85" si="84">IF(W85&lt;&gt;T85,W85,IF(_xlfn.IFNA(VLOOKUP(T85,$M$2:$N$13,2,FALSE),U85)=0,"xxx",_xlfn.IFNA(VLOOKUP(T85,$M$2:$N$13,2,FALSE),U85)))</f>
        <v>781</v>
      </c>
      <c r="Y85" s="9">
        <f t="shared" si="84"/>
        <v>781</v>
      </c>
    </row>
    <row r="86" spans="3:25" x14ac:dyDescent="0.2">
      <c r="C86">
        <v>85</v>
      </c>
      <c r="D86" t="s">
        <v>2527</v>
      </c>
      <c r="E86">
        <v>85</v>
      </c>
      <c r="S86" s="9">
        <v>10014</v>
      </c>
      <c r="T86" s="9">
        <v>781</v>
      </c>
      <c r="U86" s="9">
        <v>781</v>
      </c>
      <c r="V86" s="9">
        <v>781</v>
      </c>
      <c r="W86" s="9">
        <f t="shared" si="65"/>
        <v>781</v>
      </c>
      <c r="X86" s="9">
        <f t="shared" ref="X86:Y86" si="85">IF(W86&lt;&gt;T86,W86,IF(_xlfn.IFNA(VLOOKUP(T86,$M$2:$N$13,2,FALSE),U86)=0,"xxx",_xlfn.IFNA(VLOOKUP(T86,$M$2:$N$13,2,FALSE),U86)))</f>
        <v>781</v>
      </c>
      <c r="Y86" s="9">
        <f t="shared" si="85"/>
        <v>781</v>
      </c>
    </row>
    <row r="87" spans="3:25" x14ac:dyDescent="0.2">
      <c r="C87">
        <v>86</v>
      </c>
      <c r="D87" t="s">
        <v>2528</v>
      </c>
      <c r="E87">
        <v>86</v>
      </c>
      <c r="S87" s="9">
        <v>20101</v>
      </c>
      <c r="T87" s="9">
        <v>273</v>
      </c>
      <c r="U87" s="9">
        <v>522</v>
      </c>
      <c r="V87" s="9">
        <v>607</v>
      </c>
      <c r="W87" s="9">
        <f t="shared" si="65"/>
        <v>273</v>
      </c>
      <c r="X87" s="9">
        <f t="shared" ref="X87:Y87" si="86">IF(W87&lt;&gt;T87,W87,IF(_xlfn.IFNA(VLOOKUP(T87,$M$2:$N$13,2,FALSE),U87)=0,"xxx",_xlfn.IFNA(VLOOKUP(T87,$M$2:$N$13,2,FALSE),U87)))</f>
        <v>522</v>
      </c>
      <c r="Y87" s="9">
        <f t="shared" si="86"/>
        <v>607</v>
      </c>
    </row>
    <row r="88" spans="3:25" x14ac:dyDescent="0.2">
      <c r="C88">
        <v>87</v>
      </c>
      <c r="D88" t="s">
        <v>2529</v>
      </c>
      <c r="E88">
        <v>87</v>
      </c>
      <c r="S88" s="9">
        <v>20102</v>
      </c>
      <c r="T88" s="9">
        <v>273</v>
      </c>
      <c r="U88" s="9">
        <v>525</v>
      </c>
      <c r="V88" s="9">
        <v>607</v>
      </c>
      <c r="W88" s="9">
        <f t="shared" si="65"/>
        <v>273</v>
      </c>
      <c r="X88" s="9">
        <f t="shared" ref="X88:Y88" si="87">IF(W88&lt;&gt;T88,W88,IF(_xlfn.IFNA(VLOOKUP(T88,$M$2:$N$13,2,FALSE),U88)=0,"xxx",_xlfn.IFNA(VLOOKUP(T88,$M$2:$N$13,2,FALSE),U88)))</f>
        <v>525</v>
      </c>
      <c r="Y88" s="9">
        <f t="shared" si="87"/>
        <v>607</v>
      </c>
    </row>
    <row r="89" spans="3:25" x14ac:dyDescent="0.2">
      <c r="C89">
        <v>88</v>
      </c>
      <c r="D89" t="s">
        <v>2530</v>
      </c>
      <c r="E89">
        <v>88</v>
      </c>
      <c r="S89" s="9">
        <v>20201</v>
      </c>
      <c r="T89" s="9">
        <v>273</v>
      </c>
      <c r="U89" s="9">
        <v>525</v>
      </c>
      <c r="V89" s="9">
        <v>607</v>
      </c>
      <c r="W89" s="9">
        <f t="shared" si="65"/>
        <v>273</v>
      </c>
      <c r="X89" s="9">
        <f t="shared" ref="X89:Y89" si="88">IF(W89&lt;&gt;T89,W89,IF(_xlfn.IFNA(VLOOKUP(T89,$M$2:$N$13,2,FALSE),U89)=0,"xxx",_xlfn.IFNA(VLOOKUP(T89,$M$2:$N$13,2,FALSE),U89)))</f>
        <v>525</v>
      </c>
      <c r="Y89" s="9">
        <f t="shared" si="88"/>
        <v>607</v>
      </c>
    </row>
    <row r="90" spans="3:25" x14ac:dyDescent="0.2">
      <c r="C90">
        <v>89</v>
      </c>
      <c r="D90" t="s">
        <v>2531</v>
      </c>
      <c r="E90">
        <v>89</v>
      </c>
      <c r="S90" s="9">
        <v>20202</v>
      </c>
      <c r="T90" s="9">
        <v>273</v>
      </c>
      <c r="U90" s="9">
        <v>525</v>
      </c>
      <c r="V90" s="9">
        <v>607</v>
      </c>
      <c r="W90" s="9">
        <f t="shared" si="65"/>
        <v>273</v>
      </c>
      <c r="X90" s="9">
        <f t="shared" ref="X90:Y90" si="89">IF(W90&lt;&gt;T90,W90,IF(_xlfn.IFNA(VLOOKUP(T90,$M$2:$N$13,2,FALSE),U90)=0,"xxx",_xlfn.IFNA(VLOOKUP(T90,$M$2:$N$13,2,FALSE),U90)))</f>
        <v>525</v>
      </c>
      <c r="Y90" s="9">
        <f t="shared" si="89"/>
        <v>607</v>
      </c>
    </row>
    <row r="91" spans="3:25" x14ac:dyDescent="0.2">
      <c r="C91">
        <v>90</v>
      </c>
      <c r="D91" t="s">
        <v>2532</v>
      </c>
      <c r="E91">
        <v>90</v>
      </c>
      <c r="S91" s="9">
        <v>20301</v>
      </c>
      <c r="T91" s="9">
        <v>273</v>
      </c>
      <c r="U91" s="9">
        <v>525</v>
      </c>
      <c r="V91" s="9">
        <v>607</v>
      </c>
      <c r="W91" s="9">
        <f t="shared" si="65"/>
        <v>273</v>
      </c>
      <c r="X91" s="9">
        <f t="shared" ref="X91:Y91" si="90">IF(W91&lt;&gt;T91,W91,IF(_xlfn.IFNA(VLOOKUP(T91,$M$2:$N$13,2,FALSE),U91)=0,"xxx",_xlfn.IFNA(VLOOKUP(T91,$M$2:$N$13,2,FALSE),U91)))</f>
        <v>525</v>
      </c>
      <c r="Y91" s="9">
        <f t="shared" si="90"/>
        <v>607</v>
      </c>
    </row>
    <row r="92" spans="3:25" x14ac:dyDescent="0.2">
      <c r="C92">
        <v>91</v>
      </c>
      <c r="D92" t="s">
        <v>2533</v>
      </c>
      <c r="E92">
        <v>91</v>
      </c>
      <c r="S92" s="9">
        <v>20302</v>
      </c>
      <c r="T92" s="9">
        <v>273</v>
      </c>
      <c r="U92" s="9">
        <v>525</v>
      </c>
      <c r="V92" s="9">
        <v>607</v>
      </c>
      <c r="W92" s="9">
        <f t="shared" si="65"/>
        <v>273</v>
      </c>
      <c r="X92" s="9">
        <f t="shared" ref="X92:Y92" si="91">IF(W92&lt;&gt;T92,W92,IF(_xlfn.IFNA(VLOOKUP(T92,$M$2:$N$13,2,FALSE),U92)=0,"xxx",_xlfn.IFNA(VLOOKUP(T92,$M$2:$N$13,2,FALSE),U92)))</f>
        <v>525</v>
      </c>
      <c r="Y92" s="9">
        <f t="shared" si="91"/>
        <v>607</v>
      </c>
    </row>
    <row r="93" spans="3:25" x14ac:dyDescent="0.2">
      <c r="C93">
        <v>92</v>
      </c>
      <c r="D93" t="s">
        <v>2534</v>
      </c>
      <c r="E93">
        <v>92</v>
      </c>
      <c r="S93" s="9">
        <v>20401</v>
      </c>
      <c r="T93" s="9">
        <v>273</v>
      </c>
      <c r="U93" s="9">
        <v>525</v>
      </c>
      <c r="V93" s="9">
        <v>607</v>
      </c>
      <c r="W93" s="9">
        <f t="shared" si="65"/>
        <v>273</v>
      </c>
      <c r="X93" s="9">
        <f t="shared" ref="X93:Y93" si="92">IF(W93&lt;&gt;T93,W93,IF(_xlfn.IFNA(VLOOKUP(T93,$M$2:$N$13,2,FALSE),U93)=0,"xxx",_xlfn.IFNA(VLOOKUP(T93,$M$2:$N$13,2,FALSE),U93)))</f>
        <v>525</v>
      </c>
      <c r="Y93" s="9">
        <f t="shared" si="92"/>
        <v>607</v>
      </c>
    </row>
    <row r="94" spans="3:25" x14ac:dyDescent="0.2">
      <c r="C94">
        <v>93</v>
      </c>
      <c r="D94" t="s">
        <v>2535</v>
      </c>
      <c r="E94">
        <v>93</v>
      </c>
      <c r="S94" s="9">
        <v>20402</v>
      </c>
      <c r="T94" s="9">
        <v>273</v>
      </c>
      <c r="U94" s="9">
        <v>525</v>
      </c>
      <c r="V94" s="9">
        <v>607</v>
      </c>
      <c r="W94" s="9">
        <f t="shared" si="65"/>
        <v>273</v>
      </c>
      <c r="X94" s="9">
        <f t="shared" ref="X94:Y94" si="93">IF(W94&lt;&gt;T94,W94,IF(_xlfn.IFNA(VLOOKUP(T94,$M$2:$N$13,2,FALSE),U94)=0,"xxx",_xlfn.IFNA(VLOOKUP(T94,$M$2:$N$13,2,FALSE),U94)))</f>
        <v>525</v>
      </c>
      <c r="Y94" s="9">
        <f t="shared" si="93"/>
        <v>607</v>
      </c>
    </row>
    <row r="95" spans="3:25" x14ac:dyDescent="0.2">
      <c r="C95">
        <v>94</v>
      </c>
      <c r="D95" t="s">
        <v>2536</v>
      </c>
      <c r="E95">
        <v>94</v>
      </c>
      <c r="S95" s="9">
        <v>20501</v>
      </c>
      <c r="T95" s="9">
        <v>357</v>
      </c>
      <c r="U95" s="9">
        <v>525</v>
      </c>
      <c r="V95" s="9">
        <v>607</v>
      </c>
      <c r="W95" s="9">
        <f t="shared" si="65"/>
        <v>357</v>
      </c>
      <c r="X95" s="9">
        <f t="shared" ref="X95:Y95" si="94">IF(W95&lt;&gt;T95,W95,IF(_xlfn.IFNA(VLOOKUP(T95,$M$2:$N$13,2,FALSE),U95)=0,"xxx",_xlfn.IFNA(VLOOKUP(T95,$M$2:$N$13,2,FALSE),U95)))</f>
        <v>525</v>
      </c>
      <c r="Y95" s="9">
        <f t="shared" si="94"/>
        <v>607</v>
      </c>
    </row>
    <row r="96" spans="3:25" x14ac:dyDescent="0.2">
      <c r="C96">
        <v>95</v>
      </c>
      <c r="D96" t="s">
        <v>2537</v>
      </c>
      <c r="E96">
        <v>95</v>
      </c>
      <c r="S96" s="9">
        <v>20502</v>
      </c>
      <c r="T96" s="9">
        <v>358</v>
      </c>
      <c r="U96" s="9">
        <v>525</v>
      </c>
      <c r="V96" s="9">
        <v>607</v>
      </c>
      <c r="W96" s="9">
        <f t="shared" si="65"/>
        <v>358</v>
      </c>
      <c r="X96" s="9">
        <f t="shared" ref="X96:Y96" si="95">IF(W96&lt;&gt;T96,W96,IF(_xlfn.IFNA(VLOOKUP(T96,$M$2:$N$13,2,FALSE),U96)=0,"xxx",_xlfn.IFNA(VLOOKUP(T96,$M$2:$N$13,2,FALSE),U96)))</f>
        <v>525</v>
      </c>
      <c r="Y96" s="9">
        <f t="shared" si="95"/>
        <v>607</v>
      </c>
    </row>
    <row r="97" spans="3:25" x14ac:dyDescent="0.2">
      <c r="C97">
        <v>96</v>
      </c>
      <c r="D97" t="s">
        <v>2538</v>
      </c>
      <c r="E97">
        <v>96</v>
      </c>
      <c r="S97" s="9">
        <v>20503</v>
      </c>
      <c r="T97" s="9">
        <v>359</v>
      </c>
      <c r="U97" s="9">
        <v>525</v>
      </c>
      <c r="V97" s="9">
        <v>607</v>
      </c>
      <c r="W97" s="9">
        <f t="shared" si="65"/>
        <v>359</v>
      </c>
      <c r="X97" s="9">
        <f t="shared" ref="X97:Y97" si="96">IF(W97&lt;&gt;T97,W97,IF(_xlfn.IFNA(VLOOKUP(T97,$M$2:$N$13,2,FALSE),U97)=0,"xxx",_xlfn.IFNA(VLOOKUP(T97,$M$2:$N$13,2,FALSE),U97)))</f>
        <v>525</v>
      </c>
      <c r="Y97" s="9">
        <f t="shared" si="96"/>
        <v>607</v>
      </c>
    </row>
    <row r="98" spans="3:25" x14ac:dyDescent="0.2">
      <c r="C98">
        <v>97</v>
      </c>
      <c r="D98" t="s">
        <v>2539</v>
      </c>
      <c r="E98">
        <v>97</v>
      </c>
      <c r="S98" s="9">
        <v>20601</v>
      </c>
      <c r="T98" s="9">
        <v>315</v>
      </c>
      <c r="U98" s="9">
        <v>525</v>
      </c>
      <c r="V98" s="9">
        <v>607</v>
      </c>
      <c r="W98" s="9">
        <f t="shared" si="65"/>
        <v>315</v>
      </c>
      <c r="X98" s="9">
        <f t="shared" ref="X98:Y98" si="97">IF(W98&lt;&gt;T98,W98,IF(_xlfn.IFNA(VLOOKUP(T98,$M$2:$N$13,2,FALSE),U98)=0,"xxx",_xlfn.IFNA(VLOOKUP(T98,$M$2:$N$13,2,FALSE),U98)))</f>
        <v>525</v>
      </c>
      <c r="Y98" s="9">
        <f t="shared" si="97"/>
        <v>607</v>
      </c>
    </row>
    <row r="99" spans="3:25" x14ac:dyDescent="0.2">
      <c r="C99">
        <v>98</v>
      </c>
      <c r="D99" t="s">
        <v>2540</v>
      </c>
      <c r="E99">
        <v>98</v>
      </c>
      <c r="S99" s="9">
        <v>20602</v>
      </c>
      <c r="T99" s="9">
        <v>316</v>
      </c>
      <c r="U99" s="9">
        <v>525</v>
      </c>
      <c r="V99" s="9">
        <v>607</v>
      </c>
      <c r="W99" s="9">
        <f t="shared" si="65"/>
        <v>316</v>
      </c>
      <c r="X99" s="9">
        <f t="shared" ref="X99:Y99" si="98">IF(W99&lt;&gt;T99,W99,IF(_xlfn.IFNA(VLOOKUP(T99,$M$2:$N$13,2,FALSE),U99)=0,"xxx",_xlfn.IFNA(VLOOKUP(T99,$M$2:$N$13,2,FALSE),U99)))</f>
        <v>525</v>
      </c>
      <c r="Y99" s="9">
        <f t="shared" si="98"/>
        <v>607</v>
      </c>
    </row>
    <row r="100" spans="3:25" x14ac:dyDescent="0.2">
      <c r="C100">
        <v>99</v>
      </c>
      <c r="D100" t="s">
        <v>2541</v>
      </c>
      <c r="E100">
        <v>99</v>
      </c>
      <c r="S100" s="9">
        <v>20603</v>
      </c>
      <c r="T100" s="9">
        <v>317</v>
      </c>
      <c r="U100" s="9">
        <v>525</v>
      </c>
      <c r="V100" s="9">
        <v>607</v>
      </c>
      <c r="W100" s="9">
        <f t="shared" si="65"/>
        <v>317</v>
      </c>
      <c r="X100" s="9">
        <f t="shared" ref="X100:Y100" si="99">IF(W100&lt;&gt;T100,W100,IF(_xlfn.IFNA(VLOOKUP(T100,$M$2:$N$13,2,FALSE),U100)=0,"xxx",_xlfn.IFNA(VLOOKUP(T100,$M$2:$N$13,2,FALSE),U100)))</f>
        <v>525</v>
      </c>
      <c r="Y100" s="9">
        <f t="shared" si="99"/>
        <v>607</v>
      </c>
    </row>
    <row r="101" spans="3:25" x14ac:dyDescent="0.2">
      <c r="C101">
        <v>100</v>
      </c>
      <c r="D101" t="s">
        <v>2542</v>
      </c>
      <c r="E101">
        <v>100</v>
      </c>
      <c r="S101" s="9">
        <v>20604</v>
      </c>
      <c r="T101" s="9">
        <v>317</v>
      </c>
      <c r="U101" s="9">
        <v>525</v>
      </c>
      <c r="V101" s="9">
        <v>607</v>
      </c>
      <c r="W101" s="9">
        <f t="shared" si="65"/>
        <v>317</v>
      </c>
      <c r="X101" s="9">
        <f t="shared" ref="X101:Y101" si="100">IF(W101&lt;&gt;T101,W101,IF(_xlfn.IFNA(VLOOKUP(T101,$M$2:$N$13,2,FALSE),U101)=0,"xxx",_xlfn.IFNA(VLOOKUP(T101,$M$2:$N$13,2,FALSE),U101)))</f>
        <v>525</v>
      </c>
      <c r="Y101" s="9">
        <f t="shared" si="100"/>
        <v>607</v>
      </c>
    </row>
    <row r="102" spans="3:25" x14ac:dyDescent="0.2">
      <c r="C102">
        <v>101</v>
      </c>
      <c r="D102" t="s">
        <v>2543</v>
      </c>
      <c r="E102">
        <v>101</v>
      </c>
      <c r="S102" s="9">
        <v>20701</v>
      </c>
      <c r="T102" s="9">
        <v>781</v>
      </c>
      <c r="U102" s="9">
        <v>781</v>
      </c>
      <c r="V102" s="9">
        <v>781</v>
      </c>
      <c r="W102" s="9">
        <f t="shared" si="65"/>
        <v>781</v>
      </c>
      <c r="X102" s="9">
        <f t="shared" ref="X102:Y102" si="101">IF(W102&lt;&gt;T102,W102,IF(_xlfn.IFNA(VLOOKUP(T102,$M$2:$N$13,2,FALSE),U102)=0,"xxx",_xlfn.IFNA(VLOOKUP(T102,$M$2:$N$13,2,FALSE),U102)))</f>
        <v>781</v>
      </c>
      <c r="Y102" s="9">
        <f t="shared" si="101"/>
        <v>781</v>
      </c>
    </row>
    <row r="103" spans="3:25" x14ac:dyDescent="0.2">
      <c r="C103">
        <v>102</v>
      </c>
      <c r="D103" t="s">
        <v>2544</v>
      </c>
      <c r="E103">
        <v>102</v>
      </c>
      <c r="S103" s="9">
        <v>20801</v>
      </c>
      <c r="T103" s="9">
        <v>273</v>
      </c>
      <c r="U103" s="9">
        <v>525</v>
      </c>
      <c r="V103" s="9">
        <v>607</v>
      </c>
      <c r="W103" s="9">
        <f t="shared" si="65"/>
        <v>273</v>
      </c>
      <c r="X103" s="9">
        <f t="shared" ref="X103:Y103" si="102">IF(W103&lt;&gt;T103,W103,IF(_xlfn.IFNA(VLOOKUP(T103,$M$2:$N$13,2,FALSE),U103)=0,"xxx",_xlfn.IFNA(VLOOKUP(T103,$M$2:$N$13,2,FALSE),U103)))</f>
        <v>525</v>
      </c>
      <c r="Y103" s="9">
        <f t="shared" si="102"/>
        <v>607</v>
      </c>
    </row>
    <row r="104" spans="3:25" x14ac:dyDescent="0.2">
      <c r="C104">
        <v>103</v>
      </c>
      <c r="D104" t="s">
        <v>2545</v>
      </c>
      <c r="E104">
        <v>103</v>
      </c>
      <c r="S104" s="9">
        <v>20802</v>
      </c>
      <c r="T104" s="9">
        <v>273</v>
      </c>
      <c r="U104" s="9">
        <v>525</v>
      </c>
      <c r="V104" s="9">
        <v>607</v>
      </c>
      <c r="W104" s="9">
        <f t="shared" si="65"/>
        <v>273</v>
      </c>
      <c r="X104" s="9">
        <f t="shared" ref="X104:Y104" si="103">IF(W104&lt;&gt;T104,W104,IF(_xlfn.IFNA(VLOOKUP(T104,$M$2:$N$13,2,FALSE),U104)=0,"xxx",_xlfn.IFNA(VLOOKUP(T104,$M$2:$N$13,2,FALSE),U104)))</f>
        <v>525</v>
      </c>
      <c r="Y104" s="9">
        <f t="shared" si="103"/>
        <v>607</v>
      </c>
    </row>
    <row r="105" spans="3:25" x14ac:dyDescent="0.2">
      <c r="C105">
        <v>104</v>
      </c>
      <c r="D105" t="s">
        <v>2546</v>
      </c>
      <c r="E105">
        <v>104</v>
      </c>
      <c r="S105" s="9">
        <v>20803</v>
      </c>
      <c r="T105" s="9">
        <v>273</v>
      </c>
      <c r="U105" s="9">
        <v>525</v>
      </c>
      <c r="V105" s="9">
        <v>607</v>
      </c>
      <c r="W105" s="9">
        <f t="shared" si="65"/>
        <v>273</v>
      </c>
      <c r="X105" s="9">
        <f t="shared" ref="X105:Y105" si="104">IF(W105&lt;&gt;T105,W105,IF(_xlfn.IFNA(VLOOKUP(T105,$M$2:$N$13,2,FALSE),U105)=0,"xxx",_xlfn.IFNA(VLOOKUP(T105,$M$2:$N$13,2,FALSE),U105)))</f>
        <v>525</v>
      </c>
      <c r="Y105" s="9">
        <f t="shared" si="104"/>
        <v>607</v>
      </c>
    </row>
    <row r="106" spans="3:25" x14ac:dyDescent="0.2">
      <c r="C106">
        <v>105</v>
      </c>
      <c r="D106" t="s">
        <v>2547</v>
      </c>
      <c r="E106">
        <v>105</v>
      </c>
      <c r="S106" s="9">
        <v>20901</v>
      </c>
      <c r="T106" s="9">
        <v>273</v>
      </c>
      <c r="U106" s="9">
        <v>525</v>
      </c>
      <c r="V106" s="9">
        <v>607</v>
      </c>
      <c r="W106" s="9">
        <f t="shared" si="65"/>
        <v>273</v>
      </c>
      <c r="X106" s="9">
        <f t="shared" ref="X106:Y106" si="105">IF(W106&lt;&gt;T106,W106,IF(_xlfn.IFNA(VLOOKUP(T106,$M$2:$N$13,2,FALSE),U106)=0,"xxx",_xlfn.IFNA(VLOOKUP(T106,$M$2:$N$13,2,FALSE),U106)))</f>
        <v>525</v>
      </c>
      <c r="Y106" s="9">
        <f t="shared" si="105"/>
        <v>607</v>
      </c>
    </row>
    <row r="107" spans="3:25" x14ac:dyDescent="0.2">
      <c r="C107">
        <v>106</v>
      </c>
      <c r="D107" t="s">
        <v>2548</v>
      </c>
      <c r="E107">
        <v>106</v>
      </c>
      <c r="S107" s="9">
        <v>21001</v>
      </c>
      <c r="T107" s="9">
        <v>315</v>
      </c>
      <c r="U107" s="9">
        <v>525</v>
      </c>
      <c r="V107" s="9">
        <v>607</v>
      </c>
      <c r="W107" s="9">
        <f t="shared" si="65"/>
        <v>315</v>
      </c>
      <c r="X107" s="9">
        <f t="shared" ref="X107:Y107" si="106">IF(W107&lt;&gt;T107,W107,IF(_xlfn.IFNA(VLOOKUP(T107,$M$2:$N$13,2,FALSE),U107)=0,"xxx",_xlfn.IFNA(VLOOKUP(T107,$M$2:$N$13,2,FALSE),U107)))</f>
        <v>525</v>
      </c>
      <c r="Y107" s="9">
        <f t="shared" si="106"/>
        <v>607</v>
      </c>
    </row>
    <row r="108" spans="3:25" x14ac:dyDescent="0.2">
      <c r="C108">
        <v>107</v>
      </c>
      <c r="D108" t="s">
        <v>2549</v>
      </c>
      <c r="E108">
        <v>107</v>
      </c>
      <c r="S108" s="9">
        <v>21101</v>
      </c>
      <c r="T108" s="9">
        <v>316</v>
      </c>
      <c r="U108" s="9">
        <v>525</v>
      </c>
      <c r="V108" s="9">
        <v>607</v>
      </c>
      <c r="W108" s="9">
        <f t="shared" si="65"/>
        <v>316</v>
      </c>
      <c r="X108" s="9">
        <f t="shared" ref="X108:Y108" si="107">IF(W108&lt;&gt;T108,W108,IF(_xlfn.IFNA(VLOOKUP(T108,$M$2:$N$13,2,FALSE),U108)=0,"xxx",_xlfn.IFNA(VLOOKUP(T108,$M$2:$N$13,2,FALSE),U108)))</f>
        <v>525</v>
      </c>
      <c r="Y108" s="9">
        <f t="shared" si="107"/>
        <v>607</v>
      </c>
    </row>
    <row r="109" spans="3:25" x14ac:dyDescent="0.2">
      <c r="C109">
        <v>108</v>
      </c>
      <c r="D109" t="s">
        <v>2550</v>
      </c>
      <c r="E109">
        <v>108</v>
      </c>
      <c r="S109" s="9">
        <v>21201</v>
      </c>
      <c r="T109" s="9">
        <v>317</v>
      </c>
      <c r="U109" s="9">
        <v>525</v>
      </c>
      <c r="V109" s="9">
        <v>607</v>
      </c>
      <c r="W109" s="9">
        <f t="shared" si="65"/>
        <v>317</v>
      </c>
      <c r="X109" s="9">
        <f t="shared" ref="X109:Y109" si="108">IF(W109&lt;&gt;T109,W109,IF(_xlfn.IFNA(VLOOKUP(T109,$M$2:$N$13,2,FALSE),U109)=0,"xxx",_xlfn.IFNA(VLOOKUP(T109,$M$2:$N$13,2,FALSE),U109)))</f>
        <v>525</v>
      </c>
      <c r="Y109" s="9">
        <f t="shared" si="108"/>
        <v>607</v>
      </c>
    </row>
    <row r="110" spans="3:25" x14ac:dyDescent="0.2">
      <c r="C110">
        <v>109</v>
      </c>
      <c r="D110" t="s">
        <v>2551</v>
      </c>
      <c r="E110">
        <v>109</v>
      </c>
      <c r="S110" s="9">
        <v>21301</v>
      </c>
      <c r="T110" s="9">
        <v>271</v>
      </c>
      <c r="U110" s="9">
        <v>525</v>
      </c>
      <c r="V110" s="9">
        <v>607</v>
      </c>
      <c r="W110" s="9">
        <f t="shared" si="65"/>
        <v>271</v>
      </c>
      <c r="X110" s="9">
        <f t="shared" ref="X110:Y110" si="109">IF(W110&lt;&gt;T110,W110,IF(_xlfn.IFNA(VLOOKUP(T110,$M$2:$N$13,2,FALSE),U110)=0,"xxx",_xlfn.IFNA(VLOOKUP(T110,$M$2:$N$13,2,FALSE),U110)))</f>
        <v>525</v>
      </c>
      <c r="Y110" s="9">
        <f t="shared" si="109"/>
        <v>607</v>
      </c>
    </row>
    <row r="111" spans="3:25" x14ac:dyDescent="0.2">
      <c r="C111">
        <v>110</v>
      </c>
      <c r="D111" t="s">
        <v>2552</v>
      </c>
      <c r="E111">
        <v>110</v>
      </c>
      <c r="S111" s="9">
        <v>21401</v>
      </c>
      <c r="T111" s="9">
        <v>271</v>
      </c>
      <c r="U111" s="9">
        <v>525</v>
      </c>
      <c r="V111" s="9">
        <v>607</v>
      </c>
      <c r="W111" s="9">
        <f t="shared" si="65"/>
        <v>271</v>
      </c>
      <c r="X111" s="9">
        <f t="shared" ref="X111:Y111" si="110">IF(W111&lt;&gt;T111,W111,IF(_xlfn.IFNA(VLOOKUP(T111,$M$2:$N$13,2,FALSE),U111)=0,"xxx",_xlfn.IFNA(VLOOKUP(T111,$M$2:$N$13,2,FALSE),U111)))</f>
        <v>525</v>
      </c>
      <c r="Y111" s="9">
        <f t="shared" si="110"/>
        <v>607</v>
      </c>
    </row>
    <row r="112" spans="3:25" x14ac:dyDescent="0.2">
      <c r="C112">
        <v>111</v>
      </c>
      <c r="D112" t="s">
        <v>2553</v>
      </c>
      <c r="E112">
        <v>111</v>
      </c>
      <c r="S112" s="9">
        <v>21402</v>
      </c>
      <c r="T112" s="9">
        <v>271</v>
      </c>
      <c r="U112" s="9">
        <v>525</v>
      </c>
      <c r="V112" s="9">
        <v>607</v>
      </c>
      <c r="W112" s="9">
        <f t="shared" si="65"/>
        <v>271</v>
      </c>
      <c r="X112" s="9">
        <f t="shared" ref="X112:Y112" si="111">IF(W112&lt;&gt;T112,W112,IF(_xlfn.IFNA(VLOOKUP(T112,$M$2:$N$13,2,FALSE),U112)=0,"xxx",_xlfn.IFNA(VLOOKUP(T112,$M$2:$N$13,2,FALSE),U112)))</f>
        <v>525</v>
      </c>
      <c r="Y112" s="9">
        <f t="shared" si="111"/>
        <v>607</v>
      </c>
    </row>
    <row r="113" spans="3:25" x14ac:dyDescent="0.2">
      <c r="C113">
        <v>112</v>
      </c>
      <c r="D113" t="s">
        <v>2554</v>
      </c>
      <c r="E113">
        <v>112</v>
      </c>
      <c r="S113" s="9">
        <v>21403</v>
      </c>
      <c r="T113" s="9">
        <v>271</v>
      </c>
      <c r="U113" s="9">
        <v>525</v>
      </c>
      <c r="V113" s="9">
        <v>607</v>
      </c>
      <c r="W113" s="9">
        <f t="shared" si="65"/>
        <v>271</v>
      </c>
      <c r="X113" s="9">
        <f t="shared" ref="X113:Y113" si="112">IF(W113&lt;&gt;T113,W113,IF(_xlfn.IFNA(VLOOKUP(T113,$M$2:$N$13,2,FALSE),U113)=0,"xxx",_xlfn.IFNA(VLOOKUP(T113,$M$2:$N$13,2,FALSE),U113)))</f>
        <v>525</v>
      </c>
      <c r="Y113" s="9">
        <f t="shared" si="112"/>
        <v>607</v>
      </c>
    </row>
    <row r="114" spans="3:25" x14ac:dyDescent="0.2">
      <c r="C114">
        <v>113</v>
      </c>
      <c r="D114" t="s">
        <v>2555</v>
      </c>
      <c r="E114">
        <v>113</v>
      </c>
      <c r="S114" s="9">
        <v>21404</v>
      </c>
      <c r="T114" s="9">
        <v>271</v>
      </c>
      <c r="U114" s="9">
        <v>525</v>
      </c>
      <c r="V114" s="9">
        <v>607</v>
      </c>
      <c r="W114" s="9">
        <f t="shared" si="65"/>
        <v>271</v>
      </c>
      <c r="X114" s="9">
        <f t="shared" ref="X114:Y114" si="113">IF(W114&lt;&gt;T114,W114,IF(_xlfn.IFNA(VLOOKUP(T114,$M$2:$N$13,2,FALSE),U114)=0,"xxx",_xlfn.IFNA(VLOOKUP(T114,$M$2:$N$13,2,FALSE),U114)))</f>
        <v>525</v>
      </c>
      <c r="Y114" s="9">
        <f t="shared" si="113"/>
        <v>607</v>
      </c>
    </row>
    <row r="115" spans="3:25" x14ac:dyDescent="0.2">
      <c r="C115">
        <v>114</v>
      </c>
      <c r="D115" t="s">
        <v>2556</v>
      </c>
      <c r="E115">
        <v>114</v>
      </c>
      <c r="S115" s="9">
        <v>21501</v>
      </c>
      <c r="T115" s="9">
        <v>272</v>
      </c>
      <c r="U115" s="9">
        <v>525</v>
      </c>
      <c r="V115" s="9">
        <v>607</v>
      </c>
      <c r="W115" s="9">
        <f t="shared" si="65"/>
        <v>272</v>
      </c>
      <c r="X115" s="9">
        <f t="shared" ref="X115:Y115" si="114">IF(W115&lt;&gt;T115,W115,IF(_xlfn.IFNA(VLOOKUP(T115,$M$2:$N$13,2,FALSE),U115)=0,"xxx",_xlfn.IFNA(VLOOKUP(T115,$M$2:$N$13,2,FALSE),U115)))</f>
        <v>525</v>
      </c>
      <c r="Y115" s="9">
        <f t="shared" si="114"/>
        <v>607</v>
      </c>
    </row>
    <row r="116" spans="3:25" x14ac:dyDescent="0.2">
      <c r="C116">
        <v>115</v>
      </c>
      <c r="D116" t="s">
        <v>2557</v>
      </c>
      <c r="E116">
        <v>115</v>
      </c>
      <c r="S116" s="9">
        <v>21502</v>
      </c>
      <c r="T116" s="9">
        <v>273</v>
      </c>
      <c r="U116" s="9">
        <v>525</v>
      </c>
      <c r="V116" s="9">
        <v>607</v>
      </c>
      <c r="W116" s="9">
        <f t="shared" si="65"/>
        <v>273</v>
      </c>
      <c r="X116" s="9">
        <f t="shared" ref="X116:Y116" si="115">IF(W116&lt;&gt;T116,W116,IF(_xlfn.IFNA(VLOOKUP(T116,$M$2:$N$13,2,FALSE),U116)=0,"xxx",_xlfn.IFNA(VLOOKUP(T116,$M$2:$N$13,2,FALSE),U116)))</f>
        <v>525</v>
      </c>
      <c r="Y116" s="9">
        <f t="shared" si="115"/>
        <v>607</v>
      </c>
    </row>
    <row r="117" spans="3:25" x14ac:dyDescent="0.2">
      <c r="C117">
        <v>116</v>
      </c>
      <c r="D117" t="s">
        <v>2558</v>
      </c>
      <c r="E117">
        <v>116</v>
      </c>
      <c r="S117" s="9">
        <v>21503</v>
      </c>
      <c r="T117" s="9">
        <v>273</v>
      </c>
      <c r="U117" s="9">
        <v>525</v>
      </c>
      <c r="V117" s="9">
        <v>607</v>
      </c>
      <c r="W117" s="9">
        <f t="shared" si="65"/>
        <v>273</v>
      </c>
      <c r="X117" s="9">
        <f t="shared" ref="X117:Y117" si="116">IF(W117&lt;&gt;T117,W117,IF(_xlfn.IFNA(VLOOKUP(T117,$M$2:$N$13,2,FALSE),U117)=0,"xxx",_xlfn.IFNA(VLOOKUP(T117,$M$2:$N$13,2,FALSE),U117)))</f>
        <v>525</v>
      </c>
      <c r="Y117" s="9">
        <f t="shared" si="116"/>
        <v>607</v>
      </c>
    </row>
    <row r="118" spans="3:25" x14ac:dyDescent="0.2">
      <c r="C118">
        <v>117</v>
      </c>
      <c r="D118" t="s">
        <v>2559</v>
      </c>
      <c r="E118">
        <v>117</v>
      </c>
      <c r="S118" s="9">
        <v>21601</v>
      </c>
      <c r="T118" s="9">
        <v>271</v>
      </c>
      <c r="U118" s="9">
        <v>525</v>
      </c>
      <c r="V118" s="9">
        <v>607</v>
      </c>
      <c r="W118" s="9">
        <f t="shared" si="65"/>
        <v>271</v>
      </c>
      <c r="X118" s="9">
        <f t="shared" ref="X118:Y118" si="117">IF(W118&lt;&gt;T118,W118,IF(_xlfn.IFNA(VLOOKUP(T118,$M$2:$N$13,2,FALSE),U118)=0,"xxx",_xlfn.IFNA(VLOOKUP(T118,$M$2:$N$13,2,FALSE),U118)))</f>
        <v>525</v>
      </c>
      <c r="Y118" s="9">
        <f t="shared" si="117"/>
        <v>607</v>
      </c>
    </row>
    <row r="119" spans="3:25" x14ac:dyDescent="0.2">
      <c r="C119">
        <v>118</v>
      </c>
      <c r="D119" t="s">
        <v>2560</v>
      </c>
      <c r="E119">
        <v>118</v>
      </c>
      <c r="S119" s="9">
        <v>21602</v>
      </c>
      <c r="T119" s="9">
        <v>271</v>
      </c>
      <c r="U119" s="9">
        <v>525</v>
      </c>
      <c r="V119" s="9">
        <v>607</v>
      </c>
      <c r="W119" s="9">
        <f t="shared" si="65"/>
        <v>271</v>
      </c>
      <c r="X119" s="9">
        <f t="shared" ref="X119:Y119" si="118">IF(W119&lt;&gt;T119,W119,IF(_xlfn.IFNA(VLOOKUP(T119,$M$2:$N$13,2,FALSE),U119)=0,"xxx",_xlfn.IFNA(VLOOKUP(T119,$M$2:$N$13,2,FALSE),U119)))</f>
        <v>525</v>
      </c>
      <c r="Y119" s="9">
        <f t="shared" si="118"/>
        <v>607</v>
      </c>
    </row>
    <row r="120" spans="3:25" x14ac:dyDescent="0.2">
      <c r="C120">
        <v>119</v>
      </c>
      <c r="D120" t="s">
        <v>2561</v>
      </c>
      <c r="E120">
        <v>119</v>
      </c>
      <c r="S120" s="9">
        <v>21603</v>
      </c>
      <c r="T120" s="9">
        <v>271</v>
      </c>
      <c r="U120" s="9">
        <v>525</v>
      </c>
      <c r="V120" s="9">
        <v>607</v>
      </c>
      <c r="W120" s="9">
        <f t="shared" si="65"/>
        <v>271</v>
      </c>
      <c r="X120" s="9">
        <f t="shared" ref="X120:Y120" si="119">IF(W120&lt;&gt;T120,W120,IF(_xlfn.IFNA(VLOOKUP(T120,$M$2:$N$13,2,FALSE),U120)=0,"xxx",_xlfn.IFNA(VLOOKUP(T120,$M$2:$N$13,2,FALSE),U120)))</f>
        <v>525</v>
      </c>
      <c r="Y120" s="9">
        <f t="shared" si="119"/>
        <v>607</v>
      </c>
    </row>
    <row r="121" spans="3:25" x14ac:dyDescent="0.2">
      <c r="C121">
        <v>120</v>
      </c>
      <c r="D121" t="s">
        <v>2562</v>
      </c>
      <c r="E121">
        <v>120</v>
      </c>
      <c r="S121" s="9">
        <v>21701</v>
      </c>
      <c r="T121" s="9">
        <v>271</v>
      </c>
      <c r="U121" s="9">
        <v>525</v>
      </c>
      <c r="V121" s="9">
        <v>607</v>
      </c>
      <c r="W121" s="9">
        <f t="shared" si="65"/>
        <v>271</v>
      </c>
      <c r="X121" s="9">
        <f t="shared" ref="X121:Y121" si="120">IF(W121&lt;&gt;T121,W121,IF(_xlfn.IFNA(VLOOKUP(T121,$M$2:$N$13,2,FALSE),U121)=0,"xxx",_xlfn.IFNA(VLOOKUP(T121,$M$2:$N$13,2,FALSE),U121)))</f>
        <v>525</v>
      </c>
      <c r="Y121" s="9">
        <f t="shared" si="120"/>
        <v>607</v>
      </c>
    </row>
    <row r="122" spans="3:25" x14ac:dyDescent="0.2">
      <c r="C122">
        <v>121</v>
      </c>
      <c r="D122" t="s">
        <v>2563</v>
      </c>
      <c r="E122">
        <v>121</v>
      </c>
      <c r="S122" s="9">
        <v>21702</v>
      </c>
      <c r="T122" s="9">
        <v>271</v>
      </c>
      <c r="U122" s="9">
        <v>525</v>
      </c>
      <c r="V122" s="9">
        <v>607</v>
      </c>
      <c r="W122" s="9">
        <f t="shared" si="65"/>
        <v>271</v>
      </c>
      <c r="X122" s="9">
        <f t="shared" ref="X122:Y122" si="121">IF(W122&lt;&gt;T122,W122,IF(_xlfn.IFNA(VLOOKUP(T122,$M$2:$N$13,2,FALSE),U122)=0,"xxx",_xlfn.IFNA(VLOOKUP(T122,$M$2:$N$13,2,FALSE),U122)))</f>
        <v>525</v>
      </c>
      <c r="Y122" s="9">
        <f t="shared" si="121"/>
        <v>607</v>
      </c>
    </row>
    <row r="123" spans="3:25" x14ac:dyDescent="0.2">
      <c r="C123">
        <v>122</v>
      </c>
      <c r="D123" t="s">
        <v>2564</v>
      </c>
      <c r="E123">
        <v>122</v>
      </c>
      <c r="S123" s="9">
        <v>21801</v>
      </c>
      <c r="T123" s="9">
        <v>271</v>
      </c>
      <c r="U123" s="9">
        <v>525</v>
      </c>
      <c r="V123" s="9">
        <v>607</v>
      </c>
      <c r="W123" s="9">
        <f t="shared" si="65"/>
        <v>271</v>
      </c>
      <c r="X123" s="9">
        <f t="shared" ref="X123:Y123" si="122">IF(W123&lt;&gt;T123,W123,IF(_xlfn.IFNA(VLOOKUP(T123,$M$2:$N$13,2,FALSE),U123)=0,"xxx",_xlfn.IFNA(VLOOKUP(T123,$M$2:$N$13,2,FALSE),U123)))</f>
        <v>525</v>
      </c>
      <c r="Y123" s="9">
        <f t="shared" si="122"/>
        <v>607</v>
      </c>
    </row>
    <row r="124" spans="3:25" x14ac:dyDescent="0.2">
      <c r="C124">
        <v>123</v>
      </c>
      <c r="D124" t="s">
        <v>2565</v>
      </c>
      <c r="E124">
        <v>123</v>
      </c>
      <c r="S124" s="9">
        <v>21802</v>
      </c>
      <c r="T124" s="9">
        <v>271</v>
      </c>
      <c r="U124" s="9">
        <v>525</v>
      </c>
      <c r="V124" s="9">
        <v>607</v>
      </c>
      <c r="W124" s="9">
        <f t="shared" si="65"/>
        <v>271</v>
      </c>
      <c r="X124" s="9">
        <f t="shared" ref="X124:Y124" si="123">IF(W124&lt;&gt;T124,W124,IF(_xlfn.IFNA(VLOOKUP(T124,$M$2:$N$13,2,FALSE),U124)=0,"xxx",_xlfn.IFNA(VLOOKUP(T124,$M$2:$N$13,2,FALSE),U124)))</f>
        <v>525</v>
      </c>
      <c r="Y124" s="9">
        <f t="shared" si="123"/>
        <v>607</v>
      </c>
    </row>
    <row r="125" spans="3:25" x14ac:dyDescent="0.2">
      <c r="C125">
        <v>124</v>
      </c>
      <c r="D125" t="s">
        <v>2566</v>
      </c>
      <c r="E125">
        <v>124</v>
      </c>
      <c r="S125" s="9">
        <v>21901</v>
      </c>
      <c r="T125" s="9">
        <v>271</v>
      </c>
      <c r="U125" s="9">
        <v>525</v>
      </c>
      <c r="V125" s="9">
        <v>607</v>
      </c>
      <c r="W125" s="9">
        <f t="shared" si="65"/>
        <v>271</v>
      </c>
      <c r="X125" s="9">
        <f t="shared" ref="X125:Y125" si="124">IF(W125&lt;&gt;T125,W125,IF(_xlfn.IFNA(VLOOKUP(T125,$M$2:$N$13,2,FALSE),U125)=0,"xxx",_xlfn.IFNA(VLOOKUP(T125,$M$2:$N$13,2,FALSE),U125)))</f>
        <v>525</v>
      </c>
      <c r="Y125" s="9">
        <f t="shared" si="124"/>
        <v>607</v>
      </c>
    </row>
    <row r="126" spans="3:25" x14ac:dyDescent="0.2">
      <c r="C126">
        <v>125</v>
      </c>
      <c r="D126" t="s">
        <v>2567</v>
      </c>
      <c r="E126">
        <v>125</v>
      </c>
      <c r="S126" s="9">
        <v>21902</v>
      </c>
      <c r="T126" s="9">
        <v>271</v>
      </c>
      <c r="U126" s="9">
        <v>525</v>
      </c>
      <c r="V126" s="9">
        <v>607</v>
      </c>
      <c r="W126" s="9">
        <f t="shared" si="65"/>
        <v>271</v>
      </c>
      <c r="X126" s="9">
        <f t="shared" ref="X126:Y126" si="125">IF(W126&lt;&gt;T126,W126,IF(_xlfn.IFNA(VLOOKUP(T126,$M$2:$N$13,2,FALSE),U126)=0,"xxx",_xlfn.IFNA(VLOOKUP(T126,$M$2:$N$13,2,FALSE),U126)))</f>
        <v>525</v>
      </c>
      <c r="Y126" s="9">
        <f t="shared" si="125"/>
        <v>607</v>
      </c>
    </row>
    <row r="127" spans="3:25" x14ac:dyDescent="0.2">
      <c r="C127">
        <v>126</v>
      </c>
      <c r="D127" t="s">
        <v>2568</v>
      </c>
      <c r="E127">
        <v>126</v>
      </c>
      <c r="S127" s="9">
        <v>21903</v>
      </c>
      <c r="T127" s="9">
        <v>271</v>
      </c>
      <c r="U127" s="9">
        <v>525</v>
      </c>
      <c r="V127" s="9">
        <v>607</v>
      </c>
      <c r="W127" s="9">
        <f t="shared" si="65"/>
        <v>271</v>
      </c>
      <c r="X127" s="9">
        <f t="shared" ref="X127:Y127" si="126">IF(W127&lt;&gt;T127,W127,IF(_xlfn.IFNA(VLOOKUP(T127,$M$2:$N$13,2,FALSE),U127)=0,"xxx",_xlfn.IFNA(VLOOKUP(T127,$M$2:$N$13,2,FALSE),U127)))</f>
        <v>525</v>
      </c>
      <c r="Y127" s="9">
        <f t="shared" si="126"/>
        <v>607</v>
      </c>
    </row>
    <row r="128" spans="3:25" x14ac:dyDescent="0.2">
      <c r="C128">
        <v>127</v>
      </c>
      <c r="D128" t="s">
        <v>2569</v>
      </c>
      <c r="E128">
        <v>127</v>
      </c>
      <c r="S128" s="9">
        <v>22001</v>
      </c>
      <c r="T128" s="9">
        <v>271</v>
      </c>
      <c r="U128" s="9">
        <v>525</v>
      </c>
      <c r="V128" s="9">
        <v>607</v>
      </c>
      <c r="W128" s="9">
        <f t="shared" si="65"/>
        <v>271</v>
      </c>
      <c r="X128" s="9">
        <f t="shared" ref="X128:Y128" si="127">IF(W128&lt;&gt;T128,W128,IF(_xlfn.IFNA(VLOOKUP(T128,$M$2:$N$13,2,FALSE),U128)=0,"xxx",_xlfn.IFNA(VLOOKUP(T128,$M$2:$N$13,2,FALSE),U128)))</f>
        <v>525</v>
      </c>
      <c r="Y128" s="9">
        <f t="shared" si="127"/>
        <v>607</v>
      </c>
    </row>
    <row r="129" spans="3:25" x14ac:dyDescent="0.2">
      <c r="C129">
        <v>128</v>
      </c>
      <c r="D129" t="s">
        <v>2570</v>
      </c>
      <c r="E129">
        <v>128</v>
      </c>
      <c r="S129" s="9">
        <v>22002</v>
      </c>
      <c r="T129" s="9">
        <v>271</v>
      </c>
      <c r="U129" s="9">
        <v>525</v>
      </c>
      <c r="V129" s="9">
        <v>607</v>
      </c>
      <c r="W129" s="9">
        <f t="shared" si="65"/>
        <v>271</v>
      </c>
      <c r="X129" s="9">
        <f t="shared" ref="X129:Y129" si="128">IF(W129&lt;&gt;T129,W129,IF(_xlfn.IFNA(VLOOKUP(T129,$M$2:$N$13,2,FALSE),U129)=0,"xxx",_xlfn.IFNA(VLOOKUP(T129,$M$2:$N$13,2,FALSE),U129)))</f>
        <v>525</v>
      </c>
      <c r="Y129" s="9">
        <f t="shared" si="128"/>
        <v>607</v>
      </c>
    </row>
    <row r="130" spans="3:25" x14ac:dyDescent="0.2">
      <c r="C130">
        <v>129</v>
      </c>
      <c r="D130" t="s">
        <v>2571</v>
      </c>
      <c r="E130">
        <v>129</v>
      </c>
      <c r="S130" s="9">
        <v>22003</v>
      </c>
      <c r="T130" s="9">
        <v>271</v>
      </c>
      <c r="U130" s="9">
        <v>525</v>
      </c>
      <c r="V130" s="9">
        <v>607</v>
      </c>
      <c r="W130" s="9">
        <f t="shared" si="65"/>
        <v>271</v>
      </c>
      <c r="X130" s="9">
        <f t="shared" ref="X130:Y130" si="129">IF(W130&lt;&gt;T130,W130,IF(_xlfn.IFNA(VLOOKUP(T130,$M$2:$N$13,2,FALSE),U130)=0,"xxx",_xlfn.IFNA(VLOOKUP(T130,$M$2:$N$13,2,FALSE),U130)))</f>
        <v>525</v>
      </c>
      <c r="Y130" s="9">
        <f t="shared" si="129"/>
        <v>607</v>
      </c>
    </row>
    <row r="131" spans="3:25" x14ac:dyDescent="0.2">
      <c r="C131">
        <v>130</v>
      </c>
      <c r="D131" t="s">
        <v>2572</v>
      </c>
      <c r="E131">
        <v>130</v>
      </c>
      <c r="S131" s="9">
        <v>22101</v>
      </c>
      <c r="T131" s="9">
        <v>271</v>
      </c>
      <c r="U131" s="9">
        <v>525</v>
      </c>
      <c r="V131" s="9">
        <v>607</v>
      </c>
      <c r="W131" s="9">
        <f t="shared" ref="W131:W194" si="130">IF(_xlfn.IFNA(VLOOKUP(S131,$M$2:$N$13,2,FALSE),T131)=0,"xxx",_xlfn.IFNA(VLOOKUP(S131,$M$2:$N$13,2,FALSE),T131))</f>
        <v>271</v>
      </c>
      <c r="X131" s="9">
        <f t="shared" ref="X131:Y131" si="131">IF(W131&lt;&gt;T131,W131,IF(_xlfn.IFNA(VLOOKUP(T131,$M$2:$N$13,2,FALSE),U131)=0,"xxx",_xlfn.IFNA(VLOOKUP(T131,$M$2:$N$13,2,FALSE),U131)))</f>
        <v>525</v>
      </c>
      <c r="Y131" s="9">
        <f t="shared" si="131"/>
        <v>607</v>
      </c>
    </row>
    <row r="132" spans="3:25" x14ac:dyDescent="0.2">
      <c r="C132">
        <v>131</v>
      </c>
      <c r="D132" t="s">
        <v>2573</v>
      </c>
      <c r="E132">
        <v>131</v>
      </c>
      <c r="S132" s="9">
        <v>22102</v>
      </c>
      <c r="T132" s="9">
        <v>271</v>
      </c>
      <c r="U132" s="9">
        <v>525</v>
      </c>
      <c r="V132" s="9">
        <v>607</v>
      </c>
      <c r="W132" s="9">
        <f t="shared" si="130"/>
        <v>271</v>
      </c>
      <c r="X132" s="9">
        <f t="shared" ref="X132:Y132" si="132">IF(W132&lt;&gt;T132,W132,IF(_xlfn.IFNA(VLOOKUP(T132,$M$2:$N$13,2,FALSE),U132)=0,"xxx",_xlfn.IFNA(VLOOKUP(T132,$M$2:$N$13,2,FALSE),U132)))</f>
        <v>525</v>
      </c>
      <c r="Y132" s="9">
        <f t="shared" si="132"/>
        <v>607</v>
      </c>
    </row>
    <row r="133" spans="3:25" x14ac:dyDescent="0.2">
      <c r="C133">
        <v>132</v>
      </c>
      <c r="D133" t="s">
        <v>2574</v>
      </c>
      <c r="E133">
        <v>132</v>
      </c>
      <c r="S133" s="9">
        <v>22201</v>
      </c>
      <c r="T133" s="9">
        <v>271</v>
      </c>
      <c r="U133" s="9">
        <v>525</v>
      </c>
      <c r="V133" s="9">
        <v>607</v>
      </c>
      <c r="W133" s="9">
        <f t="shared" si="130"/>
        <v>271</v>
      </c>
      <c r="X133" s="9">
        <f t="shared" ref="X133:Y133" si="133">IF(W133&lt;&gt;T133,W133,IF(_xlfn.IFNA(VLOOKUP(T133,$M$2:$N$13,2,FALSE),U133)=0,"xxx",_xlfn.IFNA(VLOOKUP(T133,$M$2:$N$13,2,FALSE),U133)))</f>
        <v>525</v>
      </c>
      <c r="Y133" s="9">
        <f t="shared" si="133"/>
        <v>607</v>
      </c>
    </row>
    <row r="134" spans="3:25" x14ac:dyDescent="0.2">
      <c r="C134">
        <v>133</v>
      </c>
      <c r="D134" t="s">
        <v>2575</v>
      </c>
      <c r="E134">
        <v>133</v>
      </c>
      <c r="S134" s="9">
        <v>22202</v>
      </c>
      <c r="T134" s="9">
        <v>271</v>
      </c>
      <c r="U134" s="9">
        <v>525</v>
      </c>
      <c r="V134" s="9">
        <v>607</v>
      </c>
      <c r="W134" s="9">
        <f t="shared" si="130"/>
        <v>271</v>
      </c>
      <c r="X134" s="9">
        <f t="shared" ref="X134:Y134" si="134">IF(W134&lt;&gt;T134,W134,IF(_xlfn.IFNA(VLOOKUP(T134,$M$2:$N$13,2,FALSE),U134)=0,"xxx",_xlfn.IFNA(VLOOKUP(T134,$M$2:$N$13,2,FALSE),U134)))</f>
        <v>525</v>
      </c>
      <c r="Y134" s="9">
        <f t="shared" si="134"/>
        <v>607</v>
      </c>
    </row>
    <row r="135" spans="3:25" x14ac:dyDescent="0.2">
      <c r="C135">
        <v>134</v>
      </c>
      <c r="D135" t="s">
        <v>2576</v>
      </c>
      <c r="E135">
        <v>134</v>
      </c>
      <c r="S135" s="9">
        <v>22301</v>
      </c>
      <c r="T135" s="9">
        <v>271</v>
      </c>
      <c r="U135" s="9">
        <v>525</v>
      </c>
      <c r="V135" s="9">
        <v>607</v>
      </c>
      <c r="W135" s="9">
        <f t="shared" si="130"/>
        <v>271</v>
      </c>
      <c r="X135" s="9">
        <f t="shared" ref="X135:Y135" si="135">IF(W135&lt;&gt;T135,W135,IF(_xlfn.IFNA(VLOOKUP(T135,$M$2:$N$13,2,FALSE),U135)=0,"xxx",_xlfn.IFNA(VLOOKUP(T135,$M$2:$N$13,2,FALSE),U135)))</f>
        <v>525</v>
      </c>
      <c r="Y135" s="9">
        <f t="shared" si="135"/>
        <v>607</v>
      </c>
    </row>
    <row r="136" spans="3:25" x14ac:dyDescent="0.2">
      <c r="C136">
        <v>135</v>
      </c>
      <c r="D136" t="s">
        <v>2577</v>
      </c>
      <c r="E136">
        <v>135</v>
      </c>
      <c r="S136" s="9">
        <v>22401</v>
      </c>
      <c r="T136" s="9">
        <v>271</v>
      </c>
      <c r="U136" s="9">
        <v>525</v>
      </c>
      <c r="V136" s="9">
        <v>607</v>
      </c>
      <c r="W136" s="9">
        <f t="shared" si="130"/>
        <v>271</v>
      </c>
      <c r="X136" s="9">
        <f t="shared" ref="X136:Y136" si="136">IF(W136&lt;&gt;T136,W136,IF(_xlfn.IFNA(VLOOKUP(T136,$M$2:$N$13,2,FALSE),U136)=0,"xxx",_xlfn.IFNA(VLOOKUP(T136,$M$2:$N$13,2,FALSE),U136)))</f>
        <v>525</v>
      </c>
      <c r="Y136" s="9">
        <f t="shared" si="136"/>
        <v>607</v>
      </c>
    </row>
    <row r="137" spans="3:25" x14ac:dyDescent="0.2">
      <c r="C137">
        <v>136</v>
      </c>
      <c r="D137" t="s">
        <v>2578</v>
      </c>
      <c r="E137">
        <v>136</v>
      </c>
      <c r="S137" s="9">
        <v>22402</v>
      </c>
      <c r="T137" s="9">
        <v>271</v>
      </c>
      <c r="U137" s="9">
        <v>525</v>
      </c>
      <c r="V137" s="9">
        <v>607</v>
      </c>
      <c r="W137" s="9">
        <f t="shared" si="130"/>
        <v>271</v>
      </c>
      <c r="X137" s="9">
        <f t="shared" ref="X137:Y137" si="137">IF(W137&lt;&gt;T137,W137,IF(_xlfn.IFNA(VLOOKUP(T137,$M$2:$N$13,2,FALSE),U137)=0,"xxx",_xlfn.IFNA(VLOOKUP(T137,$M$2:$N$13,2,FALSE),U137)))</f>
        <v>525</v>
      </c>
      <c r="Y137" s="9">
        <f t="shared" si="137"/>
        <v>607</v>
      </c>
    </row>
    <row r="138" spans="3:25" x14ac:dyDescent="0.2">
      <c r="C138">
        <v>137</v>
      </c>
      <c r="D138" t="s">
        <v>2579</v>
      </c>
      <c r="E138">
        <v>137</v>
      </c>
      <c r="S138" s="9">
        <v>22403</v>
      </c>
      <c r="T138" s="9">
        <v>271</v>
      </c>
      <c r="U138" s="9">
        <v>525</v>
      </c>
      <c r="V138" s="9">
        <v>607</v>
      </c>
      <c r="W138" s="9">
        <f t="shared" si="130"/>
        <v>271</v>
      </c>
      <c r="X138" s="9">
        <f t="shared" ref="X138:Y138" si="138">IF(W138&lt;&gt;T138,W138,IF(_xlfn.IFNA(VLOOKUP(T138,$M$2:$N$13,2,FALSE),U138)=0,"xxx",_xlfn.IFNA(VLOOKUP(T138,$M$2:$N$13,2,FALSE),U138)))</f>
        <v>525</v>
      </c>
      <c r="Y138" s="9">
        <f t="shared" si="138"/>
        <v>607</v>
      </c>
    </row>
    <row r="139" spans="3:25" x14ac:dyDescent="0.2">
      <c r="C139">
        <v>138</v>
      </c>
      <c r="D139" t="s">
        <v>2580</v>
      </c>
      <c r="E139">
        <v>138</v>
      </c>
      <c r="S139" s="9">
        <v>22501</v>
      </c>
      <c r="T139" s="9">
        <v>271</v>
      </c>
      <c r="U139" s="9">
        <v>525</v>
      </c>
      <c r="V139" s="9">
        <v>607</v>
      </c>
      <c r="W139" s="9">
        <f t="shared" si="130"/>
        <v>271</v>
      </c>
      <c r="X139" s="9">
        <f t="shared" ref="X139:Y139" si="139">IF(W139&lt;&gt;T139,W139,IF(_xlfn.IFNA(VLOOKUP(T139,$M$2:$N$13,2,FALSE),U139)=0,"xxx",_xlfn.IFNA(VLOOKUP(T139,$M$2:$N$13,2,FALSE),U139)))</f>
        <v>525</v>
      </c>
      <c r="Y139" s="9">
        <f t="shared" si="139"/>
        <v>607</v>
      </c>
    </row>
    <row r="140" spans="3:25" x14ac:dyDescent="0.2">
      <c r="C140">
        <v>139</v>
      </c>
      <c r="D140" t="s">
        <v>2581</v>
      </c>
      <c r="E140">
        <v>139</v>
      </c>
      <c r="S140" s="9">
        <v>22502</v>
      </c>
      <c r="T140" s="9">
        <v>271</v>
      </c>
      <c r="U140" s="9">
        <v>525</v>
      </c>
      <c r="V140" s="9">
        <v>607</v>
      </c>
      <c r="W140" s="9">
        <f t="shared" si="130"/>
        <v>271</v>
      </c>
      <c r="X140" s="9">
        <f t="shared" ref="X140:Y140" si="140">IF(W140&lt;&gt;T140,W140,IF(_xlfn.IFNA(VLOOKUP(T140,$M$2:$N$13,2,FALSE),U140)=0,"xxx",_xlfn.IFNA(VLOOKUP(T140,$M$2:$N$13,2,FALSE),U140)))</f>
        <v>525</v>
      </c>
      <c r="Y140" s="9">
        <f t="shared" si="140"/>
        <v>607</v>
      </c>
    </row>
    <row r="141" spans="3:25" x14ac:dyDescent="0.2">
      <c r="C141">
        <v>140</v>
      </c>
      <c r="D141" t="s">
        <v>2582</v>
      </c>
      <c r="E141">
        <v>140</v>
      </c>
      <c r="S141" s="9">
        <v>22601</v>
      </c>
      <c r="T141" s="9">
        <v>271</v>
      </c>
      <c r="U141" s="9">
        <v>525</v>
      </c>
      <c r="V141" s="9">
        <v>607</v>
      </c>
      <c r="W141" s="9">
        <f t="shared" si="130"/>
        <v>271</v>
      </c>
      <c r="X141" s="9">
        <f t="shared" ref="X141:Y141" si="141">IF(W141&lt;&gt;T141,W141,IF(_xlfn.IFNA(VLOOKUP(T141,$M$2:$N$13,2,FALSE),U141)=0,"xxx",_xlfn.IFNA(VLOOKUP(T141,$M$2:$N$13,2,FALSE),U141)))</f>
        <v>525</v>
      </c>
      <c r="Y141" s="9">
        <f t="shared" si="141"/>
        <v>607</v>
      </c>
    </row>
    <row r="142" spans="3:25" x14ac:dyDescent="0.2">
      <c r="C142">
        <v>141</v>
      </c>
      <c r="D142" t="s">
        <v>2583</v>
      </c>
      <c r="E142">
        <v>141</v>
      </c>
      <c r="S142" s="9">
        <v>28101</v>
      </c>
      <c r="T142" s="9">
        <v>270</v>
      </c>
      <c r="U142" s="9">
        <v>522</v>
      </c>
      <c r="V142" s="9">
        <v>607</v>
      </c>
      <c r="W142" s="9">
        <f t="shared" si="130"/>
        <v>1025</v>
      </c>
      <c r="X142" s="9">
        <f t="shared" ref="X142:Y142" si="142">IF(W142&lt;&gt;T142,W142,IF(_xlfn.IFNA(VLOOKUP(T142,$M$2:$N$13,2,FALSE),U142)=0,"xxx",_xlfn.IFNA(VLOOKUP(T142,$M$2:$N$13,2,FALSE),U142)))</f>
        <v>1025</v>
      </c>
      <c r="Y142" s="9">
        <f t="shared" si="142"/>
        <v>1025</v>
      </c>
    </row>
    <row r="143" spans="3:25" x14ac:dyDescent="0.2">
      <c r="C143">
        <v>142</v>
      </c>
      <c r="D143" t="s">
        <v>2584</v>
      </c>
      <c r="E143">
        <v>142</v>
      </c>
      <c r="S143" s="9">
        <v>28102</v>
      </c>
      <c r="T143" s="9">
        <v>784</v>
      </c>
      <c r="U143" s="9">
        <v>784</v>
      </c>
      <c r="V143" s="9">
        <v>784</v>
      </c>
      <c r="W143" s="9">
        <f t="shared" si="130"/>
        <v>1023</v>
      </c>
      <c r="X143" s="9">
        <f t="shared" ref="X143:Y143" si="143">IF(W143&lt;&gt;T143,W143,IF(_xlfn.IFNA(VLOOKUP(T143,$M$2:$N$13,2,FALSE),U143)=0,"xxx",_xlfn.IFNA(VLOOKUP(T143,$M$2:$N$13,2,FALSE),U143)))</f>
        <v>1023</v>
      </c>
      <c r="Y143" s="9">
        <f t="shared" si="143"/>
        <v>1023</v>
      </c>
    </row>
    <row r="144" spans="3:25" x14ac:dyDescent="0.2">
      <c r="C144">
        <v>143</v>
      </c>
      <c r="D144" t="s">
        <v>2585</v>
      </c>
      <c r="E144">
        <v>143</v>
      </c>
      <c r="S144" s="9">
        <v>28201</v>
      </c>
      <c r="T144" s="9">
        <v>1012</v>
      </c>
      <c r="U144" s="9">
        <v>1012</v>
      </c>
      <c r="V144" s="9">
        <v>1012</v>
      </c>
      <c r="W144" s="9">
        <f t="shared" si="130"/>
        <v>1012</v>
      </c>
      <c r="X144" s="9">
        <f t="shared" ref="X144:Y144" si="144">IF(W144&lt;&gt;T144,W144,IF(_xlfn.IFNA(VLOOKUP(T144,$M$2:$N$13,2,FALSE),U144)=0,"xxx",_xlfn.IFNA(VLOOKUP(T144,$M$2:$N$13,2,FALSE),U144)))</f>
        <v>1012</v>
      </c>
      <c r="Y144" s="9">
        <f t="shared" si="144"/>
        <v>1012</v>
      </c>
    </row>
    <row r="145" spans="3:25" x14ac:dyDescent="0.2">
      <c r="C145">
        <v>144</v>
      </c>
      <c r="D145" t="s">
        <v>2586</v>
      </c>
      <c r="E145">
        <v>144</v>
      </c>
      <c r="S145" s="9">
        <v>28202</v>
      </c>
      <c r="T145" s="9">
        <v>1013</v>
      </c>
      <c r="U145" s="9">
        <v>1013</v>
      </c>
      <c r="V145" s="9">
        <v>1013</v>
      </c>
      <c r="W145" s="9">
        <f t="shared" si="130"/>
        <v>1013</v>
      </c>
      <c r="X145" s="9">
        <f t="shared" ref="X145:Y145" si="145">IF(W145&lt;&gt;T145,W145,IF(_xlfn.IFNA(VLOOKUP(T145,$M$2:$N$13,2,FALSE),U145)=0,"xxx",_xlfn.IFNA(VLOOKUP(T145,$M$2:$N$13,2,FALSE),U145)))</f>
        <v>1013</v>
      </c>
      <c r="Y145" s="9">
        <f t="shared" si="145"/>
        <v>1013</v>
      </c>
    </row>
    <row r="146" spans="3:25" x14ac:dyDescent="0.2">
      <c r="C146">
        <v>145</v>
      </c>
      <c r="D146" t="s">
        <v>2587</v>
      </c>
      <c r="E146">
        <v>145</v>
      </c>
      <c r="S146" s="9">
        <v>28301</v>
      </c>
      <c r="T146" s="9">
        <v>784</v>
      </c>
      <c r="U146" s="9">
        <v>784</v>
      </c>
      <c r="V146" s="9">
        <v>784</v>
      </c>
      <c r="W146" s="9">
        <f t="shared" si="130"/>
        <v>1024</v>
      </c>
      <c r="X146" s="9">
        <f t="shared" ref="X146:Y146" si="146">IF(W146&lt;&gt;T146,W146,IF(_xlfn.IFNA(VLOOKUP(T146,$M$2:$N$13,2,FALSE),U146)=0,"xxx",_xlfn.IFNA(VLOOKUP(T146,$M$2:$N$13,2,FALSE),U146)))</f>
        <v>1024</v>
      </c>
      <c r="Y146" s="9">
        <f t="shared" si="146"/>
        <v>1024</v>
      </c>
    </row>
    <row r="147" spans="3:25" x14ac:dyDescent="0.2">
      <c r="C147">
        <v>146</v>
      </c>
      <c r="D147" t="s">
        <v>2588</v>
      </c>
      <c r="E147">
        <v>146</v>
      </c>
      <c r="S147" s="9">
        <v>28401</v>
      </c>
      <c r="T147" s="9">
        <v>1014</v>
      </c>
      <c r="U147" s="9">
        <v>1014</v>
      </c>
      <c r="V147" s="9">
        <v>1014</v>
      </c>
      <c r="W147" s="9">
        <f t="shared" si="130"/>
        <v>1014</v>
      </c>
      <c r="X147" s="9">
        <f t="shared" ref="X147:Y147" si="147">IF(W147&lt;&gt;T147,W147,IF(_xlfn.IFNA(VLOOKUP(T147,$M$2:$N$13,2,FALSE),U147)=0,"xxx",_xlfn.IFNA(VLOOKUP(T147,$M$2:$N$13,2,FALSE),U147)))</f>
        <v>1014</v>
      </c>
      <c r="Y147" s="9">
        <f t="shared" si="147"/>
        <v>1014</v>
      </c>
    </row>
    <row r="148" spans="3:25" x14ac:dyDescent="0.2">
      <c r="C148">
        <v>147</v>
      </c>
      <c r="D148" t="s">
        <v>2589</v>
      </c>
      <c r="E148">
        <v>147</v>
      </c>
      <c r="S148" s="9">
        <v>28402</v>
      </c>
      <c r="T148" s="9">
        <v>1014</v>
      </c>
      <c r="U148" s="9">
        <v>1014</v>
      </c>
      <c r="V148" s="9">
        <v>1014</v>
      </c>
      <c r="W148" s="9">
        <f t="shared" si="130"/>
        <v>1014</v>
      </c>
      <c r="X148" s="9">
        <f t="shared" ref="X148:Y148" si="148">IF(W148&lt;&gt;T148,W148,IF(_xlfn.IFNA(VLOOKUP(T148,$M$2:$N$13,2,FALSE),U148)=0,"xxx",_xlfn.IFNA(VLOOKUP(T148,$M$2:$N$13,2,FALSE),U148)))</f>
        <v>1014</v>
      </c>
      <c r="Y148" s="9">
        <f t="shared" si="148"/>
        <v>1014</v>
      </c>
    </row>
    <row r="149" spans="3:25" x14ac:dyDescent="0.2">
      <c r="C149">
        <v>148</v>
      </c>
      <c r="D149" t="s">
        <v>2590</v>
      </c>
      <c r="E149">
        <v>148</v>
      </c>
      <c r="S149" s="9">
        <v>28501</v>
      </c>
      <c r="T149" s="9">
        <v>784</v>
      </c>
      <c r="U149" s="9">
        <v>784</v>
      </c>
      <c r="V149" s="9">
        <v>784</v>
      </c>
      <c r="W149" s="9">
        <f t="shared" si="130"/>
        <v>1026</v>
      </c>
      <c r="X149" s="9">
        <f t="shared" ref="X149:Y149" si="149">IF(W149&lt;&gt;T149,W149,IF(_xlfn.IFNA(VLOOKUP(T149,$M$2:$N$13,2,FALSE),U149)=0,"xxx",_xlfn.IFNA(VLOOKUP(T149,$M$2:$N$13,2,FALSE),U149)))</f>
        <v>1026</v>
      </c>
      <c r="Y149" s="9">
        <f t="shared" si="149"/>
        <v>1026</v>
      </c>
    </row>
    <row r="150" spans="3:25" x14ac:dyDescent="0.2">
      <c r="C150">
        <v>149</v>
      </c>
      <c r="D150" t="s">
        <v>2591</v>
      </c>
      <c r="E150">
        <v>149</v>
      </c>
      <c r="S150" s="9">
        <v>28601</v>
      </c>
      <c r="T150" s="9">
        <v>829</v>
      </c>
      <c r="U150" s="9">
        <v>829</v>
      </c>
      <c r="V150" s="9">
        <v>829</v>
      </c>
      <c r="W150" s="9">
        <f t="shared" si="130"/>
        <v>829</v>
      </c>
      <c r="X150" s="9">
        <f t="shared" ref="X150:Y150" si="150">IF(W150&lt;&gt;T150,W150,IF(_xlfn.IFNA(VLOOKUP(T150,$M$2:$N$13,2,FALSE),U150)=0,"xxx",_xlfn.IFNA(VLOOKUP(T150,$M$2:$N$13,2,FALSE),U150)))</f>
        <v>829</v>
      </c>
      <c r="Y150" s="9">
        <f t="shared" si="150"/>
        <v>829</v>
      </c>
    </row>
    <row r="151" spans="3:25" x14ac:dyDescent="0.2">
      <c r="C151">
        <v>150</v>
      </c>
      <c r="D151" t="s">
        <v>2592</v>
      </c>
      <c r="E151">
        <v>150</v>
      </c>
      <c r="S151" s="9">
        <v>28701</v>
      </c>
      <c r="T151" s="9">
        <v>1018</v>
      </c>
      <c r="U151" s="9">
        <v>1018</v>
      </c>
      <c r="V151" s="9">
        <v>1018</v>
      </c>
      <c r="W151" s="9">
        <f t="shared" si="130"/>
        <v>1018</v>
      </c>
      <c r="X151" s="9">
        <f t="shared" ref="X151:Y151" si="151">IF(W151&lt;&gt;T151,W151,IF(_xlfn.IFNA(VLOOKUP(T151,$M$2:$N$13,2,FALSE),U151)=0,"xxx",_xlfn.IFNA(VLOOKUP(T151,$M$2:$N$13,2,FALSE),U151)))</f>
        <v>1018</v>
      </c>
      <c r="Y151" s="9">
        <f t="shared" si="151"/>
        <v>1018</v>
      </c>
    </row>
    <row r="152" spans="3:25" x14ac:dyDescent="0.2">
      <c r="C152">
        <v>151</v>
      </c>
      <c r="D152" t="s">
        <v>2593</v>
      </c>
      <c r="E152">
        <v>151</v>
      </c>
      <c r="S152" s="9">
        <v>28801</v>
      </c>
      <c r="T152" s="9">
        <v>784</v>
      </c>
      <c r="U152" s="9">
        <v>784</v>
      </c>
      <c r="V152" s="9">
        <v>784</v>
      </c>
      <c r="W152" s="9">
        <f t="shared" si="130"/>
        <v>784</v>
      </c>
      <c r="X152" s="9">
        <f t="shared" ref="X152:Y152" si="152">IF(W152&lt;&gt;T152,W152,IF(_xlfn.IFNA(VLOOKUP(T152,$M$2:$N$13,2,FALSE),U152)=0,"xxx",_xlfn.IFNA(VLOOKUP(T152,$M$2:$N$13,2,FALSE),U152)))</f>
        <v>784</v>
      </c>
      <c r="Y152" s="9">
        <f t="shared" si="152"/>
        <v>784</v>
      </c>
    </row>
    <row r="153" spans="3:25" x14ac:dyDescent="0.2">
      <c r="C153">
        <v>152</v>
      </c>
      <c r="D153" t="s">
        <v>2594</v>
      </c>
      <c r="E153">
        <v>152</v>
      </c>
      <c r="S153" s="9">
        <v>28802</v>
      </c>
      <c r="T153" s="9">
        <v>784</v>
      </c>
      <c r="U153" s="9">
        <v>784</v>
      </c>
      <c r="V153" s="9">
        <v>784</v>
      </c>
      <c r="W153" s="9">
        <f t="shared" si="130"/>
        <v>1027</v>
      </c>
      <c r="X153" s="9">
        <f t="shared" ref="X153:Y153" si="153">IF(W153&lt;&gt;T153,W153,IF(_xlfn.IFNA(VLOOKUP(T153,$M$2:$N$13,2,FALSE),U153)=0,"xxx",_xlfn.IFNA(VLOOKUP(T153,$M$2:$N$13,2,FALSE),U153)))</f>
        <v>1027</v>
      </c>
      <c r="Y153" s="9">
        <f t="shared" si="153"/>
        <v>1027</v>
      </c>
    </row>
    <row r="154" spans="3:25" x14ac:dyDescent="0.2">
      <c r="C154">
        <v>153</v>
      </c>
      <c r="D154" t="s">
        <v>2595</v>
      </c>
      <c r="E154">
        <v>153</v>
      </c>
      <c r="S154" s="9">
        <v>28803</v>
      </c>
      <c r="T154" s="9">
        <v>784</v>
      </c>
      <c r="U154" s="9">
        <v>784</v>
      </c>
      <c r="V154" s="9">
        <v>784</v>
      </c>
      <c r="W154" s="9">
        <f t="shared" si="130"/>
        <v>1028</v>
      </c>
      <c r="X154" s="9">
        <f t="shared" ref="X154:Y154" si="154">IF(W154&lt;&gt;T154,W154,IF(_xlfn.IFNA(VLOOKUP(T154,$M$2:$N$13,2,FALSE),U154)=0,"xxx",_xlfn.IFNA(VLOOKUP(T154,$M$2:$N$13,2,FALSE),U154)))</f>
        <v>1028</v>
      </c>
      <c r="Y154" s="9">
        <f t="shared" si="154"/>
        <v>1028</v>
      </c>
    </row>
    <row r="155" spans="3:25" x14ac:dyDescent="0.2">
      <c r="C155">
        <v>154</v>
      </c>
      <c r="D155" t="s">
        <v>2596</v>
      </c>
      <c r="E155">
        <v>154</v>
      </c>
      <c r="S155" s="9">
        <v>28804</v>
      </c>
      <c r="T155" s="9">
        <v>784</v>
      </c>
      <c r="U155" s="9">
        <v>784</v>
      </c>
      <c r="V155" s="9">
        <v>784</v>
      </c>
      <c r="W155" s="9">
        <f t="shared" si="130"/>
        <v>1029</v>
      </c>
      <c r="X155" s="9">
        <f t="shared" ref="X155:Y155" si="155">IF(W155&lt;&gt;T155,W155,IF(_xlfn.IFNA(VLOOKUP(T155,$M$2:$N$13,2,FALSE),U155)=0,"xxx",_xlfn.IFNA(VLOOKUP(T155,$M$2:$N$13,2,FALSE),U155)))</f>
        <v>1029</v>
      </c>
      <c r="Y155" s="9">
        <f t="shared" si="155"/>
        <v>1029</v>
      </c>
    </row>
    <row r="156" spans="3:25" x14ac:dyDescent="0.2">
      <c r="C156">
        <v>155</v>
      </c>
      <c r="D156" t="s">
        <v>2597</v>
      </c>
      <c r="E156">
        <v>155</v>
      </c>
      <c r="S156" s="9">
        <v>28901</v>
      </c>
      <c r="T156" s="9">
        <v>1019</v>
      </c>
      <c r="U156" s="9">
        <v>1019</v>
      </c>
      <c r="V156" s="9">
        <v>1019</v>
      </c>
      <c r="W156" s="9">
        <f t="shared" si="130"/>
        <v>1019</v>
      </c>
      <c r="X156" s="9">
        <f t="shared" ref="X156:Y156" si="156">IF(W156&lt;&gt;T156,W156,IF(_xlfn.IFNA(VLOOKUP(T156,$M$2:$N$13,2,FALSE),U156)=0,"xxx",_xlfn.IFNA(VLOOKUP(T156,$M$2:$N$13,2,FALSE),U156)))</f>
        <v>1019</v>
      </c>
      <c r="Y156" s="9">
        <f t="shared" si="156"/>
        <v>1019</v>
      </c>
    </row>
    <row r="157" spans="3:25" x14ac:dyDescent="0.2">
      <c r="C157">
        <v>156</v>
      </c>
      <c r="D157" t="s">
        <v>2598</v>
      </c>
      <c r="E157">
        <v>156</v>
      </c>
      <c r="S157" s="9">
        <v>28902</v>
      </c>
      <c r="T157" s="9">
        <v>1020</v>
      </c>
      <c r="U157" s="9">
        <v>1020</v>
      </c>
      <c r="V157" s="9">
        <v>1020</v>
      </c>
      <c r="W157" s="9">
        <f t="shared" si="130"/>
        <v>1020</v>
      </c>
      <c r="X157" s="9">
        <f t="shared" ref="X157:Y157" si="157">IF(W157&lt;&gt;T157,W157,IF(_xlfn.IFNA(VLOOKUP(T157,$M$2:$N$13,2,FALSE),U157)=0,"xxx",_xlfn.IFNA(VLOOKUP(T157,$M$2:$N$13,2,FALSE),U157)))</f>
        <v>1020</v>
      </c>
      <c r="Y157" s="9">
        <f t="shared" si="157"/>
        <v>1020</v>
      </c>
    </row>
    <row r="158" spans="3:25" x14ac:dyDescent="0.2">
      <c r="C158">
        <v>157</v>
      </c>
      <c r="D158" t="s">
        <v>2599</v>
      </c>
      <c r="E158">
        <v>157</v>
      </c>
      <c r="S158" s="9">
        <v>29001</v>
      </c>
      <c r="T158" s="9">
        <v>784</v>
      </c>
      <c r="U158" s="9">
        <v>784</v>
      </c>
      <c r="V158" s="9">
        <v>784</v>
      </c>
      <c r="W158" s="9">
        <f t="shared" si="130"/>
        <v>1030</v>
      </c>
      <c r="X158" s="9">
        <f t="shared" ref="X158:Y158" si="158">IF(W158&lt;&gt;T158,W158,IF(_xlfn.IFNA(VLOOKUP(T158,$M$2:$N$13,2,FALSE),U158)=0,"xxx",_xlfn.IFNA(VLOOKUP(T158,$M$2:$N$13,2,FALSE),U158)))</f>
        <v>1030</v>
      </c>
      <c r="Y158" s="9">
        <f t="shared" si="158"/>
        <v>1030</v>
      </c>
    </row>
    <row r="159" spans="3:25" x14ac:dyDescent="0.2">
      <c r="C159">
        <v>158</v>
      </c>
      <c r="D159" t="s">
        <v>2600</v>
      </c>
      <c r="E159">
        <v>158</v>
      </c>
      <c r="S159" s="9">
        <v>29101</v>
      </c>
      <c r="T159" s="9">
        <v>1021</v>
      </c>
      <c r="U159" s="9">
        <v>1021</v>
      </c>
      <c r="V159" s="9">
        <v>1021</v>
      </c>
      <c r="W159" s="9">
        <f t="shared" si="130"/>
        <v>1021</v>
      </c>
      <c r="X159" s="9">
        <f t="shared" ref="X159:Y159" si="159">IF(W159&lt;&gt;T159,W159,IF(_xlfn.IFNA(VLOOKUP(T159,$M$2:$N$13,2,FALSE),U159)=0,"xxx",_xlfn.IFNA(VLOOKUP(T159,$M$2:$N$13,2,FALSE),U159)))</f>
        <v>1021</v>
      </c>
      <c r="Y159" s="9">
        <f t="shared" si="159"/>
        <v>1021</v>
      </c>
    </row>
    <row r="160" spans="3:25" x14ac:dyDescent="0.2">
      <c r="C160">
        <v>159</v>
      </c>
      <c r="D160" t="s">
        <v>2601</v>
      </c>
      <c r="E160">
        <v>159</v>
      </c>
      <c r="S160" s="9">
        <v>29102</v>
      </c>
      <c r="T160" s="9">
        <v>1022</v>
      </c>
      <c r="U160" s="9">
        <v>1022</v>
      </c>
      <c r="V160" s="9">
        <v>1022</v>
      </c>
      <c r="W160" s="9">
        <f t="shared" si="130"/>
        <v>1022</v>
      </c>
      <c r="X160" s="9">
        <f t="shared" ref="X160:Y160" si="160">IF(W160&lt;&gt;T160,W160,IF(_xlfn.IFNA(VLOOKUP(T160,$M$2:$N$13,2,FALSE),U160)=0,"xxx",_xlfn.IFNA(VLOOKUP(T160,$M$2:$N$13,2,FALSE),U160)))</f>
        <v>1022</v>
      </c>
      <c r="Y160" s="9">
        <f t="shared" si="160"/>
        <v>1022</v>
      </c>
    </row>
    <row r="161" spans="3:25" x14ac:dyDescent="0.2">
      <c r="C161">
        <v>160</v>
      </c>
      <c r="D161" t="s">
        <v>2602</v>
      </c>
      <c r="E161">
        <v>160</v>
      </c>
      <c r="S161" s="9">
        <v>29201</v>
      </c>
      <c r="T161" s="9">
        <v>270</v>
      </c>
      <c r="U161" s="9">
        <v>522</v>
      </c>
      <c r="V161" s="9">
        <v>607</v>
      </c>
      <c r="W161" s="9">
        <f t="shared" si="130"/>
        <v>270</v>
      </c>
      <c r="X161" s="9">
        <f t="shared" ref="X161:Y161" si="161">IF(W161&lt;&gt;T161,W161,IF(_xlfn.IFNA(VLOOKUP(T161,$M$2:$N$13,2,FALSE),U161)=0,"xxx",_xlfn.IFNA(VLOOKUP(T161,$M$2:$N$13,2,FALSE),U161)))</f>
        <v>522</v>
      </c>
      <c r="Y161" s="9">
        <f t="shared" si="161"/>
        <v>607</v>
      </c>
    </row>
    <row r="162" spans="3:25" x14ac:dyDescent="0.2">
      <c r="C162">
        <v>161</v>
      </c>
      <c r="D162" t="s">
        <v>2603</v>
      </c>
      <c r="E162">
        <v>161</v>
      </c>
      <c r="S162" s="9">
        <v>29202</v>
      </c>
      <c r="T162" s="9">
        <v>784</v>
      </c>
      <c r="U162" s="9">
        <v>784</v>
      </c>
      <c r="V162" s="9">
        <v>784</v>
      </c>
      <c r="W162" s="9">
        <f t="shared" si="130"/>
        <v>784</v>
      </c>
      <c r="X162" s="9">
        <f t="shared" ref="X162:Y162" si="162">IF(W162&lt;&gt;T162,W162,IF(_xlfn.IFNA(VLOOKUP(T162,$M$2:$N$13,2,FALSE),U162)=0,"xxx",_xlfn.IFNA(VLOOKUP(T162,$M$2:$N$13,2,FALSE),U162)))</f>
        <v>784</v>
      </c>
      <c r="Y162" s="9">
        <f t="shared" si="162"/>
        <v>784</v>
      </c>
    </row>
    <row r="163" spans="3:25" x14ac:dyDescent="0.2">
      <c r="C163">
        <v>162</v>
      </c>
      <c r="D163" t="s">
        <v>2604</v>
      </c>
      <c r="E163">
        <v>162</v>
      </c>
      <c r="S163" s="9">
        <v>29203</v>
      </c>
      <c r="T163" s="9">
        <v>270</v>
      </c>
      <c r="U163" s="9">
        <v>522</v>
      </c>
      <c r="V163" s="9">
        <v>607</v>
      </c>
      <c r="W163" s="9">
        <f t="shared" si="130"/>
        <v>270</v>
      </c>
      <c r="X163" s="9">
        <f t="shared" ref="X163:Y163" si="163">IF(W163&lt;&gt;T163,W163,IF(_xlfn.IFNA(VLOOKUP(T163,$M$2:$N$13,2,FALSE),U163)=0,"xxx",_xlfn.IFNA(VLOOKUP(T163,$M$2:$N$13,2,FALSE),U163)))</f>
        <v>522</v>
      </c>
      <c r="Y163" s="9">
        <f t="shared" si="163"/>
        <v>607</v>
      </c>
    </row>
    <row r="164" spans="3:25" x14ac:dyDescent="0.2">
      <c r="C164">
        <v>163</v>
      </c>
      <c r="D164" t="s">
        <v>2605</v>
      </c>
      <c r="E164">
        <v>163</v>
      </c>
      <c r="S164" s="9">
        <v>100001</v>
      </c>
      <c r="T164" s="9">
        <v>853</v>
      </c>
      <c r="U164" s="9"/>
      <c r="V164" s="9"/>
      <c r="W164" s="9">
        <f t="shared" si="130"/>
        <v>853</v>
      </c>
      <c r="X164" s="9" t="str">
        <f t="shared" ref="X164:Y164" si="164">IF(W164&lt;&gt;T164,W164,IF(_xlfn.IFNA(VLOOKUP(T164,$M$2:$N$13,2,FALSE),U164)=0,"xxx",_xlfn.IFNA(VLOOKUP(T164,$M$2:$N$13,2,FALSE),U164)))</f>
        <v>xxx</v>
      </c>
      <c r="Y164" s="9" t="str">
        <f t="shared" si="164"/>
        <v>xxx</v>
      </c>
    </row>
    <row r="165" spans="3:25" x14ac:dyDescent="0.2">
      <c r="C165">
        <v>164</v>
      </c>
      <c r="D165" t="s">
        <v>2606</v>
      </c>
      <c r="E165">
        <v>164</v>
      </c>
      <c r="S165" s="9">
        <v>100002</v>
      </c>
      <c r="T165" s="9">
        <v>853</v>
      </c>
      <c r="U165" s="9"/>
      <c r="V165" s="9"/>
      <c r="W165" s="9">
        <f t="shared" si="130"/>
        <v>853</v>
      </c>
      <c r="X165" s="9" t="str">
        <f t="shared" ref="X165:Y165" si="165">IF(W165&lt;&gt;T165,W165,IF(_xlfn.IFNA(VLOOKUP(T165,$M$2:$N$13,2,FALSE),U165)=0,"xxx",_xlfn.IFNA(VLOOKUP(T165,$M$2:$N$13,2,FALSE),U165)))</f>
        <v>xxx</v>
      </c>
      <c r="Y165" s="9" t="str">
        <f t="shared" si="165"/>
        <v>xxx</v>
      </c>
    </row>
    <row r="166" spans="3:25" x14ac:dyDescent="0.2">
      <c r="C166">
        <v>165</v>
      </c>
      <c r="D166" t="s">
        <v>2607</v>
      </c>
      <c r="E166">
        <v>165</v>
      </c>
      <c r="S166" s="9">
        <v>100003</v>
      </c>
      <c r="T166" s="9">
        <v>853</v>
      </c>
      <c r="U166" s="9"/>
      <c r="V166" s="9"/>
      <c r="W166" s="9">
        <f t="shared" si="130"/>
        <v>853</v>
      </c>
      <c r="X166" s="9" t="str">
        <f t="shared" ref="X166:Y166" si="166">IF(W166&lt;&gt;T166,W166,IF(_xlfn.IFNA(VLOOKUP(T166,$M$2:$N$13,2,FALSE),U166)=0,"xxx",_xlfn.IFNA(VLOOKUP(T166,$M$2:$N$13,2,FALSE),U166)))</f>
        <v>xxx</v>
      </c>
      <c r="Y166" s="9" t="str">
        <f t="shared" si="166"/>
        <v>xxx</v>
      </c>
    </row>
    <row r="167" spans="3:25" x14ac:dyDescent="0.2">
      <c r="C167">
        <v>166</v>
      </c>
      <c r="D167" t="s">
        <v>2608</v>
      </c>
      <c r="E167">
        <v>166</v>
      </c>
      <c r="S167" s="9">
        <v>100004</v>
      </c>
      <c r="T167" s="9">
        <v>853</v>
      </c>
      <c r="U167" s="9"/>
      <c r="V167" s="9"/>
      <c r="W167" s="9">
        <f t="shared" si="130"/>
        <v>853</v>
      </c>
      <c r="X167" s="9" t="str">
        <f t="shared" ref="X167:Y167" si="167">IF(W167&lt;&gt;T167,W167,IF(_xlfn.IFNA(VLOOKUP(T167,$M$2:$N$13,2,FALSE),U167)=0,"xxx",_xlfn.IFNA(VLOOKUP(T167,$M$2:$N$13,2,FALSE),U167)))</f>
        <v>xxx</v>
      </c>
      <c r="Y167" s="9" t="str">
        <f t="shared" si="167"/>
        <v>xxx</v>
      </c>
    </row>
    <row r="168" spans="3:25" x14ac:dyDescent="0.2">
      <c r="C168">
        <v>167</v>
      </c>
      <c r="D168" t="s">
        <v>2609</v>
      </c>
      <c r="E168">
        <v>167</v>
      </c>
      <c r="S168" s="9">
        <v>100005</v>
      </c>
      <c r="T168" s="9">
        <v>853</v>
      </c>
      <c r="U168" s="9"/>
      <c r="V168" s="9"/>
      <c r="W168" s="9">
        <f t="shared" si="130"/>
        <v>853</v>
      </c>
      <c r="X168" s="9" t="str">
        <f t="shared" ref="X168:Y168" si="168">IF(W168&lt;&gt;T168,W168,IF(_xlfn.IFNA(VLOOKUP(T168,$M$2:$N$13,2,FALSE),U168)=0,"xxx",_xlfn.IFNA(VLOOKUP(T168,$M$2:$N$13,2,FALSE),U168)))</f>
        <v>xxx</v>
      </c>
      <c r="Y168" s="9" t="str">
        <f t="shared" si="168"/>
        <v>xxx</v>
      </c>
    </row>
    <row r="169" spans="3:25" x14ac:dyDescent="0.2">
      <c r="C169">
        <v>168</v>
      </c>
      <c r="D169" t="s">
        <v>2610</v>
      </c>
      <c r="E169">
        <v>168</v>
      </c>
      <c r="S169" s="9">
        <v>100006</v>
      </c>
      <c r="T169" s="9">
        <v>853</v>
      </c>
      <c r="U169" s="9"/>
      <c r="V169" s="9"/>
      <c r="W169" s="9">
        <f t="shared" si="130"/>
        <v>853</v>
      </c>
      <c r="X169" s="9" t="str">
        <f t="shared" ref="X169:Y169" si="169">IF(W169&lt;&gt;T169,W169,IF(_xlfn.IFNA(VLOOKUP(T169,$M$2:$N$13,2,FALSE),U169)=0,"xxx",_xlfn.IFNA(VLOOKUP(T169,$M$2:$N$13,2,FALSE),U169)))</f>
        <v>xxx</v>
      </c>
      <c r="Y169" s="9" t="str">
        <f t="shared" si="169"/>
        <v>xxx</v>
      </c>
    </row>
    <row r="170" spans="3:25" x14ac:dyDescent="0.2">
      <c r="C170">
        <v>169</v>
      </c>
      <c r="D170" t="s">
        <v>2611</v>
      </c>
      <c r="E170">
        <v>169</v>
      </c>
      <c r="S170" s="9">
        <v>1000</v>
      </c>
      <c r="T170" s="9">
        <v>853</v>
      </c>
      <c r="U170" s="9">
        <v>270</v>
      </c>
      <c r="V170" s="9">
        <v>522</v>
      </c>
      <c r="W170" s="9">
        <f t="shared" si="130"/>
        <v>853</v>
      </c>
      <c r="X170" s="9">
        <f t="shared" ref="X170:Y170" si="170">IF(W170&lt;&gt;T170,W170,IF(_xlfn.IFNA(VLOOKUP(T170,$M$2:$N$13,2,FALSE),U170)=0,"xxx",_xlfn.IFNA(VLOOKUP(T170,$M$2:$N$13,2,FALSE),U170)))</f>
        <v>270</v>
      </c>
      <c r="Y170" s="9">
        <f t="shared" si="170"/>
        <v>522</v>
      </c>
    </row>
    <row r="171" spans="3:25" x14ac:dyDescent="0.2">
      <c r="C171">
        <v>170</v>
      </c>
      <c r="D171" t="s">
        <v>2612</v>
      </c>
      <c r="E171">
        <v>170</v>
      </c>
      <c r="S171" s="9">
        <v>1001</v>
      </c>
      <c r="T171" s="9">
        <v>853</v>
      </c>
      <c r="U171" s="9">
        <v>271</v>
      </c>
      <c r="V171" s="9">
        <v>523</v>
      </c>
      <c r="W171" s="9">
        <f t="shared" si="130"/>
        <v>853</v>
      </c>
      <c r="X171" s="9">
        <f t="shared" ref="X171:Y171" si="171">IF(W171&lt;&gt;T171,W171,IF(_xlfn.IFNA(VLOOKUP(T171,$M$2:$N$13,2,FALSE),U171)=0,"xxx",_xlfn.IFNA(VLOOKUP(T171,$M$2:$N$13,2,FALSE),U171)))</f>
        <v>271</v>
      </c>
      <c r="Y171" s="9">
        <f t="shared" si="171"/>
        <v>523</v>
      </c>
    </row>
    <row r="172" spans="3:25" x14ac:dyDescent="0.2">
      <c r="C172">
        <v>171</v>
      </c>
      <c r="D172" t="s">
        <v>2613</v>
      </c>
      <c r="E172">
        <v>171</v>
      </c>
      <c r="S172" s="9">
        <v>1002</v>
      </c>
      <c r="T172" s="9">
        <v>853</v>
      </c>
      <c r="U172" s="9">
        <v>271</v>
      </c>
      <c r="V172" s="9">
        <v>523</v>
      </c>
      <c r="W172" s="9">
        <f t="shared" si="130"/>
        <v>853</v>
      </c>
      <c r="X172" s="9">
        <f t="shared" ref="X172:Y172" si="172">IF(W172&lt;&gt;T172,W172,IF(_xlfn.IFNA(VLOOKUP(T172,$M$2:$N$13,2,FALSE),U172)=0,"xxx",_xlfn.IFNA(VLOOKUP(T172,$M$2:$N$13,2,FALSE),U172)))</f>
        <v>271</v>
      </c>
      <c r="Y172" s="9">
        <f t="shared" si="172"/>
        <v>523</v>
      </c>
    </row>
    <row r="173" spans="3:25" x14ac:dyDescent="0.2">
      <c r="C173">
        <v>172</v>
      </c>
      <c r="D173" t="s">
        <v>2614</v>
      </c>
      <c r="E173">
        <v>172</v>
      </c>
      <c r="S173" s="9">
        <v>1003</v>
      </c>
      <c r="T173" s="9">
        <v>853</v>
      </c>
      <c r="U173" s="9">
        <v>273</v>
      </c>
      <c r="V173" s="9">
        <v>525</v>
      </c>
      <c r="W173" s="9">
        <f t="shared" si="130"/>
        <v>853</v>
      </c>
      <c r="X173" s="9">
        <f t="shared" ref="X173:Y173" si="173">IF(W173&lt;&gt;T173,W173,IF(_xlfn.IFNA(VLOOKUP(T173,$M$2:$N$13,2,FALSE),U173)=0,"xxx",_xlfn.IFNA(VLOOKUP(T173,$M$2:$N$13,2,FALSE),U173)))</f>
        <v>273</v>
      </c>
      <c r="Y173" s="9">
        <f t="shared" si="173"/>
        <v>525</v>
      </c>
    </row>
    <row r="174" spans="3:25" x14ac:dyDescent="0.2">
      <c r="C174">
        <v>173</v>
      </c>
      <c r="D174" t="s">
        <v>2615</v>
      </c>
      <c r="E174">
        <v>173</v>
      </c>
      <c r="S174" s="9">
        <v>1004</v>
      </c>
      <c r="T174" s="9">
        <v>853</v>
      </c>
      <c r="U174" s="9">
        <v>273</v>
      </c>
      <c r="V174" s="9">
        <v>525</v>
      </c>
      <c r="W174" s="9">
        <f t="shared" si="130"/>
        <v>853</v>
      </c>
      <c r="X174" s="9">
        <f t="shared" ref="X174:Y174" si="174">IF(W174&lt;&gt;T174,W174,IF(_xlfn.IFNA(VLOOKUP(T174,$M$2:$N$13,2,FALSE),U174)=0,"xxx",_xlfn.IFNA(VLOOKUP(T174,$M$2:$N$13,2,FALSE),U174)))</f>
        <v>273</v>
      </c>
      <c r="Y174" s="9">
        <f t="shared" si="174"/>
        <v>525</v>
      </c>
    </row>
    <row r="175" spans="3:25" x14ac:dyDescent="0.2">
      <c r="C175">
        <v>174</v>
      </c>
      <c r="D175" t="s">
        <v>2616</v>
      </c>
      <c r="E175">
        <v>174</v>
      </c>
      <c r="S175" s="9">
        <v>1005</v>
      </c>
      <c r="T175" s="9">
        <v>853</v>
      </c>
      <c r="U175" s="9">
        <v>270</v>
      </c>
      <c r="V175" s="9">
        <v>522</v>
      </c>
      <c r="W175" s="9">
        <f t="shared" si="130"/>
        <v>853</v>
      </c>
      <c r="X175" s="9">
        <f t="shared" ref="X175:Y175" si="175">IF(W175&lt;&gt;T175,W175,IF(_xlfn.IFNA(VLOOKUP(T175,$M$2:$N$13,2,FALSE),U175)=0,"xxx",_xlfn.IFNA(VLOOKUP(T175,$M$2:$N$13,2,FALSE),U175)))</f>
        <v>270</v>
      </c>
      <c r="Y175" s="9">
        <f t="shared" si="175"/>
        <v>522</v>
      </c>
    </row>
    <row r="176" spans="3:25" x14ac:dyDescent="0.2">
      <c r="C176">
        <v>175</v>
      </c>
      <c r="D176" t="s">
        <v>2617</v>
      </c>
      <c r="E176">
        <v>175</v>
      </c>
      <c r="S176" s="9">
        <v>1006</v>
      </c>
      <c r="T176" s="9">
        <v>853</v>
      </c>
      <c r="U176" s="9">
        <v>270</v>
      </c>
      <c r="V176" s="9">
        <v>522</v>
      </c>
      <c r="W176" s="9">
        <f t="shared" si="130"/>
        <v>853</v>
      </c>
      <c r="X176" s="9">
        <f t="shared" ref="X176:Y176" si="176">IF(W176&lt;&gt;T176,W176,IF(_xlfn.IFNA(VLOOKUP(T176,$M$2:$N$13,2,FALSE),U176)=0,"xxx",_xlfn.IFNA(VLOOKUP(T176,$M$2:$N$13,2,FALSE),U176)))</f>
        <v>270</v>
      </c>
      <c r="Y176" s="9">
        <f t="shared" si="176"/>
        <v>522</v>
      </c>
    </row>
    <row r="177" spans="3:25" x14ac:dyDescent="0.2">
      <c r="C177">
        <v>176</v>
      </c>
      <c r="D177" t="s">
        <v>2618</v>
      </c>
      <c r="E177">
        <v>176</v>
      </c>
      <c r="S177" s="9">
        <v>1007</v>
      </c>
      <c r="T177" s="9">
        <v>853</v>
      </c>
      <c r="U177" s="9">
        <v>275</v>
      </c>
      <c r="V177" s="9">
        <v>527</v>
      </c>
      <c r="W177" s="9">
        <f t="shared" si="130"/>
        <v>853</v>
      </c>
      <c r="X177" s="9">
        <f t="shared" ref="X177:Y177" si="177">IF(W177&lt;&gt;T177,W177,IF(_xlfn.IFNA(VLOOKUP(T177,$M$2:$N$13,2,FALSE),U177)=0,"xxx",_xlfn.IFNA(VLOOKUP(T177,$M$2:$N$13,2,FALSE),U177)))</f>
        <v>275</v>
      </c>
      <c r="Y177" s="9">
        <f t="shared" si="177"/>
        <v>527</v>
      </c>
    </row>
    <row r="178" spans="3:25" x14ac:dyDescent="0.2">
      <c r="C178">
        <v>177</v>
      </c>
      <c r="D178" t="s">
        <v>2619</v>
      </c>
      <c r="E178">
        <v>177</v>
      </c>
      <c r="S178" s="9">
        <v>1008</v>
      </c>
      <c r="T178" s="9">
        <v>853</v>
      </c>
      <c r="U178" s="9">
        <v>276</v>
      </c>
      <c r="V178" s="9">
        <v>528</v>
      </c>
      <c r="W178" s="9">
        <f t="shared" si="130"/>
        <v>853</v>
      </c>
      <c r="X178" s="9">
        <f t="shared" ref="X178:Y178" si="178">IF(W178&lt;&gt;T178,W178,IF(_xlfn.IFNA(VLOOKUP(T178,$M$2:$N$13,2,FALSE),U178)=0,"xxx",_xlfn.IFNA(VLOOKUP(T178,$M$2:$N$13,2,FALSE),U178)))</f>
        <v>276</v>
      </c>
      <c r="Y178" s="9">
        <f t="shared" si="178"/>
        <v>528</v>
      </c>
    </row>
    <row r="179" spans="3:25" x14ac:dyDescent="0.2">
      <c r="C179">
        <v>178</v>
      </c>
      <c r="D179" t="s">
        <v>2620</v>
      </c>
      <c r="E179">
        <v>178</v>
      </c>
      <c r="S179" s="9">
        <v>1009</v>
      </c>
      <c r="T179" s="9">
        <v>853</v>
      </c>
      <c r="U179" s="9">
        <v>274</v>
      </c>
      <c r="V179" s="9">
        <v>526</v>
      </c>
      <c r="W179" s="9">
        <f t="shared" si="130"/>
        <v>853</v>
      </c>
      <c r="X179" s="9">
        <f t="shared" ref="X179:Y179" si="179">IF(W179&lt;&gt;T179,W179,IF(_xlfn.IFNA(VLOOKUP(T179,$M$2:$N$13,2,FALSE),U179)=0,"xxx",_xlfn.IFNA(VLOOKUP(T179,$M$2:$N$13,2,FALSE),U179)))</f>
        <v>274</v>
      </c>
      <c r="Y179" s="9">
        <f t="shared" si="179"/>
        <v>526</v>
      </c>
    </row>
    <row r="180" spans="3:25" x14ac:dyDescent="0.2">
      <c r="C180">
        <v>179</v>
      </c>
      <c r="D180" t="s">
        <v>2621</v>
      </c>
      <c r="E180">
        <v>179</v>
      </c>
      <c r="S180" s="9">
        <v>1010</v>
      </c>
      <c r="T180" s="9">
        <v>853</v>
      </c>
      <c r="U180" s="9">
        <v>314</v>
      </c>
      <c r="V180" s="9">
        <v>524</v>
      </c>
      <c r="W180" s="9">
        <f t="shared" si="130"/>
        <v>853</v>
      </c>
      <c r="X180" s="9">
        <f t="shared" ref="X180:Y180" si="180">IF(W180&lt;&gt;T180,W180,IF(_xlfn.IFNA(VLOOKUP(T180,$M$2:$N$13,2,FALSE),U180)=0,"xxx",_xlfn.IFNA(VLOOKUP(T180,$M$2:$N$13,2,FALSE),U180)))</f>
        <v>314</v>
      </c>
      <c r="Y180" s="9">
        <f t="shared" si="180"/>
        <v>524</v>
      </c>
    </row>
    <row r="181" spans="3:25" x14ac:dyDescent="0.2">
      <c r="C181">
        <v>180</v>
      </c>
      <c r="D181" t="s">
        <v>2622</v>
      </c>
      <c r="E181">
        <v>180</v>
      </c>
      <c r="S181" s="9">
        <v>1011</v>
      </c>
      <c r="T181" s="9">
        <v>853</v>
      </c>
      <c r="U181" s="9">
        <v>314</v>
      </c>
      <c r="V181" s="9">
        <v>524</v>
      </c>
      <c r="W181" s="9">
        <f t="shared" si="130"/>
        <v>853</v>
      </c>
      <c r="X181" s="9">
        <f t="shared" ref="X181:Y181" si="181">IF(W181&lt;&gt;T181,W181,IF(_xlfn.IFNA(VLOOKUP(T181,$M$2:$N$13,2,FALSE),U181)=0,"xxx",_xlfn.IFNA(VLOOKUP(T181,$M$2:$N$13,2,FALSE),U181)))</f>
        <v>314</v>
      </c>
      <c r="Y181" s="9">
        <f t="shared" si="181"/>
        <v>524</v>
      </c>
    </row>
    <row r="182" spans="3:25" x14ac:dyDescent="0.2">
      <c r="C182">
        <v>181</v>
      </c>
      <c r="D182" t="s">
        <v>2623</v>
      </c>
      <c r="E182">
        <v>181</v>
      </c>
      <c r="S182" s="9">
        <v>1012</v>
      </c>
      <c r="T182" s="9">
        <v>853</v>
      </c>
      <c r="U182" s="9">
        <v>313</v>
      </c>
      <c r="V182" s="9">
        <v>523</v>
      </c>
      <c r="W182" s="9">
        <f t="shared" si="130"/>
        <v>853</v>
      </c>
      <c r="X182" s="9">
        <f t="shared" ref="X182:Y182" si="182">IF(W182&lt;&gt;T182,W182,IF(_xlfn.IFNA(VLOOKUP(T182,$M$2:$N$13,2,FALSE),U182)=0,"xxx",_xlfn.IFNA(VLOOKUP(T182,$M$2:$N$13,2,FALSE),U182)))</f>
        <v>313</v>
      </c>
      <c r="Y182" s="9">
        <f t="shared" si="182"/>
        <v>523</v>
      </c>
    </row>
    <row r="183" spans="3:25" x14ac:dyDescent="0.2">
      <c r="C183">
        <v>182</v>
      </c>
      <c r="D183" t="s">
        <v>2624</v>
      </c>
      <c r="E183">
        <v>182</v>
      </c>
      <c r="S183" s="9">
        <v>1013</v>
      </c>
      <c r="T183" s="9">
        <v>853</v>
      </c>
      <c r="U183" s="9">
        <v>313</v>
      </c>
      <c r="V183" s="9">
        <v>523</v>
      </c>
      <c r="W183" s="9">
        <f t="shared" si="130"/>
        <v>853</v>
      </c>
      <c r="X183" s="9">
        <f t="shared" ref="X183:Y183" si="183">IF(W183&lt;&gt;T183,W183,IF(_xlfn.IFNA(VLOOKUP(T183,$M$2:$N$13,2,FALSE),U183)=0,"xxx",_xlfn.IFNA(VLOOKUP(T183,$M$2:$N$13,2,FALSE),U183)))</f>
        <v>313</v>
      </c>
      <c r="Y183" s="9">
        <f t="shared" si="183"/>
        <v>523</v>
      </c>
    </row>
    <row r="184" spans="3:25" x14ac:dyDescent="0.2">
      <c r="C184">
        <v>183</v>
      </c>
      <c r="D184" t="s">
        <v>2625</v>
      </c>
      <c r="E184">
        <v>183</v>
      </c>
      <c r="S184" s="9">
        <v>1014</v>
      </c>
      <c r="T184" s="9">
        <v>853</v>
      </c>
      <c r="U184" s="9">
        <v>321</v>
      </c>
      <c r="V184" s="9">
        <v>531</v>
      </c>
      <c r="W184" s="9">
        <f t="shared" si="130"/>
        <v>853</v>
      </c>
      <c r="X184" s="9">
        <f t="shared" ref="X184:Y184" si="184">IF(W184&lt;&gt;T184,W184,IF(_xlfn.IFNA(VLOOKUP(T184,$M$2:$N$13,2,FALSE),U184)=0,"xxx",_xlfn.IFNA(VLOOKUP(T184,$M$2:$N$13,2,FALSE),U184)))</f>
        <v>321</v>
      </c>
      <c r="Y184" s="9">
        <f t="shared" si="184"/>
        <v>531</v>
      </c>
    </row>
    <row r="185" spans="3:25" x14ac:dyDescent="0.2">
      <c r="C185">
        <v>184</v>
      </c>
      <c r="D185" t="s">
        <v>2626</v>
      </c>
      <c r="E185">
        <v>184</v>
      </c>
      <c r="S185" s="9">
        <v>1015</v>
      </c>
      <c r="T185" s="9">
        <v>853</v>
      </c>
      <c r="U185" s="9">
        <v>312</v>
      </c>
      <c r="V185" s="9">
        <v>522</v>
      </c>
      <c r="W185" s="9">
        <f t="shared" si="130"/>
        <v>853</v>
      </c>
      <c r="X185" s="9">
        <f t="shared" ref="X185:Y185" si="185">IF(W185&lt;&gt;T185,W185,IF(_xlfn.IFNA(VLOOKUP(T185,$M$2:$N$13,2,FALSE),U185)=0,"xxx",_xlfn.IFNA(VLOOKUP(T185,$M$2:$N$13,2,FALSE),U185)))</f>
        <v>312</v>
      </c>
      <c r="Y185" s="9">
        <f t="shared" si="185"/>
        <v>522</v>
      </c>
    </row>
    <row r="186" spans="3:25" x14ac:dyDescent="0.2">
      <c r="C186">
        <v>185</v>
      </c>
      <c r="D186" t="s">
        <v>2627</v>
      </c>
      <c r="E186">
        <v>185</v>
      </c>
      <c r="S186" s="9">
        <v>1016</v>
      </c>
      <c r="T186" s="9">
        <v>853</v>
      </c>
      <c r="U186" s="9">
        <v>313</v>
      </c>
      <c r="V186" s="9">
        <v>523</v>
      </c>
      <c r="W186" s="9">
        <f t="shared" si="130"/>
        <v>853</v>
      </c>
      <c r="X186" s="9">
        <f t="shared" ref="X186:Y186" si="186">IF(W186&lt;&gt;T186,W186,IF(_xlfn.IFNA(VLOOKUP(T186,$M$2:$N$13,2,FALSE),U186)=0,"xxx",_xlfn.IFNA(VLOOKUP(T186,$M$2:$N$13,2,FALSE),U186)))</f>
        <v>313</v>
      </c>
      <c r="Y186" s="9">
        <f t="shared" si="186"/>
        <v>523</v>
      </c>
    </row>
    <row r="187" spans="3:25" x14ac:dyDescent="0.2">
      <c r="C187">
        <v>186</v>
      </c>
      <c r="D187" t="s">
        <v>2628</v>
      </c>
      <c r="E187">
        <v>186</v>
      </c>
      <c r="S187" s="9">
        <v>1017</v>
      </c>
      <c r="T187" s="9">
        <v>853</v>
      </c>
      <c r="U187" s="9">
        <v>316</v>
      </c>
      <c r="V187" s="9">
        <v>526</v>
      </c>
      <c r="W187" s="9">
        <f t="shared" si="130"/>
        <v>853</v>
      </c>
      <c r="X187" s="9">
        <f t="shared" ref="X187:Y187" si="187">IF(W187&lt;&gt;T187,W187,IF(_xlfn.IFNA(VLOOKUP(T187,$M$2:$N$13,2,FALSE),U187)=0,"xxx",_xlfn.IFNA(VLOOKUP(T187,$M$2:$N$13,2,FALSE),U187)))</f>
        <v>316</v>
      </c>
      <c r="Y187" s="9">
        <f t="shared" si="187"/>
        <v>526</v>
      </c>
    </row>
    <row r="188" spans="3:25" x14ac:dyDescent="0.2">
      <c r="C188">
        <v>187</v>
      </c>
      <c r="D188" t="s">
        <v>2629</v>
      </c>
      <c r="E188">
        <v>187</v>
      </c>
      <c r="S188" s="9">
        <v>1018</v>
      </c>
      <c r="T188" s="9">
        <v>853</v>
      </c>
      <c r="U188" s="9">
        <v>318</v>
      </c>
      <c r="V188" s="9">
        <v>528</v>
      </c>
      <c r="W188" s="9">
        <f t="shared" si="130"/>
        <v>853</v>
      </c>
      <c r="X188" s="9">
        <f t="shared" ref="X188:Y188" si="188">IF(W188&lt;&gt;T188,W188,IF(_xlfn.IFNA(VLOOKUP(T188,$M$2:$N$13,2,FALSE),U188)=0,"xxx",_xlfn.IFNA(VLOOKUP(T188,$M$2:$N$13,2,FALSE),U188)))</f>
        <v>318</v>
      </c>
      <c r="Y188" s="9">
        <f t="shared" si="188"/>
        <v>528</v>
      </c>
    </row>
    <row r="189" spans="3:25" x14ac:dyDescent="0.2">
      <c r="C189">
        <v>188</v>
      </c>
      <c r="D189" t="s">
        <v>2630</v>
      </c>
      <c r="E189">
        <v>188</v>
      </c>
      <c r="S189" s="9">
        <v>1019</v>
      </c>
      <c r="T189" s="9">
        <v>853</v>
      </c>
      <c r="U189" s="9">
        <v>270</v>
      </c>
      <c r="V189" s="9">
        <v>522</v>
      </c>
      <c r="W189" s="9">
        <f t="shared" si="130"/>
        <v>853</v>
      </c>
      <c r="X189" s="9">
        <f t="shared" ref="X189:Y189" si="189">IF(W189&lt;&gt;T189,W189,IF(_xlfn.IFNA(VLOOKUP(T189,$M$2:$N$13,2,FALSE),U189)=0,"xxx",_xlfn.IFNA(VLOOKUP(T189,$M$2:$N$13,2,FALSE),U189)))</f>
        <v>270</v>
      </c>
      <c r="Y189" s="9">
        <f t="shared" si="189"/>
        <v>522</v>
      </c>
    </row>
    <row r="190" spans="3:25" x14ac:dyDescent="0.2">
      <c r="C190">
        <v>189</v>
      </c>
      <c r="D190" t="s">
        <v>2631</v>
      </c>
      <c r="E190">
        <v>189</v>
      </c>
      <c r="S190" s="9">
        <v>1020</v>
      </c>
      <c r="T190" s="9">
        <v>853</v>
      </c>
      <c r="U190" s="9">
        <v>271</v>
      </c>
      <c r="V190" s="9">
        <v>523</v>
      </c>
      <c r="W190" s="9">
        <f t="shared" si="130"/>
        <v>853</v>
      </c>
      <c r="X190" s="9">
        <f t="shared" ref="X190:Y190" si="190">IF(W190&lt;&gt;T190,W190,IF(_xlfn.IFNA(VLOOKUP(T190,$M$2:$N$13,2,FALSE),U190)=0,"xxx",_xlfn.IFNA(VLOOKUP(T190,$M$2:$N$13,2,FALSE),U190)))</f>
        <v>271</v>
      </c>
      <c r="Y190" s="9">
        <f t="shared" si="190"/>
        <v>523</v>
      </c>
    </row>
    <row r="191" spans="3:25" x14ac:dyDescent="0.2">
      <c r="C191">
        <v>190</v>
      </c>
      <c r="D191" t="s">
        <v>2632</v>
      </c>
      <c r="E191">
        <v>190</v>
      </c>
      <c r="S191" s="9">
        <v>1021</v>
      </c>
      <c r="T191" s="9">
        <v>853</v>
      </c>
      <c r="U191" s="9">
        <v>271</v>
      </c>
      <c r="V191" s="9">
        <v>523</v>
      </c>
      <c r="W191" s="9">
        <f t="shared" si="130"/>
        <v>853</v>
      </c>
      <c r="X191" s="9">
        <f t="shared" ref="X191:Y191" si="191">IF(W191&lt;&gt;T191,W191,IF(_xlfn.IFNA(VLOOKUP(T191,$M$2:$N$13,2,FALSE),U191)=0,"xxx",_xlfn.IFNA(VLOOKUP(T191,$M$2:$N$13,2,FALSE),U191)))</f>
        <v>271</v>
      </c>
      <c r="Y191" s="9">
        <f t="shared" si="191"/>
        <v>523</v>
      </c>
    </row>
    <row r="192" spans="3:25" x14ac:dyDescent="0.2">
      <c r="C192">
        <v>191</v>
      </c>
      <c r="D192" t="s">
        <v>2633</v>
      </c>
      <c r="E192">
        <v>191</v>
      </c>
      <c r="S192" s="9">
        <v>1022</v>
      </c>
      <c r="T192" s="9">
        <v>853</v>
      </c>
      <c r="U192" s="9">
        <v>272</v>
      </c>
      <c r="V192" s="9">
        <v>524</v>
      </c>
      <c r="W192" s="9">
        <f t="shared" si="130"/>
        <v>853</v>
      </c>
      <c r="X192" s="9">
        <f t="shared" ref="X192:Y192" si="192">IF(W192&lt;&gt;T192,W192,IF(_xlfn.IFNA(VLOOKUP(T192,$M$2:$N$13,2,FALSE),U192)=0,"xxx",_xlfn.IFNA(VLOOKUP(T192,$M$2:$N$13,2,FALSE),U192)))</f>
        <v>272</v>
      </c>
      <c r="Y192" s="9">
        <f t="shared" si="192"/>
        <v>524</v>
      </c>
    </row>
    <row r="193" spans="3:25" x14ac:dyDescent="0.2">
      <c r="C193">
        <v>192</v>
      </c>
      <c r="D193" t="s">
        <v>2634</v>
      </c>
      <c r="E193">
        <v>192</v>
      </c>
      <c r="S193" s="9">
        <v>1023</v>
      </c>
      <c r="T193" s="9">
        <v>853</v>
      </c>
      <c r="U193" s="9">
        <v>283</v>
      </c>
      <c r="V193" s="9">
        <v>535</v>
      </c>
      <c r="W193" s="9">
        <f t="shared" si="130"/>
        <v>853</v>
      </c>
      <c r="X193" s="9">
        <f t="shared" ref="X193:Y193" si="193">IF(W193&lt;&gt;T193,W193,IF(_xlfn.IFNA(VLOOKUP(T193,$M$2:$N$13,2,FALSE),U193)=0,"xxx",_xlfn.IFNA(VLOOKUP(T193,$M$2:$N$13,2,FALSE),U193)))</f>
        <v>283</v>
      </c>
      <c r="Y193" s="9">
        <f t="shared" si="193"/>
        <v>535</v>
      </c>
    </row>
    <row r="194" spans="3:25" x14ac:dyDescent="0.2">
      <c r="C194">
        <v>193</v>
      </c>
      <c r="D194" t="s">
        <v>2635</v>
      </c>
      <c r="E194">
        <v>193</v>
      </c>
      <c r="S194" s="9">
        <v>1024</v>
      </c>
      <c r="T194" s="9">
        <v>853</v>
      </c>
      <c r="U194" s="9">
        <v>271</v>
      </c>
      <c r="V194" s="9">
        <v>523</v>
      </c>
      <c r="W194" s="9">
        <f t="shared" si="130"/>
        <v>853</v>
      </c>
      <c r="X194" s="9">
        <f t="shared" ref="X194:Y194" si="194">IF(W194&lt;&gt;T194,W194,IF(_xlfn.IFNA(VLOOKUP(T194,$M$2:$N$13,2,FALSE),U194)=0,"xxx",_xlfn.IFNA(VLOOKUP(T194,$M$2:$N$13,2,FALSE),U194)))</f>
        <v>271</v>
      </c>
      <c r="Y194" s="9">
        <f t="shared" si="194"/>
        <v>523</v>
      </c>
    </row>
    <row r="195" spans="3:25" x14ac:dyDescent="0.2">
      <c r="C195">
        <v>194</v>
      </c>
      <c r="D195" t="s">
        <v>2636</v>
      </c>
      <c r="E195">
        <v>194</v>
      </c>
      <c r="S195" s="9">
        <v>1025</v>
      </c>
      <c r="T195" s="9">
        <v>853</v>
      </c>
      <c r="U195" s="9">
        <v>272</v>
      </c>
      <c r="V195" s="9">
        <v>524</v>
      </c>
      <c r="W195" s="9">
        <f t="shared" ref="W195:W258" si="195">IF(_xlfn.IFNA(VLOOKUP(S195,$M$2:$N$13,2,FALSE),T195)=0,"xxx",_xlfn.IFNA(VLOOKUP(S195,$M$2:$N$13,2,FALSE),T195))</f>
        <v>853</v>
      </c>
      <c r="X195" s="9">
        <f t="shared" ref="X195:Y195" si="196">IF(W195&lt;&gt;T195,W195,IF(_xlfn.IFNA(VLOOKUP(T195,$M$2:$N$13,2,FALSE),U195)=0,"xxx",_xlfn.IFNA(VLOOKUP(T195,$M$2:$N$13,2,FALSE),U195)))</f>
        <v>272</v>
      </c>
      <c r="Y195" s="9">
        <f t="shared" si="196"/>
        <v>524</v>
      </c>
    </row>
    <row r="196" spans="3:25" x14ac:dyDescent="0.2">
      <c r="C196">
        <v>195</v>
      </c>
      <c r="D196" t="s">
        <v>2637</v>
      </c>
      <c r="E196">
        <v>195</v>
      </c>
      <c r="S196" s="9">
        <v>1026</v>
      </c>
      <c r="T196" s="9">
        <v>853</v>
      </c>
      <c r="U196" s="9">
        <v>275</v>
      </c>
      <c r="V196" s="9">
        <v>527</v>
      </c>
      <c r="W196" s="9">
        <f t="shared" si="195"/>
        <v>853</v>
      </c>
      <c r="X196" s="9">
        <f t="shared" ref="X196:Y196" si="197">IF(W196&lt;&gt;T196,W196,IF(_xlfn.IFNA(VLOOKUP(T196,$M$2:$N$13,2,FALSE),U196)=0,"xxx",_xlfn.IFNA(VLOOKUP(T196,$M$2:$N$13,2,FALSE),U196)))</f>
        <v>275</v>
      </c>
      <c r="Y196" s="9">
        <f t="shared" si="197"/>
        <v>527</v>
      </c>
    </row>
    <row r="197" spans="3:25" x14ac:dyDescent="0.2">
      <c r="C197">
        <v>196</v>
      </c>
      <c r="D197" t="s">
        <v>2638</v>
      </c>
      <c r="E197">
        <v>196</v>
      </c>
      <c r="S197" s="9">
        <v>1027</v>
      </c>
      <c r="T197" s="9">
        <v>853</v>
      </c>
      <c r="U197" s="9">
        <v>277</v>
      </c>
      <c r="V197" s="9">
        <v>529</v>
      </c>
      <c r="W197" s="9">
        <f t="shared" si="195"/>
        <v>853</v>
      </c>
      <c r="X197" s="9">
        <f t="shared" ref="X197:Y197" si="198">IF(W197&lt;&gt;T197,W197,IF(_xlfn.IFNA(VLOOKUP(T197,$M$2:$N$13,2,FALSE),U197)=0,"xxx",_xlfn.IFNA(VLOOKUP(T197,$M$2:$N$13,2,FALSE),U197)))</f>
        <v>277</v>
      </c>
      <c r="Y197" s="9">
        <f t="shared" si="198"/>
        <v>529</v>
      </c>
    </row>
    <row r="198" spans="3:25" x14ac:dyDescent="0.2">
      <c r="C198">
        <v>197</v>
      </c>
      <c r="D198" t="s">
        <v>2639</v>
      </c>
      <c r="E198">
        <v>197</v>
      </c>
      <c r="S198" s="9">
        <v>1028</v>
      </c>
      <c r="T198" s="9">
        <v>853</v>
      </c>
      <c r="U198" s="9">
        <v>270</v>
      </c>
      <c r="V198" s="9">
        <v>522</v>
      </c>
      <c r="W198" s="9">
        <f t="shared" si="195"/>
        <v>853</v>
      </c>
      <c r="X198" s="9">
        <f t="shared" ref="X198:Y198" si="199">IF(W198&lt;&gt;T198,W198,IF(_xlfn.IFNA(VLOOKUP(T198,$M$2:$N$13,2,FALSE),U198)=0,"xxx",_xlfn.IFNA(VLOOKUP(T198,$M$2:$N$13,2,FALSE),U198)))</f>
        <v>270</v>
      </c>
      <c r="Y198" s="9">
        <f t="shared" si="199"/>
        <v>522</v>
      </c>
    </row>
    <row r="199" spans="3:25" x14ac:dyDescent="0.2">
      <c r="C199">
        <v>198</v>
      </c>
      <c r="D199" t="s">
        <v>2640</v>
      </c>
      <c r="E199">
        <v>198</v>
      </c>
      <c r="S199" s="9">
        <v>1029</v>
      </c>
      <c r="T199" s="9">
        <v>853</v>
      </c>
      <c r="U199" s="9">
        <v>273</v>
      </c>
      <c r="V199" s="9">
        <v>525</v>
      </c>
      <c r="W199" s="9">
        <f t="shared" si="195"/>
        <v>853</v>
      </c>
      <c r="X199" s="9">
        <f t="shared" ref="X199:Y199" si="200">IF(W199&lt;&gt;T199,W199,IF(_xlfn.IFNA(VLOOKUP(T199,$M$2:$N$13,2,FALSE),U199)=0,"xxx",_xlfn.IFNA(VLOOKUP(T199,$M$2:$N$13,2,FALSE),U199)))</f>
        <v>273</v>
      </c>
      <c r="Y199" s="9">
        <f t="shared" si="200"/>
        <v>525</v>
      </c>
    </row>
    <row r="200" spans="3:25" x14ac:dyDescent="0.2">
      <c r="C200">
        <v>199</v>
      </c>
      <c r="D200" t="s">
        <v>2641</v>
      </c>
      <c r="E200">
        <v>199</v>
      </c>
      <c r="S200" s="9">
        <v>1030</v>
      </c>
      <c r="T200" s="9">
        <v>853</v>
      </c>
      <c r="U200" s="9">
        <v>274</v>
      </c>
      <c r="V200" s="9">
        <v>526</v>
      </c>
      <c r="W200" s="9">
        <f t="shared" si="195"/>
        <v>853</v>
      </c>
      <c r="X200" s="9">
        <f t="shared" ref="X200:Y200" si="201">IF(W200&lt;&gt;T200,W200,IF(_xlfn.IFNA(VLOOKUP(T200,$M$2:$N$13,2,FALSE),U200)=0,"xxx",_xlfn.IFNA(VLOOKUP(T200,$M$2:$N$13,2,FALSE),U200)))</f>
        <v>274</v>
      </c>
      <c r="Y200" s="9">
        <f t="shared" si="201"/>
        <v>526</v>
      </c>
    </row>
    <row r="201" spans="3:25" x14ac:dyDescent="0.2">
      <c r="C201">
        <v>200</v>
      </c>
      <c r="D201" t="s">
        <v>2642</v>
      </c>
      <c r="E201">
        <v>200</v>
      </c>
      <c r="S201" s="9">
        <v>1031</v>
      </c>
      <c r="T201" s="9">
        <v>853</v>
      </c>
      <c r="U201" s="9">
        <v>274</v>
      </c>
      <c r="V201" s="9">
        <v>526</v>
      </c>
      <c r="W201" s="9">
        <f t="shared" si="195"/>
        <v>853</v>
      </c>
      <c r="X201" s="9">
        <f t="shared" ref="X201:Y201" si="202">IF(W201&lt;&gt;T201,W201,IF(_xlfn.IFNA(VLOOKUP(T201,$M$2:$N$13,2,FALSE),U201)=0,"xxx",_xlfn.IFNA(VLOOKUP(T201,$M$2:$N$13,2,FALSE),U201)))</f>
        <v>274</v>
      </c>
      <c r="Y201" s="9">
        <f t="shared" si="202"/>
        <v>526</v>
      </c>
    </row>
    <row r="202" spans="3:25" x14ac:dyDescent="0.2">
      <c r="C202">
        <v>201</v>
      </c>
      <c r="D202" t="s">
        <v>2643</v>
      </c>
      <c r="E202">
        <v>201</v>
      </c>
      <c r="S202" s="9">
        <v>1032</v>
      </c>
      <c r="T202" s="9">
        <v>853</v>
      </c>
      <c r="U202" s="9">
        <v>276</v>
      </c>
      <c r="V202" s="9">
        <v>528</v>
      </c>
      <c r="W202" s="9">
        <f t="shared" si="195"/>
        <v>853</v>
      </c>
      <c r="X202" s="9">
        <f t="shared" ref="X202:Y202" si="203">IF(W202&lt;&gt;T202,W202,IF(_xlfn.IFNA(VLOOKUP(T202,$M$2:$N$13,2,FALSE),U202)=0,"xxx",_xlfn.IFNA(VLOOKUP(T202,$M$2:$N$13,2,FALSE),U202)))</f>
        <v>276</v>
      </c>
      <c r="Y202" s="9">
        <f t="shared" si="203"/>
        <v>528</v>
      </c>
    </row>
    <row r="203" spans="3:25" x14ac:dyDescent="0.2">
      <c r="C203">
        <v>202</v>
      </c>
      <c r="D203" t="s">
        <v>2644</v>
      </c>
      <c r="E203">
        <v>202</v>
      </c>
      <c r="S203" s="9">
        <v>1033</v>
      </c>
      <c r="T203" s="9">
        <v>853</v>
      </c>
      <c r="U203" s="9">
        <v>279</v>
      </c>
      <c r="V203" s="9">
        <v>531</v>
      </c>
      <c r="W203" s="9">
        <f t="shared" si="195"/>
        <v>853</v>
      </c>
      <c r="X203" s="9">
        <f t="shared" ref="X203:Y203" si="204">IF(W203&lt;&gt;T203,W203,IF(_xlfn.IFNA(VLOOKUP(T203,$M$2:$N$13,2,FALSE),U203)=0,"xxx",_xlfn.IFNA(VLOOKUP(T203,$M$2:$N$13,2,FALSE),U203)))</f>
        <v>279</v>
      </c>
      <c r="Y203" s="9">
        <f t="shared" si="204"/>
        <v>531</v>
      </c>
    </row>
    <row r="204" spans="3:25" x14ac:dyDescent="0.2">
      <c r="C204">
        <v>203</v>
      </c>
      <c r="D204" t="s">
        <v>2645</v>
      </c>
      <c r="E204">
        <v>203</v>
      </c>
      <c r="S204" s="9">
        <v>1034</v>
      </c>
      <c r="T204" s="9">
        <v>853</v>
      </c>
      <c r="U204" s="9"/>
      <c r="V204" s="9"/>
      <c r="W204" s="9">
        <f t="shared" si="195"/>
        <v>853</v>
      </c>
      <c r="X204" s="9" t="str">
        <f t="shared" ref="X204:Y204" si="205">IF(W204&lt;&gt;T204,W204,IF(_xlfn.IFNA(VLOOKUP(T204,$M$2:$N$13,2,FALSE),U204)=0,"xxx",_xlfn.IFNA(VLOOKUP(T204,$M$2:$N$13,2,FALSE),U204)))</f>
        <v>xxx</v>
      </c>
      <c r="Y204" s="9" t="str">
        <f t="shared" si="205"/>
        <v>xxx</v>
      </c>
    </row>
    <row r="205" spans="3:25" x14ac:dyDescent="0.2">
      <c r="C205">
        <v>204</v>
      </c>
      <c r="D205" t="s">
        <v>2646</v>
      </c>
      <c r="E205">
        <v>204</v>
      </c>
      <c r="S205" s="9">
        <v>1035</v>
      </c>
      <c r="T205" s="9">
        <v>853</v>
      </c>
      <c r="U205" s="9"/>
      <c r="V205" s="9"/>
      <c r="W205" s="9">
        <f t="shared" si="195"/>
        <v>853</v>
      </c>
      <c r="X205" s="9" t="str">
        <f t="shared" ref="X205:Y205" si="206">IF(W205&lt;&gt;T205,W205,IF(_xlfn.IFNA(VLOOKUP(T205,$M$2:$N$13,2,FALSE),U205)=0,"xxx",_xlfn.IFNA(VLOOKUP(T205,$M$2:$N$13,2,FALSE),U205)))</f>
        <v>xxx</v>
      </c>
      <c r="Y205" s="9" t="str">
        <f t="shared" si="206"/>
        <v>xxx</v>
      </c>
    </row>
    <row r="206" spans="3:25" x14ac:dyDescent="0.2">
      <c r="C206">
        <v>205</v>
      </c>
      <c r="D206" t="s">
        <v>2647</v>
      </c>
      <c r="E206">
        <v>205</v>
      </c>
      <c r="S206" s="9">
        <v>1036</v>
      </c>
      <c r="T206" s="9">
        <v>853</v>
      </c>
      <c r="U206" s="9"/>
      <c r="V206" s="9"/>
      <c r="W206" s="9">
        <f t="shared" si="195"/>
        <v>853</v>
      </c>
      <c r="X206" s="9" t="str">
        <f t="shared" ref="X206:Y206" si="207">IF(W206&lt;&gt;T206,W206,IF(_xlfn.IFNA(VLOOKUP(T206,$M$2:$N$13,2,FALSE),U206)=0,"xxx",_xlfn.IFNA(VLOOKUP(T206,$M$2:$N$13,2,FALSE),U206)))</f>
        <v>xxx</v>
      </c>
      <c r="Y206" s="9" t="str">
        <f t="shared" si="207"/>
        <v>xxx</v>
      </c>
    </row>
    <row r="207" spans="3:25" x14ac:dyDescent="0.2">
      <c r="C207">
        <v>206</v>
      </c>
      <c r="D207" t="s">
        <v>2648</v>
      </c>
      <c r="E207">
        <v>206</v>
      </c>
      <c r="S207" s="9">
        <v>1037</v>
      </c>
      <c r="T207" s="9">
        <v>853</v>
      </c>
      <c r="U207" s="9"/>
      <c r="V207" s="9"/>
      <c r="W207" s="9">
        <f t="shared" si="195"/>
        <v>853</v>
      </c>
      <c r="X207" s="9" t="str">
        <f t="shared" ref="X207:Y207" si="208">IF(W207&lt;&gt;T207,W207,IF(_xlfn.IFNA(VLOOKUP(T207,$M$2:$N$13,2,FALSE),U207)=0,"xxx",_xlfn.IFNA(VLOOKUP(T207,$M$2:$N$13,2,FALSE),U207)))</f>
        <v>xxx</v>
      </c>
      <c r="Y207" s="9" t="str">
        <f t="shared" si="208"/>
        <v>xxx</v>
      </c>
    </row>
    <row r="208" spans="3:25" x14ac:dyDescent="0.2">
      <c r="C208">
        <v>207</v>
      </c>
      <c r="D208" t="s">
        <v>2649</v>
      </c>
      <c r="E208">
        <v>207</v>
      </c>
      <c r="S208" s="9">
        <v>1038</v>
      </c>
      <c r="T208" s="9">
        <v>853</v>
      </c>
      <c r="U208" s="9">
        <v>397</v>
      </c>
      <c r="V208" s="9">
        <v>523</v>
      </c>
      <c r="W208" s="9">
        <f t="shared" si="195"/>
        <v>853</v>
      </c>
      <c r="X208" s="9">
        <f t="shared" ref="X208:Y208" si="209">IF(W208&lt;&gt;T208,W208,IF(_xlfn.IFNA(VLOOKUP(T208,$M$2:$N$13,2,FALSE),U208)=0,"xxx",_xlfn.IFNA(VLOOKUP(T208,$M$2:$N$13,2,FALSE),U208)))</f>
        <v>397</v>
      </c>
      <c r="Y208" s="9">
        <f t="shared" si="209"/>
        <v>523</v>
      </c>
    </row>
    <row r="209" spans="3:25" x14ac:dyDescent="0.2">
      <c r="C209">
        <v>208</v>
      </c>
      <c r="D209" t="s">
        <v>2650</v>
      </c>
      <c r="E209">
        <v>208</v>
      </c>
      <c r="S209" s="9">
        <v>1039</v>
      </c>
      <c r="T209" s="9">
        <v>853</v>
      </c>
      <c r="U209" s="9">
        <v>398</v>
      </c>
      <c r="V209" s="9">
        <v>524</v>
      </c>
      <c r="W209" s="9">
        <f t="shared" si="195"/>
        <v>853</v>
      </c>
      <c r="X209" s="9">
        <f t="shared" ref="X209:Y209" si="210">IF(W209&lt;&gt;T209,W209,IF(_xlfn.IFNA(VLOOKUP(T209,$M$2:$N$13,2,FALSE),U209)=0,"xxx",_xlfn.IFNA(VLOOKUP(T209,$M$2:$N$13,2,FALSE),U209)))</f>
        <v>398</v>
      </c>
      <c r="Y209" s="9">
        <f t="shared" si="210"/>
        <v>524</v>
      </c>
    </row>
    <row r="210" spans="3:25" x14ac:dyDescent="0.2">
      <c r="C210">
        <v>209</v>
      </c>
      <c r="D210" t="s">
        <v>2651</v>
      </c>
      <c r="E210">
        <v>209</v>
      </c>
      <c r="S210" s="9">
        <v>1040</v>
      </c>
      <c r="T210" s="9">
        <v>853</v>
      </c>
      <c r="U210" s="9">
        <v>401</v>
      </c>
      <c r="V210" s="9">
        <v>527</v>
      </c>
      <c r="W210" s="9">
        <f t="shared" si="195"/>
        <v>853</v>
      </c>
      <c r="X210" s="9">
        <f t="shared" ref="X210:Y210" si="211">IF(W210&lt;&gt;T210,W210,IF(_xlfn.IFNA(VLOOKUP(T210,$M$2:$N$13,2,FALSE),U210)=0,"xxx",_xlfn.IFNA(VLOOKUP(T210,$M$2:$N$13,2,FALSE),U210)))</f>
        <v>401</v>
      </c>
      <c r="Y210" s="9">
        <f t="shared" si="211"/>
        <v>527</v>
      </c>
    </row>
    <row r="211" spans="3:25" x14ac:dyDescent="0.2">
      <c r="C211">
        <v>210</v>
      </c>
      <c r="D211" t="s">
        <v>2652</v>
      </c>
      <c r="E211">
        <v>210</v>
      </c>
      <c r="S211" s="9">
        <v>1041</v>
      </c>
      <c r="T211" s="9">
        <v>853</v>
      </c>
      <c r="U211" s="9">
        <v>401</v>
      </c>
      <c r="V211" s="9">
        <v>527</v>
      </c>
      <c r="W211" s="9">
        <f t="shared" si="195"/>
        <v>853</v>
      </c>
      <c r="X211" s="9">
        <f t="shared" ref="X211:Y211" si="212">IF(W211&lt;&gt;T211,W211,IF(_xlfn.IFNA(VLOOKUP(T211,$M$2:$N$13,2,FALSE),U211)=0,"xxx",_xlfn.IFNA(VLOOKUP(T211,$M$2:$N$13,2,FALSE),U211)))</f>
        <v>401</v>
      </c>
      <c r="Y211" s="9">
        <f t="shared" si="212"/>
        <v>527</v>
      </c>
    </row>
    <row r="212" spans="3:25" x14ac:dyDescent="0.2">
      <c r="C212">
        <v>211</v>
      </c>
      <c r="D212" t="s">
        <v>2653</v>
      </c>
      <c r="E212">
        <v>211</v>
      </c>
      <c r="S212" s="9">
        <v>1042</v>
      </c>
      <c r="T212" s="9">
        <v>853</v>
      </c>
      <c r="U212" s="9">
        <v>402</v>
      </c>
      <c r="V212" s="9">
        <v>528</v>
      </c>
      <c r="W212" s="9">
        <f t="shared" si="195"/>
        <v>853</v>
      </c>
      <c r="X212" s="9">
        <f t="shared" ref="X212:Y212" si="213">IF(W212&lt;&gt;T212,W212,IF(_xlfn.IFNA(VLOOKUP(T212,$M$2:$N$13,2,FALSE),U212)=0,"xxx",_xlfn.IFNA(VLOOKUP(T212,$M$2:$N$13,2,FALSE),U212)))</f>
        <v>402</v>
      </c>
      <c r="Y212" s="9">
        <f t="shared" si="213"/>
        <v>528</v>
      </c>
    </row>
    <row r="213" spans="3:25" x14ac:dyDescent="0.2">
      <c r="C213">
        <v>212</v>
      </c>
      <c r="D213" t="s">
        <v>2654</v>
      </c>
      <c r="E213">
        <v>212</v>
      </c>
      <c r="S213" s="9">
        <v>1043</v>
      </c>
      <c r="T213" s="9">
        <v>853</v>
      </c>
      <c r="U213" s="9">
        <v>270</v>
      </c>
      <c r="V213" s="9">
        <v>522</v>
      </c>
      <c r="W213" s="9">
        <f t="shared" si="195"/>
        <v>853</v>
      </c>
      <c r="X213" s="9">
        <f t="shared" ref="X213:Y213" si="214">IF(W213&lt;&gt;T213,W213,IF(_xlfn.IFNA(VLOOKUP(T213,$M$2:$N$13,2,FALSE),U213)=0,"xxx",_xlfn.IFNA(VLOOKUP(T213,$M$2:$N$13,2,FALSE),U213)))</f>
        <v>270</v>
      </c>
      <c r="Y213" s="9">
        <f t="shared" si="214"/>
        <v>522</v>
      </c>
    </row>
    <row r="214" spans="3:25" x14ac:dyDescent="0.2">
      <c r="C214">
        <v>213</v>
      </c>
      <c r="D214" t="s">
        <v>2655</v>
      </c>
      <c r="E214">
        <v>213</v>
      </c>
      <c r="S214" s="9">
        <v>1044</v>
      </c>
      <c r="T214" s="9">
        <v>853</v>
      </c>
      <c r="U214" s="9">
        <v>271</v>
      </c>
      <c r="V214" s="9">
        <v>523</v>
      </c>
      <c r="W214" s="9">
        <f t="shared" si="195"/>
        <v>853</v>
      </c>
      <c r="X214" s="9">
        <f t="shared" ref="X214:Y214" si="215">IF(W214&lt;&gt;T214,W214,IF(_xlfn.IFNA(VLOOKUP(T214,$M$2:$N$13,2,FALSE),U214)=0,"xxx",_xlfn.IFNA(VLOOKUP(T214,$M$2:$N$13,2,FALSE),U214)))</f>
        <v>271</v>
      </c>
      <c r="Y214" s="9">
        <f t="shared" si="215"/>
        <v>523</v>
      </c>
    </row>
    <row r="215" spans="3:25" x14ac:dyDescent="0.2">
      <c r="C215">
        <v>214</v>
      </c>
      <c r="D215" t="s">
        <v>2656</v>
      </c>
      <c r="E215">
        <v>214</v>
      </c>
      <c r="S215" s="9">
        <v>1045</v>
      </c>
      <c r="T215" s="9">
        <v>853</v>
      </c>
      <c r="U215" s="9">
        <v>272</v>
      </c>
      <c r="V215" s="9">
        <v>524</v>
      </c>
      <c r="W215" s="9">
        <f t="shared" si="195"/>
        <v>853</v>
      </c>
      <c r="X215" s="9">
        <f t="shared" ref="X215:Y215" si="216">IF(W215&lt;&gt;T215,W215,IF(_xlfn.IFNA(VLOOKUP(T215,$M$2:$N$13,2,FALSE),U215)=0,"xxx",_xlfn.IFNA(VLOOKUP(T215,$M$2:$N$13,2,FALSE),U215)))</f>
        <v>272</v>
      </c>
      <c r="Y215" s="9">
        <f t="shared" si="216"/>
        <v>524</v>
      </c>
    </row>
    <row r="216" spans="3:25" x14ac:dyDescent="0.2">
      <c r="C216">
        <v>215</v>
      </c>
      <c r="D216" t="s">
        <v>2657</v>
      </c>
      <c r="E216">
        <v>215</v>
      </c>
      <c r="S216" s="9">
        <v>1046</v>
      </c>
      <c r="T216" s="9">
        <v>853</v>
      </c>
      <c r="U216" s="9">
        <v>272</v>
      </c>
      <c r="V216" s="9">
        <v>524</v>
      </c>
      <c r="W216" s="9">
        <f t="shared" si="195"/>
        <v>853</v>
      </c>
      <c r="X216" s="9">
        <f t="shared" ref="X216:Y216" si="217">IF(W216&lt;&gt;T216,W216,IF(_xlfn.IFNA(VLOOKUP(T216,$M$2:$N$13,2,FALSE),U216)=0,"xxx",_xlfn.IFNA(VLOOKUP(T216,$M$2:$N$13,2,FALSE),U216)))</f>
        <v>272</v>
      </c>
      <c r="Y216" s="9">
        <f t="shared" si="217"/>
        <v>524</v>
      </c>
    </row>
    <row r="217" spans="3:25" x14ac:dyDescent="0.2">
      <c r="C217">
        <v>216</v>
      </c>
      <c r="D217" t="s">
        <v>2658</v>
      </c>
      <c r="E217">
        <v>216</v>
      </c>
      <c r="S217" s="9">
        <v>1047</v>
      </c>
      <c r="T217" s="9">
        <v>853</v>
      </c>
      <c r="U217" s="9">
        <v>277</v>
      </c>
      <c r="V217" s="9">
        <v>529</v>
      </c>
      <c r="W217" s="9">
        <f t="shared" si="195"/>
        <v>853</v>
      </c>
      <c r="X217" s="9">
        <f t="shared" ref="X217:Y217" si="218">IF(W217&lt;&gt;T217,W217,IF(_xlfn.IFNA(VLOOKUP(T217,$M$2:$N$13,2,FALSE),U217)=0,"xxx",_xlfn.IFNA(VLOOKUP(T217,$M$2:$N$13,2,FALSE),U217)))</f>
        <v>277</v>
      </c>
      <c r="Y217" s="9">
        <f t="shared" si="218"/>
        <v>529</v>
      </c>
    </row>
    <row r="218" spans="3:25" x14ac:dyDescent="0.2">
      <c r="C218">
        <v>217</v>
      </c>
      <c r="D218" t="s">
        <v>2659</v>
      </c>
      <c r="E218">
        <v>217</v>
      </c>
      <c r="S218" s="9">
        <v>1048</v>
      </c>
      <c r="T218" s="9">
        <v>853</v>
      </c>
      <c r="U218" s="9">
        <v>274</v>
      </c>
      <c r="V218" s="9">
        <v>526</v>
      </c>
      <c r="W218" s="9">
        <f t="shared" si="195"/>
        <v>853</v>
      </c>
      <c r="X218" s="9">
        <f t="shared" ref="X218:Y218" si="219">IF(W218&lt;&gt;T218,W218,IF(_xlfn.IFNA(VLOOKUP(T218,$M$2:$N$13,2,FALSE),U218)=0,"xxx",_xlfn.IFNA(VLOOKUP(T218,$M$2:$N$13,2,FALSE),U218)))</f>
        <v>274</v>
      </c>
      <c r="Y218" s="9">
        <f t="shared" si="219"/>
        <v>526</v>
      </c>
    </row>
    <row r="219" spans="3:25" x14ac:dyDescent="0.2">
      <c r="C219">
        <v>218</v>
      </c>
      <c r="D219" t="s">
        <v>2660</v>
      </c>
      <c r="E219">
        <v>218</v>
      </c>
      <c r="S219" s="9">
        <v>1049</v>
      </c>
      <c r="T219" s="9">
        <v>853</v>
      </c>
      <c r="U219" s="9">
        <v>274</v>
      </c>
      <c r="V219" s="9">
        <v>526</v>
      </c>
      <c r="W219" s="9">
        <f t="shared" si="195"/>
        <v>853</v>
      </c>
      <c r="X219" s="9">
        <f t="shared" ref="X219:Y219" si="220">IF(W219&lt;&gt;T219,W219,IF(_xlfn.IFNA(VLOOKUP(T219,$M$2:$N$13,2,FALSE),U219)=0,"xxx",_xlfn.IFNA(VLOOKUP(T219,$M$2:$N$13,2,FALSE),U219)))</f>
        <v>274</v>
      </c>
      <c r="Y219" s="9">
        <f t="shared" si="220"/>
        <v>526</v>
      </c>
    </row>
    <row r="220" spans="3:25" x14ac:dyDescent="0.2">
      <c r="C220">
        <v>219</v>
      </c>
      <c r="D220" t="s">
        <v>2661</v>
      </c>
      <c r="E220">
        <v>219</v>
      </c>
      <c r="S220" s="9">
        <v>1050</v>
      </c>
      <c r="T220" s="9">
        <v>853</v>
      </c>
      <c r="U220" s="9">
        <v>276</v>
      </c>
      <c r="V220" s="9">
        <v>528</v>
      </c>
      <c r="W220" s="9">
        <f t="shared" si="195"/>
        <v>853</v>
      </c>
      <c r="X220" s="9">
        <f t="shared" ref="X220:Y220" si="221">IF(W220&lt;&gt;T220,W220,IF(_xlfn.IFNA(VLOOKUP(T220,$M$2:$N$13,2,FALSE),U220)=0,"xxx",_xlfn.IFNA(VLOOKUP(T220,$M$2:$N$13,2,FALSE),U220)))</f>
        <v>276</v>
      </c>
      <c r="Y220" s="9">
        <f t="shared" si="221"/>
        <v>528</v>
      </c>
    </row>
    <row r="221" spans="3:25" x14ac:dyDescent="0.2">
      <c r="C221">
        <v>220</v>
      </c>
      <c r="D221" t="s">
        <v>2662</v>
      </c>
      <c r="E221">
        <v>220</v>
      </c>
      <c r="S221" s="9">
        <v>1051</v>
      </c>
      <c r="T221" s="9">
        <v>853</v>
      </c>
      <c r="U221" s="9">
        <v>276</v>
      </c>
      <c r="V221" s="9">
        <v>528</v>
      </c>
      <c r="W221" s="9">
        <f t="shared" si="195"/>
        <v>853</v>
      </c>
      <c r="X221" s="9">
        <f t="shared" ref="X221:Y221" si="222">IF(W221&lt;&gt;T221,W221,IF(_xlfn.IFNA(VLOOKUP(T221,$M$2:$N$13,2,FALSE),U221)=0,"xxx",_xlfn.IFNA(VLOOKUP(T221,$M$2:$N$13,2,FALSE),U221)))</f>
        <v>276</v>
      </c>
      <c r="Y221" s="9">
        <f t="shared" si="222"/>
        <v>528</v>
      </c>
    </row>
    <row r="222" spans="3:25" x14ac:dyDescent="0.2">
      <c r="C222">
        <v>221</v>
      </c>
      <c r="D222" t="s">
        <v>2663</v>
      </c>
      <c r="E222">
        <v>221</v>
      </c>
      <c r="S222" s="9">
        <v>1052</v>
      </c>
      <c r="T222" s="9">
        <v>853</v>
      </c>
      <c r="U222" s="9">
        <v>277</v>
      </c>
      <c r="V222" s="9">
        <v>529</v>
      </c>
      <c r="W222" s="9">
        <f t="shared" si="195"/>
        <v>853</v>
      </c>
      <c r="X222" s="9">
        <f t="shared" ref="X222:Y222" si="223">IF(W222&lt;&gt;T222,W222,IF(_xlfn.IFNA(VLOOKUP(T222,$M$2:$N$13,2,FALSE),U222)=0,"xxx",_xlfn.IFNA(VLOOKUP(T222,$M$2:$N$13,2,FALSE),U222)))</f>
        <v>277</v>
      </c>
      <c r="Y222" s="9">
        <f t="shared" si="223"/>
        <v>529</v>
      </c>
    </row>
    <row r="223" spans="3:25" x14ac:dyDescent="0.2">
      <c r="C223">
        <v>222</v>
      </c>
      <c r="D223" t="s">
        <v>2664</v>
      </c>
      <c r="E223">
        <v>222</v>
      </c>
      <c r="S223" s="9">
        <v>1053</v>
      </c>
      <c r="T223" s="9">
        <v>853</v>
      </c>
      <c r="U223" s="9">
        <v>270</v>
      </c>
      <c r="V223" s="9">
        <v>522</v>
      </c>
      <c r="W223" s="9">
        <f t="shared" si="195"/>
        <v>853</v>
      </c>
      <c r="X223" s="9">
        <f t="shared" ref="X223:Y223" si="224">IF(W223&lt;&gt;T223,W223,IF(_xlfn.IFNA(VLOOKUP(T223,$M$2:$N$13,2,FALSE),U223)=0,"xxx",_xlfn.IFNA(VLOOKUP(T223,$M$2:$N$13,2,FALSE),U223)))</f>
        <v>270</v>
      </c>
      <c r="Y223" s="9">
        <f t="shared" si="224"/>
        <v>522</v>
      </c>
    </row>
    <row r="224" spans="3:25" x14ac:dyDescent="0.2">
      <c r="C224">
        <v>223</v>
      </c>
      <c r="D224" t="s">
        <v>2665</v>
      </c>
      <c r="E224">
        <v>223</v>
      </c>
      <c r="S224" s="9">
        <v>1054</v>
      </c>
      <c r="T224" s="9">
        <v>853</v>
      </c>
      <c r="U224" s="9">
        <v>271</v>
      </c>
      <c r="V224" s="9">
        <v>523</v>
      </c>
      <c r="W224" s="9">
        <f t="shared" si="195"/>
        <v>853</v>
      </c>
      <c r="X224" s="9">
        <f t="shared" ref="X224:Y224" si="225">IF(W224&lt;&gt;T224,W224,IF(_xlfn.IFNA(VLOOKUP(T224,$M$2:$N$13,2,FALSE),U224)=0,"xxx",_xlfn.IFNA(VLOOKUP(T224,$M$2:$N$13,2,FALSE),U224)))</f>
        <v>271</v>
      </c>
      <c r="Y224" s="9">
        <f t="shared" si="225"/>
        <v>523</v>
      </c>
    </row>
    <row r="225" spans="3:25" x14ac:dyDescent="0.2">
      <c r="C225">
        <v>224</v>
      </c>
      <c r="D225" t="s">
        <v>2666</v>
      </c>
      <c r="E225">
        <v>224</v>
      </c>
      <c r="S225" s="9">
        <v>1055</v>
      </c>
      <c r="T225" s="9">
        <v>853</v>
      </c>
      <c r="U225" s="9">
        <v>271</v>
      </c>
      <c r="V225" s="9">
        <v>523</v>
      </c>
      <c r="W225" s="9">
        <f t="shared" si="195"/>
        <v>853</v>
      </c>
      <c r="X225" s="9">
        <f t="shared" ref="X225:Y225" si="226">IF(W225&lt;&gt;T225,W225,IF(_xlfn.IFNA(VLOOKUP(T225,$M$2:$N$13,2,FALSE),U225)=0,"xxx",_xlfn.IFNA(VLOOKUP(T225,$M$2:$N$13,2,FALSE),U225)))</f>
        <v>271</v>
      </c>
      <c r="Y225" s="9">
        <f t="shared" si="226"/>
        <v>523</v>
      </c>
    </row>
    <row r="226" spans="3:25" x14ac:dyDescent="0.2">
      <c r="C226">
        <v>225</v>
      </c>
      <c r="D226" t="s">
        <v>2667</v>
      </c>
      <c r="E226">
        <v>225</v>
      </c>
      <c r="S226" s="9">
        <v>1056</v>
      </c>
      <c r="T226" s="9">
        <v>853</v>
      </c>
      <c r="U226" s="9">
        <v>275</v>
      </c>
      <c r="V226" s="9">
        <v>527</v>
      </c>
      <c r="W226" s="9">
        <f t="shared" si="195"/>
        <v>853</v>
      </c>
      <c r="X226" s="9">
        <f t="shared" ref="X226:Y226" si="227">IF(W226&lt;&gt;T226,W226,IF(_xlfn.IFNA(VLOOKUP(T226,$M$2:$N$13,2,FALSE),U226)=0,"xxx",_xlfn.IFNA(VLOOKUP(T226,$M$2:$N$13,2,FALSE),U226)))</f>
        <v>275</v>
      </c>
      <c r="Y226" s="9">
        <f t="shared" si="227"/>
        <v>527</v>
      </c>
    </row>
    <row r="227" spans="3:25" x14ac:dyDescent="0.2">
      <c r="C227">
        <v>226</v>
      </c>
      <c r="D227" t="s">
        <v>2668</v>
      </c>
      <c r="E227">
        <v>226</v>
      </c>
      <c r="S227" s="9">
        <v>1057</v>
      </c>
      <c r="T227" s="9">
        <v>853</v>
      </c>
      <c r="U227" s="9">
        <v>272</v>
      </c>
      <c r="V227" s="9">
        <v>524</v>
      </c>
      <c r="W227" s="9">
        <f t="shared" si="195"/>
        <v>853</v>
      </c>
      <c r="X227" s="9">
        <f t="shared" ref="X227:Y227" si="228">IF(W227&lt;&gt;T227,W227,IF(_xlfn.IFNA(VLOOKUP(T227,$M$2:$N$13,2,FALSE),U227)=0,"xxx",_xlfn.IFNA(VLOOKUP(T227,$M$2:$N$13,2,FALSE),U227)))</f>
        <v>272</v>
      </c>
      <c r="Y227" s="9">
        <f t="shared" si="228"/>
        <v>524</v>
      </c>
    </row>
    <row r="228" spans="3:25" x14ac:dyDescent="0.2">
      <c r="C228">
        <v>227</v>
      </c>
      <c r="D228" t="s">
        <v>2669</v>
      </c>
      <c r="E228">
        <v>227</v>
      </c>
      <c r="S228" s="9">
        <v>1058</v>
      </c>
      <c r="T228" s="9">
        <v>853</v>
      </c>
      <c r="U228" s="9">
        <v>312</v>
      </c>
      <c r="V228" s="9">
        <v>522</v>
      </c>
      <c r="W228" s="9">
        <f t="shared" si="195"/>
        <v>853</v>
      </c>
      <c r="X228" s="9">
        <f t="shared" ref="X228:Y228" si="229">IF(W228&lt;&gt;T228,W228,IF(_xlfn.IFNA(VLOOKUP(T228,$M$2:$N$13,2,FALSE),U228)=0,"xxx",_xlfn.IFNA(VLOOKUP(T228,$M$2:$N$13,2,FALSE),U228)))</f>
        <v>312</v>
      </c>
      <c r="Y228" s="9">
        <f t="shared" si="229"/>
        <v>522</v>
      </c>
    </row>
    <row r="229" spans="3:25" x14ac:dyDescent="0.2">
      <c r="C229">
        <v>228</v>
      </c>
      <c r="D229" t="s">
        <v>2670</v>
      </c>
      <c r="E229">
        <v>228</v>
      </c>
      <c r="S229" s="9">
        <v>1059</v>
      </c>
      <c r="T229" s="9">
        <v>853</v>
      </c>
      <c r="U229" s="9">
        <v>313</v>
      </c>
      <c r="V229" s="9">
        <v>523</v>
      </c>
      <c r="W229" s="9">
        <f t="shared" si="195"/>
        <v>853</v>
      </c>
      <c r="X229" s="9">
        <f t="shared" ref="X229:Y229" si="230">IF(W229&lt;&gt;T229,W229,IF(_xlfn.IFNA(VLOOKUP(T229,$M$2:$N$13,2,FALSE),U229)=0,"xxx",_xlfn.IFNA(VLOOKUP(T229,$M$2:$N$13,2,FALSE),U229)))</f>
        <v>313</v>
      </c>
      <c r="Y229" s="9">
        <f t="shared" si="230"/>
        <v>523</v>
      </c>
    </row>
    <row r="230" spans="3:25" x14ac:dyDescent="0.2">
      <c r="C230">
        <v>229</v>
      </c>
      <c r="D230" t="s">
        <v>2671</v>
      </c>
      <c r="E230">
        <v>229</v>
      </c>
      <c r="S230" s="9">
        <v>1060</v>
      </c>
      <c r="T230" s="9">
        <v>853</v>
      </c>
      <c r="U230" s="9">
        <v>314</v>
      </c>
      <c r="V230" s="9">
        <v>524</v>
      </c>
      <c r="W230" s="9">
        <f t="shared" si="195"/>
        <v>853</v>
      </c>
      <c r="X230" s="9">
        <f t="shared" ref="X230:Y230" si="231">IF(W230&lt;&gt;T230,W230,IF(_xlfn.IFNA(VLOOKUP(T230,$M$2:$N$13,2,FALSE),U230)=0,"xxx",_xlfn.IFNA(VLOOKUP(T230,$M$2:$N$13,2,FALSE),U230)))</f>
        <v>314</v>
      </c>
      <c r="Y230" s="9">
        <f t="shared" si="231"/>
        <v>524</v>
      </c>
    </row>
    <row r="231" spans="3:25" x14ac:dyDescent="0.2">
      <c r="C231">
        <v>230</v>
      </c>
      <c r="D231" t="s">
        <v>2672</v>
      </c>
      <c r="E231">
        <v>230</v>
      </c>
      <c r="S231" s="9">
        <v>1061</v>
      </c>
      <c r="T231" s="9">
        <v>853</v>
      </c>
      <c r="U231" s="9">
        <v>314</v>
      </c>
      <c r="V231" s="9">
        <v>524</v>
      </c>
      <c r="W231" s="9">
        <f t="shared" si="195"/>
        <v>853</v>
      </c>
      <c r="X231" s="9">
        <f t="shared" ref="X231:Y231" si="232">IF(W231&lt;&gt;T231,W231,IF(_xlfn.IFNA(VLOOKUP(T231,$M$2:$N$13,2,FALSE),U231)=0,"xxx",_xlfn.IFNA(VLOOKUP(T231,$M$2:$N$13,2,FALSE),U231)))</f>
        <v>314</v>
      </c>
      <c r="Y231" s="9">
        <f t="shared" si="232"/>
        <v>524</v>
      </c>
    </row>
    <row r="232" spans="3:25" x14ac:dyDescent="0.2">
      <c r="C232">
        <v>231</v>
      </c>
      <c r="D232" t="s">
        <v>2673</v>
      </c>
      <c r="E232">
        <v>231</v>
      </c>
      <c r="S232" s="9">
        <v>1062</v>
      </c>
      <c r="T232" s="9">
        <v>853</v>
      </c>
      <c r="U232" s="9">
        <v>325</v>
      </c>
      <c r="V232" s="9">
        <v>535</v>
      </c>
      <c r="W232" s="9">
        <f t="shared" si="195"/>
        <v>853</v>
      </c>
      <c r="X232" s="9">
        <f t="shared" ref="X232:Y232" si="233">IF(W232&lt;&gt;T232,W232,IF(_xlfn.IFNA(VLOOKUP(T232,$M$2:$N$13,2,FALSE),U232)=0,"xxx",_xlfn.IFNA(VLOOKUP(T232,$M$2:$N$13,2,FALSE),U232)))</f>
        <v>325</v>
      </c>
      <c r="Y232" s="9">
        <f t="shared" si="233"/>
        <v>535</v>
      </c>
    </row>
    <row r="233" spans="3:25" x14ac:dyDescent="0.2">
      <c r="C233">
        <v>232</v>
      </c>
      <c r="D233" t="s">
        <v>2674</v>
      </c>
      <c r="E233">
        <v>232</v>
      </c>
      <c r="S233" s="9">
        <v>1063</v>
      </c>
      <c r="T233" s="9">
        <v>853</v>
      </c>
      <c r="U233" s="9">
        <v>649</v>
      </c>
      <c r="V233" s="9">
        <v>522</v>
      </c>
      <c r="W233" s="9">
        <f t="shared" si="195"/>
        <v>853</v>
      </c>
      <c r="X233" s="9">
        <f t="shared" ref="X233:Y233" si="234">IF(W233&lt;&gt;T233,W233,IF(_xlfn.IFNA(VLOOKUP(T233,$M$2:$N$13,2,FALSE),U233)=0,"xxx",_xlfn.IFNA(VLOOKUP(T233,$M$2:$N$13,2,FALSE),U233)))</f>
        <v>649</v>
      </c>
      <c r="Y233" s="9">
        <f t="shared" si="234"/>
        <v>522</v>
      </c>
    </row>
    <row r="234" spans="3:25" x14ac:dyDescent="0.2">
      <c r="C234">
        <v>233</v>
      </c>
      <c r="D234" t="s">
        <v>2675</v>
      </c>
      <c r="E234">
        <v>233</v>
      </c>
      <c r="S234" s="9">
        <v>1064</v>
      </c>
      <c r="T234" s="9">
        <v>853</v>
      </c>
      <c r="U234" s="9">
        <v>650</v>
      </c>
      <c r="V234" s="9">
        <v>522</v>
      </c>
      <c r="W234" s="9">
        <f t="shared" si="195"/>
        <v>853</v>
      </c>
      <c r="X234" s="9">
        <f t="shared" ref="X234:Y234" si="235">IF(W234&lt;&gt;T234,W234,IF(_xlfn.IFNA(VLOOKUP(T234,$M$2:$N$13,2,FALSE),U234)=0,"xxx",_xlfn.IFNA(VLOOKUP(T234,$M$2:$N$13,2,FALSE),U234)))</f>
        <v>650</v>
      </c>
      <c r="Y234" s="9">
        <f t="shared" si="235"/>
        <v>522</v>
      </c>
    </row>
    <row r="235" spans="3:25" x14ac:dyDescent="0.2">
      <c r="C235">
        <v>234</v>
      </c>
      <c r="D235" t="s">
        <v>2676</v>
      </c>
      <c r="E235">
        <v>234</v>
      </c>
      <c r="S235" s="9">
        <v>1065</v>
      </c>
      <c r="T235" s="9">
        <v>853</v>
      </c>
      <c r="U235" s="9">
        <v>651</v>
      </c>
      <c r="V235" s="9">
        <v>523</v>
      </c>
      <c r="W235" s="9">
        <f t="shared" si="195"/>
        <v>853</v>
      </c>
      <c r="X235" s="9">
        <f t="shared" ref="X235:Y235" si="236">IF(W235&lt;&gt;T235,W235,IF(_xlfn.IFNA(VLOOKUP(T235,$M$2:$N$13,2,FALSE),U235)=0,"xxx",_xlfn.IFNA(VLOOKUP(T235,$M$2:$N$13,2,FALSE),U235)))</f>
        <v>651</v>
      </c>
      <c r="Y235" s="9">
        <f t="shared" si="236"/>
        <v>523</v>
      </c>
    </row>
    <row r="236" spans="3:25" x14ac:dyDescent="0.2">
      <c r="C236">
        <v>235</v>
      </c>
      <c r="D236" t="s">
        <v>2677</v>
      </c>
      <c r="E236">
        <v>235</v>
      </c>
      <c r="S236" s="9">
        <v>1066</v>
      </c>
      <c r="T236" s="9">
        <v>853</v>
      </c>
      <c r="U236" s="9">
        <v>652</v>
      </c>
      <c r="V236" s="9">
        <v>524</v>
      </c>
      <c r="W236" s="9">
        <f t="shared" si="195"/>
        <v>853</v>
      </c>
      <c r="X236" s="9">
        <f t="shared" ref="X236:Y236" si="237">IF(W236&lt;&gt;T236,W236,IF(_xlfn.IFNA(VLOOKUP(T236,$M$2:$N$13,2,FALSE),U236)=0,"xxx",_xlfn.IFNA(VLOOKUP(T236,$M$2:$N$13,2,FALSE),U236)))</f>
        <v>652</v>
      </c>
      <c r="Y236" s="9">
        <f t="shared" si="237"/>
        <v>524</v>
      </c>
    </row>
    <row r="237" spans="3:25" x14ac:dyDescent="0.2">
      <c r="C237">
        <v>236</v>
      </c>
      <c r="D237" t="s">
        <v>2678</v>
      </c>
      <c r="E237">
        <v>236</v>
      </c>
      <c r="S237" s="9">
        <v>1067</v>
      </c>
      <c r="T237" s="9">
        <v>853</v>
      </c>
      <c r="U237" s="9">
        <v>653</v>
      </c>
      <c r="V237" s="9">
        <v>528</v>
      </c>
      <c r="W237" s="9">
        <f t="shared" si="195"/>
        <v>853</v>
      </c>
      <c r="X237" s="9">
        <f t="shared" ref="X237:Y237" si="238">IF(W237&lt;&gt;T237,W237,IF(_xlfn.IFNA(VLOOKUP(T237,$M$2:$N$13,2,FALSE),U237)=0,"xxx",_xlfn.IFNA(VLOOKUP(T237,$M$2:$N$13,2,FALSE),U237)))</f>
        <v>653</v>
      </c>
      <c r="Y237" s="9">
        <f t="shared" si="238"/>
        <v>528</v>
      </c>
    </row>
    <row r="238" spans="3:25" x14ac:dyDescent="0.2">
      <c r="C238">
        <v>237</v>
      </c>
      <c r="D238" t="s">
        <v>2679</v>
      </c>
      <c r="E238">
        <v>237</v>
      </c>
      <c r="S238" s="9">
        <v>1068</v>
      </c>
      <c r="T238" s="9">
        <v>853</v>
      </c>
      <c r="U238" s="9">
        <v>273</v>
      </c>
      <c r="V238" s="9">
        <v>525</v>
      </c>
      <c r="W238" s="9">
        <f t="shared" si="195"/>
        <v>853</v>
      </c>
      <c r="X238" s="9">
        <f t="shared" ref="X238:Y238" si="239">IF(W238&lt;&gt;T238,W238,IF(_xlfn.IFNA(VLOOKUP(T238,$M$2:$N$13,2,FALSE),U238)=0,"xxx",_xlfn.IFNA(VLOOKUP(T238,$M$2:$N$13,2,FALSE),U238)))</f>
        <v>273</v>
      </c>
      <c r="Y238" s="9">
        <f t="shared" si="239"/>
        <v>525</v>
      </c>
    </row>
    <row r="239" spans="3:25" x14ac:dyDescent="0.2">
      <c r="C239">
        <v>238</v>
      </c>
      <c r="D239" t="s">
        <v>2680</v>
      </c>
      <c r="E239">
        <v>238</v>
      </c>
      <c r="S239" s="9">
        <v>1069</v>
      </c>
      <c r="T239" s="9">
        <v>853</v>
      </c>
      <c r="U239" s="9">
        <v>273</v>
      </c>
      <c r="V239" s="9">
        <v>525</v>
      </c>
      <c r="W239" s="9">
        <f t="shared" si="195"/>
        <v>853</v>
      </c>
      <c r="X239" s="9">
        <f t="shared" ref="X239:Y239" si="240">IF(W239&lt;&gt;T239,W239,IF(_xlfn.IFNA(VLOOKUP(T239,$M$2:$N$13,2,FALSE),U239)=0,"xxx",_xlfn.IFNA(VLOOKUP(T239,$M$2:$N$13,2,FALSE),U239)))</f>
        <v>273</v>
      </c>
      <c r="Y239" s="9">
        <f t="shared" si="240"/>
        <v>525</v>
      </c>
    </row>
    <row r="240" spans="3:25" x14ac:dyDescent="0.2">
      <c r="C240">
        <v>239</v>
      </c>
      <c r="D240" t="s">
        <v>2681</v>
      </c>
      <c r="E240">
        <v>239</v>
      </c>
      <c r="S240" s="9">
        <v>1070</v>
      </c>
      <c r="T240" s="9">
        <v>853</v>
      </c>
      <c r="U240" s="9">
        <v>274</v>
      </c>
      <c r="V240" s="9">
        <v>526</v>
      </c>
      <c r="W240" s="9">
        <f t="shared" si="195"/>
        <v>853</v>
      </c>
      <c r="X240" s="9">
        <f t="shared" ref="X240:Y240" si="241">IF(W240&lt;&gt;T240,W240,IF(_xlfn.IFNA(VLOOKUP(T240,$M$2:$N$13,2,FALSE),U240)=0,"xxx",_xlfn.IFNA(VLOOKUP(T240,$M$2:$N$13,2,FALSE),U240)))</f>
        <v>274</v>
      </c>
      <c r="Y240" s="9">
        <f t="shared" si="241"/>
        <v>526</v>
      </c>
    </row>
    <row r="241" spans="3:25" x14ac:dyDescent="0.2">
      <c r="C241">
        <v>240</v>
      </c>
      <c r="D241" t="s">
        <v>2682</v>
      </c>
      <c r="E241">
        <v>240</v>
      </c>
      <c r="S241" s="9">
        <v>1071</v>
      </c>
      <c r="T241" s="9">
        <v>853</v>
      </c>
      <c r="U241" s="9">
        <v>275</v>
      </c>
      <c r="V241" s="9">
        <v>527</v>
      </c>
      <c r="W241" s="9">
        <f t="shared" si="195"/>
        <v>853</v>
      </c>
      <c r="X241" s="9">
        <f t="shared" ref="X241:Y241" si="242">IF(W241&lt;&gt;T241,W241,IF(_xlfn.IFNA(VLOOKUP(T241,$M$2:$N$13,2,FALSE),U241)=0,"xxx",_xlfn.IFNA(VLOOKUP(T241,$M$2:$N$13,2,FALSE),U241)))</f>
        <v>275</v>
      </c>
      <c r="Y241" s="9">
        <f t="shared" si="242"/>
        <v>527</v>
      </c>
    </row>
    <row r="242" spans="3:25" x14ac:dyDescent="0.2">
      <c r="C242">
        <v>241</v>
      </c>
      <c r="D242" t="s">
        <v>2683</v>
      </c>
      <c r="E242">
        <v>241</v>
      </c>
      <c r="S242" s="9">
        <v>1072</v>
      </c>
      <c r="T242" s="9">
        <v>853</v>
      </c>
      <c r="U242" s="9">
        <v>279</v>
      </c>
      <c r="V242" s="9">
        <v>531</v>
      </c>
      <c r="W242" s="9">
        <f t="shared" si="195"/>
        <v>853</v>
      </c>
      <c r="X242" s="9">
        <f t="shared" ref="X242:Y242" si="243">IF(W242&lt;&gt;T242,W242,IF(_xlfn.IFNA(VLOOKUP(T242,$M$2:$N$13,2,FALSE),U242)=0,"xxx",_xlfn.IFNA(VLOOKUP(T242,$M$2:$N$13,2,FALSE),U242)))</f>
        <v>279</v>
      </c>
      <c r="Y242" s="9">
        <f t="shared" si="243"/>
        <v>531</v>
      </c>
    </row>
    <row r="243" spans="3:25" x14ac:dyDescent="0.2">
      <c r="C243">
        <v>242</v>
      </c>
      <c r="D243" t="s">
        <v>2684</v>
      </c>
      <c r="E243">
        <v>242</v>
      </c>
      <c r="S243" s="9">
        <v>1073</v>
      </c>
      <c r="T243" s="9">
        <v>853</v>
      </c>
      <c r="U243" s="9">
        <v>272</v>
      </c>
      <c r="V243" s="9">
        <v>524</v>
      </c>
      <c r="W243" s="9">
        <f t="shared" si="195"/>
        <v>853</v>
      </c>
      <c r="X243" s="9">
        <f t="shared" ref="X243:Y243" si="244">IF(W243&lt;&gt;T243,W243,IF(_xlfn.IFNA(VLOOKUP(T243,$M$2:$N$13,2,FALSE),U243)=0,"xxx",_xlfn.IFNA(VLOOKUP(T243,$M$2:$N$13,2,FALSE),U243)))</f>
        <v>272</v>
      </c>
      <c r="Y243" s="9">
        <f t="shared" si="244"/>
        <v>524</v>
      </c>
    </row>
    <row r="244" spans="3:25" x14ac:dyDescent="0.2">
      <c r="C244">
        <v>243</v>
      </c>
      <c r="D244" t="s">
        <v>2685</v>
      </c>
      <c r="E244">
        <v>243</v>
      </c>
      <c r="S244" s="9">
        <v>1074</v>
      </c>
      <c r="T244" s="9">
        <v>853</v>
      </c>
      <c r="U244" s="9">
        <v>273</v>
      </c>
      <c r="V244" s="9">
        <v>525</v>
      </c>
      <c r="W244" s="9">
        <f t="shared" si="195"/>
        <v>853</v>
      </c>
      <c r="X244" s="9">
        <f t="shared" ref="X244:Y244" si="245">IF(W244&lt;&gt;T244,W244,IF(_xlfn.IFNA(VLOOKUP(T244,$M$2:$N$13,2,FALSE),U244)=0,"xxx",_xlfn.IFNA(VLOOKUP(T244,$M$2:$N$13,2,FALSE),U244)))</f>
        <v>273</v>
      </c>
      <c r="Y244" s="9">
        <f t="shared" si="245"/>
        <v>525</v>
      </c>
    </row>
    <row r="245" spans="3:25" x14ac:dyDescent="0.2">
      <c r="C245">
        <v>244</v>
      </c>
      <c r="D245" t="s">
        <v>2686</v>
      </c>
      <c r="E245">
        <v>244</v>
      </c>
      <c r="S245" s="9">
        <v>1075</v>
      </c>
      <c r="T245" s="9">
        <v>853</v>
      </c>
      <c r="U245" s="9">
        <v>274</v>
      </c>
      <c r="V245" s="9">
        <v>526</v>
      </c>
      <c r="W245" s="9">
        <f t="shared" si="195"/>
        <v>853</v>
      </c>
      <c r="X245" s="9">
        <f t="shared" ref="X245:Y245" si="246">IF(W245&lt;&gt;T245,W245,IF(_xlfn.IFNA(VLOOKUP(T245,$M$2:$N$13,2,FALSE),U245)=0,"xxx",_xlfn.IFNA(VLOOKUP(T245,$M$2:$N$13,2,FALSE),U245)))</f>
        <v>274</v>
      </c>
      <c r="Y245" s="9">
        <f t="shared" si="246"/>
        <v>526</v>
      </c>
    </row>
    <row r="246" spans="3:25" x14ac:dyDescent="0.2">
      <c r="C246">
        <v>245</v>
      </c>
      <c r="D246" t="s">
        <v>2687</v>
      </c>
      <c r="E246">
        <v>245</v>
      </c>
      <c r="S246" s="9">
        <v>1076</v>
      </c>
      <c r="T246" s="9">
        <v>853</v>
      </c>
      <c r="U246" s="9">
        <v>276</v>
      </c>
      <c r="V246" s="9">
        <v>528</v>
      </c>
      <c r="W246" s="9">
        <f t="shared" si="195"/>
        <v>853</v>
      </c>
      <c r="X246" s="9">
        <f t="shared" ref="X246:Y246" si="247">IF(W246&lt;&gt;T246,W246,IF(_xlfn.IFNA(VLOOKUP(T246,$M$2:$N$13,2,FALSE),U246)=0,"xxx",_xlfn.IFNA(VLOOKUP(T246,$M$2:$N$13,2,FALSE),U246)))</f>
        <v>276</v>
      </c>
      <c r="Y246" s="9">
        <f t="shared" si="247"/>
        <v>528</v>
      </c>
    </row>
    <row r="247" spans="3:25" x14ac:dyDescent="0.2">
      <c r="C247">
        <v>246</v>
      </c>
      <c r="D247" t="s">
        <v>2688</v>
      </c>
      <c r="E247">
        <v>246</v>
      </c>
      <c r="S247" s="9">
        <v>1077</v>
      </c>
      <c r="T247" s="9">
        <v>853</v>
      </c>
      <c r="U247" s="9">
        <v>277</v>
      </c>
      <c r="V247" s="9">
        <v>529</v>
      </c>
      <c r="W247" s="9">
        <f t="shared" si="195"/>
        <v>853</v>
      </c>
      <c r="X247" s="9">
        <f t="shared" ref="X247:Y247" si="248">IF(W247&lt;&gt;T247,W247,IF(_xlfn.IFNA(VLOOKUP(T247,$M$2:$N$13,2,FALSE),U247)=0,"xxx",_xlfn.IFNA(VLOOKUP(T247,$M$2:$N$13,2,FALSE),U247)))</f>
        <v>277</v>
      </c>
      <c r="Y247" s="9">
        <f t="shared" si="248"/>
        <v>529</v>
      </c>
    </row>
    <row r="248" spans="3:25" x14ac:dyDescent="0.2">
      <c r="C248">
        <v>247</v>
      </c>
      <c r="D248" t="s">
        <v>2689</v>
      </c>
      <c r="E248">
        <v>247</v>
      </c>
      <c r="S248" s="9">
        <v>1078</v>
      </c>
      <c r="T248" s="9">
        <v>853</v>
      </c>
      <c r="U248" s="9">
        <v>273</v>
      </c>
      <c r="V248" s="9">
        <v>525</v>
      </c>
      <c r="W248" s="9">
        <f t="shared" si="195"/>
        <v>853</v>
      </c>
      <c r="X248" s="9">
        <f t="shared" ref="X248:Y248" si="249">IF(W248&lt;&gt;T248,W248,IF(_xlfn.IFNA(VLOOKUP(T248,$M$2:$N$13,2,FALSE),U248)=0,"xxx",_xlfn.IFNA(VLOOKUP(T248,$M$2:$N$13,2,FALSE),U248)))</f>
        <v>273</v>
      </c>
      <c r="Y248" s="9">
        <f t="shared" si="249"/>
        <v>525</v>
      </c>
    </row>
    <row r="249" spans="3:25" x14ac:dyDescent="0.2">
      <c r="C249">
        <v>248</v>
      </c>
      <c r="D249" t="s">
        <v>2690</v>
      </c>
      <c r="E249">
        <v>248</v>
      </c>
      <c r="S249" s="9">
        <v>1079</v>
      </c>
      <c r="T249" s="9">
        <v>853</v>
      </c>
      <c r="U249" s="9">
        <v>273</v>
      </c>
      <c r="V249" s="9">
        <v>525</v>
      </c>
      <c r="W249" s="9">
        <f t="shared" si="195"/>
        <v>853</v>
      </c>
      <c r="X249" s="9">
        <f t="shared" ref="X249:Y249" si="250">IF(W249&lt;&gt;T249,W249,IF(_xlfn.IFNA(VLOOKUP(T249,$M$2:$N$13,2,FALSE),U249)=0,"xxx",_xlfn.IFNA(VLOOKUP(T249,$M$2:$N$13,2,FALSE),U249)))</f>
        <v>273</v>
      </c>
      <c r="Y249" s="9">
        <f t="shared" si="250"/>
        <v>525</v>
      </c>
    </row>
    <row r="250" spans="3:25" x14ac:dyDescent="0.2">
      <c r="C250">
        <v>249</v>
      </c>
      <c r="D250" t="s">
        <v>2691</v>
      </c>
      <c r="E250">
        <v>249</v>
      </c>
      <c r="S250" s="9">
        <v>1080</v>
      </c>
      <c r="T250" s="9">
        <v>853</v>
      </c>
      <c r="U250" s="9">
        <v>274</v>
      </c>
      <c r="V250" s="9">
        <v>526</v>
      </c>
      <c r="W250" s="9">
        <f t="shared" si="195"/>
        <v>853</v>
      </c>
      <c r="X250" s="9">
        <f t="shared" ref="X250:Y250" si="251">IF(W250&lt;&gt;T250,W250,IF(_xlfn.IFNA(VLOOKUP(T250,$M$2:$N$13,2,FALSE),U250)=0,"xxx",_xlfn.IFNA(VLOOKUP(T250,$M$2:$N$13,2,FALSE),U250)))</f>
        <v>274</v>
      </c>
      <c r="Y250" s="9">
        <f t="shared" si="251"/>
        <v>526</v>
      </c>
    </row>
    <row r="251" spans="3:25" x14ac:dyDescent="0.2">
      <c r="C251">
        <v>250</v>
      </c>
      <c r="D251" t="s">
        <v>2692</v>
      </c>
      <c r="E251">
        <v>250</v>
      </c>
      <c r="S251" s="9">
        <v>1081</v>
      </c>
      <c r="T251" s="9">
        <v>853</v>
      </c>
      <c r="U251" s="9">
        <v>276</v>
      </c>
      <c r="V251" s="9">
        <v>528</v>
      </c>
      <c r="W251" s="9">
        <f t="shared" si="195"/>
        <v>853</v>
      </c>
      <c r="X251" s="9">
        <f t="shared" ref="X251:Y251" si="252">IF(W251&lt;&gt;T251,W251,IF(_xlfn.IFNA(VLOOKUP(T251,$M$2:$N$13,2,FALSE),U251)=0,"xxx",_xlfn.IFNA(VLOOKUP(T251,$M$2:$N$13,2,FALSE),U251)))</f>
        <v>276</v>
      </c>
      <c r="Y251" s="9">
        <f t="shared" si="252"/>
        <v>528</v>
      </c>
    </row>
    <row r="252" spans="3:25" x14ac:dyDescent="0.2">
      <c r="C252">
        <v>251</v>
      </c>
      <c r="D252" t="s">
        <v>2693</v>
      </c>
      <c r="E252">
        <v>251</v>
      </c>
      <c r="S252" s="9">
        <v>1082</v>
      </c>
      <c r="T252" s="9">
        <v>853</v>
      </c>
      <c r="U252" s="9">
        <v>279</v>
      </c>
      <c r="V252" s="9">
        <v>531</v>
      </c>
      <c r="W252" s="9">
        <f t="shared" si="195"/>
        <v>853</v>
      </c>
      <c r="X252" s="9">
        <f t="shared" ref="X252:Y252" si="253">IF(W252&lt;&gt;T252,W252,IF(_xlfn.IFNA(VLOOKUP(T252,$M$2:$N$13,2,FALSE),U252)=0,"xxx",_xlfn.IFNA(VLOOKUP(T252,$M$2:$N$13,2,FALSE),U252)))</f>
        <v>279</v>
      </c>
      <c r="Y252" s="9">
        <f t="shared" si="253"/>
        <v>531</v>
      </c>
    </row>
    <row r="253" spans="3:25" x14ac:dyDescent="0.2">
      <c r="C253">
        <v>252</v>
      </c>
      <c r="D253" t="s">
        <v>2694</v>
      </c>
      <c r="E253">
        <v>252</v>
      </c>
      <c r="S253" s="9">
        <v>1083</v>
      </c>
      <c r="T253" s="9">
        <v>853</v>
      </c>
      <c r="U253" s="9">
        <v>273</v>
      </c>
      <c r="V253" s="9">
        <v>525</v>
      </c>
      <c r="W253" s="9">
        <f t="shared" si="195"/>
        <v>853</v>
      </c>
      <c r="X253" s="9">
        <f t="shared" ref="X253:Y253" si="254">IF(W253&lt;&gt;T253,W253,IF(_xlfn.IFNA(VLOOKUP(T253,$M$2:$N$13,2,FALSE),U253)=0,"xxx",_xlfn.IFNA(VLOOKUP(T253,$M$2:$N$13,2,FALSE),U253)))</f>
        <v>273</v>
      </c>
      <c r="Y253" s="9">
        <f t="shared" si="254"/>
        <v>525</v>
      </c>
    </row>
    <row r="254" spans="3:25" x14ac:dyDescent="0.2">
      <c r="C254">
        <v>253</v>
      </c>
      <c r="D254" t="s">
        <v>2695</v>
      </c>
      <c r="E254">
        <v>253</v>
      </c>
      <c r="S254" s="9">
        <v>1084</v>
      </c>
      <c r="T254" s="9">
        <v>853</v>
      </c>
      <c r="U254" s="9">
        <v>273</v>
      </c>
      <c r="V254" s="9">
        <v>525</v>
      </c>
      <c r="W254" s="9">
        <f t="shared" si="195"/>
        <v>853</v>
      </c>
      <c r="X254" s="9">
        <f t="shared" ref="X254:Y254" si="255">IF(W254&lt;&gt;T254,W254,IF(_xlfn.IFNA(VLOOKUP(T254,$M$2:$N$13,2,FALSE),U254)=0,"xxx",_xlfn.IFNA(VLOOKUP(T254,$M$2:$N$13,2,FALSE),U254)))</f>
        <v>273</v>
      </c>
      <c r="Y254" s="9">
        <f t="shared" si="255"/>
        <v>525</v>
      </c>
    </row>
    <row r="255" spans="3:25" x14ac:dyDescent="0.2">
      <c r="C255">
        <v>254</v>
      </c>
      <c r="D255" t="s">
        <v>2696</v>
      </c>
      <c r="E255">
        <v>254</v>
      </c>
      <c r="S255" s="9">
        <v>1085</v>
      </c>
      <c r="T255" s="9">
        <v>853</v>
      </c>
      <c r="U255" s="9">
        <v>274</v>
      </c>
      <c r="V255" s="9">
        <v>526</v>
      </c>
      <c r="W255" s="9">
        <f t="shared" si="195"/>
        <v>853</v>
      </c>
      <c r="X255" s="9">
        <f t="shared" ref="X255:Y255" si="256">IF(W255&lt;&gt;T255,W255,IF(_xlfn.IFNA(VLOOKUP(T255,$M$2:$N$13,2,FALSE),U255)=0,"xxx",_xlfn.IFNA(VLOOKUP(T255,$M$2:$N$13,2,FALSE),U255)))</f>
        <v>274</v>
      </c>
      <c r="Y255" s="9">
        <f t="shared" si="256"/>
        <v>526</v>
      </c>
    </row>
    <row r="256" spans="3:25" x14ac:dyDescent="0.2">
      <c r="C256">
        <v>255</v>
      </c>
      <c r="D256" t="s">
        <v>2697</v>
      </c>
      <c r="E256">
        <v>255</v>
      </c>
      <c r="S256" s="9">
        <v>1086</v>
      </c>
      <c r="T256" s="9">
        <v>853</v>
      </c>
      <c r="U256" s="9">
        <v>275</v>
      </c>
      <c r="V256" s="9">
        <v>527</v>
      </c>
      <c r="W256" s="9">
        <f t="shared" si="195"/>
        <v>853</v>
      </c>
      <c r="X256" s="9">
        <f t="shared" ref="X256:Y256" si="257">IF(W256&lt;&gt;T256,W256,IF(_xlfn.IFNA(VLOOKUP(T256,$M$2:$N$13,2,FALSE),U256)=0,"xxx",_xlfn.IFNA(VLOOKUP(T256,$M$2:$N$13,2,FALSE),U256)))</f>
        <v>275</v>
      </c>
      <c r="Y256" s="9">
        <f t="shared" si="257"/>
        <v>527</v>
      </c>
    </row>
    <row r="257" spans="3:25" x14ac:dyDescent="0.2">
      <c r="C257">
        <v>256</v>
      </c>
      <c r="D257" t="s">
        <v>2698</v>
      </c>
      <c r="E257">
        <v>256</v>
      </c>
      <c r="S257" s="9">
        <v>1087</v>
      </c>
      <c r="T257" s="9">
        <v>853</v>
      </c>
      <c r="U257" s="9">
        <v>664</v>
      </c>
      <c r="V257" s="9">
        <v>526</v>
      </c>
      <c r="W257" s="9">
        <f t="shared" si="195"/>
        <v>853</v>
      </c>
      <c r="X257" s="9">
        <f t="shared" ref="X257:Y257" si="258">IF(W257&lt;&gt;T257,W257,IF(_xlfn.IFNA(VLOOKUP(T257,$M$2:$N$13,2,FALSE),U257)=0,"xxx",_xlfn.IFNA(VLOOKUP(T257,$M$2:$N$13,2,FALSE),U257)))</f>
        <v>664</v>
      </c>
      <c r="Y257" s="9">
        <f t="shared" si="258"/>
        <v>526</v>
      </c>
    </row>
    <row r="258" spans="3:25" x14ac:dyDescent="0.2">
      <c r="C258">
        <v>257</v>
      </c>
      <c r="D258" t="s">
        <v>2699</v>
      </c>
      <c r="E258">
        <v>257</v>
      </c>
      <c r="S258" s="9">
        <v>1088</v>
      </c>
      <c r="T258" s="9">
        <v>853</v>
      </c>
      <c r="U258" s="9">
        <v>664</v>
      </c>
      <c r="V258" s="9">
        <v>526</v>
      </c>
      <c r="W258" s="9">
        <f t="shared" si="195"/>
        <v>853</v>
      </c>
      <c r="X258" s="9">
        <f t="shared" ref="X258:Y258" si="259">IF(W258&lt;&gt;T258,W258,IF(_xlfn.IFNA(VLOOKUP(T258,$M$2:$N$13,2,FALSE),U258)=0,"xxx",_xlfn.IFNA(VLOOKUP(T258,$M$2:$N$13,2,FALSE),U258)))</f>
        <v>664</v>
      </c>
      <c r="Y258" s="9">
        <f t="shared" si="259"/>
        <v>526</v>
      </c>
    </row>
    <row r="259" spans="3:25" x14ac:dyDescent="0.2">
      <c r="C259">
        <v>258</v>
      </c>
      <c r="D259" t="s">
        <v>2700</v>
      </c>
      <c r="E259">
        <v>258</v>
      </c>
      <c r="S259" s="9">
        <v>1089</v>
      </c>
      <c r="T259" s="9">
        <v>853</v>
      </c>
      <c r="U259" s="9">
        <v>665</v>
      </c>
      <c r="V259" s="9">
        <v>529</v>
      </c>
      <c r="W259" s="9">
        <f t="shared" ref="W259:W322" si="260">IF(_xlfn.IFNA(VLOOKUP(S259,$M$2:$N$13,2,FALSE),T259)=0,"xxx",_xlfn.IFNA(VLOOKUP(S259,$M$2:$N$13,2,FALSE),T259))</f>
        <v>853</v>
      </c>
      <c r="X259" s="9">
        <f t="shared" ref="X259:Y259" si="261">IF(W259&lt;&gt;T259,W259,IF(_xlfn.IFNA(VLOOKUP(T259,$M$2:$N$13,2,FALSE),U259)=0,"xxx",_xlfn.IFNA(VLOOKUP(T259,$M$2:$N$13,2,FALSE),U259)))</f>
        <v>665</v>
      </c>
      <c r="Y259" s="9">
        <f t="shared" si="261"/>
        <v>529</v>
      </c>
    </row>
    <row r="260" spans="3:25" x14ac:dyDescent="0.2">
      <c r="C260">
        <v>259</v>
      </c>
      <c r="D260" t="s">
        <v>2701</v>
      </c>
      <c r="E260">
        <v>259</v>
      </c>
      <c r="S260" s="9">
        <v>1090</v>
      </c>
      <c r="T260" s="9">
        <v>853</v>
      </c>
      <c r="U260" s="9">
        <v>665</v>
      </c>
      <c r="V260" s="9">
        <v>529</v>
      </c>
      <c r="W260" s="9">
        <f t="shared" si="260"/>
        <v>853</v>
      </c>
      <c r="X260" s="9">
        <f t="shared" ref="X260:Y260" si="262">IF(W260&lt;&gt;T260,W260,IF(_xlfn.IFNA(VLOOKUP(T260,$M$2:$N$13,2,FALSE),U260)=0,"xxx",_xlfn.IFNA(VLOOKUP(T260,$M$2:$N$13,2,FALSE),U260)))</f>
        <v>665</v>
      </c>
      <c r="Y260" s="9">
        <f t="shared" si="262"/>
        <v>529</v>
      </c>
    </row>
    <row r="261" spans="3:25" x14ac:dyDescent="0.2">
      <c r="C261">
        <v>260</v>
      </c>
      <c r="D261" t="s">
        <v>2702</v>
      </c>
      <c r="E261">
        <v>260</v>
      </c>
      <c r="S261" s="9">
        <v>1091</v>
      </c>
      <c r="T261" s="9">
        <v>853</v>
      </c>
      <c r="U261" s="9">
        <v>273</v>
      </c>
      <c r="V261" s="9">
        <v>525</v>
      </c>
      <c r="W261" s="9">
        <f t="shared" si="260"/>
        <v>853</v>
      </c>
      <c r="X261" s="9">
        <f t="shared" ref="X261:Y261" si="263">IF(W261&lt;&gt;T261,W261,IF(_xlfn.IFNA(VLOOKUP(T261,$M$2:$N$13,2,FALSE),U261)=0,"xxx",_xlfn.IFNA(VLOOKUP(T261,$M$2:$N$13,2,FALSE),U261)))</f>
        <v>273</v>
      </c>
      <c r="Y261" s="9">
        <f t="shared" si="263"/>
        <v>525</v>
      </c>
    </row>
    <row r="262" spans="3:25" x14ac:dyDescent="0.2">
      <c r="C262">
        <v>261</v>
      </c>
      <c r="D262" t="s">
        <v>2703</v>
      </c>
      <c r="E262">
        <v>261</v>
      </c>
      <c r="S262" s="9">
        <v>1092</v>
      </c>
      <c r="T262" s="9">
        <v>853</v>
      </c>
      <c r="U262" s="9">
        <v>274</v>
      </c>
      <c r="V262" s="9">
        <v>526</v>
      </c>
      <c r="W262" s="9">
        <f t="shared" si="260"/>
        <v>853</v>
      </c>
      <c r="X262" s="9">
        <f t="shared" ref="X262:Y262" si="264">IF(W262&lt;&gt;T262,W262,IF(_xlfn.IFNA(VLOOKUP(T262,$M$2:$N$13,2,FALSE),U262)=0,"xxx",_xlfn.IFNA(VLOOKUP(T262,$M$2:$N$13,2,FALSE),U262)))</f>
        <v>274</v>
      </c>
      <c r="Y262" s="9">
        <f t="shared" si="264"/>
        <v>526</v>
      </c>
    </row>
    <row r="263" spans="3:25" x14ac:dyDescent="0.2">
      <c r="C263">
        <v>262</v>
      </c>
      <c r="D263" t="s">
        <v>2704</v>
      </c>
      <c r="E263">
        <v>262</v>
      </c>
      <c r="S263" s="9">
        <v>1093</v>
      </c>
      <c r="T263" s="9">
        <v>853</v>
      </c>
      <c r="U263" s="9">
        <v>274</v>
      </c>
      <c r="V263" s="9">
        <v>526</v>
      </c>
      <c r="W263" s="9">
        <f t="shared" si="260"/>
        <v>853</v>
      </c>
      <c r="X263" s="9">
        <f t="shared" ref="X263:Y263" si="265">IF(W263&lt;&gt;T263,W263,IF(_xlfn.IFNA(VLOOKUP(T263,$M$2:$N$13,2,FALSE),U263)=0,"xxx",_xlfn.IFNA(VLOOKUP(T263,$M$2:$N$13,2,FALSE),U263)))</f>
        <v>274</v>
      </c>
      <c r="Y263" s="9">
        <f t="shared" si="265"/>
        <v>526</v>
      </c>
    </row>
    <row r="264" spans="3:25" x14ac:dyDescent="0.2">
      <c r="C264">
        <v>263</v>
      </c>
      <c r="D264" t="s">
        <v>2705</v>
      </c>
      <c r="E264">
        <v>263</v>
      </c>
      <c r="S264" s="9">
        <v>1094</v>
      </c>
      <c r="T264" s="9">
        <v>853</v>
      </c>
      <c r="U264" s="9">
        <v>275</v>
      </c>
      <c r="V264" s="9">
        <v>527</v>
      </c>
      <c r="W264" s="9">
        <f t="shared" si="260"/>
        <v>853</v>
      </c>
      <c r="X264" s="9">
        <f t="shared" ref="X264:Y264" si="266">IF(W264&lt;&gt;T264,W264,IF(_xlfn.IFNA(VLOOKUP(T264,$M$2:$N$13,2,FALSE),U264)=0,"xxx",_xlfn.IFNA(VLOOKUP(T264,$M$2:$N$13,2,FALSE),U264)))</f>
        <v>275</v>
      </c>
      <c r="Y264" s="9">
        <f t="shared" si="266"/>
        <v>527</v>
      </c>
    </row>
    <row r="265" spans="3:25" x14ac:dyDescent="0.2">
      <c r="C265">
        <v>264</v>
      </c>
      <c r="D265" t="s">
        <v>2706</v>
      </c>
      <c r="E265">
        <v>264</v>
      </c>
      <c r="S265" s="9">
        <v>1095</v>
      </c>
      <c r="T265" s="9">
        <v>853</v>
      </c>
      <c r="U265" s="9">
        <v>277</v>
      </c>
      <c r="V265" s="9">
        <v>529</v>
      </c>
      <c r="W265" s="9">
        <f t="shared" si="260"/>
        <v>853</v>
      </c>
      <c r="X265" s="9">
        <f t="shared" ref="X265:Y265" si="267">IF(W265&lt;&gt;T265,W265,IF(_xlfn.IFNA(VLOOKUP(T265,$M$2:$N$13,2,FALSE),U265)=0,"xxx",_xlfn.IFNA(VLOOKUP(T265,$M$2:$N$13,2,FALSE),U265)))</f>
        <v>277</v>
      </c>
      <c r="Y265" s="9">
        <f t="shared" si="267"/>
        <v>529</v>
      </c>
    </row>
    <row r="266" spans="3:25" x14ac:dyDescent="0.2">
      <c r="C266">
        <v>265</v>
      </c>
      <c r="D266" t="s">
        <v>2707</v>
      </c>
      <c r="E266">
        <v>265</v>
      </c>
      <c r="S266" s="9">
        <v>1096</v>
      </c>
      <c r="T266" s="9">
        <v>853</v>
      </c>
      <c r="U266" s="9">
        <v>273</v>
      </c>
      <c r="V266" s="9">
        <v>525</v>
      </c>
      <c r="W266" s="9">
        <f t="shared" si="260"/>
        <v>853</v>
      </c>
      <c r="X266" s="9">
        <f t="shared" ref="X266:Y266" si="268">IF(W266&lt;&gt;T266,W266,IF(_xlfn.IFNA(VLOOKUP(T266,$M$2:$N$13,2,FALSE),U266)=0,"xxx",_xlfn.IFNA(VLOOKUP(T266,$M$2:$N$13,2,FALSE),U266)))</f>
        <v>273</v>
      </c>
      <c r="Y266" s="9">
        <f t="shared" si="268"/>
        <v>525</v>
      </c>
    </row>
    <row r="267" spans="3:25" x14ac:dyDescent="0.2">
      <c r="C267">
        <v>266</v>
      </c>
      <c r="D267" t="s">
        <v>2708</v>
      </c>
      <c r="E267">
        <v>266</v>
      </c>
      <c r="S267" s="9">
        <v>1097</v>
      </c>
      <c r="T267" s="9">
        <v>853</v>
      </c>
      <c r="U267" s="9">
        <v>273</v>
      </c>
      <c r="V267" s="9">
        <v>525</v>
      </c>
      <c r="W267" s="9">
        <f t="shared" si="260"/>
        <v>853</v>
      </c>
      <c r="X267" s="9">
        <f t="shared" ref="X267:Y267" si="269">IF(W267&lt;&gt;T267,W267,IF(_xlfn.IFNA(VLOOKUP(T267,$M$2:$N$13,2,FALSE),U267)=0,"xxx",_xlfn.IFNA(VLOOKUP(T267,$M$2:$N$13,2,FALSE),U267)))</f>
        <v>273</v>
      </c>
      <c r="Y267" s="9">
        <f t="shared" si="269"/>
        <v>525</v>
      </c>
    </row>
    <row r="268" spans="3:25" x14ac:dyDescent="0.2">
      <c r="C268">
        <v>267</v>
      </c>
      <c r="D268" t="s">
        <v>2709</v>
      </c>
      <c r="E268">
        <v>267</v>
      </c>
      <c r="S268" s="9">
        <v>1098</v>
      </c>
      <c r="T268" s="9">
        <v>853</v>
      </c>
      <c r="U268" s="9">
        <v>274</v>
      </c>
      <c r="V268" s="9">
        <v>526</v>
      </c>
      <c r="W268" s="9">
        <f t="shared" si="260"/>
        <v>853</v>
      </c>
      <c r="X268" s="9">
        <f t="shared" ref="X268:Y268" si="270">IF(W268&lt;&gt;T268,W268,IF(_xlfn.IFNA(VLOOKUP(T268,$M$2:$N$13,2,FALSE),U268)=0,"xxx",_xlfn.IFNA(VLOOKUP(T268,$M$2:$N$13,2,FALSE),U268)))</f>
        <v>274</v>
      </c>
      <c r="Y268" s="9">
        <f t="shared" si="270"/>
        <v>526</v>
      </c>
    </row>
    <row r="269" spans="3:25" x14ac:dyDescent="0.2">
      <c r="C269">
        <v>268</v>
      </c>
      <c r="D269" t="s">
        <v>2710</v>
      </c>
      <c r="E269">
        <v>268</v>
      </c>
      <c r="S269" s="9">
        <v>1099</v>
      </c>
      <c r="T269" s="9">
        <v>853</v>
      </c>
      <c r="U269" s="9">
        <v>277</v>
      </c>
      <c r="V269" s="9">
        <v>529</v>
      </c>
      <c r="W269" s="9">
        <f t="shared" si="260"/>
        <v>853</v>
      </c>
      <c r="X269" s="9">
        <f t="shared" ref="X269:Y269" si="271">IF(W269&lt;&gt;T269,W269,IF(_xlfn.IFNA(VLOOKUP(T269,$M$2:$N$13,2,FALSE),U269)=0,"xxx",_xlfn.IFNA(VLOOKUP(T269,$M$2:$N$13,2,FALSE),U269)))</f>
        <v>277</v>
      </c>
      <c r="Y269" s="9">
        <f t="shared" si="271"/>
        <v>529</v>
      </c>
    </row>
    <row r="270" spans="3:25" x14ac:dyDescent="0.2">
      <c r="C270">
        <v>269</v>
      </c>
      <c r="D270" t="s">
        <v>2711</v>
      </c>
      <c r="E270">
        <v>269</v>
      </c>
      <c r="S270" s="9">
        <v>1100</v>
      </c>
      <c r="T270" s="9">
        <v>853</v>
      </c>
      <c r="U270" s="9">
        <v>278</v>
      </c>
      <c r="V270" s="9">
        <v>530</v>
      </c>
      <c r="W270" s="9">
        <f t="shared" si="260"/>
        <v>853</v>
      </c>
      <c r="X270" s="9">
        <f t="shared" ref="X270:Y270" si="272">IF(W270&lt;&gt;T270,W270,IF(_xlfn.IFNA(VLOOKUP(T270,$M$2:$N$13,2,FALSE),U270)=0,"xxx",_xlfn.IFNA(VLOOKUP(T270,$M$2:$N$13,2,FALSE),U270)))</f>
        <v>278</v>
      </c>
      <c r="Y270" s="9">
        <f t="shared" si="272"/>
        <v>530</v>
      </c>
    </row>
    <row r="271" spans="3:25" x14ac:dyDescent="0.2">
      <c r="C271">
        <v>270</v>
      </c>
      <c r="D271" t="s">
        <v>2712</v>
      </c>
      <c r="E271">
        <v>270</v>
      </c>
      <c r="S271" s="9">
        <v>1101</v>
      </c>
      <c r="T271" s="9">
        <v>853</v>
      </c>
      <c r="U271" s="9">
        <v>315</v>
      </c>
      <c r="V271" s="9">
        <v>525</v>
      </c>
      <c r="W271" s="9">
        <f t="shared" si="260"/>
        <v>853</v>
      </c>
      <c r="X271" s="9">
        <f t="shared" ref="X271:Y271" si="273">IF(W271&lt;&gt;T271,W271,IF(_xlfn.IFNA(VLOOKUP(T271,$M$2:$N$13,2,FALSE),U271)=0,"xxx",_xlfn.IFNA(VLOOKUP(T271,$M$2:$N$13,2,FALSE),U271)))</f>
        <v>315</v>
      </c>
      <c r="Y271" s="9">
        <f t="shared" si="273"/>
        <v>525</v>
      </c>
    </row>
    <row r="272" spans="3:25" x14ac:dyDescent="0.2">
      <c r="C272">
        <v>271</v>
      </c>
      <c r="D272" t="s">
        <v>2713</v>
      </c>
      <c r="E272">
        <v>271</v>
      </c>
      <c r="S272" s="9">
        <v>1102</v>
      </c>
      <c r="T272" s="9">
        <v>853</v>
      </c>
      <c r="U272" s="9">
        <v>316</v>
      </c>
      <c r="V272" s="9">
        <v>526</v>
      </c>
      <c r="W272" s="9">
        <f t="shared" si="260"/>
        <v>853</v>
      </c>
      <c r="X272" s="9">
        <f t="shared" ref="X272:Y272" si="274">IF(W272&lt;&gt;T272,W272,IF(_xlfn.IFNA(VLOOKUP(T272,$M$2:$N$13,2,FALSE),U272)=0,"xxx",_xlfn.IFNA(VLOOKUP(T272,$M$2:$N$13,2,FALSE),U272)))</f>
        <v>316</v>
      </c>
      <c r="Y272" s="9">
        <f t="shared" si="274"/>
        <v>526</v>
      </c>
    </row>
    <row r="273" spans="3:25" x14ac:dyDescent="0.2">
      <c r="C273">
        <v>272</v>
      </c>
      <c r="D273" t="s">
        <v>2714</v>
      </c>
      <c r="E273">
        <v>272</v>
      </c>
      <c r="S273" s="9">
        <v>1103</v>
      </c>
      <c r="T273" s="9">
        <v>853</v>
      </c>
      <c r="U273" s="9">
        <v>317</v>
      </c>
      <c r="V273" s="9">
        <v>527</v>
      </c>
      <c r="W273" s="9">
        <f t="shared" si="260"/>
        <v>853</v>
      </c>
      <c r="X273" s="9">
        <f t="shared" ref="X273:Y273" si="275">IF(W273&lt;&gt;T273,W273,IF(_xlfn.IFNA(VLOOKUP(T273,$M$2:$N$13,2,FALSE),U273)=0,"xxx",_xlfn.IFNA(VLOOKUP(T273,$M$2:$N$13,2,FALSE),U273)))</f>
        <v>317</v>
      </c>
      <c r="Y273" s="9">
        <f t="shared" si="275"/>
        <v>527</v>
      </c>
    </row>
    <row r="274" spans="3:25" x14ac:dyDescent="0.2">
      <c r="C274">
        <v>273</v>
      </c>
      <c r="D274" t="s">
        <v>2715</v>
      </c>
      <c r="E274">
        <v>273</v>
      </c>
      <c r="S274" s="9">
        <v>1104</v>
      </c>
      <c r="T274" s="9">
        <v>853</v>
      </c>
      <c r="U274" s="9">
        <v>319</v>
      </c>
      <c r="V274" s="9">
        <v>529</v>
      </c>
      <c r="W274" s="9">
        <f t="shared" si="260"/>
        <v>853</v>
      </c>
      <c r="X274" s="9">
        <f t="shared" ref="X274:Y274" si="276">IF(W274&lt;&gt;T274,W274,IF(_xlfn.IFNA(VLOOKUP(T274,$M$2:$N$13,2,FALSE),U274)=0,"xxx",_xlfn.IFNA(VLOOKUP(T274,$M$2:$N$13,2,FALSE),U274)))</f>
        <v>319</v>
      </c>
      <c r="Y274" s="9">
        <f t="shared" si="276"/>
        <v>529</v>
      </c>
    </row>
    <row r="275" spans="3:25" x14ac:dyDescent="0.2">
      <c r="C275">
        <v>274</v>
      </c>
      <c r="D275" t="s">
        <v>2716</v>
      </c>
      <c r="E275">
        <v>274</v>
      </c>
      <c r="S275" s="9">
        <v>1105</v>
      </c>
      <c r="T275" s="9">
        <v>853</v>
      </c>
      <c r="U275" s="9">
        <v>324</v>
      </c>
      <c r="V275" s="9">
        <v>534</v>
      </c>
      <c r="W275" s="9">
        <f t="shared" si="260"/>
        <v>853</v>
      </c>
      <c r="X275" s="9">
        <f t="shared" ref="X275:Y275" si="277">IF(W275&lt;&gt;T275,W275,IF(_xlfn.IFNA(VLOOKUP(T275,$M$2:$N$13,2,FALSE),U275)=0,"xxx",_xlfn.IFNA(VLOOKUP(T275,$M$2:$N$13,2,FALSE),U275)))</f>
        <v>324</v>
      </c>
      <c r="Y275" s="9">
        <f t="shared" si="277"/>
        <v>534</v>
      </c>
    </row>
    <row r="276" spans="3:25" x14ac:dyDescent="0.2">
      <c r="C276">
        <v>275</v>
      </c>
      <c r="D276" t="s">
        <v>2717</v>
      </c>
      <c r="E276">
        <v>275</v>
      </c>
      <c r="S276" s="9">
        <v>1106</v>
      </c>
      <c r="T276" s="9">
        <v>853</v>
      </c>
      <c r="U276" s="9"/>
      <c r="V276" s="9"/>
      <c r="W276" s="9">
        <f t="shared" si="260"/>
        <v>853</v>
      </c>
      <c r="X276" s="9" t="str">
        <f t="shared" ref="X276:Y276" si="278">IF(W276&lt;&gt;T276,W276,IF(_xlfn.IFNA(VLOOKUP(T276,$M$2:$N$13,2,FALSE),U276)=0,"xxx",_xlfn.IFNA(VLOOKUP(T276,$M$2:$N$13,2,FALSE),U276)))</f>
        <v>xxx</v>
      </c>
      <c r="Y276" s="9" t="str">
        <f t="shared" si="278"/>
        <v>xxx</v>
      </c>
    </row>
    <row r="277" spans="3:25" x14ac:dyDescent="0.2">
      <c r="C277">
        <v>276</v>
      </c>
      <c r="D277" t="s">
        <v>2718</v>
      </c>
      <c r="E277">
        <v>276</v>
      </c>
      <c r="S277" s="9">
        <v>1107</v>
      </c>
      <c r="T277" s="9">
        <v>853</v>
      </c>
      <c r="U277" s="9"/>
      <c r="V277" s="9"/>
      <c r="W277" s="9">
        <f t="shared" si="260"/>
        <v>853</v>
      </c>
      <c r="X277" s="9" t="str">
        <f t="shared" ref="X277:Y277" si="279">IF(W277&lt;&gt;T277,W277,IF(_xlfn.IFNA(VLOOKUP(T277,$M$2:$N$13,2,FALSE),U277)=0,"xxx",_xlfn.IFNA(VLOOKUP(T277,$M$2:$N$13,2,FALSE),U277)))</f>
        <v>xxx</v>
      </c>
      <c r="Y277" s="9" t="str">
        <f t="shared" si="279"/>
        <v>xxx</v>
      </c>
    </row>
    <row r="278" spans="3:25" x14ac:dyDescent="0.2">
      <c r="C278">
        <v>277</v>
      </c>
      <c r="D278" t="s">
        <v>2719</v>
      </c>
      <c r="E278">
        <v>277</v>
      </c>
      <c r="S278" s="9">
        <v>1108</v>
      </c>
      <c r="T278" s="9">
        <v>853</v>
      </c>
      <c r="U278" s="9"/>
      <c r="V278" s="9"/>
      <c r="W278" s="9">
        <f t="shared" si="260"/>
        <v>853</v>
      </c>
      <c r="X278" s="9" t="str">
        <f t="shared" ref="X278:Y278" si="280">IF(W278&lt;&gt;T278,W278,IF(_xlfn.IFNA(VLOOKUP(T278,$M$2:$N$13,2,FALSE),U278)=0,"xxx",_xlfn.IFNA(VLOOKUP(T278,$M$2:$N$13,2,FALSE),U278)))</f>
        <v>xxx</v>
      </c>
      <c r="Y278" s="9" t="str">
        <f t="shared" si="280"/>
        <v>xxx</v>
      </c>
    </row>
    <row r="279" spans="3:25" x14ac:dyDescent="0.2">
      <c r="C279">
        <v>278</v>
      </c>
      <c r="D279" t="s">
        <v>2720</v>
      </c>
      <c r="E279">
        <v>278</v>
      </c>
      <c r="S279" s="9">
        <v>1109</v>
      </c>
      <c r="T279" s="9">
        <v>853</v>
      </c>
      <c r="U279" s="9"/>
      <c r="V279" s="9"/>
      <c r="W279" s="9">
        <f t="shared" si="260"/>
        <v>853</v>
      </c>
      <c r="X279" s="9" t="str">
        <f t="shared" ref="X279:Y279" si="281">IF(W279&lt;&gt;T279,W279,IF(_xlfn.IFNA(VLOOKUP(T279,$M$2:$N$13,2,FALSE),U279)=0,"xxx",_xlfn.IFNA(VLOOKUP(T279,$M$2:$N$13,2,FALSE),U279)))</f>
        <v>xxx</v>
      </c>
      <c r="Y279" s="9" t="str">
        <f t="shared" si="281"/>
        <v>xxx</v>
      </c>
    </row>
    <row r="280" spans="3:25" x14ac:dyDescent="0.2">
      <c r="C280">
        <v>279</v>
      </c>
      <c r="D280" t="s">
        <v>2721</v>
      </c>
      <c r="E280">
        <v>279</v>
      </c>
      <c r="S280" s="9">
        <v>1110</v>
      </c>
      <c r="T280" s="9">
        <v>853</v>
      </c>
      <c r="U280" s="9">
        <v>664</v>
      </c>
      <c r="V280" s="9">
        <v>525</v>
      </c>
      <c r="W280" s="9">
        <f t="shared" si="260"/>
        <v>853</v>
      </c>
      <c r="X280" s="9">
        <f t="shared" ref="X280:Y280" si="282">IF(W280&lt;&gt;T280,W280,IF(_xlfn.IFNA(VLOOKUP(T280,$M$2:$N$13,2,FALSE),U280)=0,"xxx",_xlfn.IFNA(VLOOKUP(T280,$M$2:$N$13,2,FALSE),U280)))</f>
        <v>664</v>
      </c>
      <c r="Y280" s="9">
        <f t="shared" si="282"/>
        <v>525</v>
      </c>
    </row>
    <row r="281" spans="3:25" x14ac:dyDescent="0.2">
      <c r="C281">
        <v>280</v>
      </c>
      <c r="D281" t="s">
        <v>2722</v>
      </c>
      <c r="E281">
        <v>280</v>
      </c>
      <c r="S281" s="9">
        <v>1111</v>
      </c>
      <c r="T281" s="9">
        <v>853</v>
      </c>
      <c r="U281" s="9">
        <v>664</v>
      </c>
      <c r="V281" s="9">
        <v>525</v>
      </c>
      <c r="W281" s="9">
        <f t="shared" si="260"/>
        <v>853</v>
      </c>
      <c r="X281" s="9">
        <f t="shared" ref="X281:Y281" si="283">IF(W281&lt;&gt;T281,W281,IF(_xlfn.IFNA(VLOOKUP(T281,$M$2:$N$13,2,FALSE),U281)=0,"xxx",_xlfn.IFNA(VLOOKUP(T281,$M$2:$N$13,2,FALSE),U281)))</f>
        <v>664</v>
      </c>
      <c r="Y281" s="9">
        <f t="shared" si="283"/>
        <v>525</v>
      </c>
    </row>
    <row r="282" spans="3:25" x14ac:dyDescent="0.2">
      <c r="C282">
        <v>281</v>
      </c>
      <c r="D282" t="s">
        <v>2723</v>
      </c>
      <c r="E282">
        <v>281</v>
      </c>
      <c r="S282" s="9">
        <v>1112</v>
      </c>
      <c r="T282" s="9">
        <v>853</v>
      </c>
      <c r="U282" s="9">
        <v>665</v>
      </c>
      <c r="V282" s="9">
        <v>529</v>
      </c>
      <c r="W282" s="9">
        <f t="shared" si="260"/>
        <v>853</v>
      </c>
      <c r="X282" s="9">
        <f t="shared" ref="X282:Y282" si="284">IF(W282&lt;&gt;T282,W282,IF(_xlfn.IFNA(VLOOKUP(T282,$M$2:$N$13,2,FALSE),U282)=0,"xxx",_xlfn.IFNA(VLOOKUP(T282,$M$2:$N$13,2,FALSE),U282)))</f>
        <v>665</v>
      </c>
      <c r="Y282" s="9">
        <f t="shared" si="284"/>
        <v>529</v>
      </c>
    </row>
    <row r="283" spans="3:25" x14ac:dyDescent="0.2">
      <c r="C283">
        <v>282</v>
      </c>
      <c r="D283" t="s">
        <v>2724</v>
      </c>
      <c r="E283">
        <v>282</v>
      </c>
      <c r="S283" s="9">
        <v>1113</v>
      </c>
      <c r="T283" s="9">
        <v>853</v>
      </c>
      <c r="U283" s="9">
        <v>665</v>
      </c>
      <c r="V283" s="9">
        <v>529</v>
      </c>
      <c r="W283" s="9">
        <f t="shared" si="260"/>
        <v>853</v>
      </c>
      <c r="X283" s="9">
        <f t="shared" ref="X283:Y283" si="285">IF(W283&lt;&gt;T283,W283,IF(_xlfn.IFNA(VLOOKUP(T283,$M$2:$N$13,2,FALSE),U283)=0,"xxx",_xlfn.IFNA(VLOOKUP(T283,$M$2:$N$13,2,FALSE),U283)))</f>
        <v>665</v>
      </c>
      <c r="Y283" s="9">
        <f t="shared" si="285"/>
        <v>529</v>
      </c>
    </row>
    <row r="284" spans="3:25" x14ac:dyDescent="0.2">
      <c r="C284">
        <v>283</v>
      </c>
      <c r="D284" t="s">
        <v>2725</v>
      </c>
      <c r="E284">
        <v>283</v>
      </c>
      <c r="S284" s="9">
        <v>1114</v>
      </c>
      <c r="T284" s="9">
        <v>853</v>
      </c>
      <c r="U284" s="9">
        <v>665</v>
      </c>
      <c r="V284" s="9">
        <v>528</v>
      </c>
      <c r="W284" s="9">
        <f t="shared" si="260"/>
        <v>853</v>
      </c>
      <c r="X284" s="9">
        <f t="shared" ref="X284:Y284" si="286">IF(W284&lt;&gt;T284,W284,IF(_xlfn.IFNA(VLOOKUP(T284,$M$2:$N$13,2,FALSE),U284)=0,"xxx",_xlfn.IFNA(VLOOKUP(T284,$M$2:$N$13,2,FALSE),U284)))</f>
        <v>665</v>
      </c>
      <c r="Y284" s="9">
        <f t="shared" si="286"/>
        <v>528</v>
      </c>
    </row>
    <row r="285" spans="3:25" x14ac:dyDescent="0.2">
      <c r="C285">
        <v>284</v>
      </c>
      <c r="D285" t="s">
        <v>2726</v>
      </c>
      <c r="E285">
        <v>284</v>
      </c>
      <c r="S285" s="9">
        <v>1115</v>
      </c>
      <c r="T285" s="9">
        <v>853</v>
      </c>
      <c r="U285" s="9">
        <v>665</v>
      </c>
      <c r="V285" s="9">
        <v>529</v>
      </c>
      <c r="W285" s="9">
        <f t="shared" si="260"/>
        <v>853</v>
      </c>
      <c r="X285" s="9">
        <f t="shared" ref="X285:Y285" si="287">IF(W285&lt;&gt;T285,W285,IF(_xlfn.IFNA(VLOOKUP(T285,$M$2:$N$13,2,FALSE),U285)=0,"xxx",_xlfn.IFNA(VLOOKUP(T285,$M$2:$N$13,2,FALSE),U285)))</f>
        <v>665</v>
      </c>
      <c r="Y285" s="9">
        <f t="shared" si="287"/>
        <v>529</v>
      </c>
    </row>
    <row r="286" spans="3:25" x14ac:dyDescent="0.2">
      <c r="C286">
        <v>285</v>
      </c>
      <c r="D286" t="s">
        <v>2727</v>
      </c>
      <c r="E286">
        <v>285</v>
      </c>
      <c r="S286" s="9">
        <v>1116</v>
      </c>
      <c r="T286" s="9">
        <v>853</v>
      </c>
      <c r="U286" s="9">
        <v>665</v>
      </c>
      <c r="V286" s="9">
        <v>529</v>
      </c>
      <c r="W286" s="9">
        <f t="shared" si="260"/>
        <v>853</v>
      </c>
      <c r="X286" s="9">
        <f t="shared" ref="X286:Y286" si="288">IF(W286&lt;&gt;T286,W286,IF(_xlfn.IFNA(VLOOKUP(T286,$M$2:$N$13,2,FALSE),U286)=0,"xxx",_xlfn.IFNA(VLOOKUP(T286,$M$2:$N$13,2,FALSE),U286)))</f>
        <v>665</v>
      </c>
      <c r="Y286" s="9">
        <f t="shared" si="288"/>
        <v>529</v>
      </c>
    </row>
    <row r="287" spans="3:25" x14ac:dyDescent="0.2">
      <c r="C287">
        <v>286</v>
      </c>
      <c r="D287" t="s">
        <v>2728</v>
      </c>
      <c r="E287">
        <v>286</v>
      </c>
      <c r="S287" s="9">
        <v>1117</v>
      </c>
      <c r="T287" s="9">
        <v>853</v>
      </c>
      <c r="U287" s="9">
        <v>665</v>
      </c>
      <c r="V287" s="9">
        <v>529</v>
      </c>
      <c r="W287" s="9">
        <f t="shared" si="260"/>
        <v>853</v>
      </c>
      <c r="X287" s="9">
        <f t="shared" ref="X287:Y287" si="289">IF(W287&lt;&gt;T287,W287,IF(_xlfn.IFNA(VLOOKUP(T287,$M$2:$N$13,2,FALSE),U287)=0,"xxx",_xlfn.IFNA(VLOOKUP(T287,$M$2:$N$13,2,FALSE),U287)))</f>
        <v>665</v>
      </c>
      <c r="Y287" s="9">
        <f t="shared" si="289"/>
        <v>529</v>
      </c>
    </row>
    <row r="288" spans="3:25" x14ac:dyDescent="0.2">
      <c r="C288">
        <v>287</v>
      </c>
      <c r="D288" t="s">
        <v>2729</v>
      </c>
      <c r="E288">
        <v>287</v>
      </c>
      <c r="S288" s="9">
        <v>1118</v>
      </c>
      <c r="T288" s="9">
        <v>853</v>
      </c>
      <c r="U288" s="9">
        <v>402</v>
      </c>
      <c r="V288" s="9">
        <v>528</v>
      </c>
      <c r="W288" s="9">
        <f t="shared" si="260"/>
        <v>853</v>
      </c>
      <c r="X288" s="9">
        <f t="shared" ref="X288:Y288" si="290">IF(W288&lt;&gt;T288,W288,IF(_xlfn.IFNA(VLOOKUP(T288,$M$2:$N$13,2,FALSE),U288)=0,"xxx",_xlfn.IFNA(VLOOKUP(T288,$M$2:$N$13,2,FALSE),U288)))</f>
        <v>402</v>
      </c>
      <c r="Y288" s="9">
        <f t="shared" si="290"/>
        <v>528</v>
      </c>
    </row>
    <row r="289" spans="3:25" x14ac:dyDescent="0.2">
      <c r="C289">
        <v>288</v>
      </c>
      <c r="D289" t="s">
        <v>2730</v>
      </c>
      <c r="E289">
        <v>288</v>
      </c>
      <c r="S289" s="9">
        <v>1119</v>
      </c>
      <c r="T289" s="9">
        <v>853</v>
      </c>
      <c r="U289" s="9">
        <v>403</v>
      </c>
      <c r="V289" s="9">
        <v>529</v>
      </c>
      <c r="W289" s="9">
        <f t="shared" si="260"/>
        <v>853</v>
      </c>
      <c r="X289" s="9">
        <f t="shared" ref="X289:Y289" si="291">IF(W289&lt;&gt;T289,W289,IF(_xlfn.IFNA(VLOOKUP(T289,$M$2:$N$13,2,FALSE),U289)=0,"xxx",_xlfn.IFNA(VLOOKUP(T289,$M$2:$N$13,2,FALSE),U289)))</f>
        <v>403</v>
      </c>
      <c r="Y289" s="9">
        <f t="shared" si="291"/>
        <v>529</v>
      </c>
    </row>
    <row r="290" spans="3:25" x14ac:dyDescent="0.2">
      <c r="C290">
        <v>289</v>
      </c>
      <c r="D290" t="s">
        <v>2731</v>
      </c>
      <c r="E290">
        <v>289</v>
      </c>
      <c r="S290" s="9">
        <v>1120</v>
      </c>
      <c r="T290" s="9">
        <v>853</v>
      </c>
      <c r="U290" s="9">
        <v>405</v>
      </c>
      <c r="V290" s="9">
        <v>528</v>
      </c>
      <c r="W290" s="9">
        <f t="shared" si="260"/>
        <v>853</v>
      </c>
      <c r="X290" s="9">
        <f t="shared" ref="X290:Y290" si="292">IF(W290&lt;&gt;T290,W290,IF(_xlfn.IFNA(VLOOKUP(T290,$M$2:$N$13,2,FALSE),U290)=0,"xxx",_xlfn.IFNA(VLOOKUP(T290,$M$2:$N$13,2,FALSE),U290)))</f>
        <v>405</v>
      </c>
      <c r="Y290" s="9">
        <f t="shared" si="292"/>
        <v>528</v>
      </c>
    </row>
    <row r="291" spans="3:25" x14ac:dyDescent="0.2">
      <c r="C291">
        <v>290</v>
      </c>
      <c r="D291" t="s">
        <v>2732</v>
      </c>
      <c r="E291">
        <v>290</v>
      </c>
      <c r="S291" s="9">
        <v>1121</v>
      </c>
      <c r="T291" s="9">
        <v>853</v>
      </c>
      <c r="U291" s="9">
        <v>406</v>
      </c>
      <c r="V291" s="9">
        <v>529</v>
      </c>
      <c r="W291" s="9">
        <f t="shared" si="260"/>
        <v>853</v>
      </c>
      <c r="X291" s="9">
        <f t="shared" ref="X291:Y291" si="293">IF(W291&lt;&gt;T291,W291,IF(_xlfn.IFNA(VLOOKUP(T291,$M$2:$N$13,2,FALSE),U291)=0,"xxx",_xlfn.IFNA(VLOOKUP(T291,$M$2:$N$13,2,FALSE),U291)))</f>
        <v>406</v>
      </c>
      <c r="Y291" s="9">
        <f t="shared" si="293"/>
        <v>529</v>
      </c>
    </row>
    <row r="292" spans="3:25" x14ac:dyDescent="0.2">
      <c r="C292">
        <v>291</v>
      </c>
      <c r="D292" t="s">
        <v>2733</v>
      </c>
      <c r="E292">
        <v>291</v>
      </c>
      <c r="S292" s="9">
        <v>1122</v>
      </c>
      <c r="T292" s="9">
        <v>853</v>
      </c>
      <c r="U292" s="9">
        <v>272</v>
      </c>
      <c r="V292" s="9">
        <v>524</v>
      </c>
      <c r="W292" s="9">
        <f t="shared" si="260"/>
        <v>853</v>
      </c>
      <c r="X292" s="9">
        <f t="shared" ref="X292:Y292" si="294">IF(W292&lt;&gt;T292,W292,IF(_xlfn.IFNA(VLOOKUP(T292,$M$2:$N$13,2,FALSE),U292)=0,"xxx",_xlfn.IFNA(VLOOKUP(T292,$M$2:$N$13,2,FALSE),U292)))</f>
        <v>272</v>
      </c>
      <c r="Y292" s="9">
        <f t="shared" si="294"/>
        <v>524</v>
      </c>
    </row>
    <row r="293" spans="3:25" x14ac:dyDescent="0.2">
      <c r="C293">
        <v>292</v>
      </c>
      <c r="D293" t="s">
        <v>2734</v>
      </c>
      <c r="E293">
        <v>292</v>
      </c>
      <c r="S293" s="9">
        <v>1123</v>
      </c>
      <c r="T293" s="9">
        <v>853</v>
      </c>
      <c r="U293" s="9">
        <v>273</v>
      </c>
      <c r="V293" s="9">
        <v>525</v>
      </c>
      <c r="W293" s="9">
        <f t="shared" si="260"/>
        <v>853</v>
      </c>
      <c r="X293" s="9">
        <f t="shared" ref="X293:Y293" si="295">IF(W293&lt;&gt;T293,W293,IF(_xlfn.IFNA(VLOOKUP(T293,$M$2:$N$13,2,FALSE),U293)=0,"xxx",_xlfn.IFNA(VLOOKUP(T293,$M$2:$N$13,2,FALSE),U293)))</f>
        <v>273</v>
      </c>
      <c r="Y293" s="9">
        <f t="shared" si="295"/>
        <v>525</v>
      </c>
    </row>
    <row r="294" spans="3:25" x14ac:dyDescent="0.2">
      <c r="C294">
        <v>293</v>
      </c>
      <c r="D294" t="s">
        <v>2735</v>
      </c>
      <c r="E294">
        <v>293</v>
      </c>
      <c r="S294" s="9">
        <v>1124</v>
      </c>
      <c r="T294" s="9">
        <v>853</v>
      </c>
      <c r="U294" s="9">
        <v>276</v>
      </c>
      <c r="V294" s="9">
        <v>528</v>
      </c>
      <c r="W294" s="9">
        <f t="shared" si="260"/>
        <v>853</v>
      </c>
      <c r="X294" s="9">
        <f t="shared" ref="X294:Y294" si="296">IF(W294&lt;&gt;T294,W294,IF(_xlfn.IFNA(VLOOKUP(T294,$M$2:$N$13,2,FALSE),U294)=0,"xxx",_xlfn.IFNA(VLOOKUP(T294,$M$2:$N$13,2,FALSE),U294)))</f>
        <v>276</v>
      </c>
      <c r="Y294" s="9">
        <f t="shared" si="296"/>
        <v>528</v>
      </c>
    </row>
    <row r="295" spans="3:25" x14ac:dyDescent="0.2">
      <c r="C295">
        <v>294</v>
      </c>
      <c r="D295" t="s">
        <v>2736</v>
      </c>
      <c r="E295">
        <v>294</v>
      </c>
      <c r="S295" s="9">
        <v>1125</v>
      </c>
      <c r="T295" s="9">
        <v>853</v>
      </c>
      <c r="U295" s="9">
        <v>276</v>
      </c>
      <c r="V295" s="9">
        <v>528</v>
      </c>
      <c r="W295" s="9">
        <f t="shared" si="260"/>
        <v>853</v>
      </c>
      <c r="X295" s="9">
        <f t="shared" ref="X295:Y295" si="297">IF(W295&lt;&gt;T295,W295,IF(_xlfn.IFNA(VLOOKUP(T295,$M$2:$N$13,2,FALSE),U295)=0,"xxx",_xlfn.IFNA(VLOOKUP(T295,$M$2:$N$13,2,FALSE),U295)))</f>
        <v>276</v>
      </c>
      <c r="Y295" s="9">
        <f t="shared" si="297"/>
        <v>528</v>
      </c>
    </row>
    <row r="296" spans="3:25" x14ac:dyDescent="0.2">
      <c r="C296">
        <v>295</v>
      </c>
      <c r="D296" t="s">
        <v>2737</v>
      </c>
      <c r="E296">
        <v>295</v>
      </c>
      <c r="S296" s="9">
        <v>1126</v>
      </c>
      <c r="T296" s="9">
        <v>853</v>
      </c>
      <c r="U296" s="9">
        <v>277</v>
      </c>
      <c r="V296" s="9">
        <v>529</v>
      </c>
      <c r="W296" s="9">
        <f t="shared" si="260"/>
        <v>853</v>
      </c>
      <c r="X296" s="9">
        <f t="shared" ref="X296:Y296" si="298">IF(W296&lt;&gt;T296,W296,IF(_xlfn.IFNA(VLOOKUP(T296,$M$2:$N$13,2,FALSE),U296)=0,"xxx",_xlfn.IFNA(VLOOKUP(T296,$M$2:$N$13,2,FALSE),U296)))</f>
        <v>277</v>
      </c>
      <c r="Y296" s="9">
        <f t="shared" si="298"/>
        <v>529</v>
      </c>
    </row>
    <row r="297" spans="3:25" x14ac:dyDescent="0.2">
      <c r="C297">
        <v>296</v>
      </c>
      <c r="D297" t="s">
        <v>2738</v>
      </c>
      <c r="E297">
        <v>296</v>
      </c>
      <c r="S297" s="9">
        <v>1127</v>
      </c>
      <c r="T297" s="9">
        <v>853</v>
      </c>
      <c r="U297" s="9">
        <v>276</v>
      </c>
      <c r="V297" s="9">
        <v>528</v>
      </c>
      <c r="W297" s="9">
        <f t="shared" si="260"/>
        <v>853</v>
      </c>
      <c r="X297" s="9">
        <f t="shared" ref="X297:Y297" si="299">IF(W297&lt;&gt;T297,W297,IF(_xlfn.IFNA(VLOOKUP(T297,$M$2:$N$13,2,FALSE),U297)=0,"xxx",_xlfn.IFNA(VLOOKUP(T297,$M$2:$N$13,2,FALSE),U297)))</f>
        <v>276</v>
      </c>
      <c r="Y297" s="9">
        <f t="shared" si="299"/>
        <v>528</v>
      </c>
    </row>
    <row r="298" spans="3:25" x14ac:dyDescent="0.2">
      <c r="C298">
        <v>297</v>
      </c>
      <c r="D298" t="s">
        <v>2739</v>
      </c>
      <c r="E298">
        <v>297</v>
      </c>
      <c r="S298" s="9">
        <v>1128</v>
      </c>
      <c r="T298" s="9">
        <v>853</v>
      </c>
      <c r="U298" s="9">
        <v>276</v>
      </c>
      <c r="V298" s="9">
        <v>528</v>
      </c>
      <c r="W298" s="9">
        <f t="shared" si="260"/>
        <v>853</v>
      </c>
      <c r="X298" s="9">
        <f t="shared" ref="X298:Y298" si="300">IF(W298&lt;&gt;T298,W298,IF(_xlfn.IFNA(VLOOKUP(T298,$M$2:$N$13,2,FALSE),U298)=0,"xxx",_xlfn.IFNA(VLOOKUP(T298,$M$2:$N$13,2,FALSE),U298)))</f>
        <v>276</v>
      </c>
      <c r="Y298" s="9">
        <f t="shared" si="300"/>
        <v>528</v>
      </c>
    </row>
    <row r="299" spans="3:25" x14ac:dyDescent="0.2">
      <c r="C299">
        <v>298</v>
      </c>
      <c r="D299" t="s">
        <v>2740</v>
      </c>
      <c r="E299">
        <v>298</v>
      </c>
      <c r="S299" s="9">
        <v>1129</v>
      </c>
      <c r="T299" s="9">
        <v>853</v>
      </c>
      <c r="U299" s="9">
        <v>277</v>
      </c>
      <c r="V299" s="9">
        <v>529</v>
      </c>
      <c r="W299" s="9">
        <f t="shared" si="260"/>
        <v>853</v>
      </c>
      <c r="X299" s="9">
        <f t="shared" ref="X299:Y299" si="301">IF(W299&lt;&gt;T299,W299,IF(_xlfn.IFNA(VLOOKUP(T299,$M$2:$N$13,2,FALSE),U299)=0,"xxx",_xlfn.IFNA(VLOOKUP(T299,$M$2:$N$13,2,FALSE),U299)))</f>
        <v>277</v>
      </c>
      <c r="Y299" s="9">
        <f t="shared" si="301"/>
        <v>529</v>
      </c>
    </row>
    <row r="300" spans="3:25" x14ac:dyDescent="0.2">
      <c r="C300">
        <v>299</v>
      </c>
      <c r="D300" t="s">
        <v>2741</v>
      </c>
      <c r="E300">
        <v>299</v>
      </c>
      <c r="S300" s="9">
        <v>1130</v>
      </c>
      <c r="T300" s="9">
        <v>853</v>
      </c>
      <c r="U300" s="9">
        <v>279</v>
      </c>
      <c r="V300" s="9">
        <v>531</v>
      </c>
      <c r="W300" s="9">
        <f t="shared" si="260"/>
        <v>853</v>
      </c>
      <c r="X300" s="9">
        <f t="shared" ref="X300:Y300" si="302">IF(W300&lt;&gt;T300,W300,IF(_xlfn.IFNA(VLOOKUP(T300,$M$2:$N$13,2,FALSE),U300)=0,"xxx",_xlfn.IFNA(VLOOKUP(T300,$M$2:$N$13,2,FALSE),U300)))</f>
        <v>279</v>
      </c>
      <c r="Y300" s="9">
        <f t="shared" si="302"/>
        <v>531</v>
      </c>
    </row>
    <row r="301" spans="3:25" x14ac:dyDescent="0.2">
      <c r="C301">
        <v>300</v>
      </c>
      <c r="D301" t="s">
        <v>2742</v>
      </c>
      <c r="E301">
        <v>300</v>
      </c>
      <c r="S301" s="9">
        <v>1131</v>
      </c>
      <c r="T301" s="9">
        <v>853</v>
      </c>
      <c r="U301" s="9">
        <v>317</v>
      </c>
      <c r="V301" s="9">
        <v>527</v>
      </c>
      <c r="W301" s="9">
        <f t="shared" si="260"/>
        <v>853</v>
      </c>
      <c r="X301" s="9">
        <f t="shared" ref="X301:Y301" si="303">IF(W301&lt;&gt;T301,W301,IF(_xlfn.IFNA(VLOOKUP(T301,$M$2:$N$13,2,FALSE),U301)=0,"xxx",_xlfn.IFNA(VLOOKUP(T301,$M$2:$N$13,2,FALSE),U301)))</f>
        <v>317</v>
      </c>
      <c r="Y301" s="9">
        <f t="shared" si="303"/>
        <v>527</v>
      </c>
    </row>
    <row r="302" spans="3:25" x14ac:dyDescent="0.2">
      <c r="C302">
        <v>301</v>
      </c>
      <c r="D302" t="s">
        <v>2743</v>
      </c>
      <c r="E302">
        <v>301</v>
      </c>
      <c r="S302" s="9">
        <v>1132</v>
      </c>
      <c r="T302" s="9">
        <v>853</v>
      </c>
      <c r="U302" s="9">
        <v>319</v>
      </c>
      <c r="V302" s="9">
        <v>529</v>
      </c>
      <c r="W302" s="9">
        <f t="shared" si="260"/>
        <v>853</v>
      </c>
      <c r="X302" s="9">
        <f t="shared" ref="X302:Y302" si="304">IF(W302&lt;&gt;T302,W302,IF(_xlfn.IFNA(VLOOKUP(T302,$M$2:$N$13,2,FALSE),U302)=0,"xxx",_xlfn.IFNA(VLOOKUP(T302,$M$2:$N$13,2,FALSE),U302)))</f>
        <v>319</v>
      </c>
      <c r="Y302" s="9">
        <f t="shared" si="304"/>
        <v>529</v>
      </c>
    </row>
    <row r="303" spans="3:25" x14ac:dyDescent="0.2">
      <c r="C303">
        <v>302</v>
      </c>
      <c r="D303" t="s">
        <v>2744</v>
      </c>
      <c r="E303">
        <v>302</v>
      </c>
      <c r="S303" s="9">
        <v>1133</v>
      </c>
      <c r="T303" s="9">
        <v>853</v>
      </c>
      <c r="U303" s="9">
        <v>319</v>
      </c>
      <c r="V303" s="9">
        <v>529</v>
      </c>
      <c r="W303" s="9">
        <f t="shared" si="260"/>
        <v>853</v>
      </c>
      <c r="X303" s="9">
        <f t="shared" ref="X303:Y303" si="305">IF(W303&lt;&gt;T303,W303,IF(_xlfn.IFNA(VLOOKUP(T303,$M$2:$N$13,2,FALSE),U303)=0,"xxx",_xlfn.IFNA(VLOOKUP(T303,$M$2:$N$13,2,FALSE),U303)))</f>
        <v>319</v>
      </c>
      <c r="Y303" s="9">
        <f t="shared" si="305"/>
        <v>529</v>
      </c>
    </row>
    <row r="304" spans="3:25" x14ac:dyDescent="0.2">
      <c r="C304">
        <v>303</v>
      </c>
      <c r="D304" t="s">
        <v>2745</v>
      </c>
      <c r="E304">
        <v>303</v>
      </c>
      <c r="S304" s="9">
        <v>1134</v>
      </c>
      <c r="T304" s="9">
        <v>853</v>
      </c>
      <c r="U304" s="9">
        <v>320</v>
      </c>
      <c r="V304" s="9">
        <v>530</v>
      </c>
      <c r="W304" s="9">
        <f t="shared" si="260"/>
        <v>853</v>
      </c>
      <c r="X304" s="9">
        <f t="shared" ref="X304:Y304" si="306">IF(W304&lt;&gt;T304,W304,IF(_xlfn.IFNA(VLOOKUP(T304,$M$2:$N$13,2,FALSE),U304)=0,"xxx",_xlfn.IFNA(VLOOKUP(T304,$M$2:$N$13,2,FALSE),U304)))</f>
        <v>320</v>
      </c>
      <c r="Y304" s="9">
        <f t="shared" si="306"/>
        <v>530</v>
      </c>
    </row>
    <row r="305" spans="3:25" x14ac:dyDescent="0.2">
      <c r="C305">
        <v>304</v>
      </c>
      <c r="D305" t="s">
        <v>2746</v>
      </c>
      <c r="E305">
        <v>304</v>
      </c>
      <c r="S305" s="9">
        <v>1135</v>
      </c>
      <c r="T305" s="9">
        <v>853</v>
      </c>
      <c r="U305" s="9">
        <v>312</v>
      </c>
      <c r="V305" s="9">
        <v>522</v>
      </c>
      <c r="W305" s="9">
        <f t="shared" si="260"/>
        <v>853</v>
      </c>
      <c r="X305" s="9">
        <f t="shared" ref="X305:Y305" si="307">IF(W305&lt;&gt;T305,W305,IF(_xlfn.IFNA(VLOOKUP(T305,$M$2:$N$13,2,FALSE),U305)=0,"xxx",_xlfn.IFNA(VLOOKUP(T305,$M$2:$N$13,2,FALSE),U305)))</f>
        <v>312</v>
      </c>
      <c r="Y305" s="9">
        <f t="shared" si="307"/>
        <v>522</v>
      </c>
    </row>
    <row r="306" spans="3:25" x14ac:dyDescent="0.2">
      <c r="C306">
        <v>305</v>
      </c>
      <c r="D306" t="s">
        <v>2747</v>
      </c>
      <c r="E306">
        <v>305</v>
      </c>
      <c r="S306" s="9">
        <v>1136</v>
      </c>
      <c r="T306" s="9">
        <v>853</v>
      </c>
      <c r="U306" s="9">
        <v>273</v>
      </c>
      <c r="V306" s="9">
        <v>525</v>
      </c>
      <c r="W306" s="9">
        <f t="shared" si="260"/>
        <v>853</v>
      </c>
      <c r="X306" s="9">
        <f t="shared" ref="X306:Y306" si="308">IF(W306&lt;&gt;T306,W306,IF(_xlfn.IFNA(VLOOKUP(T306,$M$2:$N$13,2,FALSE),U306)=0,"xxx",_xlfn.IFNA(VLOOKUP(T306,$M$2:$N$13,2,FALSE),U306)))</f>
        <v>273</v>
      </c>
      <c r="Y306" s="9">
        <f t="shared" si="308"/>
        <v>525</v>
      </c>
    </row>
    <row r="307" spans="3:25" x14ac:dyDescent="0.2">
      <c r="C307">
        <v>306</v>
      </c>
      <c r="D307" t="s">
        <v>2748</v>
      </c>
      <c r="E307">
        <v>306</v>
      </c>
      <c r="S307" s="9">
        <v>1137</v>
      </c>
      <c r="T307" s="9">
        <v>853</v>
      </c>
      <c r="U307" s="9">
        <v>274</v>
      </c>
      <c r="V307" s="9">
        <v>526</v>
      </c>
      <c r="W307" s="9">
        <f t="shared" si="260"/>
        <v>853</v>
      </c>
      <c r="X307" s="9">
        <f t="shared" ref="X307:Y307" si="309">IF(W307&lt;&gt;T307,W307,IF(_xlfn.IFNA(VLOOKUP(T307,$M$2:$N$13,2,FALSE),U307)=0,"xxx",_xlfn.IFNA(VLOOKUP(T307,$M$2:$N$13,2,FALSE),U307)))</f>
        <v>274</v>
      </c>
      <c r="Y307" s="9">
        <f t="shared" si="309"/>
        <v>526</v>
      </c>
    </row>
    <row r="308" spans="3:25" x14ac:dyDescent="0.2">
      <c r="C308">
        <v>307</v>
      </c>
      <c r="D308" t="s">
        <v>2749</v>
      </c>
      <c r="E308">
        <v>307</v>
      </c>
      <c r="S308" s="9">
        <v>1138</v>
      </c>
      <c r="T308" s="9">
        <v>853</v>
      </c>
      <c r="U308" s="9">
        <v>276</v>
      </c>
      <c r="V308" s="9">
        <v>528</v>
      </c>
      <c r="W308" s="9">
        <f t="shared" si="260"/>
        <v>853</v>
      </c>
      <c r="X308" s="9">
        <f t="shared" ref="X308:Y308" si="310">IF(W308&lt;&gt;T308,W308,IF(_xlfn.IFNA(VLOOKUP(T308,$M$2:$N$13,2,FALSE),U308)=0,"xxx",_xlfn.IFNA(VLOOKUP(T308,$M$2:$N$13,2,FALSE),U308)))</f>
        <v>276</v>
      </c>
      <c r="Y308" s="9">
        <f t="shared" si="310"/>
        <v>528</v>
      </c>
    </row>
    <row r="309" spans="3:25" x14ac:dyDescent="0.2">
      <c r="C309">
        <v>308</v>
      </c>
      <c r="D309" t="s">
        <v>2750</v>
      </c>
      <c r="E309">
        <v>308</v>
      </c>
      <c r="S309" s="9">
        <v>1139</v>
      </c>
      <c r="T309" s="9">
        <v>853</v>
      </c>
      <c r="U309" s="9">
        <v>277</v>
      </c>
      <c r="V309" s="9">
        <v>529</v>
      </c>
      <c r="W309" s="9">
        <f t="shared" si="260"/>
        <v>853</v>
      </c>
      <c r="X309" s="9">
        <f t="shared" ref="X309:Y309" si="311">IF(W309&lt;&gt;T309,W309,IF(_xlfn.IFNA(VLOOKUP(T309,$M$2:$N$13,2,FALSE),U309)=0,"xxx",_xlfn.IFNA(VLOOKUP(T309,$M$2:$N$13,2,FALSE),U309)))</f>
        <v>277</v>
      </c>
      <c r="Y309" s="9">
        <f t="shared" si="311"/>
        <v>529</v>
      </c>
    </row>
    <row r="310" spans="3:25" x14ac:dyDescent="0.2">
      <c r="C310">
        <v>309</v>
      </c>
      <c r="D310" t="s">
        <v>2751</v>
      </c>
      <c r="E310">
        <v>309</v>
      </c>
      <c r="S310" s="9">
        <v>1140</v>
      </c>
      <c r="T310" s="9">
        <v>853</v>
      </c>
      <c r="U310" s="9">
        <v>278</v>
      </c>
      <c r="V310" s="9">
        <v>530</v>
      </c>
      <c r="W310" s="9">
        <f t="shared" si="260"/>
        <v>853</v>
      </c>
      <c r="X310" s="9">
        <f t="shared" ref="X310:Y310" si="312">IF(W310&lt;&gt;T310,W310,IF(_xlfn.IFNA(VLOOKUP(T310,$M$2:$N$13,2,FALSE),U310)=0,"xxx",_xlfn.IFNA(VLOOKUP(T310,$M$2:$N$13,2,FALSE),U310)))</f>
        <v>278</v>
      </c>
      <c r="Y310" s="9">
        <f t="shared" si="312"/>
        <v>530</v>
      </c>
    </row>
    <row r="311" spans="3:25" x14ac:dyDescent="0.2">
      <c r="C311">
        <v>310</v>
      </c>
      <c r="D311" t="s">
        <v>2752</v>
      </c>
      <c r="E311">
        <v>310</v>
      </c>
      <c r="S311" s="9">
        <v>1141</v>
      </c>
      <c r="T311" s="9">
        <v>853</v>
      </c>
      <c r="U311" s="9">
        <v>272</v>
      </c>
      <c r="V311" s="9">
        <v>524</v>
      </c>
      <c r="W311" s="9">
        <f t="shared" si="260"/>
        <v>853</v>
      </c>
      <c r="X311" s="9">
        <f t="shared" ref="X311:Y311" si="313">IF(W311&lt;&gt;T311,W311,IF(_xlfn.IFNA(VLOOKUP(T311,$M$2:$N$13,2,FALSE),U311)=0,"xxx",_xlfn.IFNA(VLOOKUP(T311,$M$2:$N$13,2,FALSE),U311)))</f>
        <v>272</v>
      </c>
      <c r="Y311" s="9">
        <f t="shared" si="313"/>
        <v>524</v>
      </c>
    </row>
    <row r="312" spans="3:25" x14ac:dyDescent="0.2">
      <c r="C312">
        <v>311</v>
      </c>
      <c r="D312" t="s">
        <v>2753</v>
      </c>
      <c r="E312">
        <v>311</v>
      </c>
      <c r="S312" s="9">
        <v>1142</v>
      </c>
      <c r="T312" s="9">
        <v>853</v>
      </c>
      <c r="U312" s="9">
        <v>276</v>
      </c>
      <c r="V312" s="9">
        <v>528</v>
      </c>
      <c r="W312" s="9">
        <f t="shared" si="260"/>
        <v>853</v>
      </c>
      <c r="X312" s="9">
        <f t="shared" ref="X312:Y312" si="314">IF(W312&lt;&gt;T312,W312,IF(_xlfn.IFNA(VLOOKUP(T312,$M$2:$N$13,2,FALSE),U312)=0,"xxx",_xlfn.IFNA(VLOOKUP(T312,$M$2:$N$13,2,FALSE),U312)))</f>
        <v>276</v>
      </c>
      <c r="Y312" s="9">
        <f t="shared" si="314"/>
        <v>528</v>
      </c>
    </row>
    <row r="313" spans="3:25" x14ac:dyDescent="0.2">
      <c r="C313">
        <v>312</v>
      </c>
      <c r="D313" t="s">
        <v>2754</v>
      </c>
      <c r="E313">
        <v>312</v>
      </c>
      <c r="S313" s="9">
        <v>1143</v>
      </c>
      <c r="T313" s="9">
        <v>853</v>
      </c>
      <c r="U313" s="9">
        <v>276</v>
      </c>
      <c r="V313" s="9">
        <v>528</v>
      </c>
      <c r="W313" s="9">
        <f t="shared" si="260"/>
        <v>853</v>
      </c>
      <c r="X313" s="9">
        <f t="shared" ref="X313:Y313" si="315">IF(W313&lt;&gt;T313,W313,IF(_xlfn.IFNA(VLOOKUP(T313,$M$2:$N$13,2,FALSE),U313)=0,"xxx",_xlfn.IFNA(VLOOKUP(T313,$M$2:$N$13,2,FALSE),U313)))</f>
        <v>276</v>
      </c>
      <c r="Y313" s="9">
        <f t="shared" si="315"/>
        <v>528</v>
      </c>
    </row>
    <row r="314" spans="3:25" x14ac:dyDescent="0.2">
      <c r="C314">
        <v>313</v>
      </c>
      <c r="D314" t="s">
        <v>2755</v>
      </c>
      <c r="E314">
        <v>313</v>
      </c>
      <c r="S314" s="9">
        <v>1144</v>
      </c>
      <c r="T314" s="9">
        <v>853</v>
      </c>
      <c r="U314" s="9">
        <v>277</v>
      </c>
      <c r="V314" s="9">
        <v>529</v>
      </c>
      <c r="W314" s="9">
        <f t="shared" si="260"/>
        <v>853</v>
      </c>
      <c r="X314" s="9">
        <f t="shared" ref="X314:Y314" si="316">IF(W314&lt;&gt;T314,W314,IF(_xlfn.IFNA(VLOOKUP(T314,$M$2:$N$13,2,FALSE),U314)=0,"xxx",_xlfn.IFNA(VLOOKUP(T314,$M$2:$N$13,2,FALSE),U314)))</f>
        <v>277</v>
      </c>
      <c r="Y314" s="9">
        <f t="shared" si="316"/>
        <v>529</v>
      </c>
    </row>
    <row r="315" spans="3:25" x14ac:dyDescent="0.2">
      <c r="C315">
        <v>314</v>
      </c>
      <c r="D315" t="s">
        <v>2756</v>
      </c>
      <c r="E315">
        <v>314</v>
      </c>
      <c r="S315" s="9">
        <v>1145</v>
      </c>
      <c r="T315" s="9">
        <v>853</v>
      </c>
      <c r="U315" s="9">
        <v>277</v>
      </c>
      <c r="V315" s="9">
        <v>529</v>
      </c>
      <c r="W315" s="9">
        <f t="shared" si="260"/>
        <v>853</v>
      </c>
      <c r="X315" s="9">
        <f t="shared" ref="X315:Y315" si="317">IF(W315&lt;&gt;T315,W315,IF(_xlfn.IFNA(VLOOKUP(T315,$M$2:$N$13,2,FALSE),U315)=0,"xxx",_xlfn.IFNA(VLOOKUP(T315,$M$2:$N$13,2,FALSE),U315)))</f>
        <v>277</v>
      </c>
      <c r="Y315" s="9">
        <f t="shared" si="317"/>
        <v>529</v>
      </c>
    </row>
    <row r="316" spans="3:25" x14ac:dyDescent="0.2">
      <c r="C316">
        <v>315</v>
      </c>
      <c r="D316" t="s">
        <v>2757</v>
      </c>
      <c r="E316">
        <v>315</v>
      </c>
      <c r="S316" s="9">
        <v>1146</v>
      </c>
      <c r="T316" s="9">
        <v>853</v>
      </c>
      <c r="U316" s="9"/>
      <c r="V316" s="9"/>
      <c r="W316" s="9">
        <f t="shared" si="260"/>
        <v>853</v>
      </c>
      <c r="X316" s="9" t="str">
        <f t="shared" ref="X316:Y316" si="318">IF(W316&lt;&gt;T316,W316,IF(_xlfn.IFNA(VLOOKUP(T316,$M$2:$N$13,2,FALSE),U316)=0,"xxx",_xlfn.IFNA(VLOOKUP(T316,$M$2:$N$13,2,FALSE),U316)))</f>
        <v>xxx</v>
      </c>
      <c r="Y316" s="9" t="str">
        <f t="shared" si="318"/>
        <v>xxx</v>
      </c>
    </row>
    <row r="317" spans="3:25" x14ac:dyDescent="0.2">
      <c r="C317">
        <v>316</v>
      </c>
      <c r="D317" t="s">
        <v>2758</v>
      </c>
      <c r="E317">
        <v>316</v>
      </c>
      <c r="S317" s="9">
        <v>1147</v>
      </c>
      <c r="T317" s="9">
        <v>853</v>
      </c>
      <c r="U317" s="9"/>
      <c r="V317" s="9"/>
      <c r="W317" s="9">
        <f t="shared" si="260"/>
        <v>853</v>
      </c>
      <c r="X317" s="9" t="str">
        <f t="shared" ref="X317:Y317" si="319">IF(W317&lt;&gt;T317,W317,IF(_xlfn.IFNA(VLOOKUP(T317,$M$2:$N$13,2,FALSE),U317)=0,"xxx",_xlfn.IFNA(VLOOKUP(T317,$M$2:$N$13,2,FALSE),U317)))</f>
        <v>xxx</v>
      </c>
      <c r="Y317" s="9" t="str">
        <f t="shared" si="319"/>
        <v>xxx</v>
      </c>
    </row>
    <row r="318" spans="3:25" x14ac:dyDescent="0.2">
      <c r="C318">
        <v>317</v>
      </c>
      <c r="D318" t="s">
        <v>2759</v>
      </c>
      <c r="E318">
        <v>317</v>
      </c>
      <c r="S318" s="9">
        <v>1148</v>
      </c>
      <c r="T318" s="9">
        <v>853</v>
      </c>
      <c r="U318" s="9"/>
      <c r="V318" s="9"/>
      <c r="W318" s="9">
        <f t="shared" si="260"/>
        <v>853</v>
      </c>
      <c r="X318" s="9" t="str">
        <f t="shared" ref="X318:Y318" si="320">IF(W318&lt;&gt;T318,W318,IF(_xlfn.IFNA(VLOOKUP(T318,$M$2:$N$13,2,FALSE),U318)=0,"xxx",_xlfn.IFNA(VLOOKUP(T318,$M$2:$N$13,2,FALSE),U318)))</f>
        <v>xxx</v>
      </c>
      <c r="Y318" s="9" t="str">
        <f t="shared" si="320"/>
        <v>xxx</v>
      </c>
    </row>
    <row r="319" spans="3:25" x14ac:dyDescent="0.2">
      <c r="C319">
        <v>318</v>
      </c>
      <c r="D319" t="s">
        <v>2760</v>
      </c>
      <c r="E319">
        <v>318</v>
      </c>
      <c r="S319" s="9">
        <v>1149</v>
      </c>
      <c r="T319" s="9">
        <v>853</v>
      </c>
      <c r="U319" s="9"/>
      <c r="V319" s="9"/>
      <c r="W319" s="9">
        <f t="shared" si="260"/>
        <v>853</v>
      </c>
      <c r="X319" s="9" t="str">
        <f t="shared" ref="X319:Y319" si="321">IF(W319&lt;&gt;T319,W319,IF(_xlfn.IFNA(VLOOKUP(T319,$M$2:$N$13,2,FALSE),U319)=0,"xxx",_xlfn.IFNA(VLOOKUP(T319,$M$2:$N$13,2,FALSE),U319)))</f>
        <v>xxx</v>
      </c>
      <c r="Y319" s="9" t="str">
        <f t="shared" si="321"/>
        <v>xxx</v>
      </c>
    </row>
    <row r="320" spans="3:25" x14ac:dyDescent="0.2">
      <c r="C320">
        <v>319</v>
      </c>
      <c r="D320" t="s">
        <v>2761</v>
      </c>
      <c r="E320">
        <v>319</v>
      </c>
      <c r="S320" s="9">
        <v>1150</v>
      </c>
      <c r="T320" s="9">
        <v>853</v>
      </c>
      <c r="U320" s="9"/>
      <c r="V320" s="9"/>
      <c r="W320" s="9">
        <f t="shared" si="260"/>
        <v>853</v>
      </c>
      <c r="X320" s="9" t="str">
        <f t="shared" ref="X320:Y320" si="322">IF(W320&lt;&gt;T320,W320,IF(_xlfn.IFNA(VLOOKUP(T320,$M$2:$N$13,2,FALSE),U320)=0,"xxx",_xlfn.IFNA(VLOOKUP(T320,$M$2:$N$13,2,FALSE),U320)))</f>
        <v>xxx</v>
      </c>
      <c r="Y320" s="9" t="str">
        <f t="shared" si="322"/>
        <v>xxx</v>
      </c>
    </row>
    <row r="321" spans="3:25" x14ac:dyDescent="0.2">
      <c r="C321">
        <v>320</v>
      </c>
      <c r="D321" t="s">
        <v>2762</v>
      </c>
      <c r="E321">
        <v>320</v>
      </c>
      <c r="S321" s="9">
        <v>1151</v>
      </c>
      <c r="T321" s="9">
        <v>853</v>
      </c>
      <c r="U321" s="9"/>
      <c r="V321" s="9"/>
      <c r="W321" s="9">
        <f t="shared" si="260"/>
        <v>853</v>
      </c>
      <c r="X321" s="9" t="str">
        <f t="shared" ref="X321:Y321" si="323">IF(W321&lt;&gt;T321,W321,IF(_xlfn.IFNA(VLOOKUP(T321,$M$2:$N$13,2,FALSE),U321)=0,"xxx",_xlfn.IFNA(VLOOKUP(T321,$M$2:$N$13,2,FALSE),U321)))</f>
        <v>xxx</v>
      </c>
      <c r="Y321" s="9" t="str">
        <f t="shared" si="323"/>
        <v>xxx</v>
      </c>
    </row>
    <row r="322" spans="3:25" x14ac:dyDescent="0.2">
      <c r="C322">
        <v>321</v>
      </c>
      <c r="D322" t="s">
        <v>2763</v>
      </c>
      <c r="E322">
        <v>321</v>
      </c>
      <c r="S322" s="9">
        <v>1152</v>
      </c>
      <c r="T322" s="9">
        <v>853</v>
      </c>
      <c r="U322" s="9"/>
      <c r="V322" s="9"/>
      <c r="W322" s="9">
        <f t="shared" si="260"/>
        <v>853</v>
      </c>
      <c r="X322" s="9" t="str">
        <f t="shared" ref="X322:Y322" si="324">IF(W322&lt;&gt;T322,W322,IF(_xlfn.IFNA(VLOOKUP(T322,$M$2:$N$13,2,FALSE),U322)=0,"xxx",_xlfn.IFNA(VLOOKUP(T322,$M$2:$N$13,2,FALSE),U322)))</f>
        <v>xxx</v>
      </c>
      <c r="Y322" s="9" t="str">
        <f t="shared" si="324"/>
        <v>xxx</v>
      </c>
    </row>
    <row r="323" spans="3:25" x14ac:dyDescent="0.2">
      <c r="C323">
        <v>322</v>
      </c>
      <c r="D323" t="s">
        <v>2764</v>
      </c>
      <c r="E323">
        <v>322</v>
      </c>
      <c r="S323" s="9">
        <v>1153</v>
      </c>
      <c r="T323" s="9">
        <v>853</v>
      </c>
      <c r="U323" s="9"/>
      <c r="V323" s="9"/>
      <c r="W323" s="9">
        <f t="shared" ref="W323:W386" si="325">IF(_xlfn.IFNA(VLOOKUP(S323,$M$2:$N$13,2,FALSE),T323)=0,"xxx",_xlfn.IFNA(VLOOKUP(S323,$M$2:$N$13,2,FALSE),T323))</f>
        <v>853</v>
      </c>
      <c r="X323" s="9" t="str">
        <f t="shared" ref="X323:Y323" si="326">IF(W323&lt;&gt;T323,W323,IF(_xlfn.IFNA(VLOOKUP(T323,$M$2:$N$13,2,FALSE),U323)=0,"xxx",_xlfn.IFNA(VLOOKUP(T323,$M$2:$N$13,2,FALSE),U323)))</f>
        <v>xxx</v>
      </c>
      <c r="Y323" s="9" t="str">
        <f t="shared" si="326"/>
        <v>xxx</v>
      </c>
    </row>
    <row r="324" spans="3:25" x14ac:dyDescent="0.2">
      <c r="C324">
        <v>323</v>
      </c>
      <c r="D324" t="s">
        <v>2765</v>
      </c>
      <c r="E324">
        <v>323</v>
      </c>
      <c r="S324" s="9">
        <v>1154</v>
      </c>
      <c r="T324" s="9">
        <v>853</v>
      </c>
      <c r="U324" s="9"/>
      <c r="V324" s="9"/>
      <c r="W324" s="9">
        <f t="shared" si="325"/>
        <v>853</v>
      </c>
      <c r="X324" s="9" t="str">
        <f t="shared" ref="X324:Y324" si="327">IF(W324&lt;&gt;T324,W324,IF(_xlfn.IFNA(VLOOKUP(T324,$M$2:$N$13,2,FALSE),U324)=0,"xxx",_xlfn.IFNA(VLOOKUP(T324,$M$2:$N$13,2,FALSE),U324)))</f>
        <v>xxx</v>
      </c>
      <c r="Y324" s="9" t="str">
        <f t="shared" si="327"/>
        <v>xxx</v>
      </c>
    </row>
    <row r="325" spans="3:25" x14ac:dyDescent="0.2">
      <c r="C325">
        <v>324</v>
      </c>
      <c r="D325" t="s">
        <v>2766</v>
      </c>
      <c r="E325">
        <v>324</v>
      </c>
      <c r="S325" s="9">
        <v>1155</v>
      </c>
      <c r="T325" s="9">
        <v>853</v>
      </c>
      <c r="U325" s="9"/>
      <c r="V325" s="9"/>
      <c r="W325" s="9">
        <f t="shared" si="325"/>
        <v>853</v>
      </c>
      <c r="X325" s="9" t="str">
        <f t="shared" ref="X325:Y325" si="328">IF(W325&lt;&gt;T325,W325,IF(_xlfn.IFNA(VLOOKUP(T325,$M$2:$N$13,2,FALSE),U325)=0,"xxx",_xlfn.IFNA(VLOOKUP(T325,$M$2:$N$13,2,FALSE),U325)))</f>
        <v>xxx</v>
      </c>
      <c r="Y325" s="9" t="str">
        <f t="shared" si="328"/>
        <v>xxx</v>
      </c>
    </row>
    <row r="326" spans="3:25" x14ac:dyDescent="0.2">
      <c r="C326">
        <v>325</v>
      </c>
      <c r="D326" t="s">
        <v>2767</v>
      </c>
      <c r="E326">
        <v>325</v>
      </c>
      <c r="S326" s="9">
        <v>1156</v>
      </c>
      <c r="T326" s="9">
        <v>853</v>
      </c>
      <c r="U326" s="9">
        <v>673</v>
      </c>
      <c r="V326" s="9">
        <v>673</v>
      </c>
      <c r="W326" s="9">
        <f t="shared" si="325"/>
        <v>853</v>
      </c>
      <c r="X326" s="9">
        <f t="shared" ref="X326:Y326" si="329">IF(W326&lt;&gt;T326,W326,IF(_xlfn.IFNA(VLOOKUP(T326,$M$2:$N$13,2,FALSE),U326)=0,"xxx",_xlfn.IFNA(VLOOKUP(T326,$M$2:$N$13,2,FALSE),U326)))</f>
        <v>673</v>
      </c>
      <c r="Y326" s="9">
        <f t="shared" si="329"/>
        <v>673</v>
      </c>
    </row>
    <row r="327" spans="3:25" x14ac:dyDescent="0.2">
      <c r="C327">
        <v>326</v>
      </c>
      <c r="D327" t="s">
        <v>2768</v>
      </c>
      <c r="E327">
        <v>326</v>
      </c>
      <c r="S327" s="9">
        <v>1157</v>
      </c>
      <c r="T327" s="9">
        <v>853</v>
      </c>
      <c r="U327" s="9"/>
      <c r="V327" s="9"/>
      <c r="W327" s="9">
        <f t="shared" si="325"/>
        <v>853</v>
      </c>
      <c r="X327" s="9" t="str">
        <f t="shared" ref="X327:Y327" si="330">IF(W327&lt;&gt;T327,W327,IF(_xlfn.IFNA(VLOOKUP(T327,$M$2:$N$13,2,FALSE),U327)=0,"xxx",_xlfn.IFNA(VLOOKUP(T327,$M$2:$N$13,2,FALSE),U327)))</f>
        <v>xxx</v>
      </c>
      <c r="Y327" s="9" t="str">
        <f t="shared" si="330"/>
        <v>xxx</v>
      </c>
    </row>
    <row r="328" spans="3:25" x14ac:dyDescent="0.2">
      <c r="C328">
        <v>327</v>
      </c>
      <c r="D328" t="s">
        <v>2769</v>
      </c>
      <c r="E328">
        <v>327</v>
      </c>
      <c r="S328" s="9">
        <v>1158</v>
      </c>
      <c r="T328" s="9">
        <v>853</v>
      </c>
      <c r="U328" s="9"/>
      <c r="V328" s="9"/>
      <c r="W328" s="9">
        <f t="shared" si="325"/>
        <v>853</v>
      </c>
      <c r="X328" s="9" t="str">
        <f t="shared" ref="X328:Y328" si="331">IF(W328&lt;&gt;T328,W328,IF(_xlfn.IFNA(VLOOKUP(T328,$M$2:$N$13,2,FALSE),U328)=0,"xxx",_xlfn.IFNA(VLOOKUP(T328,$M$2:$N$13,2,FALSE),U328)))</f>
        <v>xxx</v>
      </c>
      <c r="Y328" s="9" t="str">
        <f t="shared" si="331"/>
        <v>xxx</v>
      </c>
    </row>
    <row r="329" spans="3:25" x14ac:dyDescent="0.2">
      <c r="C329">
        <v>328</v>
      </c>
      <c r="D329" t="s">
        <v>2770</v>
      </c>
      <c r="E329">
        <v>328</v>
      </c>
      <c r="S329" s="9">
        <v>1159</v>
      </c>
      <c r="T329" s="9">
        <v>853</v>
      </c>
      <c r="U329" s="9"/>
      <c r="V329" s="9"/>
      <c r="W329" s="9">
        <f t="shared" si="325"/>
        <v>853</v>
      </c>
      <c r="X329" s="9" t="str">
        <f t="shared" ref="X329:Y329" si="332">IF(W329&lt;&gt;T329,W329,IF(_xlfn.IFNA(VLOOKUP(T329,$M$2:$N$13,2,FALSE),U329)=0,"xxx",_xlfn.IFNA(VLOOKUP(T329,$M$2:$N$13,2,FALSE),U329)))</f>
        <v>xxx</v>
      </c>
      <c r="Y329" s="9" t="str">
        <f t="shared" si="332"/>
        <v>xxx</v>
      </c>
    </row>
    <row r="330" spans="3:25" x14ac:dyDescent="0.2">
      <c r="C330">
        <v>329</v>
      </c>
      <c r="D330" t="s">
        <v>2771</v>
      </c>
      <c r="E330">
        <v>329</v>
      </c>
      <c r="S330" s="9">
        <v>1160</v>
      </c>
      <c r="T330" s="9">
        <v>853</v>
      </c>
      <c r="U330" s="9">
        <v>354</v>
      </c>
      <c r="V330" s="9">
        <v>522</v>
      </c>
      <c r="W330" s="9">
        <f t="shared" si="325"/>
        <v>853</v>
      </c>
      <c r="X330" s="9">
        <f t="shared" ref="X330:Y330" si="333">IF(W330&lt;&gt;T330,W330,IF(_xlfn.IFNA(VLOOKUP(T330,$M$2:$N$13,2,FALSE),U330)=0,"xxx",_xlfn.IFNA(VLOOKUP(T330,$M$2:$N$13,2,FALSE),U330)))</f>
        <v>354</v>
      </c>
      <c r="Y330" s="9">
        <f t="shared" si="333"/>
        <v>522</v>
      </c>
    </row>
    <row r="331" spans="3:25" x14ac:dyDescent="0.2">
      <c r="C331">
        <v>330</v>
      </c>
      <c r="D331" t="s">
        <v>2772</v>
      </c>
      <c r="E331">
        <v>330</v>
      </c>
      <c r="S331" s="9">
        <v>1161</v>
      </c>
      <c r="T331" s="9">
        <v>853</v>
      </c>
      <c r="U331" s="9">
        <v>355</v>
      </c>
      <c r="V331" s="9">
        <v>523</v>
      </c>
      <c r="W331" s="9">
        <f t="shared" si="325"/>
        <v>853</v>
      </c>
      <c r="X331" s="9">
        <f t="shared" ref="X331:Y331" si="334">IF(W331&lt;&gt;T331,W331,IF(_xlfn.IFNA(VLOOKUP(T331,$M$2:$N$13,2,FALSE),U331)=0,"xxx",_xlfn.IFNA(VLOOKUP(T331,$M$2:$N$13,2,FALSE),U331)))</f>
        <v>355</v>
      </c>
      <c r="Y331" s="9">
        <f t="shared" si="334"/>
        <v>523</v>
      </c>
    </row>
    <row r="332" spans="3:25" x14ac:dyDescent="0.2">
      <c r="C332">
        <v>331</v>
      </c>
      <c r="D332" t="s">
        <v>2773</v>
      </c>
      <c r="E332">
        <v>331</v>
      </c>
      <c r="S332" s="9">
        <v>1162</v>
      </c>
      <c r="T332" s="9">
        <v>853</v>
      </c>
      <c r="U332" s="9">
        <v>355</v>
      </c>
      <c r="V332" s="9">
        <v>523</v>
      </c>
      <c r="W332" s="9">
        <f t="shared" si="325"/>
        <v>853</v>
      </c>
      <c r="X332" s="9">
        <f t="shared" ref="X332:Y332" si="335">IF(W332&lt;&gt;T332,W332,IF(_xlfn.IFNA(VLOOKUP(T332,$M$2:$N$13,2,FALSE),U332)=0,"xxx",_xlfn.IFNA(VLOOKUP(T332,$M$2:$N$13,2,FALSE),U332)))</f>
        <v>355</v>
      </c>
      <c r="Y332" s="9">
        <f t="shared" si="335"/>
        <v>523</v>
      </c>
    </row>
    <row r="333" spans="3:25" x14ac:dyDescent="0.2">
      <c r="C333">
        <v>332</v>
      </c>
      <c r="D333" t="s">
        <v>2774</v>
      </c>
      <c r="E333">
        <v>332</v>
      </c>
      <c r="S333" s="9">
        <v>1163</v>
      </c>
      <c r="T333" s="9">
        <v>853</v>
      </c>
      <c r="U333" s="9">
        <v>356</v>
      </c>
      <c r="V333" s="9">
        <v>524</v>
      </c>
      <c r="W333" s="9">
        <f t="shared" si="325"/>
        <v>853</v>
      </c>
      <c r="X333" s="9">
        <f t="shared" ref="X333:Y333" si="336">IF(W333&lt;&gt;T333,W333,IF(_xlfn.IFNA(VLOOKUP(T333,$M$2:$N$13,2,FALSE),U333)=0,"xxx",_xlfn.IFNA(VLOOKUP(T333,$M$2:$N$13,2,FALSE),U333)))</f>
        <v>356</v>
      </c>
      <c r="Y333" s="9">
        <f t="shared" si="336"/>
        <v>524</v>
      </c>
    </row>
    <row r="334" spans="3:25" x14ac:dyDescent="0.2">
      <c r="C334">
        <v>333</v>
      </c>
      <c r="D334" t="s">
        <v>2775</v>
      </c>
      <c r="E334">
        <v>333</v>
      </c>
      <c r="S334" s="9">
        <v>1164</v>
      </c>
      <c r="T334" s="9">
        <v>853</v>
      </c>
      <c r="U334" s="9">
        <v>361</v>
      </c>
      <c r="V334" s="9">
        <v>529</v>
      </c>
      <c r="W334" s="9">
        <f t="shared" si="325"/>
        <v>853</v>
      </c>
      <c r="X334" s="9">
        <f t="shared" ref="X334:Y334" si="337">IF(W334&lt;&gt;T334,W334,IF(_xlfn.IFNA(VLOOKUP(T334,$M$2:$N$13,2,FALSE),U334)=0,"xxx",_xlfn.IFNA(VLOOKUP(T334,$M$2:$N$13,2,FALSE),U334)))</f>
        <v>361</v>
      </c>
      <c r="Y334" s="9">
        <f t="shared" si="337"/>
        <v>529</v>
      </c>
    </row>
    <row r="335" spans="3:25" x14ac:dyDescent="0.2">
      <c r="C335">
        <v>334</v>
      </c>
      <c r="D335" t="s">
        <v>2776</v>
      </c>
      <c r="E335">
        <v>334</v>
      </c>
      <c r="S335" s="9">
        <v>1165</v>
      </c>
      <c r="T335" s="9">
        <v>853</v>
      </c>
      <c r="U335" s="9">
        <v>270</v>
      </c>
      <c r="V335" s="9">
        <v>522</v>
      </c>
      <c r="W335" s="9">
        <f t="shared" si="325"/>
        <v>853</v>
      </c>
      <c r="X335" s="9">
        <f t="shared" ref="X335:Y335" si="338">IF(W335&lt;&gt;T335,W335,IF(_xlfn.IFNA(VLOOKUP(T335,$M$2:$N$13,2,FALSE),U335)=0,"xxx",_xlfn.IFNA(VLOOKUP(T335,$M$2:$N$13,2,FALSE),U335)))</f>
        <v>270</v>
      </c>
      <c r="Y335" s="9">
        <f t="shared" si="338"/>
        <v>522</v>
      </c>
    </row>
    <row r="336" spans="3:25" x14ac:dyDescent="0.2">
      <c r="C336">
        <v>335</v>
      </c>
      <c r="D336" t="s">
        <v>2777</v>
      </c>
      <c r="E336">
        <v>335</v>
      </c>
      <c r="S336" s="9">
        <v>1166</v>
      </c>
      <c r="T336" s="9">
        <v>853</v>
      </c>
      <c r="U336" s="9">
        <v>271</v>
      </c>
      <c r="V336" s="9">
        <v>523</v>
      </c>
      <c r="W336" s="9">
        <f t="shared" si="325"/>
        <v>853</v>
      </c>
      <c r="X336" s="9">
        <f t="shared" ref="X336:Y336" si="339">IF(W336&lt;&gt;T336,W336,IF(_xlfn.IFNA(VLOOKUP(T336,$M$2:$N$13,2,FALSE),U336)=0,"xxx",_xlfn.IFNA(VLOOKUP(T336,$M$2:$N$13,2,FALSE),U336)))</f>
        <v>271</v>
      </c>
      <c r="Y336" s="9">
        <f t="shared" si="339"/>
        <v>523</v>
      </c>
    </row>
    <row r="337" spans="3:25" x14ac:dyDescent="0.2">
      <c r="C337">
        <v>336</v>
      </c>
      <c r="D337" t="s">
        <v>2778</v>
      </c>
      <c r="E337">
        <v>336</v>
      </c>
      <c r="S337" s="9">
        <v>1167</v>
      </c>
      <c r="T337" s="9">
        <v>853</v>
      </c>
      <c r="U337" s="9">
        <v>271</v>
      </c>
      <c r="V337" s="9">
        <v>523</v>
      </c>
      <c r="W337" s="9">
        <f t="shared" si="325"/>
        <v>853</v>
      </c>
      <c r="X337" s="9">
        <f t="shared" ref="X337:Y337" si="340">IF(W337&lt;&gt;T337,W337,IF(_xlfn.IFNA(VLOOKUP(T337,$M$2:$N$13,2,FALSE),U337)=0,"xxx",_xlfn.IFNA(VLOOKUP(T337,$M$2:$N$13,2,FALSE),U337)))</f>
        <v>271</v>
      </c>
      <c r="Y337" s="9">
        <f t="shared" si="340"/>
        <v>523</v>
      </c>
    </row>
    <row r="338" spans="3:25" x14ac:dyDescent="0.2">
      <c r="C338">
        <v>337</v>
      </c>
      <c r="D338" t="s">
        <v>2779</v>
      </c>
      <c r="E338">
        <v>337</v>
      </c>
      <c r="S338" s="9">
        <v>1168</v>
      </c>
      <c r="T338" s="9">
        <v>853</v>
      </c>
      <c r="U338" s="9">
        <v>272</v>
      </c>
      <c r="V338" s="9">
        <v>524</v>
      </c>
      <c r="W338" s="9">
        <f t="shared" si="325"/>
        <v>853</v>
      </c>
      <c r="X338" s="9">
        <f t="shared" ref="X338:Y338" si="341">IF(W338&lt;&gt;T338,W338,IF(_xlfn.IFNA(VLOOKUP(T338,$M$2:$N$13,2,FALSE),U338)=0,"xxx",_xlfn.IFNA(VLOOKUP(T338,$M$2:$N$13,2,FALSE),U338)))</f>
        <v>272</v>
      </c>
      <c r="Y338" s="9">
        <f t="shared" si="341"/>
        <v>524</v>
      </c>
    </row>
    <row r="339" spans="3:25" x14ac:dyDescent="0.2">
      <c r="C339">
        <v>338</v>
      </c>
      <c r="D339" t="s">
        <v>2780</v>
      </c>
      <c r="E339">
        <v>338</v>
      </c>
      <c r="S339" s="9">
        <v>1169</v>
      </c>
      <c r="T339" s="9">
        <v>853</v>
      </c>
      <c r="U339" s="9">
        <v>277</v>
      </c>
      <c r="V339" s="9">
        <v>529</v>
      </c>
      <c r="W339" s="9">
        <f t="shared" si="325"/>
        <v>853</v>
      </c>
      <c r="X339" s="9">
        <f t="shared" ref="X339:Y339" si="342">IF(W339&lt;&gt;T339,W339,IF(_xlfn.IFNA(VLOOKUP(T339,$M$2:$N$13,2,FALSE),U339)=0,"xxx",_xlfn.IFNA(VLOOKUP(T339,$M$2:$N$13,2,FALSE),U339)))</f>
        <v>277</v>
      </c>
      <c r="Y339" s="9">
        <f t="shared" si="342"/>
        <v>529</v>
      </c>
    </row>
    <row r="340" spans="3:25" x14ac:dyDescent="0.2">
      <c r="C340">
        <v>339</v>
      </c>
      <c r="D340" t="s">
        <v>2781</v>
      </c>
      <c r="E340">
        <v>339</v>
      </c>
      <c r="S340" s="9">
        <v>1170</v>
      </c>
      <c r="T340" s="9">
        <v>853</v>
      </c>
      <c r="U340" s="9">
        <v>355</v>
      </c>
      <c r="V340" s="9">
        <v>523</v>
      </c>
      <c r="W340" s="9">
        <f t="shared" si="325"/>
        <v>853</v>
      </c>
      <c r="X340" s="9">
        <f t="shared" ref="X340:Y340" si="343">IF(W340&lt;&gt;T340,W340,IF(_xlfn.IFNA(VLOOKUP(T340,$M$2:$N$13,2,FALSE),U340)=0,"xxx",_xlfn.IFNA(VLOOKUP(T340,$M$2:$N$13,2,FALSE),U340)))</f>
        <v>355</v>
      </c>
      <c r="Y340" s="9">
        <f t="shared" si="343"/>
        <v>523</v>
      </c>
    </row>
    <row r="341" spans="3:25" x14ac:dyDescent="0.2">
      <c r="C341">
        <v>340</v>
      </c>
      <c r="D341" t="s">
        <v>2782</v>
      </c>
      <c r="E341">
        <v>340</v>
      </c>
      <c r="S341" s="9">
        <v>1171</v>
      </c>
      <c r="T341" s="9">
        <v>853</v>
      </c>
      <c r="U341" s="9">
        <v>355</v>
      </c>
      <c r="V341" s="9">
        <v>523</v>
      </c>
      <c r="W341" s="9">
        <f t="shared" si="325"/>
        <v>853</v>
      </c>
      <c r="X341" s="9">
        <f t="shared" ref="X341:Y341" si="344">IF(W341&lt;&gt;T341,W341,IF(_xlfn.IFNA(VLOOKUP(T341,$M$2:$N$13,2,FALSE),U341)=0,"xxx",_xlfn.IFNA(VLOOKUP(T341,$M$2:$N$13,2,FALSE),U341)))</f>
        <v>355</v>
      </c>
      <c r="Y341" s="9">
        <f t="shared" si="344"/>
        <v>523</v>
      </c>
    </row>
    <row r="342" spans="3:25" x14ac:dyDescent="0.2">
      <c r="C342">
        <v>341</v>
      </c>
      <c r="D342" t="s">
        <v>2783</v>
      </c>
      <c r="E342">
        <v>341</v>
      </c>
      <c r="S342" s="9">
        <v>1172</v>
      </c>
      <c r="T342" s="9">
        <v>853</v>
      </c>
      <c r="U342" s="9">
        <v>356</v>
      </c>
      <c r="V342" s="9">
        <v>524</v>
      </c>
      <c r="W342" s="9">
        <f t="shared" si="325"/>
        <v>853</v>
      </c>
      <c r="X342" s="9">
        <f t="shared" ref="X342:Y342" si="345">IF(W342&lt;&gt;T342,W342,IF(_xlfn.IFNA(VLOOKUP(T342,$M$2:$N$13,2,FALSE),U342)=0,"xxx",_xlfn.IFNA(VLOOKUP(T342,$M$2:$N$13,2,FALSE),U342)))</f>
        <v>356</v>
      </c>
      <c r="Y342" s="9">
        <f t="shared" si="345"/>
        <v>524</v>
      </c>
    </row>
    <row r="343" spans="3:25" x14ac:dyDescent="0.2">
      <c r="C343">
        <v>342</v>
      </c>
      <c r="D343" t="s">
        <v>2784</v>
      </c>
      <c r="E343">
        <v>342</v>
      </c>
      <c r="S343" s="9">
        <v>1173</v>
      </c>
      <c r="T343" s="9">
        <v>853</v>
      </c>
      <c r="U343" s="9">
        <v>357</v>
      </c>
      <c r="V343" s="9">
        <v>525</v>
      </c>
      <c r="W343" s="9">
        <f t="shared" si="325"/>
        <v>853</v>
      </c>
      <c r="X343" s="9">
        <f t="shared" ref="X343:Y343" si="346">IF(W343&lt;&gt;T343,W343,IF(_xlfn.IFNA(VLOOKUP(T343,$M$2:$N$13,2,FALSE),U343)=0,"xxx",_xlfn.IFNA(VLOOKUP(T343,$M$2:$N$13,2,FALSE),U343)))</f>
        <v>357</v>
      </c>
      <c r="Y343" s="9">
        <f t="shared" si="346"/>
        <v>525</v>
      </c>
    </row>
    <row r="344" spans="3:25" x14ac:dyDescent="0.2">
      <c r="C344">
        <v>343</v>
      </c>
      <c r="D344" t="s">
        <v>2785</v>
      </c>
      <c r="E344">
        <v>343</v>
      </c>
      <c r="S344" s="9">
        <v>1174</v>
      </c>
      <c r="T344" s="9">
        <v>853</v>
      </c>
      <c r="U344" s="9">
        <v>358</v>
      </c>
      <c r="V344" s="9">
        <v>526</v>
      </c>
      <c r="W344" s="9">
        <f t="shared" si="325"/>
        <v>853</v>
      </c>
      <c r="X344" s="9">
        <f t="shared" ref="X344:Y344" si="347">IF(W344&lt;&gt;T344,W344,IF(_xlfn.IFNA(VLOOKUP(T344,$M$2:$N$13,2,FALSE),U344)=0,"xxx",_xlfn.IFNA(VLOOKUP(T344,$M$2:$N$13,2,FALSE),U344)))</f>
        <v>358</v>
      </c>
      <c r="Y344" s="9">
        <f t="shared" si="347"/>
        <v>526</v>
      </c>
    </row>
    <row r="345" spans="3:25" x14ac:dyDescent="0.2">
      <c r="C345">
        <v>344</v>
      </c>
      <c r="D345" t="s">
        <v>2786</v>
      </c>
      <c r="E345">
        <v>344</v>
      </c>
      <c r="S345" s="9">
        <v>1175</v>
      </c>
      <c r="T345" s="9">
        <v>853</v>
      </c>
      <c r="U345" s="9"/>
      <c r="V345" s="9"/>
      <c r="W345" s="9">
        <f t="shared" si="325"/>
        <v>853</v>
      </c>
      <c r="X345" s="9" t="str">
        <f t="shared" ref="X345:Y345" si="348">IF(W345&lt;&gt;T345,W345,IF(_xlfn.IFNA(VLOOKUP(T345,$M$2:$N$13,2,FALSE),U345)=0,"xxx",_xlfn.IFNA(VLOOKUP(T345,$M$2:$N$13,2,FALSE),U345)))</f>
        <v>xxx</v>
      </c>
      <c r="Y345" s="9" t="str">
        <f t="shared" si="348"/>
        <v>xxx</v>
      </c>
    </row>
    <row r="346" spans="3:25" x14ac:dyDescent="0.2">
      <c r="C346">
        <v>345</v>
      </c>
      <c r="D346" t="s">
        <v>2787</v>
      </c>
      <c r="E346">
        <v>345</v>
      </c>
      <c r="S346" s="9">
        <v>1176</v>
      </c>
      <c r="T346" s="9">
        <v>853</v>
      </c>
      <c r="U346" s="9"/>
      <c r="V346" s="9"/>
      <c r="W346" s="9">
        <f t="shared" si="325"/>
        <v>853</v>
      </c>
      <c r="X346" s="9" t="str">
        <f t="shared" ref="X346:Y346" si="349">IF(W346&lt;&gt;T346,W346,IF(_xlfn.IFNA(VLOOKUP(T346,$M$2:$N$13,2,FALSE),U346)=0,"xxx",_xlfn.IFNA(VLOOKUP(T346,$M$2:$N$13,2,FALSE),U346)))</f>
        <v>xxx</v>
      </c>
      <c r="Y346" s="9" t="str">
        <f t="shared" si="349"/>
        <v>xxx</v>
      </c>
    </row>
    <row r="347" spans="3:25" x14ac:dyDescent="0.2">
      <c r="C347">
        <v>346</v>
      </c>
      <c r="D347" t="s">
        <v>2788</v>
      </c>
      <c r="E347">
        <v>346</v>
      </c>
      <c r="S347" s="9">
        <v>1177</v>
      </c>
      <c r="T347" s="9">
        <v>853</v>
      </c>
      <c r="U347" s="9"/>
      <c r="V347" s="9"/>
      <c r="W347" s="9">
        <f t="shared" si="325"/>
        <v>853</v>
      </c>
      <c r="X347" s="9" t="str">
        <f t="shared" ref="X347:Y347" si="350">IF(W347&lt;&gt;T347,W347,IF(_xlfn.IFNA(VLOOKUP(T347,$M$2:$N$13,2,FALSE),U347)=0,"xxx",_xlfn.IFNA(VLOOKUP(T347,$M$2:$N$13,2,FALSE),U347)))</f>
        <v>xxx</v>
      </c>
      <c r="Y347" s="9" t="str">
        <f t="shared" si="350"/>
        <v>xxx</v>
      </c>
    </row>
    <row r="348" spans="3:25" x14ac:dyDescent="0.2">
      <c r="C348">
        <v>347</v>
      </c>
      <c r="D348" t="s">
        <v>2789</v>
      </c>
      <c r="E348">
        <v>347</v>
      </c>
      <c r="S348" s="9">
        <v>1178</v>
      </c>
      <c r="T348" s="9">
        <v>853</v>
      </c>
      <c r="U348" s="9"/>
      <c r="V348" s="9"/>
      <c r="W348" s="9">
        <f t="shared" si="325"/>
        <v>853</v>
      </c>
      <c r="X348" s="9" t="str">
        <f t="shared" ref="X348:Y348" si="351">IF(W348&lt;&gt;T348,W348,IF(_xlfn.IFNA(VLOOKUP(T348,$M$2:$N$13,2,FALSE),U348)=0,"xxx",_xlfn.IFNA(VLOOKUP(T348,$M$2:$N$13,2,FALSE),U348)))</f>
        <v>xxx</v>
      </c>
      <c r="Y348" s="9" t="str">
        <f t="shared" si="351"/>
        <v>xxx</v>
      </c>
    </row>
    <row r="349" spans="3:25" x14ac:dyDescent="0.2">
      <c r="C349">
        <v>348</v>
      </c>
      <c r="D349" t="s">
        <v>2790</v>
      </c>
      <c r="E349">
        <v>348</v>
      </c>
      <c r="S349" s="9">
        <v>1179</v>
      </c>
      <c r="T349" s="9">
        <v>853</v>
      </c>
      <c r="U349" s="9"/>
      <c r="V349" s="9"/>
      <c r="W349" s="9">
        <f t="shared" si="325"/>
        <v>853</v>
      </c>
      <c r="X349" s="9" t="str">
        <f t="shared" ref="X349:Y349" si="352">IF(W349&lt;&gt;T349,W349,IF(_xlfn.IFNA(VLOOKUP(T349,$M$2:$N$13,2,FALSE),U349)=0,"xxx",_xlfn.IFNA(VLOOKUP(T349,$M$2:$N$13,2,FALSE),U349)))</f>
        <v>xxx</v>
      </c>
      <c r="Y349" s="9" t="str">
        <f t="shared" si="352"/>
        <v>xxx</v>
      </c>
    </row>
    <row r="350" spans="3:25" x14ac:dyDescent="0.2">
      <c r="C350">
        <v>349</v>
      </c>
      <c r="D350" t="s">
        <v>2791</v>
      </c>
      <c r="E350">
        <v>349</v>
      </c>
      <c r="S350" s="9">
        <v>1180</v>
      </c>
      <c r="T350" s="9">
        <v>853</v>
      </c>
      <c r="U350" s="9"/>
      <c r="V350" s="9"/>
      <c r="W350" s="9">
        <f t="shared" si="325"/>
        <v>853</v>
      </c>
      <c r="X350" s="9" t="str">
        <f t="shared" ref="X350:Y350" si="353">IF(W350&lt;&gt;T350,W350,IF(_xlfn.IFNA(VLOOKUP(T350,$M$2:$N$13,2,FALSE),U350)=0,"xxx",_xlfn.IFNA(VLOOKUP(T350,$M$2:$N$13,2,FALSE),U350)))</f>
        <v>xxx</v>
      </c>
      <c r="Y350" s="9" t="str">
        <f t="shared" si="353"/>
        <v>xxx</v>
      </c>
    </row>
    <row r="351" spans="3:25" x14ac:dyDescent="0.2">
      <c r="C351">
        <v>350</v>
      </c>
      <c r="D351" t="s">
        <v>2792</v>
      </c>
      <c r="E351">
        <v>350</v>
      </c>
      <c r="S351" s="9">
        <v>1181</v>
      </c>
      <c r="T351" s="9">
        <v>853</v>
      </c>
      <c r="U351" s="9"/>
      <c r="V351" s="9"/>
      <c r="W351" s="9">
        <f t="shared" si="325"/>
        <v>853</v>
      </c>
      <c r="X351" s="9" t="str">
        <f t="shared" ref="X351:Y351" si="354">IF(W351&lt;&gt;T351,W351,IF(_xlfn.IFNA(VLOOKUP(T351,$M$2:$N$13,2,FALSE),U351)=0,"xxx",_xlfn.IFNA(VLOOKUP(T351,$M$2:$N$13,2,FALSE),U351)))</f>
        <v>xxx</v>
      </c>
      <c r="Y351" s="9" t="str">
        <f t="shared" si="354"/>
        <v>xxx</v>
      </c>
    </row>
    <row r="352" spans="3:25" x14ac:dyDescent="0.2">
      <c r="C352">
        <v>351</v>
      </c>
      <c r="D352" t="s">
        <v>2793</v>
      </c>
      <c r="E352">
        <v>351</v>
      </c>
      <c r="S352" s="9">
        <v>1182</v>
      </c>
      <c r="T352" s="9">
        <v>853</v>
      </c>
      <c r="U352" s="9"/>
      <c r="V352" s="9"/>
      <c r="W352" s="9">
        <f t="shared" si="325"/>
        <v>853</v>
      </c>
      <c r="X352" s="9" t="str">
        <f t="shared" ref="X352:Y352" si="355">IF(W352&lt;&gt;T352,W352,IF(_xlfn.IFNA(VLOOKUP(T352,$M$2:$N$13,2,FALSE),U352)=0,"xxx",_xlfn.IFNA(VLOOKUP(T352,$M$2:$N$13,2,FALSE),U352)))</f>
        <v>xxx</v>
      </c>
      <c r="Y352" s="9" t="str">
        <f t="shared" si="355"/>
        <v>xxx</v>
      </c>
    </row>
    <row r="353" spans="3:25" x14ac:dyDescent="0.2">
      <c r="C353">
        <v>352</v>
      </c>
      <c r="D353" t="s">
        <v>2794</v>
      </c>
      <c r="E353">
        <v>352</v>
      </c>
      <c r="S353" s="9">
        <v>1183</v>
      </c>
      <c r="T353" s="9">
        <v>853</v>
      </c>
      <c r="U353" s="9"/>
      <c r="V353" s="9"/>
      <c r="W353" s="9">
        <f t="shared" si="325"/>
        <v>853</v>
      </c>
      <c r="X353" s="9" t="str">
        <f t="shared" ref="X353:Y353" si="356">IF(W353&lt;&gt;T353,W353,IF(_xlfn.IFNA(VLOOKUP(T353,$M$2:$N$13,2,FALSE),U353)=0,"xxx",_xlfn.IFNA(VLOOKUP(T353,$M$2:$N$13,2,FALSE),U353)))</f>
        <v>xxx</v>
      </c>
      <c r="Y353" s="9" t="str">
        <f t="shared" si="356"/>
        <v>xxx</v>
      </c>
    </row>
    <row r="354" spans="3:25" x14ac:dyDescent="0.2">
      <c r="C354">
        <v>353</v>
      </c>
      <c r="D354" t="s">
        <v>2795</v>
      </c>
      <c r="E354">
        <v>353</v>
      </c>
      <c r="S354" s="9">
        <v>1184</v>
      </c>
      <c r="T354" s="9">
        <v>853</v>
      </c>
      <c r="U354" s="9"/>
      <c r="V354" s="9"/>
      <c r="W354" s="9">
        <f t="shared" si="325"/>
        <v>853</v>
      </c>
      <c r="X354" s="9" t="str">
        <f t="shared" ref="X354:Y354" si="357">IF(W354&lt;&gt;T354,W354,IF(_xlfn.IFNA(VLOOKUP(T354,$M$2:$N$13,2,FALSE),U354)=0,"xxx",_xlfn.IFNA(VLOOKUP(T354,$M$2:$N$13,2,FALSE),U354)))</f>
        <v>xxx</v>
      </c>
      <c r="Y354" s="9" t="str">
        <f t="shared" si="357"/>
        <v>xxx</v>
      </c>
    </row>
    <row r="355" spans="3:25" x14ac:dyDescent="0.2">
      <c r="C355">
        <v>354</v>
      </c>
      <c r="D355" t="s">
        <v>2796</v>
      </c>
      <c r="E355">
        <v>354</v>
      </c>
      <c r="S355" s="9">
        <v>1185</v>
      </c>
      <c r="T355" s="9">
        <v>853</v>
      </c>
      <c r="U355" s="9"/>
      <c r="V355" s="9"/>
      <c r="W355" s="9">
        <f t="shared" si="325"/>
        <v>853</v>
      </c>
      <c r="X355" s="9" t="str">
        <f t="shared" ref="X355:Y355" si="358">IF(W355&lt;&gt;T355,W355,IF(_xlfn.IFNA(VLOOKUP(T355,$M$2:$N$13,2,FALSE),U355)=0,"xxx",_xlfn.IFNA(VLOOKUP(T355,$M$2:$N$13,2,FALSE),U355)))</f>
        <v>xxx</v>
      </c>
      <c r="Y355" s="9" t="str">
        <f t="shared" si="358"/>
        <v>xxx</v>
      </c>
    </row>
    <row r="356" spans="3:25" x14ac:dyDescent="0.2">
      <c r="C356">
        <v>355</v>
      </c>
      <c r="D356" t="s">
        <v>2797</v>
      </c>
      <c r="E356">
        <v>355</v>
      </c>
      <c r="S356" s="9">
        <v>1186</v>
      </c>
      <c r="T356" s="9">
        <v>853</v>
      </c>
      <c r="U356" s="9">
        <v>274</v>
      </c>
      <c r="V356" s="9">
        <v>526</v>
      </c>
      <c r="W356" s="9">
        <f t="shared" si="325"/>
        <v>853</v>
      </c>
      <c r="X356" s="9">
        <f t="shared" ref="X356:Y356" si="359">IF(W356&lt;&gt;T356,W356,IF(_xlfn.IFNA(VLOOKUP(T356,$M$2:$N$13,2,FALSE),U356)=0,"xxx",_xlfn.IFNA(VLOOKUP(T356,$M$2:$N$13,2,FALSE),U356)))</f>
        <v>274</v>
      </c>
      <c r="Y356" s="9">
        <f t="shared" si="359"/>
        <v>526</v>
      </c>
    </row>
    <row r="357" spans="3:25" x14ac:dyDescent="0.2">
      <c r="C357">
        <v>356</v>
      </c>
      <c r="D357" t="s">
        <v>2798</v>
      </c>
      <c r="E357">
        <v>356</v>
      </c>
      <c r="S357" s="9">
        <v>1187</v>
      </c>
      <c r="T357" s="9">
        <v>853</v>
      </c>
      <c r="U357" s="9">
        <v>275</v>
      </c>
      <c r="V357" s="9">
        <v>527</v>
      </c>
      <c r="W357" s="9">
        <f t="shared" si="325"/>
        <v>853</v>
      </c>
      <c r="X357" s="9">
        <f t="shared" ref="X357:Y357" si="360">IF(W357&lt;&gt;T357,W357,IF(_xlfn.IFNA(VLOOKUP(T357,$M$2:$N$13,2,FALSE),U357)=0,"xxx",_xlfn.IFNA(VLOOKUP(T357,$M$2:$N$13,2,FALSE),U357)))</f>
        <v>275</v>
      </c>
      <c r="Y357" s="9">
        <f t="shared" si="360"/>
        <v>527</v>
      </c>
    </row>
    <row r="358" spans="3:25" x14ac:dyDescent="0.2">
      <c r="C358">
        <v>357</v>
      </c>
      <c r="D358" t="s">
        <v>2799</v>
      </c>
      <c r="E358">
        <v>357</v>
      </c>
      <c r="S358" s="9">
        <v>1188</v>
      </c>
      <c r="T358" s="9">
        <v>853</v>
      </c>
      <c r="U358" s="9">
        <v>278</v>
      </c>
      <c r="V358" s="9">
        <v>527</v>
      </c>
      <c r="W358" s="9">
        <f t="shared" si="325"/>
        <v>853</v>
      </c>
      <c r="X358" s="9">
        <f t="shared" ref="X358:Y358" si="361">IF(W358&lt;&gt;T358,W358,IF(_xlfn.IFNA(VLOOKUP(T358,$M$2:$N$13,2,FALSE),U358)=0,"xxx",_xlfn.IFNA(VLOOKUP(T358,$M$2:$N$13,2,FALSE),U358)))</f>
        <v>278</v>
      </c>
      <c r="Y358" s="9">
        <f t="shared" si="361"/>
        <v>527</v>
      </c>
    </row>
    <row r="359" spans="3:25" x14ac:dyDescent="0.2">
      <c r="C359">
        <v>358</v>
      </c>
      <c r="D359" t="s">
        <v>2800</v>
      </c>
      <c r="E359">
        <v>358</v>
      </c>
      <c r="S359" s="9">
        <v>1189</v>
      </c>
      <c r="T359" s="9">
        <v>853</v>
      </c>
      <c r="U359" s="9">
        <v>279</v>
      </c>
      <c r="V359" s="9">
        <v>531</v>
      </c>
      <c r="W359" s="9">
        <f t="shared" si="325"/>
        <v>853</v>
      </c>
      <c r="X359" s="9">
        <f t="shared" ref="X359:Y359" si="362">IF(W359&lt;&gt;T359,W359,IF(_xlfn.IFNA(VLOOKUP(T359,$M$2:$N$13,2,FALSE),U359)=0,"xxx",_xlfn.IFNA(VLOOKUP(T359,$M$2:$N$13,2,FALSE),U359)))</f>
        <v>279</v>
      </c>
      <c r="Y359" s="9">
        <f t="shared" si="362"/>
        <v>531</v>
      </c>
    </row>
    <row r="360" spans="3:25" x14ac:dyDescent="0.2">
      <c r="C360">
        <v>359</v>
      </c>
      <c r="D360" t="s">
        <v>2801</v>
      </c>
      <c r="E360">
        <v>359</v>
      </c>
      <c r="S360" s="9">
        <v>1190</v>
      </c>
      <c r="T360" s="9">
        <v>853</v>
      </c>
      <c r="U360" s="9"/>
      <c r="V360" s="9"/>
      <c r="W360" s="9">
        <f t="shared" si="325"/>
        <v>853</v>
      </c>
      <c r="X360" s="9" t="str">
        <f t="shared" ref="X360:Y360" si="363">IF(W360&lt;&gt;T360,W360,IF(_xlfn.IFNA(VLOOKUP(T360,$M$2:$N$13,2,FALSE),U360)=0,"xxx",_xlfn.IFNA(VLOOKUP(T360,$M$2:$N$13,2,FALSE),U360)))</f>
        <v>xxx</v>
      </c>
      <c r="Y360" s="9" t="str">
        <f t="shared" si="363"/>
        <v>xxx</v>
      </c>
    </row>
    <row r="361" spans="3:25" x14ac:dyDescent="0.2">
      <c r="C361">
        <v>360</v>
      </c>
      <c r="D361" t="s">
        <v>2802</v>
      </c>
      <c r="E361">
        <v>360</v>
      </c>
      <c r="S361" s="9">
        <v>1191</v>
      </c>
      <c r="T361" s="9">
        <v>853</v>
      </c>
      <c r="U361" s="9"/>
      <c r="V361" s="9"/>
      <c r="W361" s="9">
        <f t="shared" si="325"/>
        <v>853</v>
      </c>
      <c r="X361" s="9" t="str">
        <f t="shared" ref="X361:Y361" si="364">IF(W361&lt;&gt;T361,W361,IF(_xlfn.IFNA(VLOOKUP(T361,$M$2:$N$13,2,FALSE),U361)=0,"xxx",_xlfn.IFNA(VLOOKUP(T361,$M$2:$N$13,2,FALSE),U361)))</f>
        <v>xxx</v>
      </c>
      <c r="Y361" s="9" t="str">
        <f t="shared" si="364"/>
        <v>xxx</v>
      </c>
    </row>
    <row r="362" spans="3:25" x14ac:dyDescent="0.2">
      <c r="C362">
        <v>361</v>
      </c>
      <c r="D362" t="s">
        <v>2803</v>
      </c>
      <c r="E362">
        <v>361</v>
      </c>
      <c r="S362" s="9">
        <v>1192</v>
      </c>
      <c r="T362" s="9">
        <v>853</v>
      </c>
      <c r="U362" s="9"/>
      <c r="V362" s="9"/>
      <c r="W362" s="9">
        <f t="shared" si="325"/>
        <v>853</v>
      </c>
      <c r="X362" s="9" t="str">
        <f t="shared" ref="X362:Y362" si="365">IF(W362&lt;&gt;T362,W362,IF(_xlfn.IFNA(VLOOKUP(T362,$M$2:$N$13,2,FALSE),U362)=0,"xxx",_xlfn.IFNA(VLOOKUP(T362,$M$2:$N$13,2,FALSE),U362)))</f>
        <v>xxx</v>
      </c>
      <c r="Y362" s="9" t="str">
        <f t="shared" si="365"/>
        <v>xxx</v>
      </c>
    </row>
    <row r="363" spans="3:25" x14ac:dyDescent="0.2">
      <c r="C363">
        <v>362</v>
      </c>
      <c r="D363" t="s">
        <v>2804</v>
      </c>
      <c r="E363">
        <v>362</v>
      </c>
      <c r="S363" s="9">
        <v>1193</v>
      </c>
      <c r="T363" s="9">
        <v>853</v>
      </c>
      <c r="U363" s="9"/>
      <c r="V363" s="9"/>
      <c r="W363" s="9">
        <f t="shared" si="325"/>
        <v>853</v>
      </c>
      <c r="X363" s="9" t="str">
        <f t="shared" ref="X363:Y363" si="366">IF(W363&lt;&gt;T363,W363,IF(_xlfn.IFNA(VLOOKUP(T363,$M$2:$N$13,2,FALSE),U363)=0,"xxx",_xlfn.IFNA(VLOOKUP(T363,$M$2:$N$13,2,FALSE),U363)))</f>
        <v>xxx</v>
      </c>
      <c r="Y363" s="9" t="str">
        <f t="shared" si="366"/>
        <v>xxx</v>
      </c>
    </row>
    <row r="364" spans="3:25" x14ac:dyDescent="0.2">
      <c r="C364">
        <v>363</v>
      </c>
      <c r="D364" t="s">
        <v>2805</v>
      </c>
      <c r="E364">
        <v>363</v>
      </c>
      <c r="S364" s="9">
        <v>1194</v>
      </c>
      <c r="T364" s="9">
        <v>853</v>
      </c>
      <c r="U364" s="9"/>
      <c r="V364" s="9"/>
      <c r="W364" s="9">
        <f t="shared" si="325"/>
        <v>853</v>
      </c>
      <c r="X364" s="9" t="str">
        <f t="shared" ref="X364:Y364" si="367">IF(W364&lt;&gt;T364,W364,IF(_xlfn.IFNA(VLOOKUP(T364,$M$2:$N$13,2,FALSE),U364)=0,"xxx",_xlfn.IFNA(VLOOKUP(T364,$M$2:$N$13,2,FALSE),U364)))</f>
        <v>xxx</v>
      </c>
      <c r="Y364" s="9" t="str">
        <f t="shared" si="367"/>
        <v>xxx</v>
      </c>
    </row>
    <row r="365" spans="3:25" x14ac:dyDescent="0.2">
      <c r="C365">
        <v>364</v>
      </c>
      <c r="D365" t="s">
        <v>2806</v>
      </c>
      <c r="E365">
        <v>364</v>
      </c>
      <c r="S365" s="9">
        <v>1195</v>
      </c>
      <c r="T365" s="9">
        <v>853</v>
      </c>
      <c r="U365" s="9"/>
      <c r="V365" s="9"/>
      <c r="W365" s="9">
        <f t="shared" si="325"/>
        <v>853</v>
      </c>
      <c r="X365" s="9" t="str">
        <f t="shared" ref="X365:Y365" si="368">IF(W365&lt;&gt;T365,W365,IF(_xlfn.IFNA(VLOOKUP(T365,$M$2:$N$13,2,FALSE),U365)=0,"xxx",_xlfn.IFNA(VLOOKUP(T365,$M$2:$N$13,2,FALSE),U365)))</f>
        <v>xxx</v>
      </c>
      <c r="Y365" s="9" t="str">
        <f t="shared" si="368"/>
        <v>xxx</v>
      </c>
    </row>
    <row r="366" spans="3:25" x14ac:dyDescent="0.2">
      <c r="C366">
        <v>365</v>
      </c>
      <c r="D366" t="s">
        <v>2807</v>
      </c>
      <c r="E366">
        <v>365</v>
      </c>
      <c r="S366" s="9">
        <v>1196</v>
      </c>
      <c r="T366" s="9">
        <v>853</v>
      </c>
      <c r="U366" s="9"/>
      <c r="V366" s="9"/>
      <c r="W366" s="9">
        <f t="shared" si="325"/>
        <v>853</v>
      </c>
      <c r="X366" s="9" t="str">
        <f t="shared" ref="X366:Y366" si="369">IF(W366&lt;&gt;T366,W366,IF(_xlfn.IFNA(VLOOKUP(T366,$M$2:$N$13,2,FALSE),U366)=0,"xxx",_xlfn.IFNA(VLOOKUP(T366,$M$2:$N$13,2,FALSE),U366)))</f>
        <v>xxx</v>
      </c>
      <c r="Y366" s="9" t="str">
        <f t="shared" si="369"/>
        <v>xxx</v>
      </c>
    </row>
    <row r="367" spans="3:25" x14ac:dyDescent="0.2">
      <c r="C367">
        <v>366</v>
      </c>
      <c r="D367" t="s">
        <v>2808</v>
      </c>
      <c r="E367">
        <v>366</v>
      </c>
      <c r="S367" s="9">
        <v>1197</v>
      </c>
      <c r="T367" s="9">
        <v>853</v>
      </c>
      <c r="U367" s="9"/>
      <c r="V367" s="9"/>
      <c r="W367" s="9">
        <f t="shared" si="325"/>
        <v>853</v>
      </c>
      <c r="X367" s="9" t="str">
        <f t="shared" ref="X367:Y367" si="370">IF(W367&lt;&gt;T367,W367,IF(_xlfn.IFNA(VLOOKUP(T367,$M$2:$N$13,2,FALSE),U367)=0,"xxx",_xlfn.IFNA(VLOOKUP(T367,$M$2:$N$13,2,FALSE),U367)))</f>
        <v>xxx</v>
      </c>
      <c r="Y367" s="9" t="str">
        <f t="shared" si="370"/>
        <v>xxx</v>
      </c>
    </row>
    <row r="368" spans="3:25" x14ac:dyDescent="0.2">
      <c r="C368">
        <v>367</v>
      </c>
      <c r="D368" t="s">
        <v>2809</v>
      </c>
      <c r="E368">
        <v>367</v>
      </c>
      <c r="S368" s="9">
        <v>1198</v>
      </c>
      <c r="T368" s="9">
        <v>853</v>
      </c>
      <c r="U368" s="9"/>
      <c r="V368" s="9"/>
      <c r="W368" s="9">
        <f t="shared" si="325"/>
        <v>853</v>
      </c>
      <c r="X368" s="9" t="str">
        <f t="shared" ref="X368:Y368" si="371">IF(W368&lt;&gt;T368,W368,IF(_xlfn.IFNA(VLOOKUP(T368,$M$2:$N$13,2,FALSE),U368)=0,"xxx",_xlfn.IFNA(VLOOKUP(T368,$M$2:$N$13,2,FALSE),U368)))</f>
        <v>xxx</v>
      </c>
      <c r="Y368" s="9" t="str">
        <f t="shared" si="371"/>
        <v>xxx</v>
      </c>
    </row>
    <row r="369" spans="3:25" x14ac:dyDescent="0.2">
      <c r="C369">
        <v>368</v>
      </c>
      <c r="D369" t="s">
        <v>2810</v>
      </c>
      <c r="E369">
        <v>368</v>
      </c>
      <c r="S369" s="9">
        <v>1199</v>
      </c>
      <c r="T369" s="9">
        <v>853</v>
      </c>
      <c r="U369" s="9"/>
      <c r="V369" s="9"/>
      <c r="W369" s="9">
        <f t="shared" si="325"/>
        <v>853</v>
      </c>
      <c r="X369" s="9" t="str">
        <f t="shared" ref="X369:Y369" si="372">IF(W369&lt;&gt;T369,W369,IF(_xlfn.IFNA(VLOOKUP(T369,$M$2:$N$13,2,FALSE),U369)=0,"xxx",_xlfn.IFNA(VLOOKUP(T369,$M$2:$N$13,2,FALSE),U369)))</f>
        <v>xxx</v>
      </c>
      <c r="Y369" s="9" t="str">
        <f t="shared" si="372"/>
        <v>xxx</v>
      </c>
    </row>
    <row r="370" spans="3:25" x14ac:dyDescent="0.2">
      <c r="C370">
        <v>369</v>
      </c>
      <c r="D370" t="s">
        <v>2811</v>
      </c>
      <c r="E370">
        <v>369</v>
      </c>
      <c r="S370" s="9">
        <v>1200</v>
      </c>
      <c r="T370" s="9">
        <v>853</v>
      </c>
      <c r="U370" s="9"/>
      <c r="V370" s="9"/>
      <c r="W370" s="9">
        <f t="shared" si="325"/>
        <v>853</v>
      </c>
      <c r="X370" s="9" t="str">
        <f t="shared" ref="X370:Y370" si="373">IF(W370&lt;&gt;T370,W370,IF(_xlfn.IFNA(VLOOKUP(T370,$M$2:$N$13,2,FALSE),U370)=0,"xxx",_xlfn.IFNA(VLOOKUP(T370,$M$2:$N$13,2,FALSE),U370)))</f>
        <v>xxx</v>
      </c>
      <c r="Y370" s="9" t="str">
        <f t="shared" si="373"/>
        <v>xxx</v>
      </c>
    </row>
    <row r="371" spans="3:25" x14ac:dyDescent="0.2">
      <c r="C371">
        <v>370</v>
      </c>
      <c r="D371" t="s">
        <v>2812</v>
      </c>
      <c r="E371">
        <v>370</v>
      </c>
      <c r="S371" s="9">
        <v>1201</v>
      </c>
      <c r="T371" s="9">
        <v>853</v>
      </c>
      <c r="U371" s="9"/>
      <c r="V371" s="9"/>
      <c r="W371" s="9">
        <f t="shared" si="325"/>
        <v>853</v>
      </c>
      <c r="X371" s="9" t="str">
        <f t="shared" ref="X371:Y371" si="374">IF(W371&lt;&gt;T371,W371,IF(_xlfn.IFNA(VLOOKUP(T371,$M$2:$N$13,2,FALSE),U371)=0,"xxx",_xlfn.IFNA(VLOOKUP(T371,$M$2:$N$13,2,FALSE),U371)))</f>
        <v>xxx</v>
      </c>
      <c r="Y371" s="9" t="str">
        <f t="shared" si="374"/>
        <v>xxx</v>
      </c>
    </row>
    <row r="372" spans="3:25" x14ac:dyDescent="0.2">
      <c r="C372">
        <v>371</v>
      </c>
      <c r="D372" t="s">
        <v>2813</v>
      </c>
      <c r="E372">
        <v>371</v>
      </c>
      <c r="S372" s="9">
        <v>1202</v>
      </c>
      <c r="T372" s="9">
        <v>853</v>
      </c>
      <c r="U372" s="9"/>
      <c r="V372" s="9"/>
      <c r="W372" s="9">
        <f t="shared" si="325"/>
        <v>853</v>
      </c>
      <c r="X372" s="9" t="str">
        <f t="shared" ref="X372:Y372" si="375">IF(W372&lt;&gt;T372,W372,IF(_xlfn.IFNA(VLOOKUP(T372,$M$2:$N$13,2,FALSE),U372)=0,"xxx",_xlfn.IFNA(VLOOKUP(T372,$M$2:$N$13,2,FALSE),U372)))</f>
        <v>xxx</v>
      </c>
      <c r="Y372" s="9" t="str">
        <f t="shared" si="375"/>
        <v>xxx</v>
      </c>
    </row>
    <row r="373" spans="3:25" x14ac:dyDescent="0.2">
      <c r="C373">
        <v>372</v>
      </c>
      <c r="D373" t="s">
        <v>2814</v>
      </c>
      <c r="E373">
        <v>372</v>
      </c>
      <c r="S373" s="9">
        <v>1203</v>
      </c>
      <c r="T373" s="9">
        <v>853</v>
      </c>
      <c r="U373" s="9"/>
      <c r="V373" s="9"/>
      <c r="W373" s="9">
        <f t="shared" si="325"/>
        <v>853</v>
      </c>
      <c r="X373" s="9" t="str">
        <f t="shared" ref="X373:Y373" si="376">IF(W373&lt;&gt;T373,W373,IF(_xlfn.IFNA(VLOOKUP(T373,$M$2:$N$13,2,FALSE),U373)=0,"xxx",_xlfn.IFNA(VLOOKUP(T373,$M$2:$N$13,2,FALSE),U373)))</f>
        <v>xxx</v>
      </c>
      <c r="Y373" s="9" t="str">
        <f t="shared" si="376"/>
        <v>xxx</v>
      </c>
    </row>
    <row r="374" spans="3:25" x14ac:dyDescent="0.2">
      <c r="C374">
        <v>373</v>
      </c>
      <c r="D374" t="s">
        <v>2815</v>
      </c>
      <c r="E374">
        <v>373</v>
      </c>
      <c r="S374" s="9">
        <v>1204</v>
      </c>
      <c r="T374" s="9">
        <v>853</v>
      </c>
      <c r="U374" s="9"/>
      <c r="V374" s="9"/>
      <c r="W374" s="9">
        <f t="shared" si="325"/>
        <v>853</v>
      </c>
      <c r="X374" s="9" t="str">
        <f t="shared" ref="X374:Y374" si="377">IF(W374&lt;&gt;T374,W374,IF(_xlfn.IFNA(VLOOKUP(T374,$M$2:$N$13,2,FALSE),U374)=0,"xxx",_xlfn.IFNA(VLOOKUP(T374,$M$2:$N$13,2,FALSE),U374)))</f>
        <v>xxx</v>
      </c>
      <c r="Y374" s="9" t="str">
        <f t="shared" si="377"/>
        <v>xxx</v>
      </c>
    </row>
    <row r="375" spans="3:25" x14ac:dyDescent="0.2">
      <c r="C375">
        <v>374</v>
      </c>
      <c r="D375" t="s">
        <v>2816</v>
      </c>
      <c r="E375">
        <v>374</v>
      </c>
      <c r="S375" s="9">
        <v>1205</v>
      </c>
      <c r="T375" s="9">
        <v>853</v>
      </c>
      <c r="U375" s="9"/>
      <c r="V375" s="9"/>
      <c r="W375" s="9">
        <f t="shared" si="325"/>
        <v>853</v>
      </c>
      <c r="X375" s="9" t="str">
        <f t="shared" ref="X375:Y375" si="378">IF(W375&lt;&gt;T375,W375,IF(_xlfn.IFNA(VLOOKUP(T375,$M$2:$N$13,2,FALSE),U375)=0,"xxx",_xlfn.IFNA(VLOOKUP(T375,$M$2:$N$13,2,FALSE),U375)))</f>
        <v>xxx</v>
      </c>
      <c r="Y375" s="9" t="str">
        <f t="shared" si="378"/>
        <v>xxx</v>
      </c>
    </row>
    <row r="376" spans="3:25" x14ac:dyDescent="0.2">
      <c r="C376">
        <v>375</v>
      </c>
      <c r="D376" t="s">
        <v>2817</v>
      </c>
      <c r="E376">
        <v>375</v>
      </c>
      <c r="S376" s="9">
        <v>1206</v>
      </c>
      <c r="T376" s="9">
        <v>853</v>
      </c>
      <c r="U376" s="9">
        <v>312</v>
      </c>
      <c r="V376" s="9">
        <v>522</v>
      </c>
      <c r="W376" s="9">
        <f t="shared" si="325"/>
        <v>853</v>
      </c>
      <c r="X376" s="9">
        <f t="shared" ref="X376:Y376" si="379">IF(W376&lt;&gt;T376,W376,IF(_xlfn.IFNA(VLOOKUP(T376,$M$2:$N$13,2,FALSE),U376)=0,"xxx",_xlfn.IFNA(VLOOKUP(T376,$M$2:$N$13,2,FALSE),U376)))</f>
        <v>312</v>
      </c>
      <c r="Y376" s="9">
        <f t="shared" si="379"/>
        <v>522</v>
      </c>
    </row>
    <row r="377" spans="3:25" x14ac:dyDescent="0.2">
      <c r="C377">
        <v>376</v>
      </c>
      <c r="D377" t="s">
        <v>2818</v>
      </c>
      <c r="E377">
        <v>376</v>
      </c>
      <c r="S377" s="9">
        <v>1207</v>
      </c>
      <c r="T377" s="9">
        <v>853</v>
      </c>
      <c r="U377" s="9">
        <v>313</v>
      </c>
      <c r="V377" s="9">
        <v>523</v>
      </c>
      <c r="W377" s="9">
        <f t="shared" si="325"/>
        <v>853</v>
      </c>
      <c r="X377" s="9">
        <f t="shared" ref="X377:Y377" si="380">IF(W377&lt;&gt;T377,W377,IF(_xlfn.IFNA(VLOOKUP(T377,$M$2:$N$13,2,FALSE),U377)=0,"xxx",_xlfn.IFNA(VLOOKUP(T377,$M$2:$N$13,2,FALSE),U377)))</f>
        <v>313</v>
      </c>
      <c r="Y377" s="9">
        <f t="shared" si="380"/>
        <v>523</v>
      </c>
    </row>
    <row r="378" spans="3:25" x14ac:dyDescent="0.2">
      <c r="C378">
        <v>377</v>
      </c>
      <c r="D378" t="s">
        <v>2819</v>
      </c>
      <c r="E378">
        <v>377</v>
      </c>
      <c r="S378" s="9">
        <v>1208</v>
      </c>
      <c r="T378" s="9">
        <v>853</v>
      </c>
      <c r="U378" s="9">
        <v>315</v>
      </c>
      <c r="V378" s="9">
        <v>525</v>
      </c>
      <c r="W378" s="9">
        <f t="shared" si="325"/>
        <v>853</v>
      </c>
      <c r="X378" s="9">
        <f t="shared" ref="X378:Y378" si="381">IF(W378&lt;&gt;T378,W378,IF(_xlfn.IFNA(VLOOKUP(T378,$M$2:$N$13,2,FALSE),U378)=0,"xxx",_xlfn.IFNA(VLOOKUP(T378,$M$2:$N$13,2,FALSE),U378)))</f>
        <v>315</v>
      </c>
      <c r="Y378" s="9">
        <f t="shared" si="381"/>
        <v>525</v>
      </c>
    </row>
    <row r="379" spans="3:25" x14ac:dyDescent="0.2">
      <c r="C379">
        <v>378</v>
      </c>
      <c r="D379" t="s">
        <v>2820</v>
      </c>
      <c r="E379">
        <v>378</v>
      </c>
      <c r="S379" s="9">
        <v>1209</v>
      </c>
      <c r="T379" s="9">
        <v>853</v>
      </c>
      <c r="U379" s="9">
        <v>318</v>
      </c>
      <c r="V379" s="9">
        <v>528</v>
      </c>
      <c r="W379" s="9">
        <f t="shared" si="325"/>
        <v>853</v>
      </c>
      <c r="X379" s="9">
        <f t="shared" ref="X379:Y379" si="382">IF(W379&lt;&gt;T379,W379,IF(_xlfn.IFNA(VLOOKUP(T379,$M$2:$N$13,2,FALSE),U379)=0,"xxx",_xlfn.IFNA(VLOOKUP(T379,$M$2:$N$13,2,FALSE),U379)))</f>
        <v>318</v>
      </c>
      <c r="Y379" s="9">
        <f t="shared" si="382"/>
        <v>528</v>
      </c>
    </row>
    <row r="380" spans="3:25" x14ac:dyDescent="0.2">
      <c r="C380">
        <v>379</v>
      </c>
      <c r="D380" t="s">
        <v>2821</v>
      </c>
      <c r="E380">
        <v>379</v>
      </c>
      <c r="S380" s="9">
        <v>1210</v>
      </c>
      <c r="T380" s="9">
        <v>853</v>
      </c>
      <c r="U380" s="9"/>
      <c r="V380" s="9"/>
      <c r="W380" s="9">
        <f t="shared" si="325"/>
        <v>853</v>
      </c>
      <c r="X380" s="9" t="str">
        <f t="shared" ref="X380:Y380" si="383">IF(W380&lt;&gt;T380,W380,IF(_xlfn.IFNA(VLOOKUP(T380,$M$2:$N$13,2,FALSE),U380)=0,"xxx",_xlfn.IFNA(VLOOKUP(T380,$M$2:$N$13,2,FALSE),U380)))</f>
        <v>xxx</v>
      </c>
      <c r="Y380" s="9" t="str">
        <f t="shared" si="383"/>
        <v>xxx</v>
      </c>
    </row>
    <row r="381" spans="3:25" x14ac:dyDescent="0.2">
      <c r="C381">
        <v>380</v>
      </c>
      <c r="D381" t="s">
        <v>2822</v>
      </c>
      <c r="E381">
        <v>380</v>
      </c>
      <c r="S381" s="9">
        <v>1211</v>
      </c>
      <c r="T381" s="9">
        <v>853</v>
      </c>
      <c r="U381" s="9">
        <v>829</v>
      </c>
      <c r="V381" s="9">
        <v>829</v>
      </c>
      <c r="W381" s="9">
        <f t="shared" si="325"/>
        <v>853</v>
      </c>
      <c r="X381" s="9">
        <f t="shared" ref="X381:Y381" si="384">IF(W381&lt;&gt;T381,W381,IF(_xlfn.IFNA(VLOOKUP(T381,$M$2:$N$13,2,FALSE),U381)=0,"xxx",_xlfn.IFNA(VLOOKUP(T381,$M$2:$N$13,2,FALSE),U381)))</f>
        <v>829</v>
      </c>
      <c r="Y381" s="9">
        <f t="shared" si="384"/>
        <v>829</v>
      </c>
    </row>
    <row r="382" spans="3:25" x14ac:dyDescent="0.2">
      <c r="C382">
        <v>381</v>
      </c>
      <c r="D382" t="s">
        <v>2823</v>
      </c>
      <c r="E382">
        <v>381</v>
      </c>
      <c r="S382" s="9">
        <v>1212</v>
      </c>
      <c r="T382" s="9">
        <v>853</v>
      </c>
      <c r="U382" s="9">
        <v>272</v>
      </c>
      <c r="V382" s="9">
        <v>524</v>
      </c>
      <c r="W382" s="9">
        <f t="shared" si="325"/>
        <v>853</v>
      </c>
      <c r="X382" s="9">
        <f t="shared" ref="X382:Y382" si="385">IF(W382&lt;&gt;T382,W382,IF(_xlfn.IFNA(VLOOKUP(T382,$M$2:$N$13,2,FALSE),U382)=0,"xxx",_xlfn.IFNA(VLOOKUP(T382,$M$2:$N$13,2,FALSE),U382)))</f>
        <v>272</v>
      </c>
      <c r="Y382" s="9">
        <f t="shared" si="385"/>
        <v>524</v>
      </c>
    </row>
    <row r="383" spans="3:25" x14ac:dyDescent="0.2">
      <c r="C383">
        <v>382</v>
      </c>
      <c r="D383" t="s">
        <v>2824</v>
      </c>
      <c r="E383">
        <v>382</v>
      </c>
      <c r="S383" s="9">
        <v>1213</v>
      </c>
      <c r="T383" s="9">
        <v>853</v>
      </c>
      <c r="U383" s="9">
        <v>276</v>
      </c>
      <c r="V383" s="9">
        <v>528</v>
      </c>
      <c r="W383" s="9">
        <f t="shared" si="325"/>
        <v>853</v>
      </c>
      <c r="X383" s="9">
        <f t="shared" ref="X383:Y383" si="386">IF(W383&lt;&gt;T383,W383,IF(_xlfn.IFNA(VLOOKUP(T383,$M$2:$N$13,2,FALSE),U383)=0,"xxx",_xlfn.IFNA(VLOOKUP(T383,$M$2:$N$13,2,FALSE),U383)))</f>
        <v>276</v>
      </c>
      <c r="Y383" s="9">
        <f t="shared" si="386"/>
        <v>528</v>
      </c>
    </row>
    <row r="384" spans="3:25" x14ac:dyDescent="0.2">
      <c r="C384">
        <v>383</v>
      </c>
      <c r="D384" t="s">
        <v>2825</v>
      </c>
      <c r="E384">
        <v>383</v>
      </c>
      <c r="S384" s="9">
        <v>1214</v>
      </c>
      <c r="T384" s="9">
        <v>853</v>
      </c>
      <c r="U384" s="9">
        <v>276</v>
      </c>
      <c r="V384" s="9">
        <v>528</v>
      </c>
      <c r="W384" s="9">
        <f t="shared" si="325"/>
        <v>853</v>
      </c>
      <c r="X384" s="9">
        <f t="shared" ref="X384:Y384" si="387">IF(W384&lt;&gt;T384,W384,IF(_xlfn.IFNA(VLOOKUP(T384,$M$2:$N$13,2,FALSE),U384)=0,"xxx",_xlfn.IFNA(VLOOKUP(T384,$M$2:$N$13,2,FALSE),U384)))</f>
        <v>276</v>
      </c>
      <c r="Y384" s="9">
        <f t="shared" si="387"/>
        <v>528</v>
      </c>
    </row>
    <row r="385" spans="3:25" x14ac:dyDescent="0.2">
      <c r="C385">
        <v>384</v>
      </c>
      <c r="D385" t="s">
        <v>2826</v>
      </c>
      <c r="E385">
        <v>384</v>
      </c>
      <c r="S385" s="9">
        <v>1215</v>
      </c>
      <c r="T385" s="9">
        <v>853</v>
      </c>
      <c r="U385" s="9">
        <v>277</v>
      </c>
      <c r="V385" s="9">
        <v>529</v>
      </c>
      <c r="W385" s="9">
        <f t="shared" si="325"/>
        <v>853</v>
      </c>
      <c r="X385" s="9">
        <f t="shared" ref="X385:Y385" si="388">IF(W385&lt;&gt;T385,W385,IF(_xlfn.IFNA(VLOOKUP(T385,$M$2:$N$13,2,FALSE),U385)=0,"xxx",_xlfn.IFNA(VLOOKUP(T385,$M$2:$N$13,2,FALSE),U385)))</f>
        <v>277</v>
      </c>
      <c r="Y385" s="9">
        <f t="shared" si="388"/>
        <v>529</v>
      </c>
    </row>
    <row r="386" spans="3:25" x14ac:dyDescent="0.2">
      <c r="C386">
        <v>385</v>
      </c>
      <c r="D386" t="s">
        <v>2827</v>
      </c>
      <c r="E386">
        <v>385</v>
      </c>
      <c r="S386" s="9">
        <v>1216</v>
      </c>
      <c r="T386" s="9">
        <v>853</v>
      </c>
      <c r="U386" s="9">
        <v>277</v>
      </c>
      <c r="V386" s="9">
        <v>529</v>
      </c>
      <c r="W386" s="9">
        <f t="shared" si="325"/>
        <v>853</v>
      </c>
      <c r="X386" s="9">
        <f t="shared" ref="X386:Y386" si="389">IF(W386&lt;&gt;T386,W386,IF(_xlfn.IFNA(VLOOKUP(T386,$M$2:$N$13,2,FALSE),U386)=0,"xxx",_xlfn.IFNA(VLOOKUP(T386,$M$2:$N$13,2,FALSE),U386)))</f>
        <v>277</v>
      </c>
      <c r="Y386" s="9">
        <f t="shared" si="389"/>
        <v>529</v>
      </c>
    </row>
    <row r="387" spans="3:25" x14ac:dyDescent="0.2">
      <c r="C387">
        <v>386</v>
      </c>
      <c r="D387" t="s">
        <v>2828</v>
      </c>
      <c r="E387">
        <v>386</v>
      </c>
      <c r="S387" s="9">
        <v>1217</v>
      </c>
      <c r="T387" s="9">
        <v>853</v>
      </c>
      <c r="U387" s="9"/>
      <c r="V387" s="9"/>
      <c r="W387" s="9">
        <f t="shared" ref="W387:W450" si="390">IF(_xlfn.IFNA(VLOOKUP(S387,$M$2:$N$13,2,FALSE),T387)=0,"xxx",_xlfn.IFNA(VLOOKUP(S387,$M$2:$N$13,2,FALSE),T387))</f>
        <v>853</v>
      </c>
      <c r="X387" s="9" t="str">
        <f t="shared" ref="X387:Y387" si="391">IF(W387&lt;&gt;T387,W387,IF(_xlfn.IFNA(VLOOKUP(T387,$M$2:$N$13,2,FALSE),U387)=0,"xxx",_xlfn.IFNA(VLOOKUP(T387,$M$2:$N$13,2,FALSE),U387)))</f>
        <v>xxx</v>
      </c>
      <c r="Y387" s="9" t="str">
        <f t="shared" si="391"/>
        <v>xxx</v>
      </c>
    </row>
    <row r="388" spans="3:25" x14ac:dyDescent="0.2">
      <c r="C388">
        <v>387</v>
      </c>
      <c r="D388" t="s">
        <v>2829</v>
      </c>
      <c r="E388">
        <v>387</v>
      </c>
      <c r="S388" s="9">
        <v>1218</v>
      </c>
      <c r="T388" s="9">
        <v>853</v>
      </c>
      <c r="U388" s="9"/>
      <c r="V388" s="9"/>
      <c r="W388" s="9">
        <f t="shared" si="390"/>
        <v>853</v>
      </c>
      <c r="X388" s="9" t="str">
        <f t="shared" ref="X388:Y388" si="392">IF(W388&lt;&gt;T388,W388,IF(_xlfn.IFNA(VLOOKUP(T388,$M$2:$N$13,2,FALSE),U388)=0,"xxx",_xlfn.IFNA(VLOOKUP(T388,$M$2:$N$13,2,FALSE),U388)))</f>
        <v>xxx</v>
      </c>
      <c r="Y388" s="9" t="str">
        <f t="shared" si="392"/>
        <v>xxx</v>
      </c>
    </row>
    <row r="389" spans="3:25" x14ac:dyDescent="0.2">
      <c r="C389">
        <v>388</v>
      </c>
      <c r="D389" t="s">
        <v>2830</v>
      </c>
      <c r="E389">
        <v>388</v>
      </c>
      <c r="S389" s="9">
        <v>1219</v>
      </c>
      <c r="T389" s="9">
        <v>853</v>
      </c>
      <c r="U389" s="9"/>
      <c r="V389" s="9"/>
      <c r="W389" s="9">
        <f t="shared" si="390"/>
        <v>853</v>
      </c>
      <c r="X389" s="9" t="str">
        <f t="shared" ref="X389:Y389" si="393">IF(W389&lt;&gt;T389,W389,IF(_xlfn.IFNA(VLOOKUP(T389,$M$2:$N$13,2,FALSE),U389)=0,"xxx",_xlfn.IFNA(VLOOKUP(T389,$M$2:$N$13,2,FALSE),U389)))</f>
        <v>xxx</v>
      </c>
      <c r="Y389" s="9" t="str">
        <f t="shared" si="393"/>
        <v>xxx</v>
      </c>
    </row>
    <row r="390" spans="3:25" x14ac:dyDescent="0.2">
      <c r="C390">
        <v>389</v>
      </c>
      <c r="D390" t="s">
        <v>2831</v>
      </c>
      <c r="E390">
        <v>389</v>
      </c>
      <c r="S390" s="9">
        <v>1220</v>
      </c>
      <c r="T390" s="9">
        <v>853</v>
      </c>
      <c r="U390" s="9"/>
      <c r="V390" s="9"/>
      <c r="W390" s="9">
        <f t="shared" si="390"/>
        <v>853</v>
      </c>
      <c r="X390" s="9" t="str">
        <f t="shared" ref="X390:Y390" si="394">IF(W390&lt;&gt;T390,W390,IF(_xlfn.IFNA(VLOOKUP(T390,$M$2:$N$13,2,FALSE),U390)=0,"xxx",_xlfn.IFNA(VLOOKUP(T390,$M$2:$N$13,2,FALSE),U390)))</f>
        <v>xxx</v>
      </c>
      <c r="Y390" s="9" t="str">
        <f t="shared" si="394"/>
        <v>xxx</v>
      </c>
    </row>
    <row r="391" spans="3:25" x14ac:dyDescent="0.2">
      <c r="C391">
        <v>390</v>
      </c>
      <c r="D391" t="s">
        <v>2832</v>
      </c>
      <c r="E391">
        <v>390</v>
      </c>
      <c r="S391" s="9">
        <v>1221</v>
      </c>
      <c r="T391" s="9">
        <v>853</v>
      </c>
      <c r="U391" s="9"/>
      <c r="V391" s="9"/>
      <c r="W391" s="9">
        <f t="shared" si="390"/>
        <v>853</v>
      </c>
      <c r="X391" s="9" t="str">
        <f t="shared" ref="X391:Y391" si="395">IF(W391&lt;&gt;T391,W391,IF(_xlfn.IFNA(VLOOKUP(T391,$M$2:$N$13,2,FALSE),U391)=0,"xxx",_xlfn.IFNA(VLOOKUP(T391,$M$2:$N$13,2,FALSE),U391)))</f>
        <v>xxx</v>
      </c>
      <c r="Y391" s="9" t="str">
        <f t="shared" si="395"/>
        <v>xxx</v>
      </c>
    </row>
    <row r="392" spans="3:25" x14ac:dyDescent="0.2">
      <c r="C392">
        <v>391</v>
      </c>
      <c r="D392" t="s">
        <v>2833</v>
      </c>
      <c r="E392">
        <v>391</v>
      </c>
      <c r="S392" s="9">
        <v>1222</v>
      </c>
      <c r="T392" s="9">
        <v>853</v>
      </c>
      <c r="U392" s="9"/>
      <c r="V392" s="9"/>
      <c r="W392" s="9">
        <f t="shared" si="390"/>
        <v>853</v>
      </c>
      <c r="X392" s="9" t="str">
        <f t="shared" ref="X392:Y392" si="396">IF(W392&lt;&gt;T392,W392,IF(_xlfn.IFNA(VLOOKUP(T392,$M$2:$N$13,2,FALSE),U392)=0,"xxx",_xlfn.IFNA(VLOOKUP(T392,$M$2:$N$13,2,FALSE),U392)))</f>
        <v>xxx</v>
      </c>
      <c r="Y392" s="9" t="str">
        <f t="shared" si="396"/>
        <v>xxx</v>
      </c>
    </row>
    <row r="393" spans="3:25" x14ac:dyDescent="0.2">
      <c r="C393">
        <v>392</v>
      </c>
      <c r="D393" t="s">
        <v>2834</v>
      </c>
      <c r="E393">
        <v>392</v>
      </c>
      <c r="S393" s="9">
        <v>1223</v>
      </c>
      <c r="T393" s="9">
        <v>853</v>
      </c>
      <c r="U393" s="9"/>
      <c r="V393" s="9"/>
      <c r="W393" s="9">
        <f t="shared" si="390"/>
        <v>853</v>
      </c>
      <c r="X393" s="9" t="str">
        <f t="shared" ref="X393:Y393" si="397">IF(W393&lt;&gt;T393,W393,IF(_xlfn.IFNA(VLOOKUP(T393,$M$2:$N$13,2,FALSE),U393)=0,"xxx",_xlfn.IFNA(VLOOKUP(T393,$M$2:$N$13,2,FALSE),U393)))</f>
        <v>xxx</v>
      </c>
      <c r="Y393" s="9" t="str">
        <f t="shared" si="397"/>
        <v>xxx</v>
      </c>
    </row>
    <row r="394" spans="3:25" x14ac:dyDescent="0.2">
      <c r="C394">
        <v>393</v>
      </c>
      <c r="D394" t="s">
        <v>2835</v>
      </c>
      <c r="E394">
        <v>393</v>
      </c>
      <c r="S394" s="9">
        <v>1224</v>
      </c>
      <c r="T394" s="9">
        <v>853</v>
      </c>
      <c r="U394" s="9"/>
      <c r="V394" s="9"/>
      <c r="W394" s="9">
        <f t="shared" si="390"/>
        <v>853</v>
      </c>
      <c r="X394" s="9" t="str">
        <f t="shared" ref="X394:Y394" si="398">IF(W394&lt;&gt;T394,W394,IF(_xlfn.IFNA(VLOOKUP(T394,$M$2:$N$13,2,FALSE),U394)=0,"xxx",_xlfn.IFNA(VLOOKUP(T394,$M$2:$N$13,2,FALSE),U394)))</f>
        <v>xxx</v>
      </c>
      <c r="Y394" s="9" t="str">
        <f t="shared" si="398"/>
        <v>xxx</v>
      </c>
    </row>
    <row r="395" spans="3:25" x14ac:dyDescent="0.2">
      <c r="C395">
        <v>394</v>
      </c>
      <c r="D395" t="s">
        <v>2836</v>
      </c>
      <c r="E395">
        <v>394</v>
      </c>
      <c r="S395" s="9">
        <v>1225</v>
      </c>
      <c r="T395" s="9">
        <v>853</v>
      </c>
      <c r="U395" s="9"/>
      <c r="V395" s="9"/>
      <c r="W395" s="9">
        <f t="shared" si="390"/>
        <v>853</v>
      </c>
      <c r="X395" s="9" t="str">
        <f t="shared" ref="X395:Y395" si="399">IF(W395&lt;&gt;T395,W395,IF(_xlfn.IFNA(VLOOKUP(T395,$M$2:$N$13,2,FALSE),U395)=0,"xxx",_xlfn.IFNA(VLOOKUP(T395,$M$2:$N$13,2,FALSE),U395)))</f>
        <v>xxx</v>
      </c>
      <c r="Y395" s="9" t="str">
        <f t="shared" si="399"/>
        <v>xxx</v>
      </c>
    </row>
    <row r="396" spans="3:25" x14ac:dyDescent="0.2">
      <c r="C396">
        <v>395</v>
      </c>
      <c r="D396" t="s">
        <v>2837</v>
      </c>
      <c r="E396">
        <v>395</v>
      </c>
      <c r="S396" s="9">
        <v>1226</v>
      </c>
      <c r="T396" s="9">
        <v>853</v>
      </c>
      <c r="U396" s="9"/>
      <c r="V396" s="9"/>
      <c r="W396" s="9">
        <f t="shared" si="390"/>
        <v>853</v>
      </c>
      <c r="X396" s="9" t="str">
        <f t="shared" ref="X396:Y396" si="400">IF(W396&lt;&gt;T396,W396,IF(_xlfn.IFNA(VLOOKUP(T396,$M$2:$N$13,2,FALSE),U396)=0,"xxx",_xlfn.IFNA(VLOOKUP(T396,$M$2:$N$13,2,FALSE),U396)))</f>
        <v>xxx</v>
      </c>
      <c r="Y396" s="9" t="str">
        <f t="shared" si="400"/>
        <v>xxx</v>
      </c>
    </row>
    <row r="397" spans="3:25" x14ac:dyDescent="0.2">
      <c r="C397">
        <v>396</v>
      </c>
      <c r="D397" t="s">
        <v>2838</v>
      </c>
      <c r="E397">
        <v>396</v>
      </c>
      <c r="S397" s="9">
        <v>1227</v>
      </c>
      <c r="T397" s="9">
        <v>853</v>
      </c>
      <c r="U397" s="9"/>
      <c r="V397" s="9"/>
      <c r="W397" s="9">
        <f t="shared" si="390"/>
        <v>853</v>
      </c>
      <c r="X397" s="9" t="str">
        <f t="shared" ref="X397:Y397" si="401">IF(W397&lt;&gt;T397,W397,IF(_xlfn.IFNA(VLOOKUP(T397,$M$2:$N$13,2,FALSE),U397)=0,"xxx",_xlfn.IFNA(VLOOKUP(T397,$M$2:$N$13,2,FALSE),U397)))</f>
        <v>xxx</v>
      </c>
      <c r="Y397" s="9" t="str">
        <f t="shared" si="401"/>
        <v>xxx</v>
      </c>
    </row>
    <row r="398" spans="3:25" x14ac:dyDescent="0.2">
      <c r="C398">
        <v>397</v>
      </c>
      <c r="D398" t="s">
        <v>2839</v>
      </c>
      <c r="E398">
        <v>397</v>
      </c>
      <c r="S398" s="9">
        <v>1228</v>
      </c>
      <c r="T398" s="9">
        <v>853</v>
      </c>
      <c r="U398" s="9"/>
      <c r="V398" s="9"/>
      <c r="W398" s="9">
        <f t="shared" si="390"/>
        <v>853</v>
      </c>
      <c r="X398" s="9" t="str">
        <f t="shared" ref="X398:Y398" si="402">IF(W398&lt;&gt;T398,W398,IF(_xlfn.IFNA(VLOOKUP(T398,$M$2:$N$13,2,FALSE),U398)=0,"xxx",_xlfn.IFNA(VLOOKUP(T398,$M$2:$N$13,2,FALSE),U398)))</f>
        <v>xxx</v>
      </c>
      <c r="Y398" s="9" t="str">
        <f t="shared" si="402"/>
        <v>xxx</v>
      </c>
    </row>
    <row r="399" spans="3:25" x14ac:dyDescent="0.2">
      <c r="C399">
        <v>398</v>
      </c>
      <c r="D399" t="s">
        <v>2840</v>
      </c>
      <c r="E399">
        <v>398</v>
      </c>
      <c r="S399" s="9">
        <v>1229</v>
      </c>
      <c r="T399" s="9">
        <v>853</v>
      </c>
      <c r="U399" s="9">
        <v>682</v>
      </c>
      <c r="V399" s="9">
        <v>682</v>
      </c>
      <c r="W399" s="9">
        <f t="shared" si="390"/>
        <v>853</v>
      </c>
      <c r="X399" s="9">
        <f t="shared" ref="X399:Y399" si="403">IF(W399&lt;&gt;T399,W399,IF(_xlfn.IFNA(VLOOKUP(T399,$M$2:$N$13,2,FALSE),U399)=0,"xxx",_xlfn.IFNA(VLOOKUP(T399,$M$2:$N$13,2,FALSE),U399)))</f>
        <v>682</v>
      </c>
      <c r="Y399" s="9">
        <f t="shared" si="403"/>
        <v>682</v>
      </c>
    </row>
    <row r="400" spans="3:25" x14ac:dyDescent="0.2">
      <c r="C400">
        <v>399</v>
      </c>
      <c r="D400" t="s">
        <v>2841</v>
      </c>
      <c r="E400">
        <v>399</v>
      </c>
      <c r="S400" s="9">
        <v>1230</v>
      </c>
      <c r="T400" s="9">
        <v>853</v>
      </c>
      <c r="U400" s="9"/>
      <c r="V400" s="9"/>
      <c r="W400" s="9">
        <f t="shared" si="390"/>
        <v>853</v>
      </c>
      <c r="X400" s="9" t="str">
        <f t="shared" ref="X400:Y400" si="404">IF(W400&lt;&gt;T400,W400,IF(_xlfn.IFNA(VLOOKUP(T400,$M$2:$N$13,2,FALSE),U400)=0,"xxx",_xlfn.IFNA(VLOOKUP(T400,$M$2:$N$13,2,FALSE),U400)))</f>
        <v>xxx</v>
      </c>
      <c r="Y400" s="9" t="str">
        <f t="shared" si="404"/>
        <v>xxx</v>
      </c>
    </row>
    <row r="401" spans="3:25" x14ac:dyDescent="0.2">
      <c r="C401">
        <v>400</v>
      </c>
      <c r="D401" t="s">
        <v>2842</v>
      </c>
      <c r="E401">
        <v>400</v>
      </c>
      <c r="S401" s="9">
        <v>1231</v>
      </c>
      <c r="T401" s="9">
        <v>853</v>
      </c>
      <c r="U401" s="9"/>
      <c r="V401" s="9"/>
      <c r="W401" s="9">
        <f t="shared" si="390"/>
        <v>853</v>
      </c>
      <c r="X401" s="9" t="str">
        <f t="shared" ref="X401:Y401" si="405">IF(W401&lt;&gt;T401,W401,IF(_xlfn.IFNA(VLOOKUP(T401,$M$2:$N$13,2,FALSE),U401)=0,"xxx",_xlfn.IFNA(VLOOKUP(T401,$M$2:$N$13,2,FALSE),U401)))</f>
        <v>xxx</v>
      </c>
      <c r="Y401" s="9" t="str">
        <f t="shared" si="405"/>
        <v>xxx</v>
      </c>
    </row>
    <row r="402" spans="3:25" x14ac:dyDescent="0.2">
      <c r="C402">
        <v>401</v>
      </c>
      <c r="D402" t="s">
        <v>2843</v>
      </c>
      <c r="E402">
        <v>401</v>
      </c>
      <c r="S402" s="9">
        <v>1232</v>
      </c>
      <c r="T402" s="9">
        <v>853</v>
      </c>
      <c r="U402" s="9"/>
      <c r="V402" s="9"/>
      <c r="W402" s="9">
        <f t="shared" si="390"/>
        <v>853</v>
      </c>
      <c r="X402" s="9" t="str">
        <f t="shared" ref="X402:Y402" si="406">IF(W402&lt;&gt;T402,W402,IF(_xlfn.IFNA(VLOOKUP(T402,$M$2:$N$13,2,FALSE),U402)=0,"xxx",_xlfn.IFNA(VLOOKUP(T402,$M$2:$N$13,2,FALSE),U402)))</f>
        <v>xxx</v>
      </c>
      <c r="Y402" s="9" t="str">
        <f t="shared" si="406"/>
        <v>xxx</v>
      </c>
    </row>
    <row r="403" spans="3:25" x14ac:dyDescent="0.2">
      <c r="C403">
        <v>402</v>
      </c>
      <c r="D403" t="s">
        <v>2844</v>
      </c>
      <c r="E403">
        <v>402</v>
      </c>
      <c r="S403" s="9">
        <v>1233</v>
      </c>
      <c r="T403" s="9">
        <v>853</v>
      </c>
      <c r="U403" s="9"/>
      <c r="V403" s="9"/>
      <c r="W403" s="9">
        <f t="shared" si="390"/>
        <v>853</v>
      </c>
      <c r="X403" s="9" t="str">
        <f t="shared" ref="X403:Y403" si="407">IF(W403&lt;&gt;T403,W403,IF(_xlfn.IFNA(VLOOKUP(T403,$M$2:$N$13,2,FALSE),U403)=0,"xxx",_xlfn.IFNA(VLOOKUP(T403,$M$2:$N$13,2,FALSE),U403)))</f>
        <v>xxx</v>
      </c>
      <c r="Y403" s="9" t="str">
        <f t="shared" si="407"/>
        <v>xxx</v>
      </c>
    </row>
    <row r="404" spans="3:25" x14ac:dyDescent="0.2">
      <c r="C404">
        <v>403</v>
      </c>
      <c r="D404" t="s">
        <v>2845</v>
      </c>
      <c r="E404">
        <v>403</v>
      </c>
      <c r="S404" s="9">
        <v>1234</v>
      </c>
      <c r="T404" s="9">
        <v>853</v>
      </c>
      <c r="U404" s="9">
        <v>685</v>
      </c>
      <c r="V404" s="9">
        <v>685</v>
      </c>
      <c r="W404" s="9">
        <f t="shared" si="390"/>
        <v>853</v>
      </c>
      <c r="X404" s="9">
        <f t="shared" ref="X404:Y404" si="408">IF(W404&lt;&gt;T404,W404,IF(_xlfn.IFNA(VLOOKUP(T404,$M$2:$N$13,2,FALSE),U404)=0,"xxx",_xlfn.IFNA(VLOOKUP(T404,$M$2:$N$13,2,FALSE),U404)))</f>
        <v>685</v>
      </c>
      <c r="Y404" s="9">
        <f t="shared" si="408"/>
        <v>685</v>
      </c>
    </row>
    <row r="405" spans="3:25" x14ac:dyDescent="0.2">
      <c r="C405">
        <v>404</v>
      </c>
      <c r="D405" t="s">
        <v>2846</v>
      </c>
      <c r="E405">
        <v>404</v>
      </c>
      <c r="S405" s="9">
        <v>1235</v>
      </c>
      <c r="T405" s="9">
        <v>853</v>
      </c>
      <c r="U405" s="9">
        <v>276</v>
      </c>
      <c r="V405" s="9">
        <v>528</v>
      </c>
      <c r="W405" s="9">
        <f t="shared" si="390"/>
        <v>853</v>
      </c>
      <c r="X405" s="9">
        <f t="shared" ref="X405:Y405" si="409">IF(W405&lt;&gt;T405,W405,IF(_xlfn.IFNA(VLOOKUP(T405,$M$2:$N$13,2,FALSE),U405)=0,"xxx",_xlfn.IFNA(VLOOKUP(T405,$M$2:$N$13,2,FALSE),U405)))</f>
        <v>276</v>
      </c>
      <c r="Y405" s="9">
        <f t="shared" si="409"/>
        <v>528</v>
      </c>
    </row>
    <row r="406" spans="3:25" x14ac:dyDescent="0.2">
      <c r="C406">
        <v>405</v>
      </c>
      <c r="D406" t="s">
        <v>2847</v>
      </c>
      <c r="E406">
        <v>405</v>
      </c>
      <c r="S406" s="9">
        <v>1236</v>
      </c>
      <c r="T406" s="9">
        <v>853</v>
      </c>
      <c r="U406" s="9">
        <v>277</v>
      </c>
      <c r="V406" s="9">
        <v>529</v>
      </c>
      <c r="W406" s="9">
        <f t="shared" si="390"/>
        <v>853</v>
      </c>
      <c r="X406" s="9">
        <f t="shared" ref="X406:Y406" si="410">IF(W406&lt;&gt;T406,W406,IF(_xlfn.IFNA(VLOOKUP(T406,$M$2:$N$13,2,FALSE),U406)=0,"xxx",_xlfn.IFNA(VLOOKUP(T406,$M$2:$N$13,2,FALSE),U406)))</f>
        <v>277</v>
      </c>
      <c r="Y406" s="9">
        <f t="shared" si="410"/>
        <v>529</v>
      </c>
    </row>
    <row r="407" spans="3:25" x14ac:dyDescent="0.2">
      <c r="C407">
        <v>406</v>
      </c>
      <c r="D407" t="s">
        <v>2848</v>
      </c>
      <c r="E407">
        <v>406</v>
      </c>
      <c r="S407" s="9">
        <v>1237</v>
      </c>
      <c r="T407" s="9">
        <v>853</v>
      </c>
      <c r="U407" s="9">
        <v>277</v>
      </c>
      <c r="V407" s="9">
        <v>529</v>
      </c>
      <c r="W407" s="9">
        <f t="shared" si="390"/>
        <v>853</v>
      </c>
      <c r="X407" s="9">
        <f t="shared" ref="X407:Y407" si="411">IF(W407&lt;&gt;T407,W407,IF(_xlfn.IFNA(VLOOKUP(T407,$M$2:$N$13,2,FALSE),U407)=0,"xxx",_xlfn.IFNA(VLOOKUP(T407,$M$2:$N$13,2,FALSE),U407)))</f>
        <v>277</v>
      </c>
      <c r="Y407" s="9">
        <f t="shared" si="411"/>
        <v>529</v>
      </c>
    </row>
    <row r="408" spans="3:25" x14ac:dyDescent="0.2">
      <c r="C408">
        <v>407</v>
      </c>
      <c r="D408" t="s">
        <v>2849</v>
      </c>
      <c r="E408">
        <v>407</v>
      </c>
      <c r="S408" s="9">
        <v>1238</v>
      </c>
      <c r="T408" s="9">
        <v>853</v>
      </c>
      <c r="U408" s="9">
        <v>318</v>
      </c>
      <c r="V408" s="9">
        <v>528</v>
      </c>
      <c r="W408" s="9">
        <f t="shared" si="390"/>
        <v>853</v>
      </c>
      <c r="X408" s="9">
        <f t="shared" ref="X408:Y408" si="412">IF(W408&lt;&gt;T408,W408,IF(_xlfn.IFNA(VLOOKUP(T408,$M$2:$N$13,2,FALSE),U408)=0,"xxx",_xlfn.IFNA(VLOOKUP(T408,$M$2:$N$13,2,FALSE),U408)))</f>
        <v>318</v>
      </c>
      <c r="Y408" s="9">
        <f t="shared" si="412"/>
        <v>528</v>
      </c>
    </row>
    <row r="409" spans="3:25" x14ac:dyDescent="0.2">
      <c r="C409">
        <v>408</v>
      </c>
      <c r="D409" t="s">
        <v>2850</v>
      </c>
      <c r="E409">
        <v>408</v>
      </c>
      <c r="S409" s="9">
        <v>1239</v>
      </c>
      <c r="T409" s="9">
        <v>853</v>
      </c>
      <c r="U409" s="9">
        <v>319</v>
      </c>
      <c r="V409" s="9">
        <v>529</v>
      </c>
      <c r="W409" s="9">
        <f t="shared" si="390"/>
        <v>853</v>
      </c>
      <c r="X409" s="9">
        <f t="shared" ref="X409:Y409" si="413">IF(W409&lt;&gt;T409,W409,IF(_xlfn.IFNA(VLOOKUP(T409,$M$2:$N$13,2,FALSE),U409)=0,"xxx",_xlfn.IFNA(VLOOKUP(T409,$M$2:$N$13,2,FALSE),U409)))</f>
        <v>319</v>
      </c>
      <c r="Y409" s="9">
        <f t="shared" si="413"/>
        <v>529</v>
      </c>
    </row>
    <row r="410" spans="3:25" x14ac:dyDescent="0.2">
      <c r="C410">
        <v>409</v>
      </c>
      <c r="D410" t="s">
        <v>2851</v>
      </c>
      <c r="E410">
        <v>409</v>
      </c>
      <c r="S410" s="9">
        <v>1240</v>
      </c>
      <c r="T410" s="9">
        <v>853</v>
      </c>
      <c r="U410" s="9">
        <v>319</v>
      </c>
      <c r="V410" s="9">
        <v>529</v>
      </c>
      <c r="W410" s="9">
        <f t="shared" si="390"/>
        <v>853</v>
      </c>
      <c r="X410" s="9">
        <f t="shared" ref="X410:Y410" si="414">IF(W410&lt;&gt;T410,W410,IF(_xlfn.IFNA(VLOOKUP(T410,$M$2:$N$13,2,FALSE),U410)=0,"xxx",_xlfn.IFNA(VLOOKUP(T410,$M$2:$N$13,2,FALSE),U410)))</f>
        <v>319</v>
      </c>
      <c r="Y410" s="9">
        <f t="shared" si="414"/>
        <v>529</v>
      </c>
    </row>
    <row r="411" spans="3:25" x14ac:dyDescent="0.2">
      <c r="C411">
        <v>410</v>
      </c>
      <c r="D411" t="s">
        <v>2852</v>
      </c>
      <c r="E411">
        <v>410</v>
      </c>
      <c r="S411" s="9">
        <v>1241</v>
      </c>
      <c r="T411" s="9">
        <v>853</v>
      </c>
      <c r="U411" s="9">
        <v>319</v>
      </c>
      <c r="V411" s="9">
        <v>529</v>
      </c>
      <c r="W411" s="9">
        <f t="shared" si="390"/>
        <v>853</v>
      </c>
      <c r="X411" s="9">
        <f t="shared" ref="X411:Y411" si="415">IF(W411&lt;&gt;T411,W411,IF(_xlfn.IFNA(VLOOKUP(T411,$M$2:$N$13,2,FALSE),U411)=0,"xxx",_xlfn.IFNA(VLOOKUP(T411,$M$2:$N$13,2,FALSE),U411)))</f>
        <v>319</v>
      </c>
      <c r="Y411" s="9">
        <f t="shared" si="415"/>
        <v>529</v>
      </c>
    </row>
    <row r="412" spans="3:25" x14ac:dyDescent="0.2">
      <c r="C412">
        <v>411</v>
      </c>
      <c r="D412" t="s">
        <v>2853</v>
      </c>
      <c r="E412">
        <v>411</v>
      </c>
      <c r="S412" s="9">
        <v>1242</v>
      </c>
      <c r="T412" s="9">
        <v>853</v>
      </c>
      <c r="U412" s="9">
        <v>688</v>
      </c>
      <c r="V412" s="9">
        <v>688</v>
      </c>
      <c r="W412" s="9">
        <f t="shared" si="390"/>
        <v>853</v>
      </c>
      <c r="X412" s="9">
        <f t="shared" ref="X412:Y412" si="416">IF(W412&lt;&gt;T412,W412,IF(_xlfn.IFNA(VLOOKUP(T412,$M$2:$N$13,2,FALSE),U412)=0,"xxx",_xlfn.IFNA(VLOOKUP(T412,$M$2:$N$13,2,FALSE),U412)))</f>
        <v>688</v>
      </c>
      <c r="Y412" s="9">
        <f t="shared" si="416"/>
        <v>688</v>
      </c>
    </row>
    <row r="413" spans="3:25" x14ac:dyDescent="0.2">
      <c r="C413">
        <v>412</v>
      </c>
      <c r="D413" t="s">
        <v>2854</v>
      </c>
      <c r="E413">
        <v>412</v>
      </c>
      <c r="S413" s="9">
        <v>1243</v>
      </c>
      <c r="T413" s="9">
        <v>853</v>
      </c>
      <c r="U413" s="9">
        <v>694</v>
      </c>
      <c r="V413" s="9">
        <v>694</v>
      </c>
      <c r="W413" s="9">
        <f t="shared" si="390"/>
        <v>853</v>
      </c>
      <c r="X413" s="9">
        <f t="shared" ref="X413:Y413" si="417">IF(W413&lt;&gt;T413,W413,IF(_xlfn.IFNA(VLOOKUP(T413,$M$2:$N$13,2,FALSE),U413)=0,"xxx",_xlfn.IFNA(VLOOKUP(T413,$M$2:$N$13,2,FALSE),U413)))</f>
        <v>694</v>
      </c>
      <c r="Y413" s="9">
        <f t="shared" si="417"/>
        <v>694</v>
      </c>
    </row>
    <row r="414" spans="3:25" x14ac:dyDescent="0.2">
      <c r="C414">
        <v>413</v>
      </c>
      <c r="D414" t="s">
        <v>2855</v>
      </c>
      <c r="E414">
        <v>413</v>
      </c>
      <c r="S414" s="9">
        <v>1244</v>
      </c>
      <c r="T414" s="9">
        <v>853</v>
      </c>
      <c r="U414" s="9"/>
      <c r="V414" s="9"/>
      <c r="W414" s="9">
        <f t="shared" si="390"/>
        <v>853</v>
      </c>
      <c r="X414" s="9" t="str">
        <f t="shared" ref="X414:Y414" si="418">IF(W414&lt;&gt;T414,W414,IF(_xlfn.IFNA(VLOOKUP(T414,$M$2:$N$13,2,FALSE),U414)=0,"xxx",_xlfn.IFNA(VLOOKUP(T414,$M$2:$N$13,2,FALSE),U414)))</f>
        <v>xxx</v>
      </c>
      <c r="Y414" s="9" t="str">
        <f t="shared" si="418"/>
        <v>xxx</v>
      </c>
    </row>
    <row r="415" spans="3:25" x14ac:dyDescent="0.2">
      <c r="C415">
        <v>414</v>
      </c>
      <c r="D415" t="s">
        <v>2856</v>
      </c>
      <c r="E415">
        <v>414</v>
      </c>
      <c r="S415" s="9">
        <v>1245</v>
      </c>
      <c r="T415" s="9">
        <v>853</v>
      </c>
      <c r="U415" s="9"/>
      <c r="V415" s="9"/>
      <c r="W415" s="9">
        <f t="shared" si="390"/>
        <v>853</v>
      </c>
      <c r="X415" s="9" t="str">
        <f t="shared" ref="X415:Y415" si="419">IF(W415&lt;&gt;T415,W415,IF(_xlfn.IFNA(VLOOKUP(T415,$M$2:$N$13,2,FALSE),U415)=0,"xxx",_xlfn.IFNA(VLOOKUP(T415,$M$2:$N$13,2,FALSE),U415)))</f>
        <v>xxx</v>
      </c>
      <c r="Y415" s="9" t="str">
        <f t="shared" si="419"/>
        <v>xxx</v>
      </c>
    </row>
    <row r="416" spans="3:25" x14ac:dyDescent="0.2">
      <c r="C416">
        <v>415</v>
      </c>
      <c r="D416" t="s">
        <v>2857</v>
      </c>
      <c r="E416">
        <v>415</v>
      </c>
      <c r="S416" s="9">
        <v>1246</v>
      </c>
      <c r="T416" s="9">
        <v>853</v>
      </c>
      <c r="U416" s="9"/>
      <c r="V416" s="9"/>
      <c r="W416" s="9">
        <f t="shared" si="390"/>
        <v>853</v>
      </c>
      <c r="X416" s="9" t="str">
        <f t="shared" ref="X416:Y416" si="420">IF(W416&lt;&gt;T416,W416,IF(_xlfn.IFNA(VLOOKUP(T416,$M$2:$N$13,2,FALSE),U416)=0,"xxx",_xlfn.IFNA(VLOOKUP(T416,$M$2:$N$13,2,FALSE),U416)))</f>
        <v>xxx</v>
      </c>
      <c r="Y416" s="9" t="str">
        <f t="shared" si="420"/>
        <v>xxx</v>
      </c>
    </row>
    <row r="417" spans="3:25" x14ac:dyDescent="0.2">
      <c r="C417">
        <v>416</v>
      </c>
      <c r="D417" t="s">
        <v>2858</v>
      </c>
      <c r="E417">
        <v>416</v>
      </c>
      <c r="S417" s="9">
        <v>1247</v>
      </c>
      <c r="T417" s="9">
        <v>853</v>
      </c>
      <c r="U417" s="9">
        <v>276</v>
      </c>
      <c r="V417" s="9">
        <v>528</v>
      </c>
      <c r="W417" s="9">
        <f t="shared" si="390"/>
        <v>853</v>
      </c>
      <c r="X417" s="9">
        <f t="shared" ref="X417:Y417" si="421">IF(W417&lt;&gt;T417,W417,IF(_xlfn.IFNA(VLOOKUP(T417,$M$2:$N$13,2,FALSE),U417)=0,"xxx",_xlfn.IFNA(VLOOKUP(T417,$M$2:$N$13,2,FALSE),U417)))</f>
        <v>276</v>
      </c>
      <c r="Y417" s="9">
        <f t="shared" si="421"/>
        <v>528</v>
      </c>
    </row>
    <row r="418" spans="3:25" x14ac:dyDescent="0.2">
      <c r="C418">
        <v>417</v>
      </c>
      <c r="D418" t="s">
        <v>2859</v>
      </c>
      <c r="E418">
        <v>417</v>
      </c>
      <c r="S418" s="9">
        <v>1248</v>
      </c>
      <c r="T418" s="9">
        <v>853</v>
      </c>
      <c r="U418" s="9">
        <v>276</v>
      </c>
      <c r="V418" s="9">
        <v>528</v>
      </c>
      <c r="W418" s="9">
        <f t="shared" si="390"/>
        <v>853</v>
      </c>
      <c r="X418" s="9">
        <f t="shared" ref="X418:Y418" si="422">IF(W418&lt;&gt;T418,W418,IF(_xlfn.IFNA(VLOOKUP(T418,$M$2:$N$13,2,FALSE),U418)=0,"xxx",_xlfn.IFNA(VLOOKUP(T418,$M$2:$N$13,2,FALSE),U418)))</f>
        <v>276</v>
      </c>
      <c r="Y418" s="9">
        <f t="shared" si="422"/>
        <v>528</v>
      </c>
    </row>
    <row r="419" spans="3:25" x14ac:dyDescent="0.2">
      <c r="C419">
        <v>418</v>
      </c>
      <c r="D419" t="s">
        <v>2860</v>
      </c>
      <c r="E419">
        <v>418</v>
      </c>
      <c r="S419" s="9">
        <v>1249</v>
      </c>
      <c r="T419" s="9">
        <v>853</v>
      </c>
      <c r="U419" s="9">
        <v>277</v>
      </c>
      <c r="V419" s="9">
        <v>529</v>
      </c>
      <c r="W419" s="9">
        <f t="shared" si="390"/>
        <v>853</v>
      </c>
      <c r="X419" s="9">
        <f t="shared" ref="X419:Y419" si="423">IF(W419&lt;&gt;T419,W419,IF(_xlfn.IFNA(VLOOKUP(T419,$M$2:$N$13,2,FALSE),U419)=0,"xxx",_xlfn.IFNA(VLOOKUP(T419,$M$2:$N$13,2,FALSE),U419)))</f>
        <v>277</v>
      </c>
      <c r="Y419" s="9">
        <f t="shared" si="423"/>
        <v>529</v>
      </c>
    </row>
    <row r="420" spans="3:25" x14ac:dyDescent="0.2">
      <c r="C420">
        <v>419</v>
      </c>
      <c r="D420" t="s">
        <v>2861</v>
      </c>
      <c r="E420">
        <v>419</v>
      </c>
      <c r="S420" s="9">
        <v>1250</v>
      </c>
      <c r="T420" s="9">
        <v>853</v>
      </c>
      <c r="U420" s="9">
        <v>700</v>
      </c>
      <c r="V420" s="9">
        <v>700</v>
      </c>
      <c r="W420" s="9">
        <f t="shared" si="390"/>
        <v>853</v>
      </c>
      <c r="X420" s="9">
        <f t="shared" ref="X420:Y420" si="424">IF(W420&lt;&gt;T420,W420,IF(_xlfn.IFNA(VLOOKUP(T420,$M$2:$N$13,2,FALSE),U420)=0,"xxx",_xlfn.IFNA(VLOOKUP(T420,$M$2:$N$13,2,FALSE),U420)))</f>
        <v>700</v>
      </c>
      <c r="Y420" s="9">
        <f t="shared" si="424"/>
        <v>700</v>
      </c>
    </row>
    <row r="421" spans="3:25" x14ac:dyDescent="0.2">
      <c r="C421">
        <v>420</v>
      </c>
      <c r="D421" t="s">
        <v>2862</v>
      </c>
      <c r="E421">
        <v>420</v>
      </c>
      <c r="S421" s="9">
        <v>1251</v>
      </c>
      <c r="T421" s="9">
        <v>853</v>
      </c>
      <c r="U421" s="9"/>
      <c r="V421" s="9"/>
      <c r="W421" s="9">
        <f t="shared" si="390"/>
        <v>853</v>
      </c>
      <c r="X421" s="9" t="str">
        <f t="shared" ref="X421:Y421" si="425">IF(W421&lt;&gt;T421,W421,IF(_xlfn.IFNA(VLOOKUP(T421,$M$2:$N$13,2,FALSE),U421)=0,"xxx",_xlfn.IFNA(VLOOKUP(T421,$M$2:$N$13,2,FALSE),U421)))</f>
        <v>xxx</v>
      </c>
      <c r="Y421" s="9" t="str">
        <f t="shared" si="425"/>
        <v>xxx</v>
      </c>
    </row>
    <row r="422" spans="3:25" x14ac:dyDescent="0.2">
      <c r="C422">
        <v>421</v>
      </c>
      <c r="D422" t="s">
        <v>2863</v>
      </c>
      <c r="E422">
        <v>421</v>
      </c>
      <c r="S422" s="9">
        <v>1252</v>
      </c>
      <c r="T422" s="9">
        <v>853</v>
      </c>
      <c r="U422" s="9"/>
      <c r="V422" s="9"/>
      <c r="W422" s="9">
        <f t="shared" si="390"/>
        <v>853</v>
      </c>
      <c r="X422" s="9" t="str">
        <f t="shared" ref="X422:Y422" si="426">IF(W422&lt;&gt;T422,W422,IF(_xlfn.IFNA(VLOOKUP(T422,$M$2:$N$13,2,FALSE),U422)=0,"xxx",_xlfn.IFNA(VLOOKUP(T422,$M$2:$N$13,2,FALSE),U422)))</f>
        <v>xxx</v>
      </c>
      <c r="Y422" s="9" t="str">
        <f t="shared" si="426"/>
        <v>xxx</v>
      </c>
    </row>
    <row r="423" spans="3:25" x14ac:dyDescent="0.2">
      <c r="C423">
        <v>422</v>
      </c>
      <c r="D423" t="s">
        <v>2864</v>
      </c>
      <c r="E423">
        <v>422</v>
      </c>
      <c r="S423" s="9">
        <v>1253</v>
      </c>
      <c r="T423" s="9">
        <v>853</v>
      </c>
      <c r="U423" s="9"/>
      <c r="V423" s="9"/>
      <c r="W423" s="9">
        <f t="shared" si="390"/>
        <v>853</v>
      </c>
      <c r="X423" s="9" t="str">
        <f t="shared" ref="X423:Y423" si="427">IF(W423&lt;&gt;T423,W423,IF(_xlfn.IFNA(VLOOKUP(T423,$M$2:$N$13,2,FALSE),U423)=0,"xxx",_xlfn.IFNA(VLOOKUP(T423,$M$2:$N$13,2,FALSE),U423)))</f>
        <v>xxx</v>
      </c>
      <c r="Y423" s="9" t="str">
        <f t="shared" si="427"/>
        <v>xxx</v>
      </c>
    </row>
    <row r="424" spans="3:25" x14ac:dyDescent="0.2">
      <c r="C424">
        <v>423</v>
      </c>
      <c r="D424" t="s">
        <v>2865</v>
      </c>
      <c r="E424">
        <v>423</v>
      </c>
      <c r="S424" s="9">
        <v>1254</v>
      </c>
      <c r="T424" s="9">
        <v>853</v>
      </c>
      <c r="U424" s="9"/>
      <c r="V424" s="9"/>
      <c r="W424" s="9">
        <f t="shared" si="390"/>
        <v>853</v>
      </c>
      <c r="X424" s="9" t="str">
        <f t="shared" ref="X424:Y424" si="428">IF(W424&lt;&gt;T424,W424,IF(_xlfn.IFNA(VLOOKUP(T424,$M$2:$N$13,2,FALSE),U424)=0,"xxx",_xlfn.IFNA(VLOOKUP(T424,$M$2:$N$13,2,FALSE),U424)))</f>
        <v>xxx</v>
      </c>
      <c r="Y424" s="9" t="str">
        <f t="shared" si="428"/>
        <v>xxx</v>
      </c>
    </row>
    <row r="425" spans="3:25" x14ac:dyDescent="0.2">
      <c r="C425">
        <v>424</v>
      </c>
      <c r="D425" t="s">
        <v>2866</v>
      </c>
      <c r="E425">
        <v>424</v>
      </c>
      <c r="S425" s="9">
        <v>1255</v>
      </c>
      <c r="T425" s="9">
        <v>853</v>
      </c>
      <c r="U425" s="9"/>
      <c r="V425" s="9"/>
      <c r="W425" s="9">
        <f t="shared" si="390"/>
        <v>853</v>
      </c>
      <c r="X425" s="9" t="str">
        <f t="shared" ref="X425:Y425" si="429">IF(W425&lt;&gt;T425,W425,IF(_xlfn.IFNA(VLOOKUP(T425,$M$2:$N$13,2,FALSE),U425)=0,"xxx",_xlfn.IFNA(VLOOKUP(T425,$M$2:$N$13,2,FALSE),U425)))</f>
        <v>xxx</v>
      </c>
      <c r="Y425" s="9" t="str">
        <f t="shared" si="429"/>
        <v>xxx</v>
      </c>
    </row>
    <row r="426" spans="3:25" x14ac:dyDescent="0.2">
      <c r="C426">
        <v>425</v>
      </c>
      <c r="D426" t="s">
        <v>2867</v>
      </c>
      <c r="E426">
        <v>425</v>
      </c>
      <c r="S426" s="9">
        <v>1256</v>
      </c>
      <c r="T426" s="9">
        <v>853</v>
      </c>
      <c r="U426" s="9">
        <v>733</v>
      </c>
      <c r="V426" s="9">
        <v>733</v>
      </c>
      <c r="W426" s="9">
        <f t="shared" si="390"/>
        <v>853</v>
      </c>
      <c r="X426" s="9">
        <f t="shared" ref="X426:Y426" si="430">IF(W426&lt;&gt;T426,W426,IF(_xlfn.IFNA(VLOOKUP(T426,$M$2:$N$13,2,FALSE),U426)=0,"xxx",_xlfn.IFNA(VLOOKUP(T426,$M$2:$N$13,2,FALSE),U426)))</f>
        <v>733</v>
      </c>
      <c r="Y426" s="9">
        <f t="shared" si="430"/>
        <v>733</v>
      </c>
    </row>
    <row r="427" spans="3:25" x14ac:dyDescent="0.2">
      <c r="C427">
        <v>426</v>
      </c>
      <c r="D427" t="s">
        <v>2868</v>
      </c>
      <c r="E427">
        <v>426</v>
      </c>
      <c r="S427" s="9">
        <v>1257</v>
      </c>
      <c r="T427" s="9">
        <v>853</v>
      </c>
      <c r="U427" s="9"/>
      <c r="V427" s="9"/>
      <c r="W427" s="9">
        <f t="shared" si="390"/>
        <v>853</v>
      </c>
      <c r="X427" s="9" t="str">
        <f t="shared" ref="X427:Y427" si="431">IF(W427&lt;&gt;T427,W427,IF(_xlfn.IFNA(VLOOKUP(T427,$M$2:$N$13,2,FALSE),U427)=0,"xxx",_xlfn.IFNA(VLOOKUP(T427,$M$2:$N$13,2,FALSE),U427)))</f>
        <v>xxx</v>
      </c>
      <c r="Y427" s="9" t="str">
        <f t="shared" si="431"/>
        <v>xxx</v>
      </c>
    </row>
    <row r="428" spans="3:25" x14ac:dyDescent="0.2">
      <c r="C428">
        <v>427</v>
      </c>
      <c r="D428" t="s">
        <v>2869</v>
      </c>
      <c r="E428">
        <v>427</v>
      </c>
      <c r="S428" s="9">
        <v>1258</v>
      </c>
      <c r="T428" s="9">
        <v>853</v>
      </c>
      <c r="U428" s="9"/>
      <c r="V428" s="9"/>
      <c r="W428" s="9">
        <f t="shared" si="390"/>
        <v>853</v>
      </c>
      <c r="X428" s="9" t="str">
        <f t="shared" ref="X428:Y428" si="432">IF(W428&lt;&gt;T428,W428,IF(_xlfn.IFNA(VLOOKUP(T428,$M$2:$N$13,2,FALSE),U428)=0,"xxx",_xlfn.IFNA(VLOOKUP(T428,$M$2:$N$13,2,FALSE),U428)))</f>
        <v>xxx</v>
      </c>
      <c r="Y428" s="9" t="str">
        <f t="shared" si="432"/>
        <v>xxx</v>
      </c>
    </row>
    <row r="429" spans="3:25" x14ac:dyDescent="0.2">
      <c r="C429">
        <v>428</v>
      </c>
      <c r="D429" t="s">
        <v>2870</v>
      </c>
      <c r="E429">
        <v>428</v>
      </c>
      <c r="S429" s="9">
        <v>1259</v>
      </c>
      <c r="T429" s="9">
        <v>853</v>
      </c>
      <c r="U429" s="9"/>
      <c r="V429" s="9"/>
      <c r="W429" s="9">
        <f t="shared" si="390"/>
        <v>853</v>
      </c>
      <c r="X429" s="9" t="str">
        <f t="shared" ref="X429:Y429" si="433">IF(W429&lt;&gt;T429,W429,IF(_xlfn.IFNA(VLOOKUP(T429,$M$2:$N$13,2,FALSE),U429)=0,"xxx",_xlfn.IFNA(VLOOKUP(T429,$M$2:$N$13,2,FALSE),U429)))</f>
        <v>xxx</v>
      </c>
      <c r="Y429" s="9" t="str">
        <f t="shared" si="433"/>
        <v>xxx</v>
      </c>
    </row>
    <row r="430" spans="3:25" x14ac:dyDescent="0.2">
      <c r="C430">
        <v>429</v>
      </c>
      <c r="D430" t="s">
        <v>2871</v>
      </c>
      <c r="E430">
        <v>429</v>
      </c>
      <c r="S430" s="9">
        <v>1260</v>
      </c>
      <c r="T430" s="9">
        <v>853</v>
      </c>
      <c r="U430" s="9"/>
      <c r="V430" s="9"/>
      <c r="W430" s="9">
        <f t="shared" si="390"/>
        <v>853</v>
      </c>
      <c r="X430" s="9" t="str">
        <f t="shared" ref="X430:Y430" si="434">IF(W430&lt;&gt;T430,W430,IF(_xlfn.IFNA(VLOOKUP(T430,$M$2:$N$13,2,FALSE),U430)=0,"xxx",_xlfn.IFNA(VLOOKUP(T430,$M$2:$N$13,2,FALSE),U430)))</f>
        <v>xxx</v>
      </c>
      <c r="Y430" s="9" t="str">
        <f t="shared" si="434"/>
        <v>xxx</v>
      </c>
    </row>
    <row r="431" spans="3:25" x14ac:dyDescent="0.2">
      <c r="C431">
        <v>430</v>
      </c>
      <c r="D431" t="s">
        <v>2872</v>
      </c>
      <c r="E431">
        <v>430</v>
      </c>
      <c r="S431" s="9">
        <v>1261</v>
      </c>
      <c r="T431" s="9">
        <v>853</v>
      </c>
      <c r="U431" s="9"/>
      <c r="V431" s="9"/>
      <c r="W431" s="9">
        <f t="shared" si="390"/>
        <v>853</v>
      </c>
      <c r="X431" s="9" t="str">
        <f t="shared" ref="X431:Y431" si="435">IF(W431&lt;&gt;T431,W431,IF(_xlfn.IFNA(VLOOKUP(T431,$M$2:$N$13,2,FALSE),U431)=0,"xxx",_xlfn.IFNA(VLOOKUP(T431,$M$2:$N$13,2,FALSE),U431)))</f>
        <v>xxx</v>
      </c>
      <c r="Y431" s="9" t="str">
        <f t="shared" si="435"/>
        <v>xxx</v>
      </c>
    </row>
    <row r="432" spans="3:25" x14ac:dyDescent="0.2">
      <c r="C432">
        <v>431</v>
      </c>
      <c r="D432" t="s">
        <v>2873</v>
      </c>
      <c r="E432">
        <v>431</v>
      </c>
      <c r="S432" s="9">
        <v>1262</v>
      </c>
      <c r="T432" s="9">
        <v>853</v>
      </c>
      <c r="U432" s="9"/>
      <c r="V432" s="9"/>
      <c r="W432" s="9">
        <f t="shared" si="390"/>
        <v>853</v>
      </c>
      <c r="X432" s="9" t="str">
        <f t="shared" ref="X432:Y432" si="436">IF(W432&lt;&gt;T432,W432,IF(_xlfn.IFNA(VLOOKUP(T432,$M$2:$N$13,2,FALSE),U432)=0,"xxx",_xlfn.IFNA(VLOOKUP(T432,$M$2:$N$13,2,FALSE),U432)))</f>
        <v>xxx</v>
      </c>
      <c r="Y432" s="9" t="str">
        <f t="shared" si="436"/>
        <v>xxx</v>
      </c>
    </row>
    <row r="433" spans="3:25" x14ac:dyDescent="0.2">
      <c r="C433">
        <v>432</v>
      </c>
      <c r="D433" t="s">
        <v>2874</v>
      </c>
      <c r="E433">
        <v>432</v>
      </c>
      <c r="S433" s="9">
        <v>1263</v>
      </c>
      <c r="T433" s="9">
        <v>853</v>
      </c>
      <c r="U433" s="9"/>
      <c r="V433" s="9"/>
      <c r="W433" s="9">
        <f t="shared" si="390"/>
        <v>853</v>
      </c>
      <c r="X433" s="9" t="str">
        <f t="shared" ref="X433:Y433" si="437">IF(W433&lt;&gt;T433,W433,IF(_xlfn.IFNA(VLOOKUP(T433,$M$2:$N$13,2,FALSE),U433)=0,"xxx",_xlfn.IFNA(VLOOKUP(T433,$M$2:$N$13,2,FALSE),U433)))</f>
        <v>xxx</v>
      </c>
      <c r="Y433" s="9" t="str">
        <f t="shared" si="437"/>
        <v>xxx</v>
      </c>
    </row>
    <row r="434" spans="3:25" x14ac:dyDescent="0.2">
      <c r="C434">
        <v>433</v>
      </c>
      <c r="D434" t="s">
        <v>2875</v>
      </c>
      <c r="E434">
        <v>433</v>
      </c>
      <c r="S434" s="9">
        <v>1264</v>
      </c>
      <c r="T434" s="9">
        <v>853</v>
      </c>
      <c r="U434" s="9"/>
      <c r="V434" s="9"/>
      <c r="W434" s="9">
        <f t="shared" si="390"/>
        <v>853</v>
      </c>
      <c r="X434" s="9" t="str">
        <f t="shared" ref="X434:Y434" si="438">IF(W434&lt;&gt;T434,W434,IF(_xlfn.IFNA(VLOOKUP(T434,$M$2:$N$13,2,FALSE),U434)=0,"xxx",_xlfn.IFNA(VLOOKUP(T434,$M$2:$N$13,2,FALSE),U434)))</f>
        <v>xxx</v>
      </c>
      <c r="Y434" s="9" t="str">
        <f t="shared" si="438"/>
        <v>xxx</v>
      </c>
    </row>
    <row r="435" spans="3:25" x14ac:dyDescent="0.2">
      <c r="C435">
        <v>434</v>
      </c>
      <c r="D435" t="s">
        <v>2876</v>
      </c>
      <c r="E435">
        <v>434</v>
      </c>
      <c r="S435" s="9">
        <v>1265</v>
      </c>
      <c r="T435" s="9">
        <v>853</v>
      </c>
      <c r="U435" s="9"/>
      <c r="V435" s="9"/>
      <c r="W435" s="9">
        <f t="shared" si="390"/>
        <v>853</v>
      </c>
      <c r="X435" s="9" t="str">
        <f t="shared" ref="X435:Y435" si="439">IF(W435&lt;&gt;T435,W435,IF(_xlfn.IFNA(VLOOKUP(T435,$M$2:$N$13,2,FALSE),U435)=0,"xxx",_xlfn.IFNA(VLOOKUP(T435,$M$2:$N$13,2,FALSE),U435)))</f>
        <v>xxx</v>
      </c>
      <c r="Y435" s="9" t="str">
        <f t="shared" si="439"/>
        <v>xxx</v>
      </c>
    </row>
    <row r="436" spans="3:25" x14ac:dyDescent="0.2">
      <c r="C436">
        <v>435</v>
      </c>
      <c r="D436" t="s">
        <v>2877</v>
      </c>
      <c r="E436">
        <v>435</v>
      </c>
      <c r="S436" s="9">
        <v>1266</v>
      </c>
      <c r="T436" s="9">
        <v>853</v>
      </c>
      <c r="U436" s="9"/>
      <c r="V436" s="9"/>
      <c r="W436" s="9">
        <f t="shared" si="390"/>
        <v>853</v>
      </c>
      <c r="X436" s="9" t="str">
        <f t="shared" ref="X436:Y436" si="440">IF(W436&lt;&gt;T436,W436,IF(_xlfn.IFNA(VLOOKUP(T436,$M$2:$N$13,2,FALSE),U436)=0,"xxx",_xlfn.IFNA(VLOOKUP(T436,$M$2:$N$13,2,FALSE),U436)))</f>
        <v>xxx</v>
      </c>
      <c r="Y436" s="9" t="str">
        <f t="shared" si="440"/>
        <v>xxx</v>
      </c>
    </row>
    <row r="437" spans="3:25" x14ac:dyDescent="0.2">
      <c r="C437">
        <v>436</v>
      </c>
      <c r="D437" t="s">
        <v>2878</v>
      </c>
      <c r="E437">
        <v>436</v>
      </c>
      <c r="S437" s="9">
        <v>1267</v>
      </c>
      <c r="T437" s="9">
        <v>853</v>
      </c>
      <c r="U437" s="9">
        <v>727</v>
      </c>
      <c r="V437" s="9">
        <v>727</v>
      </c>
      <c r="W437" s="9">
        <f t="shared" si="390"/>
        <v>853</v>
      </c>
      <c r="X437" s="9">
        <f t="shared" ref="X437:Y437" si="441">IF(W437&lt;&gt;T437,W437,IF(_xlfn.IFNA(VLOOKUP(T437,$M$2:$N$13,2,FALSE),U437)=0,"xxx",_xlfn.IFNA(VLOOKUP(T437,$M$2:$N$13,2,FALSE),U437)))</f>
        <v>727</v>
      </c>
      <c r="Y437" s="9">
        <f t="shared" si="441"/>
        <v>727</v>
      </c>
    </row>
    <row r="438" spans="3:25" x14ac:dyDescent="0.2">
      <c r="C438">
        <v>437</v>
      </c>
      <c r="D438" t="s">
        <v>2879</v>
      </c>
      <c r="E438">
        <v>437</v>
      </c>
      <c r="S438" s="9">
        <v>1268</v>
      </c>
      <c r="T438" s="9">
        <v>853</v>
      </c>
      <c r="U438" s="9"/>
      <c r="V438" s="9"/>
      <c r="W438" s="9">
        <f t="shared" si="390"/>
        <v>853</v>
      </c>
      <c r="X438" s="9" t="str">
        <f t="shared" ref="X438:Y438" si="442">IF(W438&lt;&gt;T438,W438,IF(_xlfn.IFNA(VLOOKUP(T438,$M$2:$N$13,2,FALSE),U438)=0,"xxx",_xlfn.IFNA(VLOOKUP(T438,$M$2:$N$13,2,FALSE),U438)))</f>
        <v>xxx</v>
      </c>
      <c r="Y438" s="9" t="str">
        <f t="shared" si="442"/>
        <v>xxx</v>
      </c>
    </row>
    <row r="439" spans="3:25" x14ac:dyDescent="0.2">
      <c r="C439">
        <v>438</v>
      </c>
      <c r="D439" t="s">
        <v>2880</v>
      </c>
      <c r="E439">
        <v>438</v>
      </c>
      <c r="S439" s="9">
        <v>1269</v>
      </c>
      <c r="T439" s="9">
        <v>853</v>
      </c>
      <c r="U439" s="9"/>
      <c r="V439" s="9"/>
      <c r="W439" s="9">
        <f t="shared" si="390"/>
        <v>853</v>
      </c>
      <c r="X439" s="9" t="str">
        <f t="shared" ref="X439:Y439" si="443">IF(W439&lt;&gt;T439,W439,IF(_xlfn.IFNA(VLOOKUP(T439,$M$2:$N$13,2,FALSE),U439)=0,"xxx",_xlfn.IFNA(VLOOKUP(T439,$M$2:$N$13,2,FALSE),U439)))</f>
        <v>xxx</v>
      </c>
      <c r="Y439" s="9" t="str">
        <f t="shared" si="443"/>
        <v>xxx</v>
      </c>
    </row>
    <row r="440" spans="3:25" x14ac:dyDescent="0.2">
      <c r="C440">
        <v>439</v>
      </c>
      <c r="D440" t="s">
        <v>2881</v>
      </c>
      <c r="E440">
        <v>439</v>
      </c>
      <c r="S440" s="9">
        <v>1270</v>
      </c>
      <c r="T440" s="9">
        <v>853</v>
      </c>
      <c r="U440" s="9"/>
      <c r="V440" s="9"/>
      <c r="W440" s="9">
        <f t="shared" si="390"/>
        <v>853</v>
      </c>
      <c r="X440" s="9" t="str">
        <f t="shared" ref="X440:Y440" si="444">IF(W440&lt;&gt;T440,W440,IF(_xlfn.IFNA(VLOOKUP(T440,$M$2:$N$13,2,FALSE),U440)=0,"xxx",_xlfn.IFNA(VLOOKUP(T440,$M$2:$N$13,2,FALSE),U440)))</f>
        <v>xxx</v>
      </c>
      <c r="Y440" s="9" t="str">
        <f t="shared" si="444"/>
        <v>xxx</v>
      </c>
    </row>
    <row r="441" spans="3:25" x14ac:dyDescent="0.2">
      <c r="C441">
        <v>440</v>
      </c>
      <c r="D441" t="s">
        <v>2882</v>
      </c>
      <c r="E441">
        <v>440</v>
      </c>
      <c r="S441" s="9">
        <v>1271</v>
      </c>
      <c r="T441" s="9">
        <v>853</v>
      </c>
      <c r="U441" s="9"/>
      <c r="V441" s="9"/>
      <c r="W441" s="9">
        <f t="shared" si="390"/>
        <v>853</v>
      </c>
      <c r="X441" s="9" t="str">
        <f t="shared" ref="X441:Y441" si="445">IF(W441&lt;&gt;T441,W441,IF(_xlfn.IFNA(VLOOKUP(T441,$M$2:$N$13,2,FALSE),U441)=0,"xxx",_xlfn.IFNA(VLOOKUP(T441,$M$2:$N$13,2,FALSE),U441)))</f>
        <v>xxx</v>
      </c>
      <c r="Y441" s="9" t="str">
        <f t="shared" si="445"/>
        <v>xxx</v>
      </c>
    </row>
    <row r="442" spans="3:25" x14ac:dyDescent="0.2">
      <c r="C442">
        <v>441</v>
      </c>
      <c r="D442" t="s">
        <v>2883</v>
      </c>
      <c r="E442">
        <v>441</v>
      </c>
      <c r="S442" s="9">
        <v>1272</v>
      </c>
      <c r="T442" s="9">
        <v>853</v>
      </c>
      <c r="U442" s="9"/>
      <c r="V442" s="9"/>
      <c r="W442" s="9">
        <f t="shared" si="390"/>
        <v>853</v>
      </c>
      <c r="X442" s="9" t="str">
        <f t="shared" ref="X442:Y442" si="446">IF(W442&lt;&gt;T442,W442,IF(_xlfn.IFNA(VLOOKUP(T442,$M$2:$N$13,2,FALSE),U442)=0,"xxx",_xlfn.IFNA(VLOOKUP(T442,$M$2:$N$13,2,FALSE),U442)))</f>
        <v>xxx</v>
      </c>
      <c r="Y442" s="9" t="str">
        <f t="shared" si="446"/>
        <v>xxx</v>
      </c>
    </row>
    <row r="443" spans="3:25" x14ac:dyDescent="0.2">
      <c r="C443">
        <v>442</v>
      </c>
      <c r="D443" t="s">
        <v>2884</v>
      </c>
      <c r="E443">
        <v>442</v>
      </c>
      <c r="S443" s="9">
        <v>1273</v>
      </c>
      <c r="T443" s="9">
        <v>853</v>
      </c>
      <c r="U443" s="9"/>
      <c r="V443" s="9"/>
      <c r="W443" s="9">
        <f t="shared" si="390"/>
        <v>853</v>
      </c>
      <c r="X443" s="9" t="str">
        <f t="shared" ref="X443:Y443" si="447">IF(W443&lt;&gt;T443,W443,IF(_xlfn.IFNA(VLOOKUP(T443,$M$2:$N$13,2,FALSE),U443)=0,"xxx",_xlfn.IFNA(VLOOKUP(T443,$M$2:$N$13,2,FALSE),U443)))</f>
        <v>xxx</v>
      </c>
      <c r="Y443" s="9" t="str">
        <f t="shared" si="447"/>
        <v>xxx</v>
      </c>
    </row>
    <row r="444" spans="3:25" x14ac:dyDescent="0.2">
      <c r="C444">
        <v>443</v>
      </c>
      <c r="D444" t="s">
        <v>2885</v>
      </c>
      <c r="E444">
        <v>443</v>
      </c>
      <c r="S444" s="9">
        <v>1274</v>
      </c>
      <c r="T444" s="9">
        <v>853</v>
      </c>
      <c r="U444" s="9">
        <v>313</v>
      </c>
      <c r="V444" s="9">
        <v>523</v>
      </c>
      <c r="W444" s="9">
        <f t="shared" si="390"/>
        <v>853</v>
      </c>
      <c r="X444" s="9">
        <f t="shared" ref="X444:Y444" si="448">IF(W444&lt;&gt;T444,W444,IF(_xlfn.IFNA(VLOOKUP(T444,$M$2:$N$13,2,FALSE),U444)=0,"xxx",_xlfn.IFNA(VLOOKUP(T444,$M$2:$N$13,2,FALSE),U444)))</f>
        <v>313</v>
      </c>
      <c r="Y444" s="9">
        <f t="shared" si="448"/>
        <v>523</v>
      </c>
    </row>
    <row r="445" spans="3:25" x14ac:dyDescent="0.2">
      <c r="C445">
        <v>444</v>
      </c>
      <c r="D445" t="s">
        <v>2886</v>
      </c>
      <c r="E445">
        <v>444</v>
      </c>
      <c r="S445" s="9">
        <v>1275</v>
      </c>
      <c r="T445" s="9">
        <v>853</v>
      </c>
      <c r="U445" s="9">
        <v>314</v>
      </c>
      <c r="V445" s="9">
        <v>524</v>
      </c>
      <c r="W445" s="9">
        <f t="shared" si="390"/>
        <v>853</v>
      </c>
      <c r="X445" s="9">
        <f t="shared" ref="X445:Y445" si="449">IF(W445&lt;&gt;T445,W445,IF(_xlfn.IFNA(VLOOKUP(T445,$M$2:$N$13,2,FALSE),U445)=0,"xxx",_xlfn.IFNA(VLOOKUP(T445,$M$2:$N$13,2,FALSE),U445)))</f>
        <v>314</v>
      </c>
      <c r="Y445" s="9">
        <f t="shared" si="449"/>
        <v>524</v>
      </c>
    </row>
    <row r="446" spans="3:25" x14ac:dyDescent="0.2">
      <c r="C446">
        <v>445</v>
      </c>
      <c r="D446" t="s">
        <v>2887</v>
      </c>
      <c r="E446">
        <v>445</v>
      </c>
      <c r="S446" s="9">
        <v>1276</v>
      </c>
      <c r="T446" s="9">
        <v>853</v>
      </c>
      <c r="U446" s="9">
        <v>315</v>
      </c>
      <c r="V446" s="9">
        <v>525</v>
      </c>
      <c r="W446" s="9">
        <f t="shared" si="390"/>
        <v>853</v>
      </c>
      <c r="X446" s="9">
        <f t="shared" ref="X446:Y446" si="450">IF(W446&lt;&gt;T446,W446,IF(_xlfn.IFNA(VLOOKUP(T446,$M$2:$N$13,2,FALSE),U446)=0,"xxx",_xlfn.IFNA(VLOOKUP(T446,$M$2:$N$13,2,FALSE),U446)))</f>
        <v>315</v>
      </c>
      <c r="Y446" s="9">
        <f t="shared" si="450"/>
        <v>525</v>
      </c>
    </row>
    <row r="447" spans="3:25" x14ac:dyDescent="0.2">
      <c r="C447">
        <v>446</v>
      </c>
      <c r="D447" t="s">
        <v>2888</v>
      </c>
      <c r="E447">
        <v>446</v>
      </c>
      <c r="S447" s="9">
        <v>1277</v>
      </c>
      <c r="T447" s="9">
        <v>853</v>
      </c>
      <c r="U447" s="9">
        <v>316</v>
      </c>
      <c r="V447" s="9">
        <v>526</v>
      </c>
      <c r="W447" s="9">
        <f t="shared" si="390"/>
        <v>853</v>
      </c>
      <c r="X447" s="9">
        <f t="shared" ref="X447:Y447" si="451">IF(W447&lt;&gt;T447,W447,IF(_xlfn.IFNA(VLOOKUP(T447,$M$2:$N$13,2,FALSE),U447)=0,"xxx",_xlfn.IFNA(VLOOKUP(T447,$M$2:$N$13,2,FALSE),U447)))</f>
        <v>316</v>
      </c>
      <c r="Y447" s="9">
        <f t="shared" si="451"/>
        <v>526</v>
      </c>
    </row>
    <row r="448" spans="3:25" x14ac:dyDescent="0.2">
      <c r="C448">
        <v>447</v>
      </c>
      <c r="D448" t="s">
        <v>2889</v>
      </c>
      <c r="E448">
        <v>447</v>
      </c>
      <c r="S448" s="9">
        <v>1278</v>
      </c>
      <c r="T448" s="9">
        <v>853</v>
      </c>
      <c r="U448" s="9">
        <v>314</v>
      </c>
      <c r="V448" s="9">
        <v>524</v>
      </c>
      <c r="W448" s="9">
        <f t="shared" si="390"/>
        <v>853</v>
      </c>
      <c r="X448" s="9">
        <f t="shared" ref="X448:Y448" si="452">IF(W448&lt;&gt;T448,W448,IF(_xlfn.IFNA(VLOOKUP(T448,$M$2:$N$13,2,FALSE),U448)=0,"xxx",_xlfn.IFNA(VLOOKUP(T448,$M$2:$N$13,2,FALSE),U448)))</f>
        <v>314</v>
      </c>
      <c r="Y448" s="9">
        <f t="shared" si="452"/>
        <v>524</v>
      </c>
    </row>
    <row r="449" spans="3:25" x14ac:dyDescent="0.2">
      <c r="C449">
        <v>448</v>
      </c>
      <c r="D449" t="s">
        <v>2890</v>
      </c>
      <c r="E449">
        <v>448</v>
      </c>
      <c r="S449" s="9">
        <v>1279</v>
      </c>
      <c r="T449" s="9">
        <v>853</v>
      </c>
      <c r="U449" s="9">
        <v>318</v>
      </c>
      <c r="V449" s="9">
        <v>528</v>
      </c>
      <c r="W449" s="9">
        <f t="shared" si="390"/>
        <v>853</v>
      </c>
      <c r="X449" s="9">
        <f t="shared" ref="X449:Y449" si="453">IF(W449&lt;&gt;T449,W449,IF(_xlfn.IFNA(VLOOKUP(T449,$M$2:$N$13,2,FALSE),U449)=0,"xxx",_xlfn.IFNA(VLOOKUP(T449,$M$2:$N$13,2,FALSE),U449)))</f>
        <v>318</v>
      </c>
      <c r="Y449" s="9">
        <f t="shared" si="453"/>
        <v>528</v>
      </c>
    </row>
    <row r="450" spans="3:25" x14ac:dyDescent="0.2">
      <c r="C450">
        <v>449</v>
      </c>
      <c r="D450" t="s">
        <v>2891</v>
      </c>
      <c r="E450">
        <v>449</v>
      </c>
      <c r="S450" s="9">
        <v>1280</v>
      </c>
      <c r="T450" s="9">
        <v>853</v>
      </c>
      <c r="U450" s="9">
        <v>319</v>
      </c>
      <c r="V450" s="9">
        <v>529</v>
      </c>
      <c r="W450" s="9">
        <f t="shared" si="390"/>
        <v>853</v>
      </c>
      <c r="X450" s="9">
        <f t="shared" ref="X450:Y450" si="454">IF(W450&lt;&gt;T450,W450,IF(_xlfn.IFNA(VLOOKUP(T450,$M$2:$N$13,2,FALSE),U450)=0,"xxx",_xlfn.IFNA(VLOOKUP(T450,$M$2:$N$13,2,FALSE),U450)))</f>
        <v>319</v>
      </c>
      <c r="Y450" s="9">
        <f t="shared" si="454"/>
        <v>529</v>
      </c>
    </row>
    <row r="451" spans="3:25" x14ac:dyDescent="0.2">
      <c r="C451">
        <v>450</v>
      </c>
      <c r="D451" t="s">
        <v>2892</v>
      </c>
      <c r="E451">
        <v>450</v>
      </c>
      <c r="S451" s="9">
        <v>1281</v>
      </c>
      <c r="T451" s="9">
        <v>853</v>
      </c>
      <c r="U451" s="9">
        <v>319</v>
      </c>
      <c r="V451" s="9">
        <v>529</v>
      </c>
      <c r="W451" s="9">
        <f t="shared" ref="W451:W514" si="455">IF(_xlfn.IFNA(VLOOKUP(S451,$M$2:$N$13,2,FALSE),T451)=0,"xxx",_xlfn.IFNA(VLOOKUP(S451,$M$2:$N$13,2,FALSE),T451))</f>
        <v>853</v>
      </c>
      <c r="X451" s="9">
        <f t="shared" ref="X451:Y451" si="456">IF(W451&lt;&gt;T451,W451,IF(_xlfn.IFNA(VLOOKUP(T451,$M$2:$N$13,2,FALSE),U451)=0,"xxx",_xlfn.IFNA(VLOOKUP(T451,$M$2:$N$13,2,FALSE),U451)))</f>
        <v>319</v>
      </c>
      <c r="Y451" s="9">
        <f t="shared" si="456"/>
        <v>529</v>
      </c>
    </row>
    <row r="452" spans="3:25" x14ac:dyDescent="0.2">
      <c r="C452">
        <v>451</v>
      </c>
      <c r="D452" t="s">
        <v>2893</v>
      </c>
      <c r="E452">
        <v>451</v>
      </c>
      <c r="S452" s="9">
        <v>1282</v>
      </c>
      <c r="T452" s="9">
        <v>853</v>
      </c>
      <c r="U452" s="9">
        <v>319</v>
      </c>
      <c r="V452" s="9">
        <v>529</v>
      </c>
      <c r="W452" s="9">
        <f t="shared" si="455"/>
        <v>853</v>
      </c>
      <c r="X452" s="9">
        <f t="shared" ref="X452:Y452" si="457">IF(W452&lt;&gt;T452,W452,IF(_xlfn.IFNA(VLOOKUP(T452,$M$2:$N$13,2,FALSE),U452)=0,"xxx",_xlfn.IFNA(VLOOKUP(T452,$M$2:$N$13,2,FALSE),U452)))</f>
        <v>319</v>
      </c>
      <c r="Y452" s="9">
        <f t="shared" si="457"/>
        <v>529</v>
      </c>
    </row>
    <row r="453" spans="3:25" x14ac:dyDescent="0.2">
      <c r="C453">
        <v>452</v>
      </c>
      <c r="D453" t="s">
        <v>2894</v>
      </c>
      <c r="E453">
        <v>452</v>
      </c>
      <c r="S453" s="9">
        <v>1283</v>
      </c>
      <c r="T453" s="9">
        <v>853</v>
      </c>
      <c r="U453" s="9"/>
      <c r="V453" s="9"/>
      <c r="W453" s="9">
        <f t="shared" si="455"/>
        <v>853</v>
      </c>
      <c r="X453" s="9" t="str">
        <f t="shared" ref="X453:Y453" si="458">IF(W453&lt;&gt;T453,W453,IF(_xlfn.IFNA(VLOOKUP(T453,$M$2:$N$13,2,FALSE),U453)=0,"xxx",_xlfn.IFNA(VLOOKUP(T453,$M$2:$N$13,2,FALSE),U453)))</f>
        <v>xxx</v>
      </c>
      <c r="Y453" s="9" t="str">
        <f t="shared" si="458"/>
        <v>xxx</v>
      </c>
    </row>
    <row r="454" spans="3:25" x14ac:dyDescent="0.2">
      <c r="C454">
        <v>453</v>
      </c>
      <c r="D454" t="s">
        <v>2895</v>
      </c>
      <c r="E454">
        <v>453</v>
      </c>
      <c r="S454" s="9">
        <v>1284</v>
      </c>
      <c r="T454" s="9">
        <v>853</v>
      </c>
      <c r="U454" s="9">
        <v>273</v>
      </c>
      <c r="V454" s="9">
        <v>525</v>
      </c>
      <c r="W454" s="9">
        <f t="shared" si="455"/>
        <v>853</v>
      </c>
      <c r="X454" s="9">
        <f t="shared" ref="X454:Y454" si="459">IF(W454&lt;&gt;T454,W454,IF(_xlfn.IFNA(VLOOKUP(T454,$M$2:$N$13,2,FALSE),U454)=0,"xxx",_xlfn.IFNA(VLOOKUP(T454,$M$2:$N$13,2,FALSE),U454)))</f>
        <v>273</v>
      </c>
      <c r="Y454" s="9">
        <f t="shared" si="459"/>
        <v>525</v>
      </c>
    </row>
    <row r="455" spans="3:25" x14ac:dyDescent="0.2">
      <c r="C455">
        <v>454</v>
      </c>
      <c r="D455" t="s">
        <v>2896</v>
      </c>
      <c r="E455">
        <v>454</v>
      </c>
      <c r="S455" s="9">
        <v>1285</v>
      </c>
      <c r="T455" s="9">
        <v>853</v>
      </c>
      <c r="U455" s="9">
        <v>273</v>
      </c>
      <c r="V455" s="9">
        <v>525</v>
      </c>
      <c r="W455" s="9">
        <f t="shared" si="455"/>
        <v>853</v>
      </c>
      <c r="X455" s="9">
        <f t="shared" ref="X455:Y455" si="460">IF(W455&lt;&gt;T455,W455,IF(_xlfn.IFNA(VLOOKUP(T455,$M$2:$N$13,2,FALSE),U455)=0,"xxx",_xlfn.IFNA(VLOOKUP(T455,$M$2:$N$13,2,FALSE),U455)))</f>
        <v>273</v>
      </c>
      <c r="Y455" s="9">
        <f t="shared" si="460"/>
        <v>525</v>
      </c>
    </row>
    <row r="456" spans="3:25" x14ac:dyDescent="0.2">
      <c r="C456">
        <v>455</v>
      </c>
      <c r="D456" t="s">
        <v>2897</v>
      </c>
      <c r="E456">
        <v>455</v>
      </c>
      <c r="S456" s="9">
        <v>1286</v>
      </c>
      <c r="T456" s="9">
        <v>853</v>
      </c>
      <c r="U456" s="9">
        <v>274</v>
      </c>
      <c r="V456" s="9">
        <v>526</v>
      </c>
      <c r="W456" s="9">
        <f t="shared" si="455"/>
        <v>853</v>
      </c>
      <c r="X456" s="9">
        <f t="shared" ref="X456:Y456" si="461">IF(W456&lt;&gt;T456,W456,IF(_xlfn.IFNA(VLOOKUP(T456,$M$2:$N$13,2,FALSE),U456)=0,"xxx",_xlfn.IFNA(VLOOKUP(T456,$M$2:$N$13,2,FALSE),U456)))</f>
        <v>274</v>
      </c>
      <c r="Y456" s="9">
        <f t="shared" si="461"/>
        <v>526</v>
      </c>
    </row>
    <row r="457" spans="3:25" x14ac:dyDescent="0.2">
      <c r="C457">
        <v>456</v>
      </c>
      <c r="D457" t="s">
        <v>2898</v>
      </c>
      <c r="E457">
        <v>456</v>
      </c>
      <c r="S457" s="9">
        <v>1287</v>
      </c>
      <c r="T457" s="9">
        <v>853</v>
      </c>
      <c r="U457" s="9">
        <v>276</v>
      </c>
      <c r="V457" s="9">
        <v>528</v>
      </c>
      <c r="W457" s="9">
        <f t="shared" si="455"/>
        <v>853</v>
      </c>
      <c r="X457" s="9">
        <f t="shared" ref="X457:Y457" si="462">IF(W457&lt;&gt;T457,W457,IF(_xlfn.IFNA(VLOOKUP(T457,$M$2:$N$13,2,FALSE),U457)=0,"xxx",_xlfn.IFNA(VLOOKUP(T457,$M$2:$N$13,2,FALSE),U457)))</f>
        <v>276</v>
      </c>
      <c r="Y457" s="9">
        <f t="shared" si="462"/>
        <v>528</v>
      </c>
    </row>
    <row r="458" spans="3:25" x14ac:dyDescent="0.2">
      <c r="C458">
        <v>457</v>
      </c>
      <c r="D458" t="s">
        <v>2899</v>
      </c>
      <c r="E458">
        <v>457</v>
      </c>
      <c r="S458" s="9">
        <v>1288</v>
      </c>
      <c r="T458" s="9">
        <v>853</v>
      </c>
      <c r="U458" s="9">
        <v>279</v>
      </c>
      <c r="V458" s="9">
        <v>531</v>
      </c>
      <c r="W458" s="9">
        <f t="shared" si="455"/>
        <v>853</v>
      </c>
      <c r="X458" s="9">
        <f t="shared" ref="X458:Y458" si="463">IF(W458&lt;&gt;T458,W458,IF(_xlfn.IFNA(VLOOKUP(T458,$M$2:$N$13,2,FALSE),U458)=0,"xxx",_xlfn.IFNA(VLOOKUP(T458,$M$2:$N$13,2,FALSE),U458)))</f>
        <v>279</v>
      </c>
      <c r="Y458" s="9">
        <f t="shared" si="463"/>
        <v>531</v>
      </c>
    </row>
    <row r="459" spans="3:25" x14ac:dyDescent="0.2">
      <c r="C459">
        <v>458</v>
      </c>
      <c r="D459" t="s">
        <v>2900</v>
      </c>
      <c r="E459">
        <v>458</v>
      </c>
      <c r="S459" s="9">
        <v>1289</v>
      </c>
      <c r="T459" s="9">
        <v>853</v>
      </c>
      <c r="U459" s="9"/>
      <c r="V459" s="9"/>
      <c r="W459" s="9">
        <f t="shared" si="455"/>
        <v>853</v>
      </c>
      <c r="X459" s="9" t="str">
        <f t="shared" ref="X459:Y459" si="464">IF(W459&lt;&gt;T459,W459,IF(_xlfn.IFNA(VLOOKUP(T459,$M$2:$N$13,2,FALSE),U459)=0,"xxx",_xlfn.IFNA(VLOOKUP(T459,$M$2:$N$13,2,FALSE),U459)))</f>
        <v>xxx</v>
      </c>
      <c r="Y459" s="9" t="str">
        <f t="shared" si="464"/>
        <v>xxx</v>
      </c>
    </row>
    <row r="460" spans="3:25" x14ac:dyDescent="0.2">
      <c r="C460">
        <v>459</v>
      </c>
      <c r="D460" t="s">
        <v>2901</v>
      </c>
      <c r="E460">
        <v>459</v>
      </c>
      <c r="S460" s="9">
        <v>1290</v>
      </c>
      <c r="T460" s="9">
        <v>853</v>
      </c>
      <c r="U460" s="9"/>
      <c r="V460" s="9"/>
      <c r="W460" s="9">
        <f t="shared" si="455"/>
        <v>853</v>
      </c>
      <c r="X460" s="9" t="str">
        <f t="shared" ref="X460:Y460" si="465">IF(W460&lt;&gt;T460,W460,IF(_xlfn.IFNA(VLOOKUP(T460,$M$2:$N$13,2,FALSE),U460)=0,"xxx",_xlfn.IFNA(VLOOKUP(T460,$M$2:$N$13,2,FALSE),U460)))</f>
        <v>xxx</v>
      </c>
      <c r="Y460" s="9" t="str">
        <f t="shared" si="465"/>
        <v>xxx</v>
      </c>
    </row>
    <row r="461" spans="3:25" x14ac:dyDescent="0.2">
      <c r="C461">
        <v>460</v>
      </c>
      <c r="D461" t="s">
        <v>2902</v>
      </c>
      <c r="E461">
        <v>460</v>
      </c>
      <c r="S461" s="9">
        <v>1291</v>
      </c>
      <c r="T461" s="9">
        <v>853</v>
      </c>
      <c r="U461" s="9"/>
      <c r="V461" s="9"/>
      <c r="W461" s="9">
        <f t="shared" si="455"/>
        <v>853</v>
      </c>
      <c r="X461" s="9" t="str">
        <f t="shared" ref="X461:Y461" si="466">IF(W461&lt;&gt;T461,W461,IF(_xlfn.IFNA(VLOOKUP(T461,$M$2:$N$13,2,FALSE),U461)=0,"xxx",_xlfn.IFNA(VLOOKUP(T461,$M$2:$N$13,2,FALSE),U461)))</f>
        <v>xxx</v>
      </c>
      <c r="Y461" s="9" t="str">
        <f t="shared" si="466"/>
        <v>xxx</v>
      </c>
    </row>
    <row r="462" spans="3:25" x14ac:dyDescent="0.2">
      <c r="C462">
        <v>461</v>
      </c>
      <c r="D462" t="s">
        <v>2903</v>
      </c>
      <c r="E462">
        <v>461</v>
      </c>
      <c r="S462" s="9">
        <v>1292</v>
      </c>
      <c r="T462" s="9">
        <v>853</v>
      </c>
      <c r="U462" s="9"/>
      <c r="V462" s="9"/>
      <c r="W462" s="9">
        <f t="shared" si="455"/>
        <v>853</v>
      </c>
      <c r="X462" s="9" t="str">
        <f t="shared" ref="X462:Y462" si="467">IF(W462&lt;&gt;T462,W462,IF(_xlfn.IFNA(VLOOKUP(T462,$M$2:$N$13,2,FALSE),U462)=0,"xxx",_xlfn.IFNA(VLOOKUP(T462,$M$2:$N$13,2,FALSE),U462)))</f>
        <v>xxx</v>
      </c>
      <c r="Y462" s="9" t="str">
        <f t="shared" si="467"/>
        <v>xxx</v>
      </c>
    </row>
    <row r="463" spans="3:25" x14ac:dyDescent="0.2">
      <c r="C463">
        <v>462</v>
      </c>
      <c r="D463" t="s">
        <v>2904</v>
      </c>
      <c r="E463">
        <v>462</v>
      </c>
      <c r="S463" s="9">
        <v>1293</v>
      </c>
      <c r="T463" s="9">
        <v>853</v>
      </c>
      <c r="U463" s="9"/>
      <c r="V463" s="9"/>
      <c r="W463" s="9">
        <f t="shared" si="455"/>
        <v>853</v>
      </c>
      <c r="X463" s="9" t="str">
        <f t="shared" ref="X463:Y463" si="468">IF(W463&lt;&gt;T463,W463,IF(_xlfn.IFNA(VLOOKUP(T463,$M$2:$N$13,2,FALSE),U463)=0,"xxx",_xlfn.IFNA(VLOOKUP(T463,$M$2:$N$13,2,FALSE),U463)))</f>
        <v>xxx</v>
      </c>
      <c r="Y463" s="9" t="str">
        <f t="shared" si="468"/>
        <v>xxx</v>
      </c>
    </row>
    <row r="464" spans="3:25" x14ac:dyDescent="0.2">
      <c r="C464">
        <v>463</v>
      </c>
      <c r="D464" t="s">
        <v>2905</v>
      </c>
      <c r="E464">
        <v>463</v>
      </c>
      <c r="S464" s="9">
        <v>1294</v>
      </c>
      <c r="T464" s="9">
        <v>853</v>
      </c>
      <c r="U464" s="9"/>
      <c r="V464" s="9"/>
      <c r="W464" s="9">
        <f t="shared" si="455"/>
        <v>853</v>
      </c>
      <c r="X464" s="9" t="str">
        <f t="shared" ref="X464:Y464" si="469">IF(W464&lt;&gt;T464,W464,IF(_xlfn.IFNA(VLOOKUP(T464,$M$2:$N$13,2,FALSE),U464)=0,"xxx",_xlfn.IFNA(VLOOKUP(T464,$M$2:$N$13,2,FALSE),U464)))</f>
        <v>xxx</v>
      </c>
      <c r="Y464" s="9" t="str">
        <f t="shared" si="469"/>
        <v>xxx</v>
      </c>
    </row>
    <row r="465" spans="3:25" x14ac:dyDescent="0.2">
      <c r="C465">
        <v>464</v>
      </c>
      <c r="D465" t="s">
        <v>2906</v>
      </c>
      <c r="E465">
        <v>464</v>
      </c>
      <c r="S465" s="9">
        <v>1295</v>
      </c>
      <c r="T465" s="9">
        <v>853</v>
      </c>
      <c r="U465" s="9">
        <v>277</v>
      </c>
      <c r="V465" s="9">
        <v>529</v>
      </c>
      <c r="W465" s="9">
        <f t="shared" si="455"/>
        <v>853</v>
      </c>
      <c r="X465" s="9">
        <f t="shared" ref="X465:Y465" si="470">IF(W465&lt;&gt;T465,W465,IF(_xlfn.IFNA(VLOOKUP(T465,$M$2:$N$13,2,FALSE),U465)=0,"xxx",_xlfn.IFNA(VLOOKUP(T465,$M$2:$N$13,2,FALSE),U465)))</f>
        <v>277</v>
      </c>
      <c r="Y465" s="9">
        <f t="shared" si="470"/>
        <v>529</v>
      </c>
    </row>
    <row r="466" spans="3:25" x14ac:dyDescent="0.2">
      <c r="C466">
        <v>465</v>
      </c>
      <c r="D466" t="s">
        <v>2907</v>
      </c>
      <c r="E466">
        <v>465</v>
      </c>
      <c r="S466" s="9">
        <v>1296</v>
      </c>
      <c r="T466" s="9">
        <v>853</v>
      </c>
      <c r="U466" s="9"/>
      <c r="V466" s="9"/>
      <c r="W466" s="9">
        <f t="shared" si="455"/>
        <v>853</v>
      </c>
      <c r="X466" s="9" t="str">
        <f t="shared" ref="X466:Y466" si="471">IF(W466&lt;&gt;T466,W466,IF(_xlfn.IFNA(VLOOKUP(T466,$M$2:$N$13,2,FALSE),U466)=0,"xxx",_xlfn.IFNA(VLOOKUP(T466,$M$2:$N$13,2,FALSE),U466)))</f>
        <v>xxx</v>
      </c>
      <c r="Y466" s="9" t="str">
        <f t="shared" si="471"/>
        <v>xxx</v>
      </c>
    </row>
    <row r="467" spans="3:25" x14ac:dyDescent="0.2">
      <c r="C467">
        <v>466</v>
      </c>
      <c r="D467" t="s">
        <v>2908</v>
      </c>
      <c r="E467">
        <v>466</v>
      </c>
      <c r="S467" s="9">
        <v>1297</v>
      </c>
      <c r="T467" s="9">
        <v>853</v>
      </c>
      <c r="U467" s="9"/>
      <c r="V467" s="9"/>
      <c r="W467" s="9">
        <f t="shared" si="455"/>
        <v>853</v>
      </c>
      <c r="X467" s="9" t="str">
        <f t="shared" ref="X467:Y467" si="472">IF(W467&lt;&gt;T467,W467,IF(_xlfn.IFNA(VLOOKUP(T467,$M$2:$N$13,2,FALSE),U467)=0,"xxx",_xlfn.IFNA(VLOOKUP(T467,$M$2:$N$13,2,FALSE),U467)))</f>
        <v>xxx</v>
      </c>
      <c r="Y467" s="9" t="str">
        <f t="shared" si="472"/>
        <v>xxx</v>
      </c>
    </row>
    <row r="468" spans="3:25" x14ac:dyDescent="0.2">
      <c r="C468">
        <v>467</v>
      </c>
      <c r="D468" t="s">
        <v>2909</v>
      </c>
      <c r="E468">
        <v>467</v>
      </c>
      <c r="S468" s="9">
        <v>1298</v>
      </c>
      <c r="T468" s="9">
        <v>853</v>
      </c>
      <c r="U468" s="9">
        <v>321</v>
      </c>
      <c r="V468" s="9">
        <v>531</v>
      </c>
      <c r="W468" s="9">
        <f t="shared" si="455"/>
        <v>853</v>
      </c>
      <c r="X468" s="9">
        <f t="shared" ref="X468:Y468" si="473">IF(W468&lt;&gt;T468,W468,IF(_xlfn.IFNA(VLOOKUP(T468,$M$2:$N$13,2,FALSE),U468)=0,"xxx",_xlfn.IFNA(VLOOKUP(T468,$M$2:$N$13,2,FALSE),U468)))</f>
        <v>321</v>
      </c>
      <c r="Y468" s="9">
        <f t="shared" si="473"/>
        <v>531</v>
      </c>
    </row>
    <row r="469" spans="3:25" x14ac:dyDescent="0.2">
      <c r="C469">
        <v>468</v>
      </c>
      <c r="D469" t="s">
        <v>2910</v>
      </c>
      <c r="E469">
        <v>468</v>
      </c>
      <c r="S469" s="9">
        <v>1299</v>
      </c>
      <c r="T469" s="9">
        <v>853</v>
      </c>
      <c r="U469" s="9">
        <v>321</v>
      </c>
      <c r="V469" s="9">
        <v>531</v>
      </c>
      <c r="W469" s="9">
        <f t="shared" si="455"/>
        <v>853</v>
      </c>
      <c r="X469" s="9">
        <f t="shared" ref="X469:Y469" si="474">IF(W469&lt;&gt;T469,W469,IF(_xlfn.IFNA(VLOOKUP(T469,$M$2:$N$13,2,FALSE),U469)=0,"xxx",_xlfn.IFNA(VLOOKUP(T469,$M$2:$N$13,2,FALSE),U469)))</f>
        <v>321</v>
      </c>
      <c r="Y469" s="9">
        <f t="shared" si="474"/>
        <v>531</v>
      </c>
    </row>
    <row r="470" spans="3:25" x14ac:dyDescent="0.2">
      <c r="C470">
        <v>469</v>
      </c>
      <c r="D470" t="s">
        <v>2911</v>
      </c>
      <c r="E470">
        <v>469</v>
      </c>
      <c r="S470" s="9">
        <v>1300</v>
      </c>
      <c r="T470" s="9">
        <v>853</v>
      </c>
      <c r="U470" s="9">
        <v>322</v>
      </c>
      <c r="V470" s="9">
        <v>532</v>
      </c>
      <c r="W470" s="9">
        <f t="shared" si="455"/>
        <v>853</v>
      </c>
      <c r="X470" s="9">
        <f t="shared" ref="X470:Y470" si="475">IF(W470&lt;&gt;T470,W470,IF(_xlfn.IFNA(VLOOKUP(T470,$M$2:$N$13,2,FALSE),U470)=0,"xxx",_xlfn.IFNA(VLOOKUP(T470,$M$2:$N$13,2,FALSE),U470)))</f>
        <v>322</v>
      </c>
      <c r="Y470" s="9">
        <f t="shared" si="475"/>
        <v>532</v>
      </c>
    </row>
    <row r="471" spans="3:25" x14ac:dyDescent="0.2">
      <c r="C471">
        <v>470</v>
      </c>
      <c r="D471" t="s">
        <v>2912</v>
      </c>
      <c r="E471">
        <v>470</v>
      </c>
      <c r="S471" s="9">
        <v>1301</v>
      </c>
      <c r="T471" s="9">
        <v>853</v>
      </c>
      <c r="U471" s="9">
        <v>321</v>
      </c>
      <c r="V471" s="9">
        <v>531</v>
      </c>
      <c r="W471" s="9">
        <f t="shared" si="455"/>
        <v>853</v>
      </c>
      <c r="X471" s="9">
        <f t="shared" ref="X471:Y471" si="476">IF(W471&lt;&gt;T471,W471,IF(_xlfn.IFNA(VLOOKUP(T471,$M$2:$N$13,2,FALSE),U471)=0,"xxx",_xlfn.IFNA(VLOOKUP(T471,$M$2:$N$13,2,FALSE),U471)))</f>
        <v>321</v>
      </c>
      <c r="Y471" s="9">
        <f t="shared" si="476"/>
        <v>531</v>
      </c>
    </row>
    <row r="472" spans="3:25" x14ac:dyDescent="0.2">
      <c r="C472">
        <v>471</v>
      </c>
      <c r="D472" t="s">
        <v>2913</v>
      </c>
      <c r="E472">
        <v>471</v>
      </c>
      <c r="S472" s="9">
        <v>1302</v>
      </c>
      <c r="T472" s="9">
        <v>853</v>
      </c>
      <c r="U472" s="9">
        <v>321</v>
      </c>
      <c r="V472" s="9">
        <v>531</v>
      </c>
      <c r="W472" s="9">
        <f t="shared" si="455"/>
        <v>853</v>
      </c>
      <c r="X472" s="9">
        <f t="shared" ref="X472:Y472" si="477">IF(W472&lt;&gt;T472,W472,IF(_xlfn.IFNA(VLOOKUP(T472,$M$2:$N$13,2,FALSE),U472)=0,"xxx",_xlfn.IFNA(VLOOKUP(T472,$M$2:$N$13,2,FALSE),U472)))</f>
        <v>321</v>
      </c>
      <c r="Y472" s="9">
        <f t="shared" si="477"/>
        <v>531</v>
      </c>
    </row>
    <row r="473" spans="3:25" x14ac:dyDescent="0.2">
      <c r="C473">
        <v>472</v>
      </c>
      <c r="D473" t="s">
        <v>2914</v>
      </c>
      <c r="E473">
        <v>472</v>
      </c>
      <c r="S473" s="9">
        <v>1303</v>
      </c>
      <c r="T473" s="9">
        <v>853</v>
      </c>
      <c r="U473" s="9">
        <v>321</v>
      </c>
      <c r="V473" s="9">
        <v>531</v>
      </c>
      <c r="W473" s="9">
        <f t="shared" si="455"/>
        <v>853</v>
      </c>
      <c r="X473" s="9">
        <f t="shared" ref="X473:Y473" si="478">IF(W473&lt;&gt;T473,W473,IF(_xlfn.IFNA(VLOOKUP(T473,$M$2:$N$13,2,FALSE),U473)=0,"xxx",_xlfn.IFNA(VLOOKUP(T473,$M$2:$N$13,2,FALSE),U473)))</f>
        <v>321</v>
      </c>
      <c r="Y473" s="9">
        <f t="shared" si="478"/>
        <v>531</v>
      </c>
    </row>
    <row r="474" spans="3:25" x14ac:dyDescent="0.2">
      <c r="C474">
        <v>473</v>
      </c>
      <c r="D474" t="s">
        <v>2915</v>
      </c>
      <c r="E474">
        <v>473</v>
      </c>
      <c r="S474" s="9">
        <v>1304</v>
      </c>
      <c r="T474" s="9">
        <v>853</v>
      </c>
      <c r="U474" s="9">
        <v>405</v>
      </c>
      <c r="V474" s="9">
        <v>531</v>
      </c>
      <c r="W474" s="9">
        <f t="shared" si="455"/>
        <v>853</v>
      </c>
      <c r="X474" s="9">
        <f t="shared" ref="X474:Y474" si="479">IF(W474&lt;&gt;T474,W474,IF(_xlfn.IFNA(VLOOKUP(T474,$M$2:$N$13,2,FALSE),U474)=0,"xxx",_xlfn.IFNA(VLOOKUP(T474,$M$2:$N$13,2,FALSE),U474)))</f>
        <v>405</v>
      </c>
      <c r="Y474" s="9">
        <f t="shared" si="479"/>
        <v>531</v>
      </c>
    </row>
    <row r="475" spans="3:25" x14ac:dyDescent="0.2">
      <c r="C475">
        <v>474</v>
      </c>
      <c r="D475" t="s">
        <v>2916</v>
      </c>
      <c r="E475">
        <v>474</v>
      </c>
      <c r="S475" s="9">
        <v>1305</v>
      </c>
      <c r="T475" s="9">
        <v>853</v>
      </c>
      <c r="U475" s="9">
        <v>406</v>
      </c>
      <c r="V475" s="9">
        <v>532</v>
      </c>
      <c r="W475" s="9">
        <f t="shared" si="455"/>
        <v>853</v>
      </c>
      <c r="X475" s="9">
        <f t="shared" ref="X475:Y475" si="480">IF(W475&lt;&gt;T475,W475,IF(_xlfn.IFNA(VLOOKUP(T475,$M$2:$N$13,2,FALSE),U475)=0,"xxx",_xlfn.IFNA(VLOOKUP(T475,$M$2:$N$13,2,FALSE),U475)))</f>
        <v>406</v>
      </c>
      <c r="Y475" s="9">
        <f t="shared" si="480"/>
        <v>532</v>
      </c>
    </row>
    <row r="476" spans="3:25" x14ac:dyDescent="0.2">
      <c r="C476">
        <v>475</v>
      </c>
      <c r="D476" t="s">
        <v>2917</v>
      </c>
      <c r="E476">
        <v>475</v>
      </c>
      <c r="S476" s="9">
        <v>1306</v>
      </c>
      <c r="T476" s="9">
        <v>853</v>
      </c>
      <c r="U476" s="9">
        <v>406</v>
      </c>
      <c r="V476" s="9">
        <v>532</v>
      </c>
      <c r="W476" s="9">
        <f t="shared" si="455"/>
        <v>853</v>
      </c>
      <c r="X476" s="9">
        <f t="shared" ref="X476:Y476" si="481">IF(W476&lt;&gt;T476,W476,IF(_xlfn.IFNA(VLOOKUP(T476,$M$2:$N$13,2,FALSE),U476)=0,"xxx",_xlfn.IFNA(VLOOKUP(T476,$M$2:$N$13,2,FALSE),U476)))</f>
        <v>406</v>
      </c>
      <c r="Y476" s="9">
        <f t="shared" si="481"/>
        <v>532</v>
      </c>
    </row>
    <row r="477" spans="3:25" x14ac:dyDescent="0.2">
      <c r="C477">
        <v>476</v>
      </c>
      <c r="D477" t="s">
        <v>2918</v>
      </c>
      <c r="E477">
        <v>476</v>
      </c>
      <c r="S477" s="9">
        <v>1307</v>
      </c>
      <c r="T477" s="9">
        <v>853</v>
      </c>
      <c r="U477" s="9">
        <v>279</v>
      </c>
      <c r="V477" s="9">
        <v>531</v>
      </c>
      <c r="W477" s="9">
        <f t="shared" si="455"/>
        <v>853</v>
      </c>
      <c r="X477" s="9">
        <f t="shared" ref="X477:Y477" si="482">IF(W477&lt;&gt;T477,W477,IF(_xlfn.IFNA(VLOOKUP(T477,$M$2:$N$13,2,FALSE),U477)=0,"xxx",_xlfn.IFNA(VLOOKUP(T477,$M$2:$N$13,2,FALSE),U477)))</f>
        <v>279</v>
      </c>
      <c r="Y477" s="9">
        <f t="shared" si="482"/>
        <v>531</v>
      </c>
    </row>
    <row r="478" spans="3:25" x14ac:dyDescent="0.2">
      <c r="C478">
        <v>477</v>
      </c>
      <c r="D478" t="s">
        <v>2919</v>
      </c>
      <c r="E478">
        <v>477</v>
      </c>
      <c r="S478" s="9">
        <v>1308</v>
      </c>
      <c r="T478" s="9">
        <v>853</v>
      </c>
      <c r="U478" s="9">
        <v>279</v>
      </c>
      <c r="V478" s="9">
        <v>531</v>
      </c>
      <c r="W478" s="9">
        <f t="shared" si="455"/>
        <v>853</v>
      </c>
      <c r="X478" s="9">
        <f t="shared" ref="X478:Y478" si="483">IF(W478&lt;&gt;T478,W478,IF(_xlfn.IFNA(VLOOKUP(T478,$M$2:$N$13,2,FALSE),U478)=0,"xxx",_xlfn.IFNA(VLOOKUP(T478,$M$2:$N$13,2,FALSE),U478)))</f>
        <v>279</v>
      </c>
      <c r="Y478" s="9">
        <f t="shared" si="483"/>
        <v>531</v>
      </c>
    </row>
    <row r="479" spans="3:25" x14ac:dyDescent="0.2">
      <c r="C479">
        <v>478</v>
      </c>
      <c r="D479" t="s">
        <v>2920</v>
      </c>
      <c r="E479">
        <v>478</v>
      </c>
      <c r="S479" s="9">
        <v>1309</v>
      </c>
      <c r="T479" s="9">
        <v>853</v>
      </c>
      <c r="U479" s="9">
        <v>280</v>
      </c>
      <c r="V479" s="9">
        <v>532</v>
      </c>
      <c r="W479" s="9">
        <f t="shared" si="455"/>
        <v>853</v>
      </c>
      <c r="X479" s="9">
        <f t="shared" ref="X479:Y479" si="484">IF(W479&lt;&gt;T479,W479,IF(_xlfn.IFNA(VLOOKUP(T479,$M$2:$N$13,2,FALSE),U479)=0,"xxx",_xlfn.IFNA(VLOOKUP(T479,$M$2:$N$13,2,FALSE),U479)))</f>
        <v>280</v>
      </c>
      <c r="Y479" s="9">
        <f t="shared" si="484"/>
        <v>532</v>
      </c>
    </row>
    <row r="480" spans="3:25" x14ac:dyDescent="0.2">
      <c r="C480">
        <v>479</v>
      </c>
      <c r="D480" t="s">
        <v>2921</v>
      </c>
      <c r="E480">
        <v>479</v>
      </c>
      <c r="S480" s="9">
        <v>1310</v>
      </c>
      <c r="T480" s="9">
        <v>853</v>
      </c>
      <c r="U480" s="9">
        <v>279</v>
      </c>
      <c r="V480" s="9">
        <v>531</v>
      </c>
      <c r="W480" s="9">
        <f t="shared" si="455"/>
        <v>853</v>
      </c>
      <c r="X480" s="9">
        <f t="shared" ref="X480:Y480" si="485">IF(W480&lt;&gt;T480,W480,IF(_xlfn.IFNA(VLOOKUP(T480,$M$2:$N$13,2,FALSE),U480)=0,"xxx",_xlfn.IFNA(VLOOKUP(T480,$M$2:$N$13,2,FALSE),U480)))</f>
        <v>279</v>
      </c>
      <c r="Y480" s="9">
        <f t="shared" si="485"/>
        <v>531</v>
      </c>
    </row>
    <row r="481" spans="3:25" x14ac:dyDescent="0.2">
      <c r="C481">
        <v>480</v>
      </c>
      <c r="D481" t="s">
        <v>2922</v>
      </c>
      <c r="E481">
        <v>480</v>
      </c>
      <c r="S481" s="9">
        <v>1311</v>
      </c>
      <c r="T481" s="9">
        <v>853</v>
      </c>
      <c r="U481" s="9">
        <v>280</v>
      </c>
      <c r="V481" s="9">
        <v>532</v>
      </c>
      <c r="W481" s="9">
        <f t="shared" si="455"/>
        <v>853</v>
      </c>
      <c r="X481" s="9">
        <f t="shared" ref="X481:Y481" si="486">IF(W481&lt;&gt;T481,W481,IF(_xlfn.IFNA(VLOOKUP(T481,$M$2:$N$13,2,FALSE),U481)=0,"xxx",_xlfn.IFNA(VLOOKUP(T481,$M$2:$N$13,2,FALSE),U481)))</f>
        <v>280</v>
      </c>
      <c r="Y481" s="9">
        <f t="shared" si="486"/>
        <v>532</v>
      </c>
    </row>
    <row r="482" spans="3:25" x14ac:dyDescent="0.2">
      <c r="C482">
        <v>481</v>
      </c>
      <c r="D482" t="s">
        <v>2923</v>
      </c>
      <c r="E482">
        <v>481</v>
      </c>
      <c r="S482" s="9">
        <v>1312</v>
      </c>
      <c r="T482" s="9">
        <v>853</v>
      </c>
      <c r="U482" s="9">
        <v>280</v>
      </c>
      <c r="V482" s="9">
        <v>532</v>
      </c>
      <c r="W482" s="9">
        <f t="shared" si="455"/>
        <v>853</v>
      </c>
      <c r="X482" s="9">
        <f t="shared" ref="X482:Y482" si="487">IF(W482&lt;&gt;T482,W482,IF(_xlfn.IFNA(VLOOKUP(T482,$M$2:$N$13,2,FALSE),U482)=0,"xxx",_xlfn.IFNA(VLOOKUP(T482,$M$2:$N$13,2,FALSE),U482)))</f>
        <v>280</v>
      </c>
      <c r="Y482" s="9">
        <f t="shared" si="487"/>
        <v>532</v>
      </c>
    </row>
    <row r="483" spans="3:25" x14ac:dyDescent="0.2">
      <c r="C483">
        <v>482</v>
      </c>
      <c r="D483" t="s">
        <v>2924</v>
      </c>
      <c r="E483">
        <v>482</v>
      </c>
      <c r="S483" s="9">
        <v>1313</v>
      </c>
      <c r="T483" s="9">
        <v>853</v>
      </c>
      <c r="U483" s="9"/>
      <c r="V483" s="9"/>
      <c r="W483" s="9">
        <f t="shared" si="455"/>
        <v>853</v>
      </c>
      <c r="X483" s="9" t="str">
        <f t="shared" ref="X483:Y483" si="488">IF(W483&lt;&gt;T483,W483,IF(_xlfn.IFNA(VLOOKUP(T483,$M$2:$N$13,2,FALSE),U483)=0,"xxx",_xlfn.IFNA(VLOOKUP(T483,$M$2:$N$13,2,FALSE),U483)))</f>
        <v>xxx</v>
      </c>
      <c r="Y483" s="9" t="str">
        <f t="shared" si="488"/>
        <v>xxx</v>
      </c>
    </row>
    <row r="484" spans="3:25" x14ac:dyDescent="0.2">
      <c r="C484">
        <v>483</v>
      </c>
      <c r="D484" t="s">
        <v>2925</v>
      </c>
      <c r="E484">
        <v>483</v>
      </c>
      <c r="S484" s="9">
        <v>1314</v>
      </c>
      <c r="T484" s="9">
        <v>853</v>
      </c>
      <c r="U484" s="9"/>
      <c r="V484" s="9"/>
      <c r="W484" s="9">
        <f t="shared" si="455"/>
        <v>853</v>
      </c>
      <c r="X484" s="9" t="str">
        <f t="shared" ref="X484:Y484" si="489">IF(W484&lt;&gt;T484,W484,IF(_xlfn.IFNA(VLOOKUP(T484,$M$2:$N$13,2,FALSE),U484)=0,"xxx",_xlfn.IFNA(VLOOKUP(T484,$M$2:$N$13,2,FALSE),U484)))</f>
        <v>xxx</v>
      </c>
      <c r="Y484" s="9" t="str">
        <f t="shared" si="489"/>
        <v>xxx</v>
      </c>
    </row>
    <row r="485" spans="3:25" x14ac:dyDescent="0.2">
      <c r="C485">
        <v>484</v>
      </c>
      <c r="D485" t="s">
        <v>2926</v>
      </c>
      <c r="E485">
        <v>484</v>
      </c>
      <c r="S485" s="9">
        <v>1315</v>
      </c>
      <c r="T485" s="9">
        <v>853</v>
      </c>
      <c r="U485" s="9"/>
      <c r="V485" s="9"/>
      <c r="W485" s="9">
        <f t="shared" si="455"/>
        <v>853</v>
      </c>
      <c r="X485" s="9" t="str">
        <f t="shared" ref="X485:Y485" si="490">IF(W485&lt;&gt;T485,W485,IF(_xlfn.IFNA(VLOOKUP(T485,$M$2:$N$13,2,FALSE),U485)=0,"xxx",_xlfn.IFNA(VLOOKUP(T485,$M$2:$N$13,2,FALSE),U485)))</f>
        <v>xxx</v>
      </c>
      <c r="Y485" s="9" t="str">
        <f t="shared" si="490"/>
        <v>xxx</v>
      </c>
    </row>
    <row r="486" spans="3:25" x14ac:dyDescent="0.2">
      <c r="C486">
        <v>485</v>
      </c>
      <c r="D486" t="s">
        <v>2927</v>
      </c>
      <c r="E486">
        <v>485</v>
      </c>
      <c r="S486" s="9">
        <v>1316</v>
      </c>
      <c r="T486" s="9">
        <v>853</v>
      </c>
      <c r="U486" s="9"/>
      <c r="V486" s="9"/>
      <c r="W486" s="9">
        <f t="shared" si="455"/>
        <v>853</v>
      </c>
      <c r="X486" s="9" t="str">
        <f t="shared" ref="X486:Y486" si="491">IF(W486&lt;&gt;T486,W486,IF(_xlfn.IFNA(VLOOKUP(T486,$M$2:$N$13,2,FALSE),U486)=0,"xxx",_xlfn.IFNA(VLOOKUP(T486,$M$2:$N$13,2,FALSE),U486)))</f>
        <v>xxx</v>
      </c>
      <c r="Y486" s="9" t="str">
        <f t="shared" si="491"/>
        <v>xxx</v>
      </c>
    </row>
    <row r="487" spans="3:25" x14ac:dyDescent="0.2">
      <c r="C487">
        <v>486</v>
      </c>
      <c r="D487" t="s">
        <v>2928</v>
      </c>
      <c r="E487">
        <v>486</v>
      </c>
      <c r="S487" s="9">
        <v>1317</v>
      </c>
      <c r="T487" s="9">
        <v>853</v>
      </c>
      <c r="U487" s="9"/>
      <c r="V487" s="9"/>
      <c r="W487" s="9">
        <f t="shared" si="455"/>
        <v>853</v>
      </c>
      <c r="X487" s="9" t="str">
        <f t="shared" ref="X487:Y487" si="492">IF(W487&lt;&gt;T487,W487,IF(_xlfn.IFNA(VLOOKUP(T487,$M$2:$N$13,2,FALSE),U487)=0,"xxx",_xlfn.IFNA(VLOOKUP(T487,$M$2:$N$13,2,FALSE),U487)))</f>
        <v>xxx</v>
      </c>
      <c r="Y487" s="9" t="str">
        <f t="shared" si="492"/>
        <v>xxx</v>
      </c>
    </row>
    <row r="488" spans="3:25" x14ac:dyDescent="0.2">
      <c r="C488">
        <v>487</v>
      </c>
      <c r="D488" t="s">
        <v>2929</v>
      </c>
      <c r="E488">
        <v>487</v>
      </c>
      <c r="S488" s="9">
        <v>1318</v>
      </c>
      <c r="T488" s="9">
        <v>853</v>
      </c>
      <c r="U488" s="9"/>
      <c r="V488" s="9"/>
      <c r="W488" s="9">
        <f t="shared" si="455"/>
        <v>853</v>
      </c>
      <c r="X488" s="9" t="str">
        <f t="shared" ref="X488:Y488" si="493">IF(W488&lt;&gt;T488,W488,IF(_xlfn.IFNA(VLOOKUP(T488,$M$2:$N$13,2,FALSE),U488)=0,"xxx",_xlfn.IFNA(VLOOKUP(T488,$M$2:$N$13,2,FALSE),U488)))</f>
        <v>xxx</v>
      </c>
      <c r="Y488" s="9" t="str">
        <f t="shared" si="493"/>
        <v>xxx</v>
      </c>
    </row>
    <row r="489" spans="3:25" x14ac:dyDescent="0.2">
      <c r="C489">
        <v>488</v>
      </c>
      <c r="D489" t="s">
        <v>2930</v>
      </c>
      <c r="E489">
        <v>488</v>
      </c>
      <c r="S489" s="9">
        <v>1319</v>
      </c>
      <c r="T489" s="9">
        <v>853</v>
      </c>
      <c r="U489" s="9"/>
      <c r="V489" s="9"/>
      <c r="W489" s="9">
        <f t="shared" si="455"/>
        <v>853</v>
      </c>
      <c r="X489" s="9" t="str">
        <f t="shared" ref="X489:Y489" si="494">IF(W489&lt;&gt;T489,W489,IF(_xlfn.IFNA(VLOOKUP(T489,$M$2:$N$13,2,FALSE),U489)=0,"xxx",_xlfn.IFNA(VLOOKUP(T489,$M$2:$N$13,2,FALSE),U489)))</f>
        <v>xxx</v>
      </c>
      <c r="Y489" s="9" t="str">
        <f t="shared" si="494"/>
        <v>xxx</v>
      </c>
    </row>
    <row r="490" spans="3:25" x14ac:dyDescent="0.2">
      <c r="C490">
        <v>489</v>
      </c>
      <c r="D490" t="s">
        <v>2931</v>
      </c>
      <c r="E490">
        <v>489</v>
      </c>
      <c r="S490" s="9">
        <v>1320</v>
      </c>
      <c r="T490" s="9">
        <v>853</v>
      </c>
      <c r="U490" s="9"/>
      <c r="V490" s="9"/>
      <c r="W490" s="9">
        <f t="shared" si="455"/>
        <v>853</v>
      </c>
      <c r="X490" s="9" t="str">
        <f t="shared" ref="X490:Y490" si="495">IF(W490&lt;&gt;T490,W490,IF(_xlfn.IFNA(VLOOKUP(T490,$M$2:$N$13,2,FALSE),U490)=0,"xxx",_xlfn.IFNA(VLOOKUP(T490,$M$2:$N$13,2,FALSE),U490)))</f>
        <v>xxx</v>
      </c>
      <c r="Y490" s="9" t="str">
        <f t="shared" si="495"/>
        <v>xxx</v>
      </c>
    </row>
    <row r="491" spans="3:25" x14ac:dyDescent="0.2">
      <c r="C491">
        <v>490</v>
      </c>
      <c r="D491" t="s">
        <v>2932</v>
      </c>
      <c r="E491">
        <v>490</v>
      </c>
      <c r="S491" s="9">
        <v>1321</v>
      </c>
      <c r="T491" s="9">
        <v>853</v>
      </c>
      <c r="U491" s="9"/>
      <c r="V491" s="9"/>
      <c r="W491" s="9">
        <f t="shared" si="455"/>
        <v>853</v>
      </c>
      <c r="X491" s="9" t="str">
        <f t="shared" ref="X491:Y491" si="496">IF(W491&lt;&gt;T491,W491,IF(_xlfn.IFNA(VLOOKUP(T491,$M$2:$N$13,2,FALSE),U491)=0,"xxx",_xlfn.IFNA(VLOOKUP(T491,$M$2:$N$13,2,FALSE),U491)))</f>
        <v>xxx</v>
      </c>
      <c r="Y491" s="9" t="str">
        <f t="shared" si="496"/>
        <v>xxx</v>
      </c>
    </row>
    <row r="492" spans="3:25" x14ac:dyDescent="0.2">
      <c r="C492">
        <v>491</v>
      </c>
      <c r="D492" t="s">
        <v>2933</v>
      </c>
      <c r="E492">
        <v>491</v>
      </c>
      <c r="S492" s="9">
        <v>1322</v>
      </c>
      <c r="T492" s="9">
        <v>853</v>
      </c>
      <c r="U492" s="9"/>
      <c r="V492" s="9"/>
      <c r="W492" s="9">
        <f t="shared" si="455"/>
        <v>853</v>
      </c>
      <c r="X492" s="9" t="str">
        <f t="shared" ref="X492:Y492" si="497">IF(W492&lt;&gt;T492,W492,IF(_xlfn.IFNA(VLOOKUP(T492,$M$2:$N$13,2,FALSE),U492)=0,"xxx",_xlfn.IFNA(VLOOKUP(T492,$M$2:$N$13,2,FALSE),U492)))</f>
        <v>xxx</v>
      </c>
      <c r="Y492" s="9" t="str">
        <f t="shared" si="497"/>
        <v>xxx</v>
      </c>
    </row>
    <row r="493" spans="3:25" x14ac:dyDescent="0.2">
      <c r="C493">
        <v>492</v>
      </c>
      <c r="D493" t="s">
        <v>2934</v>
      </c>
      <c r="E493">
        <v>492</v>
      </c>
      <c r="S493" s="9">
        <v>1323</v>
      </c>
      <c r="T493" s="9">
        <v>853</v>
      </c>
      <c r="U493" s="9"/>
      <c r="V493" s="9"/>
      <c r="W493" s="9">
        <f t="shared" si="455"/>
        <v>853</v>
      </c>
      <c r="X493" s="9" t="str">
        <f t="shared" ref="X493:Y493" si="498">IF(W493&lt;&gt;T493,W493,IF(_xlfn.IFNA(VLOOKUP(T493,$M$2:$N$13,2,FALSE),U493)=0,"xxx",_xlfn.IFNA(VLOOKUP(T493,$M$2:$N$13,2,FALSE),U493)))</f>
        <v>xxx</v>
      </c>
      <c r="Y493" s="9" t="str">
        <f t="shared" si="498"/>
        <v>xxx</v>
      </c>
    </row>
    <row r="494" spans="3:25" x14ac:dyDescent="0.2">
      <c r="C494">
        <v>493</v>
      </c>
      <c r="D494" t="s">
        <v>2935</v>
      </c>
      <c r="E494">
        <v>493</v>
      </c>
      <c r="S494" s="9">
        <v>1324</v>
      </c>
      <c r="T494" s="9">
        <v>853</v>
      </c>
      <c r="U494" s="9"/>
      <c r="V494" s="9"/>
      <c r="W494" s="9">
        <f t="shared" si="455"/>
        <v>853</v>
      </c>
      <c r="X494" s="9" t="str">
        <f t="shared" ref="X494:Y494" si="499">IF(W494&lt;&gt;T494,W494,IF(_xlfn.IFNA(VLOOKUP(T494,$M$2:$N$13,2,FALSE),U494)=0,"xxx",_xlfn.IFNA(VLOOKUP(T494,$M$2:$N$13,2,FALSE),U494)))</f>
        <v>xxx</v>
      </c>
      <c r="Y494" s="9" t="str">
        <f t="shared" si="499"/>
        <v>xxx</v>
      </c>
    </row>
    <row r="495" spans="3:25" x14ac:dyDescent="0.2">
      <c r="C495">
        <v>494</v>
      </c>
      <c r="D495" t="s">
        <v>2936</v>
      </c>
      <c r="E495">
        <v>494</v>
      </c>
      <c r="S495" s="9">
        <v>1325</v>
      </c>
      <c r="T495" s="9">
        <v>853</v>
      </c>
      <c r="U495" s="9"/>
      <c r="V495" s="9"/>
      <c r="W495" s="9">
        <f t="shared" si="455"/>
        <v>853</v>
      </c>
      <c r="X495" s="9" t="str">
        <f t="shared" ref="X495:Y495" si="500">IF(W495&lt;&gt;T495,W495,IF(_xlfn.IFNA(VLOOKUP(T495,$M$2:$N$13,2,FALSE),U495)=0,"xxx",_xlfn.IFNA(VLOOKUP(T495,$M$2:$N$13,2,FALSE),U495)))</f>
        <v>xxx</v>
      </c>
      <c r="Y495" s="9" t="str">
        <f t="shared" si="500"/>
        <v>xxx</v>
      </c>
    </row>
    <row r="496" spans="3:25" x14ac:dyDescent="0.2">
      <c r="C496">
        <v>495</v>
      </c>
      <c r="D496" t="s">
        <v>2937</v>
      </c>
      <c r="E496">
        <v>495</v>
      </c>
      <c r="S496" s="9">
        <v>1326</v>
      </c>
      <c r="T496" s="9">
        <v>853</v>
      </c>
      <c r="U496" s="9"/>
      <c r="V496" s="9"/>
      <c r="W496" s="9">
        <f t="shared" si="455"/>
        <v>853</v>
      </c>
      <c r="X496" s="9" t="str">
        <f t="shared" ref="X496:Y496" si="501">IF(W496&lt;&gt;T496,W496,IF(_xlfn.IFNA(VLOOKUP(T496,$M$2:$N$13,2,FALSE),U496)=0,"xxx",_xlfn.IFNA(VLOOKUP(T496,$M$2:$N$13,2,FALSE),U496)))</f>
        <v>xxx</v>
      </c>
      <c r="Y496" s="9" t="str">
        <f t="shared" si="501"/>
        <v>xxx</v>
      </c>
    </row>
    <row r="497" spans="3:25" x14ac:dyDescent="0.2">
      <c r="C497">
        <v>496</v>
      </c>
      <c r="D497" t="s">
        <v>2938</v>
      </c>
      <c r="E497">
        <v>496</v>
      </c>
      <c r="S497" s="9">
        <v>1327</v>
      </c>
      <c r="T497" s="9">
        <v>853</v>
      </c>
      <c r="U497" s="9"/>
      <c r="V497" s="9"/>
      <c r="W497" s="9">
        <f t="shared" si="455"/>
        <v>853</v>
      </c>
      <c r="X497" s="9" t="str">
        <f t="shared" ref="X497:Y497" si="502">IF(W497&lt;&gt;T497,W497,IF(_xlfn.IFNA(VLOOKUP(T497,$M$2:$N$13,2,FALSE),U497)=0,"xxx",_xlfn.IFNA(VLOOKUP(T497,$M$2:$N$13,2,FALSE),U497)))</f>
        <v>xxx</v>
      </c>
      <c r="Y497" s="9" t="str">
        <f t="shared" si="502"/>
        <v>xxx</v>
      </c>
    </row>
    <row r="498" spans="3:25" x14ac:dyDescent="0.2">
      <c r="C498">
        <v>497</v>
      </c>
      <c r="D498" t="s">
        <v>2939</v>
      </c>
      <c r="E498">
        <v>497</v>
      </c>
      <c r="S498" s="9">
        <v>1328</v>
      </c>
      <c r="T498" s="9">
        <v>853</v>
      </c>
      <c r="U498" s="9"/>
      <c r="V498" s="9"/>
      <c r="W498" s="9">
        <f t="shared" si="455"/>
        <v>853</v>
      </c>
      <c r="X498" s="9" t="str">
        <f t="shared" ref="X498:Y498" si="503">IF(W498&lt;&gt;T498,W498,IF(_xlfn.IFNA(VLOOKUP(T498,$M$2:$N$13,2,FALSE),U498)=0,"xxx",_xlfn.IFNA(VLOOKUP(T498,$M$2:$N$13,2,FALSE),U498)))</f>
        <v>xxx</v>
      </c>
      <c r="Y498" s="9" t="str">
        <f t="shared" si="503"/>
        <v>xxx</v>
      </c>
    </row>
    <row r="499" spans="3:25" x14ac:dyDescent="0.2">
      <c r="C499">
        <v>498</v>
      </c>
      <c r="D499" t="s">
        <v>2940</v>
      </c>
      <c r="E499">
        <v>498</v>
      </c>
      <c r="S499" s="9">
        <v>1329</v>
      </c>
      <c r="T499" s="9">
        <v>853</v>
      </c>
      <c r="U499" s="9"/>
      <c r="V499" s="9"/>
      <c r="W499" s="9">
        <f t="shared" si="455"/>
        <v>853</v>
      </c>
      <c r="X499" s="9" t="str">
        <f t="shared" ref="X499:Y499" si="504">IF(W499&lt;&gt;T499,W499,IF(_xlfn.IFNA(VLOOKUP(T499,$M$2:$N$13,2,FALSE),U499)=0,"xxx",_xlfn.IFNA(VLOOKUP(T499,$M$2:$N$13,2,FALSE),U499)))</f>
        <v>xxx</v>
      </c>
      <c r="Y499" s="9" t="str">
        <f t="shared" si="504"/>
        <v>xxx</v>
      </c>
    </row>
    <row r="500" spans="3:25" x14ac:dyDescent="0.2">
      <c r="C500">
        <v>499</v>
      </c>
      <c r="D500" t="s">
        <v>2941</v>
      </c>
      <c r="E500">
        <v>499</v>
      </c>
      <c r="S500" s="9">
        <v>1330</v>
      </c>
      <c r="T500" s="9">
        <v>853</v>
      </c>
      <c r="U500" s="9"/>
      <c r="V500" s="9"/>
      <c r="W500" s="9">
        <f t="shared" si="455"/>
        <v>853</v>
      </c>
      <c r="X500" s="9" t="str">
        <f t="shared" ref="X500:Y500" si="505">IF(W500&lt;&gt;T500,W500,IF(_xlfn.IFNA(VLOOKUP(T500,$M$2:$N$13,2,FALSE),U500)=0,"xxx",_xlfn.IFNA(VLOOKUP(T500,$M$2:$N$13,2,FALSE),U500)))</f>
        <v>xxx</v>
      </c>
      <c r="Y500" s="9" t="str">
        <f t="shared" si="505"/>
        <v>xxx</v>
      </c>
    </row>
    <row r="501" spans="3:25" x14ac:dyDescent="0.2">
      <c r="C501">
        <v>500</v>
      </c>
      <c r="D501" t="s">
        <v>2942</v>
      </c>
      <c r="E501">
        <v>500</v>
      </c>
      <c r="S501" s="9">
        <v>1331</v>
      </c>
      <c r="T501" s="9">
        <v>853</v>
      </c>
      <c r="U501" s="9"/>
      <c r="V501" s="9"/>
      <c r="W501" s="9">
        <f t="shared" si="455"/>
        <v>853</v>
      </c>
      <c r="X501" s="9" t="str">
        <f t="shared" ref="X501:Y501" si="506">IF(W501&lt;&gt;T501,W501,IF(_xlfn.IFNA(VLOOKUP(T501,$M$2:$N$13,2,FALSE),U501)=0,"xxx",_xlfn.IFNA(VLOOKUP(T501,$M$2:$N$13,2,FALSE),U501)))</f>
        <v>xxx</v>
      </c>
      <c r="Y501" s="9" t="str">
        <f t="shared" si="506"/>
        <v>xxx</v>
      </c>
    </row>
    <row r="502" spans="3:25" x14ac:dyDescent="0.2">
      <c r="C502">
        <v>501</v>
      </c>
      <c r="D502" t="s">
        <v>2943</v>
      </c>
      <c r="E502">
        <v>501</v>
      </c>
      <c r="S502" s="9">
        <v>1332</v>
      </c>
      <c r="T502" s="9">
        <v>853</v>
      </c>
      <c r="U502" s="9"/>
      <c r="V502" s="9"/>
      <c r="W502" s="9">
        <f t="shared" si="455"/>
        <v>853</v>
      </c>
      <c r="X502" s="9" t="str">
        <f t="shared" ref="X502:Y502" si="507">IF(W502&lt;&gt;T502,W502,IF(_xlfn.IFNA(VLOOKUP(T502,$M$2:$N$13,2,FALSE),U502)=0,"xxx",_xlfn.IFNA(VLOOKUP(T502,$M$2:$N$13,2,FALSE),U502)))</f>
        <v>xxx</v>
      </c>
      <c r="Y502" s="9" t="str">
        <f t="shared" si="507"/>
        <v>xxx</v>
      </c>
    </row>
    <row r="503" spans="3:25" x14ac:dyDescent="0.2">
      <c r="C503">
        <v>502</v>
      </c>
      <c r="D503" t="s">
        <v>2944</v>
      </c>
      <c r="E503">
        <v>502</v>
      </c>
      <c r="S503" s="9">
        <v>1333</v>
      </c>
      <c r="T503" s="9">
        <v>853</v>
      </c>
      <c r="U503" s="9">
        <v>835</v>
      </c>
      <c r="V503" s="9">
        <v>835</v>
      </c>
      <c r="W503" s="9">
        <f t="shared" si="455"/>
        <v>853</v>
      </c>
      <c r="X503" s="9">
        <f t="shared" ref="X503:Y503" si="508">IF(W503&lt;&gt;T503,W503,IF(_xlfn.IFNA(VLOOKUP(T503,$M$2:$N$13,2,FALSE),U503)=0,"xxx",_xlfn.IFNA(VLOOKUP(T503,$M$2:$N$13,2,FALSE),U503)))</f>
        <v>835</v>
      </c>
      <c r="Y503" s="9">
        <f t="shared" si="508"/>
        <v>835</v>
      </c>
    </row>
    <row r="504" spans="3:25" x14ac:dyDescent="0.2">
      <c r="C504">
        <v>503</v>
      </c>
      <c r="D504" t="s">
        <v>2945</v>
      </c>
      <c r="E504">
        <v>503</v>
      </c>
      <c r="S504" s="9">
        <v>1334</v>
      </c>
      <c r="T504" s="9">
        <v>853</v>
      </c>
      <c r="U504" s="9">
        <v>271</v>
      </c>
      <c r="V504" s="9">
        <v>523</v>
      </c>
      <c r="W504" s="9">
        <f t="shared" si="455"/>
        <v>853</v>
      </c>
      <c r="X504" s="9">
        <f t="shared" ref="X504:Y504" si="509">IF(W504&lt;&gt;T504,W504,IF(_xlfn.IFNA(VLOOKUP(T504,$M$2:$N$13,2,FALSE),U504)=0,"xxx",_xlfn.IFNA(VLOOKUP(T504,$M$2:$N$13,2,FALSE),U504)))</f>
        <v>271</v>
      </c>
      <c r="Y504" s="9">
        <f t="shared" si="509"/>
        <v>523</v>
      </c>
    </row>
    <row r="505" spans="3:25" x14ac:dyDescent="0.2">
      <c r="C505">
        <v>504</v>
      </c>
      <c r="D505" t="s">
        <v>2946</v>
      </c>
      <c r="E505">
        <v>504</v>
      </c>
      <c r="S505" s="9">
        <v>1335</v>
      </c>
      <c r="T505" s="9">
        <v>853</v>
      </c>
      <c r="U505" s="9">
        <v>271</v>
      </c>
      <c r="V505" s="9">
        <v>523</v>
      </c>
      <c r="W505" s="9">
        <f t="shared" si="455"/>
        <v>853</v>
      </c>
      <c r="X505" s="9">
        <f t="shared" ref="X505:Y505" si="510">IF(W505&lt;&gt;T505,W505,IF(_xlfn.IFNA(VLOOKUP(T505,$M$2:$N$13,2,FALSE),U505)=0,"xxx",_xlfn.IFNA(VLOOKUP(T505,$M$2:$N$13,2,FALSE),U505)))</f>
        <v>271</v>
      </c>
      <c r="Y505" s="9">
        <f t="shared" si="510"/>
        <v>523</v>
      </c>
    </row>
    <row r="506" spans="3:25" x14ac:dyDescent="0.2">
      <c r="C506">
        <v>505</v>
      </c>
      <c r="D506" t="s">
        <v>2947</v>
      </c>
      <c r="E506">
        <v>505</v>
      </c>
      <c r="S506" s="9">
        <v>1336</v>
      </c>
      <c r="T506" s="9">
        <v>853</v>
      </c>
      <c r="U506" s="9">
        <v>274</v>
      </c>
      <c r="V506" s="9">
        <v>526</v>
      </c>
      <c r="W506" s="9">
        <f t="shared" si="455"/>
        <v>853</v>
      </c>
      <c r="X506" s="9">
        <f t="shared" ref="X506:Y506" si="511">IF(W506&lt;&gt;T506,W506,IF(_xlfn.IFNA(VLOOKUP(T506,$M$2:$N$13,2,FALSE),U506)=0,"xxx",_xlfn.IFNA(VLOOKUP(T506,$M$2:$N$13,2,FALSE),U506)))</f>
        <v>274</v>
      </c>
      <c r="Y506" s="9">
        <f t="shared" si="511"/>
        <v>526</v>
      </c>
    </row>
    <row r="507" spans="3:25" x14ac:dyDescent="0.2">
      <c r="C507">
        <v>506</v>
      </c>
      <c r="D507" t="s">
        <v>2948</v>
      </c>
      <c r="E507">
        <v>506</v>
      </c>
      <c r="S507" s="9">
        <v>1337</v>
      </c>
      <c r="T507" s="9">
        <v>853</v>
      </c>
      <c r="U507" s="9">
        <v>277</v>
      </c>
      <c r="V507" s="9">
        <v>529</v>
      </c>
      <c r="W507" s="9">
        <f t="shared" si="455"/>
        <v>853</v>
      </c>
      <c r="X507" s="9">
        <f t="shared" ref="X507:Y507" si="512">IF(W507&lt;&gt;T507,W507,IF(_xlfn.IFNA(VLOOKUP(T507,$M$2:$N$13,2,FALSE),U507)=0,"xxx",_xlfn.IFNA(VLOOKUP(T507,$M$2:$N$13,2,FALSE),U507)))</f>
        <v>277</v>
      </c>
      <c r="Y507" s="9">
        <f t="shared" si="512"/>
        <v>529</v>
      </c>
    </row>
    <row r="508" spans="3:25" x14ac:dyDescent="0.2">
      <c r="C508">
        <v>507</v>
      </c>
      <c r="D508" t="s">
        <v>2949</v>
      </c>
      <c r="E508">
        <v>507</v>
      </c>
      <c r="S508" s="9">
        <v>1338</v>
      </c>
      <c r="T508" s="9">
        <v>853</v>
      </c>
      <c r="U508" s="9"/>
      <c r="V508" s="9"/>
      <c r="W508" s="9">
        <f t="shared" si="455"/>
        <v>853</v>
      </c>
      <c r="X508" s="9" t="str">
        <f t="shared" ref="X508:Y508" si="513">IF(W508&lt;&gt;T508,W508,IF(_xlfn.IFNA(VLOOKUP(T508,$M$2:$N$13,2,FALSE),U508)=0,"xxx",_xlfn.IFNA(VLOOKUP(T508,$M$2:$N$13,2,FALSE),U508)))</f>
        <v>xxx</v>
      </c>
      <c r="Y508" s="9" t="str">
        <f t="shared" si="513"/>
        <v>xxx</v>
      </c>
    </row>
    <row r="509" spans="3:25" x14ac:dyDescent="0.2">
      <c r="C509">
        <v>508</v>
      </c>
      <c r="D509" t="s">
        <v>2950</v>
      </c>
      <c r="E509">
        <v>508</v>
      </c>
      <c r="S509" s="9">
        <v>1339</v>
      </c>
      <c r="T509" s="9">
        <v>853</v>
      </c>
      <c r="U509" s="9"/>
      <c r="V509" s="9"/>
      <c r="W509" s="9">
        <f t="shared" si="455"/>
        <v>853</v>
      </c>
      <c r="X509" s="9" t="str">
        <f t="shared" ref="X509:Y509" si="514">IF(W509&lt;&gt;T509,W509,IF(_xlfn.IFNA(VLOOKUP(T509,$M$2:$N$13,2,FALSE),U509)=0,"xxx",_xlfn.IFNA(VLOOKUP(T509,$M$2:$N$13,2,FALSE),U509)))</f>
        <v>xxx</v>
      </c>
      <c r="Y509" s="9" t="str">
        <f t="shared" si="514"/>
        <v>xxx</v>
      </c>
    </row>
    <row r="510" spans="3:25" x14ac:dyDescent="0.2">
      <c r="C510">
        <v>509</v>
      </c>
      <c r="D510" t="s">
        <v>2951</v>
      </c>
      <c r="E510">
        <v>509</v>
      </c>
      <c r="S510" s="9">
        <v>1340</v>
      </c>
      <c r="T510" s="9">
        <v>853</v>
      </c>
      <c r="U510" s="9"/>
      <c r="V510" s="9"/>
      <c r="W510" s="9">
        <f t="shared" si="455"/>
        <v>853</v>
      </c>
      <c r="X510" s="9" t="str">
        <f t="shared" ref="X510:Y510" si="515">IF(W510&lt;&gt;T510,W510,IF(_xlfn.IFNA(VLOOKUP(T510,$M$2:$N$13,2,FALSE),U510)=0,"xxx",_xlfn.IFNA(VLOOKUP(T510,$M$2:$N$13,2,FALSE),U510)))</f>
        <v>xxx</v>
      </c>
      <c r="Y510" s="9" t="str">
        <f t="shared" si="515"/>
        <v>xxx</v>
      </c>
    </row>
    <row r="511" spans="3:25" x14ac:dyDescent="0.2">
      <c r="C511">
        <v>510</v>
      </c>
      <c r="D511" t="s">
        <v>2952</v>
      </c>
      <c r="E511">
        <v>510</v>
      </c>
      <c r="S511" s="9">
        <v>1341</v>
      </c>
      <c r="T511" s="9">
        <v>853</v>
      </c>
      <c r="U511" s="9"/>
      <c r="V511" s="9"/>
      <c r="W511" s="9">
        <f t="shared" si="455"/>
        <v>853</v>
      </c>
      <c r="X511" s="9" t="str">
        <f t="shared" ref="X511:Y511" si="516">IF(W511&lt;&gt;T511,W511,IF(_xlfn.IFNA(VLOOKUP(T511,$M$2:$N$13,2,FALSE),U511)=0,"xxx",_xlfn.IFNA(VLOOKUP(T511,$M$2:$N$13,2,FALSE),U511)))</f>
        <v>xxx</v>
      </c>
      <c r="Y511" s="9" t="str">
        <f t="shared" si="516"/>
        <v>xxx</v>
      </c>
    </row>
    <row r="512" spans="3:25" x14ac:dyDescent="0.2">
      <c r="C512">
        <v>511</v>
      </c>
      <c r="D512" t="s">
        <v>2953</v>
      </c>
      <c r="E512">
        <v>511</v>
      </c>
      <c r="S512" s="9">
        <v>1342</v>
      </c>
      <c r="T512" s="9">
        <v>853</v>
      </c>
      <c r="U512" s="9"/>
      <c r="V512" s="9"/>
      <c r="W512" s="9">
        <f t="shared" si="455"/>
        <v>853</v>
      </c>
      <c r="X512" s="9" t="str">
        <f t="shared" ref="X512:Y512" si="517">IF(W512&lt;&gt;T512,W512,IF(_xlfn.IFNA(VLOOKUP(T512,$M$2:$N$13,2,FALSE),U512)=0,"xxx",_xlfn.IFNA(VLOOKUP(T512,$M$2:$N$13,2,FALSE),U512)))</f>
        <v>xxx</v>
      </c>
      <c r="Y512" s="9" t="str">
        <f t="shared" si="517"/>
        <v>xxx</v>
      </c>
    </row>
    <row r="513" spans="3:25" x14ac:dyDescent="0.2">
      <c r="C513">
        <v>512</v>
      </c>
      <c r="D513" t="s">
        <v>2954</v>
      </c>
      <c r="E513">
        <v>512</v>
      </c>
      <c r="S513" s="9">
        <v>1343</v>
      </c>
      <c r="T513" s="9">
        <v>853</v>
      </c>
      <c r="U513" s="9"/>
      <c r="V513" s="9"/>
      <c r="W513" s="9">
        <f t="shared" si="455"/>
        <v>853</v>
      </c>
      <c r="X513" s="9" t="str">
        <f t="shared" ref="X513:Y513" si="518">IF(W513&lt;&gt;T513,W513,IF(_xlfn.IFNA(VLOOKUP(T513,$M$2:$N$13,2,FALSE),U513)=0,"xxx",_xlfn.IFNA(VLOOKUP(T513,$M$2:$N$13,2,FALSE),U513)))</f>
        <v>xxx</v>
      </c>
      <c r="Y513" s="9" t="str">
        <f t="shared" si="518"/>
        <v>xxx</v>
      </c>
    </row>
    <row r="514" spans="3:25" x14ac:dyDescent="0.2">
      <c r="C514">
        <v>513</v>
      </c>
      <c r="D514" t="s">
        <v>2955</v>
      </c>
      <c r="E514">
        <v>513</v>
      </c>
      <c r="S514" s="9">
        <v>1344</v>
      </c>
      <c r="T514" s="9">
        <v>853</v>
      </c>
      <c r="U514" s="9"/>
      <c r="V514" s="9"/>
      <c r="W514" s="9">
        <f t="shared" si="455"/>
        <v>853</v>
      </c>
      <c r="X514" s="9" t="str">
        <f t="shared" ref="X514:Y514" si="519">IF(W514&lt;&gt;T514,W514,IF(_xlfn.IFNA(VLOOKUP(T514,$M$2:$N$13,2,FALSE),U514)=0,"xxx",_xlfn.IFNA(VLOOKUP(T514,$M$2:$N$13,2,FALSE),U514)))</f>
        <v>xxx</v>
      </c>
      <c r="Y514" s="9" t="str">
        <f t="shared" si="519"/>
        <v>xxx</v>
      </c>
    </row>
    <row r="515" spans="3:25" x14ac:dyDescent="0.2">
      <c r="C515">
        <v>514</v>
      </c>
      <c r="D515" t="s">
        <v>2956</v>
      </c>
      <c r="E515">
        <v>514</v>
      </c>
      <c r="S515" s="9">
        <v>1345</v>
      </c>
      <c r="T515" s="9">
        <v>853</v>
      </c>
      <c r="U515" s="9">
        <v>703</v>
      </c>
      <c r="V515" s="9">
        <v>703</v>
      </c>
      <c r="W515" s="9">
        <f t="shared" ref="W515:W578" si="520">IF(_xlfn.IFNA(VLOOKUP(S515,$M$2:$N$13,2,FALSE),T515)=0,"xxx",_xlfn.IFNA(VLOOKUP(S515,$M$2:$N$13,2,FALSE),T515))</f>
        <v>853</v>
      </c>
      <c r="X515" s="9">
        <f t="shared" ref="X515:Y515" si="521">IF(W515&lt;&gt;T515,W515,IF(_xlfn.IFNA(VLOOKUP(T515,$M$2:$N$13,2,FALSE),U515)=0,"xxx",_xlfn.IFNA(VLOOKUP(T515,$M$2:$N$13,2,FALSE),U515)))</f>
        <v>703</v>
      </c>
      <c r="Y515" s="9">
        <f t="shared" si="521"/>
        <v>703</v>
      </c>
    </row>
    <row r="516" spans="3:25" x14ac:dyDescent="0.2">
      <c r="C516">
        <v>515</v>
      </c>
      <c r="D516" t="s">
        <v>2957</v>
      </c>
      <c r="E516">
        <v>515</v>
      </c>
      <c r="S516" s="9">
        <v>1346</v>
      </c>
      <c r="T516" s="9">
        <v>853</v>
      </c>
      <c r="U516" s="9">
        <v>703</v>
      </c>
      <c r="V516" s="9">
        <v>703</v>
      </c>
      <c r="W516" s="9">
        <f t="shared" si="520"/>
        <v>853</v>
      </c>
      <c r="X516" s="9">
        <f t="shared" ref="X516:Y516" si="522">IF(W516&lt;&gt;T516,W516,IF(_xlfn.IFNA(VLOOKUP(T516,$M$2:$N$13,2,FALSE),U516)=0,"xxx",_xlfn.IFNA(VLOOKUP(T516,$M$2:$N$13,2,FALSE),U516)))</f>
        <v>703</v>
      </c>
      <c r="Y516" s="9">
        <f t="shared" si="522"/>
        <v>703</v>
      </c>
    </row>
    <row r="517" spans="3:25" x14ac:dyDescent="0.2">
      <c r="C517">
        <v>516</v>
      </c>
      <c r="D517" t="s">
        <v>2958</v>
      </c>
      <c r="E517">
        <v>516</v>
      </c>
      <c r="S517" s="9">
        <v>1347</v>
      </c>
      <c r="T517" s="9">
        <v>853</v>
      </c>
      <c r="U517" s="9">
        <v>703</v>
      </c>
      <c r="V517" s="9">
        <v>703</v>
      </c>
      <c r="W517" s="9">
        <f t="shared" si="520"/>
        <v>853</v>
      </c>
      <c r="X517" s="9">
        <f t="shared" ref="X517:Y517" si="523">IF(W517&lt;&gt;T517,W517,IF(_xlfn.IFNA(VLOOKUP(T517,$M$2:$N$13,2,FALSE),U517)=0,"xxx",_xlfn.IFNA(VLOOKUP(T517,$M$2:$N$13,2,FALSE),U517)))</f>
        <v>703</v>
      </c>
      <c r="Y517" s="9">
        <f t="shared" si="523"/>
        <v>703</v>
      </c>
    </row>
    <row r="518" spans="3:25" x14ac:dyDescent="0.2">
      <c r="C518">
        <v>517</v>
      </c>
      <c r="D518" t="s">
        <v>2959</v>
      </c>
      <c r="E518">
        <v>517</v>
      </c>
      <c r="S518" s="9">
        <v>1348</v>
      </c>
      <c r="T518" s="9">
        <v>853</v>
      </c>
      <c r="U518" s="9"/>
      <c r="V518" s="9"/>
      <c r="W518" s="9">
        <f t="shared" si="520"/>
        <v>853</v>
      </c>
      <c r="X518" s="9" t="str">
        <f t="shared" ref="X518:Y518" si="524">IF(W518&lt;&gt;T518,W518,IF(_xlfn.IFNA(VLOOKUP(T518,$M$2:$N$13,2,FALSE),U518)=0,"xxx",_xlfn.IFNA(VLOOKUP(T518,$M$2:$N$13,2,FALSE),U518)))</f>
        <v>xxx</v>
      </c>
      <c r="Y518" s="9" t="str">
        <f t="shared" si="524"/>
        <v>xxx</v>
      </c>
    </row>
    <row r="519" spans="3:25" x14ac:dyDescent="0.2">
      <c r="C519">
        <v>518</v>
      </c>
      <c r="D519" t="s">
        <v>2960</v>
      </c>
      <c r="E519">
        <v>518</v>
      </c>
      <c r="S519" s="9">
        <v>1349</v>
      </c>
      <c r="T519" s="9">
        <v>853</v>
      </c>
      <c r="U519" s="9"/>
      <c r="V519" s="9"/>
      <c r="W519" s="9">
        <f t="shared" si="520"/>
        <v>853</v>
      </c>
      <c r="X519" s="9" t="str">
        <f t="shared" ref="X519:Y519" si="525">IF(W519&lt;&gt;T519,W519,IF(_xlfn.IFNA(VLOOKUP(T519,$M$2:$N$13,2,FALSE),U519)=0,"xxx",_xlfn.IFNA(VLOOKUP(T519,$M$2:$N$13,2,FALSE),U519)))</f>
        <v>xxx</v>
      </c>
      <c r="Y519" s="9" t="str">
        <f t="shared" si="525"/>
        <v>xxx</v>
      </c>
    </row>
    <row r="520" spans="3:25" x14ac:dyDescent="0.2">
      <c r="C520">
        <v>519</v>
      </c>
      <c r="D520" t="s">
        <v>2961</v>
      </c>
      <c r="E520">
        <v>519</v>
      </c>
      <c r="S520" s="9">
        <v>1350</v>
      </c>
      <c r="T520" s="9">
        <v>853</v>
      </c>
      <c r="U520" s="9"/>
      <c r="V520" s="9"/>
      <c r="W520" s="9">
        <f t="shared" si="520"/>
        <v>853</v>
      </c>
      <c r="X520" s="9" t="str">
        <f t="shared" ref="X520:Y520" si="526">IF(W520&lt;&gt;T520,W520,IF(_xlfn.IFNA(VLOOKUP(T520,$M$2:$N$13,2,FALSE),U520)=0,"xxx",_xlfn.IFNA(VLOOKUP(T520,$M$2:$N$13,2,FALSE),U520)))</f>
        <v>xxx</v>
      </c>
      <c r="Y520" s="9" t="str">
        <f t="shared" si="526"/>
        <v>xxx</v>
      </c>
    </row>
    <row r="521" spans="3:25" x14ac:dyDescent="0.2">
      <c r="C521">
        <v>520</v>
      </c>
      <c r="D521" t="s">
        <v>2962</v>
      </c>
      <c r="E521">
        <v>520</v>
      </c>
      <c r="S521" s="9">
        <v>1351</v>
      </c>
      <c r="T521" s="9">
        <v>853</v>
      </c>
      <c r="U521" s="9"/>
      <c r="V521" s="9"/>
      <c r="W521" s="9">
        <f t="shared" si="520"/>
        <v>853</v>
      </c>
      <c r="X521" s="9" t="str">
        <f t="shared" ref="X521:Y521" si="527">IF(W521&lt;&gt;T521,W521,IF(_xlfn.IFNA(VLOOKUP(T521,$M$2:$N$13,2,FALSE),U521)=0,"xxx",_xlfn.IFNA(VLOOKUP(T521,$M$2:$N$13,2,FALSE),U521)))</f>
        <v>xxx</v>
      </c>
      <c r="Y521" s="9" t="str">
        <f t="shared" si="527"/>
        <v>xxx</v>
      </c>
    </row>
    <row r="522" spans="3:25" x14ac:dyDescent="0.2">
      <c r="C522">
        <v>521</v>
      </c>
      <c r="D522" t="s">
        <v>2963</v>
      </c>
      <c r="E522">
        <v>521</v>
      </c>
      <c r="S522" s="9">
        <v>1352</v>
      </c>
      <c r="T522" s="9">
        <v>853</v>
      </c>
      <c r="U522" s="9"/>
      <c r="V522" s="9"/>
      <c r="W522" s="9">
        <f t="shared" si="520"/>
        <v>853</v>
      </c>
      <c r="X522" s="9" t="str">
        <f t="shared" ref="X522:Y522" si="528">IF(W522&lt;&gt;T522,W522,IF(_xlfn.IFNA(VLOOKUP(T522,$M$2:$N$13,2,FALSE),U522)=0,"xxx",_xlfn.IFNA(VLOOKUP(T522,$M$2:$N$13,2,FALSE),U522)))</f>
        <v>xxx</v>
      </c>
      <c r="Y522" s="9" t="str">
        <f t="shared" si="528"/>
        <v>xxx</v>
      </c>
    </row>
    <row r="523" spans="3:25" x14ac:dyDescent="0.2">
      <c r="C523">
        <v>522</v>
      </c>
      <c r="D523" t="s">
        <v>2964</v>
      </c>
      <c r="E523">
        <v>522</v>
      </c>
      <c r="S523" s="9">
        <v>1353</v>
      </c>
      <c r="T523" s="9">
        <v>853</v>
      </c>
      <c r="U523" s="9"/>
      <c r="V523" s="9"/>
      <c r="W523" s="9">
        <f t="shared" si="520"/>
        <v>853</v>
      </c>
      <c r="X523" s="9" t="str">
        <f t="shared" ref="X523:Y523" si="529">IF(W523&lt;&gt;T523,W523,IF(_xlfn.IFNA(VLOOKUP(T523,$M$2:$N$13,2,FALSE),U523)=0,"xxx",_xlfn.IFNA(VLOOKUP(T523,$M$2:$N$13,2,FALSE),U523)))</f>
        <v>xxx</v>
      </c>
      <c r="Y523" s="9" t="str">
        <f t="shared" si="529"/>
        <v>xxx</v>
      </c>
    </row>
    <row r="524" spans="3:25" x14ac:dyDescent="0.2">
      <c r="C524">
        <v>523</v>
      </c>
      <c r="D524" t="s">
        <v>2965</v>
      </c>
      <c r="E524">
        <v>523</v>
      </c>
      <c r="S524" s="9">
        <v>1354</v>
      </c>
      <c r="T524" s="9">
        <v>853</v>
      </c>
      <c r="U524" s="9"/>
      <c r="V524" s="9"/>
      <c r="W524" s="9">
        <f t="shared" si="520"/>
        <v>853</v>
      </c>
      <c r="X524" s="9" t="str">
        <f t="shared" ref="X524:Y524" si="530">IF(W524&lt;&gt;T524,W524,IF(_xlfn.IFNA(VLOOKUP(T524,$M$2:$N$13,2,FALSE),U524)=0,"xxx",_xlfn.IFNA(VLOOKUP(T524,$M$2:$N$13,2,FALSE),U524)))</f>
        <v>xxx</v>
      </c>
      <c r="Y524" s="9" t="str">
        <f t="shared" si="530"/>
        <v>xxx</v>
      </c>
    </row>
    <row r="525" spans="3:25" x14ac:dyDescent="0.2">
      <c r="C525">
        <v>524</v>
      </c>
      <c r="D525" t="s">
        <v>2966</v>
      </c>
      <c r="E525">
        <v>524</v>
      </c>
      <c r="S525" s="9">
        <v>1355</v>
      </c>
      <c r="T525" s="9">
        <v>853</v>
      </c>
      <c r="U525" s="9"/>
      <c r="V525" s="9"/>
      <c r="W525" s="9">
        <f t="shared" si="520"/>
        <v>853</v>
      </c>
      <c r="X525" s="9" t="str">
        <f t="shared" ref="X525:Y525" si="531">IF(W525&lt;&gt;T525,W525,IF(_xlfn.IFNA(VLOOKUP(T525,$M$2:$N$13,2,FALSE),U525)=0,"xxx",_xlfn.IFNA(VLOOKUP(T525,$M$2:$N$13,2,FALSE),U525)))</f>
        <v>xxx</v>
      </c>
      <c r="Y525" s="9" t="str">
        <f t="shared" si="531"/>
        <v>xxx</v>
      </c>
    </row>
    <row r="526" spans="3:25" x14ac:dyDescent="0.2">
      <c r="C526">
        <v>525</v>
      </c>
      <c r="D526" t="s">
        <v>2967</v>
      </c>
      <c r="E526">
        <v>525</v>
      </c>
      <c r="S526" s="9">
        <v>1356</v>
      </c>
      <c r="T526" s="9">
        <v>853</v>
      </c>
      <c r="U526" s="9"/>
      <c r="V526" s="9"/>
      <c r="W526" s="9">
        <f t="shared" si="520"/>
        <v>853</v>
      </c>
      <c r="X526" s="9" t="str">
        <f t="shared" ref="X526:Y526" si="532">IF(W526&lt;&gt;T526,W526,IF(_xlfn.IFNA(VLOOKUP(T526,$M$2:$N$13,2,FALSE),U526)=0,"xxx",_xlfn.IFNA(VLOOKUP(T526,$M$2:$N$13,2,FALSE),U526)))</f>
        <v>xxx</v>
      </c>
      <c r="Y526" s="9" t="str">
        <f t="shared" si="532"/>
        <v>xxx</v>
      </c>
    </row>
    <row r="527" spans="3:25" x14ac:dyDescent="0.2">
      <c r="C527">
        <v>526</v>
      </c>
      <c r="D527" t="s">
        <v>2968</v>
      </c>
      <c r="E527">
        <v>526</v>
      </c>
      <c r="S527" s="9">
        <v>1357</v>
      </c>
      <c r="T527" s="9">
        <v>853</v>
      </c>
      <c r="U527" s="9"/>
      <c r="V527" s="9"/>
      <c r="W527" s="9">
        <f t="shared" si="520"/>
        <v>853</v>
      </c>
      <c r="X527" s="9" t="str">
        <f t="shared" ref="X527:Y527" si="533">IF(W527&lt;&gt;T527,W527,IF(_xlfn.IFNA(VLOOKUP(T527,$M$2:$N$13,2,FALSE),U527)=0,"xxx",_xlfn.IFNA(VLOOKUP(T527,$M$2:$N$13,2,FALSE),U527)))</f>
        <v>xxx</v>
      </c>
      <c r="Y527" s="9" t="str">
        <f t="shared" si="533"/>
        <v>xxx</v>
      </c>
    </row>
    <row r="528" spans="3:25" x14ac:dyDescent="0.2">
      <c r="C528">
        <v>527</v>
      </c>
      <c r="D528" t="s">
        <v>2969</v>
      </c>
      <c r="E528">
        <v>527</v>
      </c>
      <c r="S528" s="9">
        <v>1358</v>
      </c>
      <c r="T528" s="9">
        <v>853</v>
      </c>
      <c r="U528" s="9"/>
      <c r="V528" s="9"/>
      <c r="W528" s="9">
        <f t="shared" si="520"/>
        <v>853</v>
      </c>
      <c r="X528" s="9" t="str">
        <f t="shared" ref="X528:Y528" si="534">IF(W528&lt;&gt;T528,W528,IF(_xlfn.IFNA(VLOOKUP(T528,$M$2:$N$13,2,FALSE),U528)=0,"xxx",_xlfn.IFNA(VLOOKUP(T528,$M$2:$N$13,2,FALSE),U528)))</f>
        <v>xxx</v>
      </c>
      <c r="Y528" s="9" t="str">
        <f t="shared" si="534"/>
        <v>xxx</v>
      </c>
    </row>
    <row r="529" spans="3:25" x14ac:dyDescent="0.2">
      <c r="C529">
        <v>528</v>
      </c>
      <c r="D529" t="s">
        <v>2970</v>
      </c>
      <c r="E529">
        <v>528</v>
      </c>
      <c r="S529" s="9">
        <v>1359</v>
      </c>
      <c r="T529" s="9">
        <v>853</v>
      </c>
      <c r="U529" s="9"/>
      <c r="V529" s="9"/>
      <c r="W529" s="9">
        <f t="shared" si="520"/>
        <v>853</v>
      </c>
      <c r="X529" s="9" t="str">
        <f t="shared" ref="X529:Y529" si="535">IF(W529&lt;&gt;T529,W529,IF(_xlfn.IFNA(VLOOKUP(T529,$M$2:$N$13,2,FALSE),U529)=0,"xxx",_xlfn.IFNA(VLOOKUP(T529,$M$2:$N$13,2,FALSE),U529)))</f>
        <v>xxx</v>
      </c>
      <c r="Y529" s="9" t="str">
        <f t="shared" si="535"/>
        <v>xxx</v>
      </c>
    </row>
    <row r="530" spans="3:25" x14ac:dyDescent="0.2">
      <c r="C530">
        <v>529</v>
      </c>
      <c r="D530" t="s">
        <v>2971</v>
      </c>
      <c r="E530">
        <v>529</v>
      </c>
      <c r="S530" s="9">
        <v>1360</v>
      </c>
      <c r="T530" s="9">
        <v>853</v>
      </c>
      <c r="U530" s="9">
        <v>279</v>
      </c>
      <c r="V530" s="9">
        <v>531</v>
      </c>
      <c r="W530" s="9">
        <f t="shared" si="520"/>
        <v>853</v>
      </c>
      <c r="X530" s="9">
        <f t="shared" ref="X530:Y530" si="536">IF(W530&lt;&gt;T530,W530,IF(_xlfn.IFNA(VLOOKUP(T530,$M$2:$N$13,2,FALSE),U530)=0,"xxx",_xlfn.IFNA(VLOOKUP(T530,$M$2:$N$13,2,FALSE),U530)))</f>
        <v>279</v>
      </c>
      <c r="Y530" s="9">
        <f t="shared" si="536"/>
        <v>531</v>
      </c>
    </row>
    <row r="531" spans="3:25" x14ac:dyDescent="0.2">
      <c r="C531">
        <v>530</v>
      </c>
      <c r="D531" t="s">
        <v>2972</v>
      </c>
      <c r="E531">
        <v>530</v>
      </c>
      <c r="S531" s="9">
        <v>1361</v>
      </c>
      <c r="T531" s="9">
        <v>853</v>
      </c>
      <c r="U531" s="9">
        <v>280</v>
      </c>
      <c r="V531" s="9">
        <v>532</v>
      </c>
      <c r="W531" s="9">
        <f t="shared" si="520"/>
        <v>853</v>
      </c>
      <c r="X531" s="9">
        <f t="shared" ref="X531:Y531" si="537">IF(W531&lt;&gt;T531,W531,IF(_xlfn.IFNA(VLOOKUP(T531,$M$2:$N$13,2,FALSE),U531)=0,"xxx",_xlfn.IFNA(VLOOKUP(T531,$M$2:$N$13,2,FALSE),U531)))</f>
        <v>280</v>
      </c>
      <c r="Y531" s="9">
        <f t="shared" si="537"/>
        <v>532</v>
      </c>
    </row>
    <row r="532" spans="3:25" x14ac:dyDescent="0.2">
      <c r="C532">
        <v>531</v>
      </c>
      <c r="D532" t="s">
        <v>2973</v>
      </c>
      <c r="E532">
        <v>531</v>
      </c>
      <c r="S532" s="9">
        <v>1362</v>
      </c>
      <c r="T532" s="9">
        <v>853</v>
      </c>
      <c r="U532" s="9">
        <v>280</v>
      </c>
      <c r="V532" s="9">
        <v>532</v>
      </c>
      <c r="W532" s="9">
        <f t="shared" si="520"/>
        <v>853</v>
      </c>
      <c r="X532" s="9">
        <f t="shared" ref="X532:Y532" si="538">IF(W532&lt;&gt;T532,W532,IF(_xlfn.IFNA(VLOOKUP(T532,$M$2:$N$13,2,FALSE),U532)=0,"xxx",_xlfn.IFNA(VLOOKUP(T532,$M$2:$N$13,2,FALSE),U532)))</f>
        <v>280</v>
      </c>
      <c r="Y532" s="9">
        <f t="shared" si="538"/>
        <v>532</v>
      </c>
    </row>
    <row r="533" spans="3:25" x14ac:dyDescent="0.2">
      <c r="C533">
        <v>532</v>
      </c>
      <c r="D533" t="s">
        <v>2974</v>
      </c>
      <c r="E533">
        <v>532</v>
      </c>
      <c r="S533" s="9">
        <v>1363</v>
      </c>
      <c r="T533" s="9">
        <v>853</v>
      </c>
      <c r="U533" s="9"/>
      <c r="V533" s="9"/>
      <c r="W533" s="9">
        <f t="shared" si="520"/>
        <v>853</v>
      </c>
      <c r="X533" s="9" t="str">
        <f t="shared" ref="X533:Y533" si="539">IF(W533&lt;&gt;T533,W533,IF(_xlfn.IFNA(VLOOKUP(T533,$M$2:$N$13,2,FALSE),U533)=0,"xxx",_xlfn.IFNA(VLOOKUP(T533,$M$2:$N$13,2,FALSE),U533)))</f>
        <v>xxx</v>
      </c>
      <c r="Y533" s="9" t="str">
        <f t="shared" si="539"/>
        <v>xxx</v>
      </c>
    </row>
    <row r="534" spans="3:25" x14ac:dyDescent="0.2">
      <c r="C534">
        <v>533</v>
      </c>
      <c r="D534" t="s">
        <v>2975</v>
      </c>
      <c r="E534">
        <v>533</v>
      </c>
      <c r="S534" s="9">
        <v>1364</v>
      </c>
      <c r="T534" s="9">
        <v>853</v>
      </c>
      <c r="U534" s="9"/>
      <c r="V534" s="9"/>
      <c r="W534" s="9">
        <f t="shared" si="520"/>
        <v>853</v>
      </c>
      <c r="X534" s="9" t="str">
        <f t="shared" ref="X534:Y534" si="540">IF(W534&lt;&gt;T534,W534,IF(_xlfn.IFNA(VLOOKUP(T534,$M$2:$N$13,2,FALSE),U534)=0,"xxx",_xlfn.IFNA(VLOOKUP(T534,$M$2:$N$13,2,FALSE),U534)))</f>
        <v>xxx</v>
      </c>
      <c r="Y534" s="9" t="str">
        <f t="shared" si="540"/>
        <v>xxx</v>
      </c>
    </row>
    <row r="535" spans="3:25" x14ac:dyDescent="0.2">
      <c r="C535">
        <v>534</v>
      </c>
      <c r="D535" t="s">
        <v>2976</v>
      </c>
      <c r="E535">
        <v>534</v>
      </c>
      <c r="S535" s="9">
        <v>1365</v>
      </c>
      <c r="T535" s="9">
        <v>853</v>
      </c>
      <c r="U535" s="9">
        <v>706</v>
      </c>
      <c r="V535" s="9">
        <v>706</v>
      </c>
      <c r="W535" s="9">
        <f t="shared" si="520"/>
        <v>853</v>
      </c>
      <c r="X535" s="9">
        <f t="shared" ref="X535:Y535" si="541">IF(W535&lt;&gt;T535,W535,IF(_xlfn.IFNA(VLOOKUP(T535,$M$2:$N$13,2,FALSE),U535)=0,"xxx",_xlfn.IFNA(VLOOKUP(T535,$M$2:$N$13,2,FALSE),U535)))</f>
        <v>706</v>
      </c>
      <c r="Y535" s="9">
        <f t="shared" si="541"/>
        <v>706</v>
      </c>
    </row>
    <row r="536" spans="3:25" x14ac:dyDescent="0.2">
      <c r="C536">
        <v>535</v>
      </c>
      <c r="D536" t="s">
        <v>2977</v>
      </c>
      <c r="E536">
        <v>535</v>
      </c>
      <c r="S536" s="9">
        <v>1366</v>
      </c>
      <c r="T536" s="9">
        <v>853</v>
      </c>
      <c r="U536" s="9"/>
      <c r="V536" s="9"/>
      <c r="W536" s="9">
        <f t="shared" si="520"/>
        <v>853</v>
      </c>
      <c r="X536" s="9" t="str">
        <f t="shared" ref="X536:Y536" si="542">IF(W536&lt;&gt;T536,W536,IF(_xlfn.IFNA(VLOOKUP(T536,$M$2:$N$13,2,FALSE),U536)=0,"xxx",_xlfn.IFNA(VLOOKUP(T536,$M$2:$N$13,2,FALSE),U536)))</f>
        <v>xxx</v>
      </c>
      <c r="Y536" s="9" t="str">
        <f t="shared" si="542"/>
        <v>xxx</v>
      </c>
    </row>
    <row r="537" spans="3:25" x14ac:dyDescent="0.2">
      <c r="C537">
        <v>536</v>
      </c>
      <c r="D537" t="s">
        <v>2978</v>
      </c>
      <c r="E537">
        <v>536</v>
      </c>
      <c r="S537" s="9">
        <v>1367</v>
      </c>
      <c r="T537" s="9">
        <v>853</v>
      </c>
      <c r="U537" s="9"/>
      <c r="V537" s="9"/>
      <c r="W537" s="9">
        <f t="shared" si="520"/>
        <v>853</v>
      </c>
      <c r="X537" s="9" t="str">
        <f t="shared" ref="X537:Y537" si="543">IF(W537&lt;&gt;T537,W537,IF(_xlfn.IFNA(VLOOKUP(T537,$M$2:$N$13,2,FALSE),U537)=0,"xxx",_xlfn.IFNA(VLOOKUP(T537,$M$2:$N$13,2,FALSE),U537)))</f>
        <v>xxx</v>
      </c>
      <c r="Y537" s="9" t="str">
        <f t="shared" si="543"/>
        <v>xxx</v>
      </c>
    </row>
    <row r="538" spans="3:25" x14ac:dyDescent="0.2">
      <c r="C538">
        <v>537</v>
      </c>
      <c r="D538" t="s">
        <v>2979</v>
      </c>
      <c r="E538">
        <v>537</v>
      </c>
      <c r="S538" s="9">
        <v>1368</v>
      </c>
      <c r="T538" s="9">
        <v>853</v>
      </c>
      <c r="U538" s="9"/>
      <c r="V538" s="9"/>
      <c r="W538" s="9">
        <f t="shared" si="520"/>
        <v>853</v>
      </c>
      <c r="X538" s="9" t="str">
        <f t="shared" ref="X538:Y538" si="544">IF(W538&lt;&gt;T538,W538,IF(_xlfn.IFNA(VLOOKUP(T538,$M$2:$N$13,2,FALSE),U538)=0,"xxx",_xlfn.IFNA(VLOOKUP(T538,$M$2:$N$13,2,FALSE),U538)))</f>
        <v>xxx</v>
      </c>
      <c r="Y538" s="9" t="str">
        <f t="shared" si="544"/>
        <v>xxx</v>
      </c>
    </row>
    <row r="539" spans="3:25" x14ac:dyDescent="0.2">
      <c r="C539">
        <v>538</v>
      </c>
      <c r="D539" t="s">
        <v>2980</v>
      </c>
      <c r="E539">
        <v>538</v>
      </c>
      <c r="S539" s="9">
        <v>1369</v>
      </c>
      <c r="T539" s="9">
        <v>853</v>
      </c>
      <c r="U539" s="9"/>
      <c r="V539" s="9"/>
      <c r="W539" s="9">
        <f t="shared" si="520"/>
        <v>853</v>
      </c>
      <c r="X539" s="9" t="str">
        <f t="shared" ref="X539:Y539" si="545">IF(W539&lt;&gt;T539,W539,IF(_xlfn.IFNA(VLOOKUP(T539,$M$2:$N$13,2,FALSE),U539)=0,"xxx",_xlfn.IFNA(VLOOKUP(T539,$M$2:$N$13,2,FALSE),U539)))</f>
        <v>xxx</v>
      </c>
      <c r="Y539" s="9" t="str">
        <f t="shared" si="545"/>
        <v>xxx</v>
      </c>
    </row>
    <row r="540" spans="3:25" x14ac:dyDescent="0.2">
      <c r="C540">
        <v>539</v>
      </c>
      <c r="D540" t="s">
        <v>2981</v>
      </c>
      <c r="E540">
        <v>539</v>
      </c>
      <c r="S540" s="9">
        <v>1370</v>
      </c>
      <c r="T540" s="9">
        <v>853</v>
      </c>
      <c r="U540" s="9">
        <v>275</v>
      </c>
      <c r="V540" s="9">
        <v>527</v>
      </c>
      <c r="W540" s="9">
        <f t="shared" si="520"/>
        <v>853</v>
      </c>
      <c r="X540" s="9">
        <f t="shared" ref="X540:Y540" si="546">IF(W540&lt;&gt;T540,W540,IF(_xlfn.IFNA(VLOOKUP(T540,$M$2:$N$13,2,FALSE),U540)=0,"xxx",_xlfn.IFNA(VLOOKUP(T540,$M$2:$N$13,2,FALSE),U540)))</f>
        <v>275</v>
      </c>
      <c r="Y540" s="9">
        <f t="shared" si="546"/>
        <v>527</v>
      </c>
    </row>
    <row r="541" spans="3:25" x14ac:dyDescent="0.2">
      <c r="C541">
        <v>540</v>
      </c>
      <c r="D541" t="s">
        <v>2982</v>
      </c>
      <c r="E541">
        <v>540</v>
      </c>
      <c r="S541" s="9">
        <v>1371</v>
      </c>
      <c r="T541" s="9">
        <v>853</v>
      </c>
      <c r="U541" s="9"/>
      <c r="V541" s="9"/>
      <c r="W541" s="9">
        <f t="shared" si="520"/>
        <v>853</v>
      </c>
      <c r="X541" s="9" t="str">
        <f t="shared" ref="X541:Y541" si="547">IF(W541&lt;&gt;T541,W541,IF(_xlfn.IFNA(VLOOKUP(T541,$M$2:$N$13,2,FALSE),U541)=0,"xxx",_xlfn.IFNA(VLOOKUP(T541,$M$2:$N$13,2,FALSE),U541)))</f>
        <v>xxx</v>
      </c>
      <c r="Y541" s="9" t="str">
        <f t="shared" si="547"/>
        <v>xxx</v>
      </c>
    </row>
    <row r="542" spans="3:25" x14ac:dyDescent="0.2">
      <c r="C542">
        <v>541</v>
      </c>
      <c r="D542" t="s">
        <v>2983</v>
      </c>
      <c r="E542">
        <v>541</v>
      </c>
      <c r="S542" s="9">
        <v>1372</v>
      </c>
      <c r="T542" s="9">
        <v>853</v>
      </c>
      <c r="U542" s="9"/>
      <c r="V542" s="9"/>
      <c r="W542" s="9">
        <f t="shared" si="520"/>
        <v>853</v>
      </c>
      <c r="X542" s="9" t="str">
        <f t="shared" ref="X542:Y542" si="548">IF(W542&lt;&gt;T542,W542,IF(_xlfn.IFNA(VLOOKUP(T542,$M$2:$N$13,2,FALSE),U542)=0,"xxx",_xlfn.IFNA(VLOOKUP(T542,$M$2:$N$13,2,FALSE),U542)))</f>
        <v>xxx</v>
      </c>
      <c r="Y542" s="9" t="str">
        <f t="shared" si="548"/>
        <v>xxx</v>
      </c>
    </row>
    <row r="543" spans="3:25" x14ac:dyDescent="0.2">
      <c r="C543">
        <v>542</v>
      </c>
      <c r="D543" t="s">
        <v>2984</v>
      </c>
      <c r="E543">
        <v>542</v>
      </c>
      <c r="S543" s="9">
        <v>1373</v>
      </c>
      <c r="T543" s="9">
        <v>853</v>
      </c>
      <c r="U543" s="9">
        <v>357</v>
      </c>
      <c r="V543" s="9">
        <v>525</v>
      </c>
      <c r="W543" s="9">
        <f t="shared" si="520"/>
        <v>853</v>
      </c>
      <c r="X543" s="9">
        <f t="shared" ref="X543:Y543" si="549">IF(W543&lt;&gt;T543,W543,IF(_xlfn.IFNA(VLOOKUP(T543,$M$2:$N$13,2,FALSE),U543)=0,"xxx",_xlfn.IFNA(VLOOKUP(T543,$M$2:$N$13,2,FALSE),U543)))</f>
        <v>357</v>
      </c>
      <c r="Y543" s="9">
        <f t="shared" si="549"/>
        <v>525</v>
      </c>
    </row>
    <row r="544" spans="3:25" x14ac:dyDescent="0.2">
      <c r="C544">
        <v>543</v>
      </c>
      <c r="D544" t="s">
        <v>2985</v>
      </c>
      <c r="E544">
        <v>543</v>
      </c>
      <c r="S544" s="9">
        <v>1374</v>
      </c>
      <c r="T544" s="9">
        <v>853</v>
      </c>
      <c r="U544" s="9">
        <v>357</v>
      </c>
      <c r="V544" s="9">
        <v>525</v>
      </c>
      <c r="W544" s="9">
        <f t="shared" si="520"/>
        <v>853</v>
      </c>
      <c r="X544" s="9">
        <f t="shared" ref="X544:Y544" si="550">IF(W544&lt;&gt;T544,W544,IF(_xlfn.IFNA(VLOOKUP(T544,$M$2:$N$13,2,FALSE),U544)=0,"xxx",_xlfn.IFNA(VLOOKUP(T544,$M$2:$N$13,2,FALSE),U544)))</f>
        <v>357</v>
      </c>
      <c r="Y544" s="9">
        <f t="shared" si="550"/>
        <v>525</v>
      </c>
    </row>
    <row r="545" spans="3:25" x14ac:dyDescent="0.2">
      <c r="C545">
        <v>544</v>
      </c>
      <c r="D545" t="s">
        <v>2986</v>
      </c>
      <c r="E545">
        <v>544</v>
      </c>
      <c r="S545" s="9">
        <v>1375</v>
      </c>
      <c r="T545" s="9">
        <v>853</v>
      </c>
      <c r="U545" s="9">
        <v>358</v>
      </c>
      <c r="V545" s="9">
        <v>526</v>
      </c>
      <c r="W545" s="9">
        <f t="shared" si="520"/>
        <v>853</v>
      </c>
      <c r="X545" s="9">
        <f t="shared" ref="X545:Y545" si="551">IF(W545&lt;&gt;T545,W545,IF(_xlfn.IFNA(VLOOKUP(T545,$M$2:$N$13,2,FALSE),U545)=0,"xxx",_xlfn.IFNA(VLOOKUP(T545,$M$2:$N$13,2,FALSE),U545)))</f>
        <v>358</v>
      </c>
      <c r="Y545" s="9">
        <f t="shared" si="551"/>
        <v>526</v>
      </c>
    </row>
    <row r="546" spans="3:25" x14ac:dyDescent="0.2">
      <c r="C546">
        <v>545</v>
      </c>
      <c r="D546" t="s">
        <v>2987</v>
      </c>
      <c r="E546">
        <v>545</v>
      </c>
      <c r="S546" s="9">
        <v>1376</v>
      </c>
      <c r="T546" s="9">
        <v>853</v>
      </c>
      <c r="U546" s="9">
        <v>359</v>
      </c>
      <c r="V546" s="9">
        <v>527</v>
      </c>
      <c r="W546" s="9">
        <f t="shared" si="520"/>
        <v>853</v>
      </c>
      <c r="X546" s="9">
        <f t="shared" ref="X546:Y546" si="552">IF(W546&lt;&gt;T546,W546,IF(_xlfn.IFNA(VLOOKUP(T546,$M$2:$N$13,2,FALSE),U546)=0,"xxx",_xlfn.IFNA(VLOOKUP(T546,$M$2:$N$13,2,FALSE),U546)))</f>
        <v>359</v>
      </c>
      <c r="Y546" s="9">
        <f t="shared" si="552"/>
        <v>527</v>
      </c>
    </row>
    <row r="547" spans="3:25" x14ac:dyDescent="0.2">
      <c r="C547">
        <v>546</v>
      </c>
      <c r="D547" t="s">
        <v>2988</v>
      </c>
      <c r="E547">
        <v>546</v>
      </c>
      <c r="S547" s="9">
        <v>1377</v>
      </c>
      <c r="T547" s="9">
        <v>853</v>
      </c>
      <c r="U547" s="9"/>
      <c r="V547" s="9"/>
      <c r="W547" s="9">
        <f t="shared" si="520"/>
        <v>853</v>
      </c>
      <c r="X547" s="9" t="str">
        <f t="shared" ref="X547:Y547" si="553">IF(W547&lt;&gt;T547,W547,IF(_xlfn.IFNA(VLOOKUP(T547,$M$2:$N$13,2,FALSE),U547)=0,"xxx",_xlfn.IFNA(VLOOKUP(T547,$M$2:$N$13,2,FALSE),U547)))</f>
        <v>xxx</v>
      </c>
      <c r="Y547" s="9" t="str">
        <f t="shared" si="553"/>
        <v>xxx</v>
      </c>
    </row>
    <row r="548" spans="3:25" x14ac:dyDescent="0.2">
      <c r="C548">
        <v>547</v>
      </c>
      <c r="D548" t="s">
        <v>2989</v>
      </c>
      <c r="E548">
        <v>547</v>
      </c>
      <c r="S548" s="9">
        <v>1378</v>
      </c>
      <c r="T548" s="9">
        <v>853</v>
      </c>
      <c r="U548" s="9"/>
      <c r="V548" s="9"/>
      <c r="W548" s="9">
        <f t="shared" si="520"/>
        <v>853</v>
      </c>
      <c r="X548" s="9" t="str">
        <f t="shared" ref="X548:Y548" si="554">IF(W548&lt;&gt;T548,W548,IF(_xlfn.IFNA(VLOOKUP(T548,$M$2:$N$13,2,FALSE),U548)=0,"xxx",_xlfn.IFNA(VLOOKUP(T548,$M$2:$N$13,2,FALSE),U548)))</f>
        <v>xxx</v>
      </c>
      <c r="Y548" s="9" t="str">
        <f t="shared" si="554"/>
        <v>xxx</v>
      </c>
    </row>
    <row r="549" spans="3:25" x14ac:dyDescent="0.2">
      <c r="C549">
        <v>548</v>
      </c>
      <c r="D549" t="s">
        <v>2990</v>
      </c>
      <c r="E549">
        <v>548</v>
      </c>
      <c r="S549" s="9">
        <v>1379</v>
      </c>
      <c r="T549" s="9">
        <v>853</v>
      </c>
      <c r="U549" s="9">
        <v>313</v>
      </c>
      <c r="V549" s="9">
        <v>523</v>
      </c>
      <c r="W549" s="9">
        <f t="shared" si="520"/>
        <v>853</v>
      </c>
      <c r="X549" s="9">
        <f t="shared" ref="X549:Y549" si="555">IF(W549&lt;&gt;T549,W549,IF(_xlfn.IFNA(VLOOKUP(T549,$M$2:$N$13,2,FALSE),U549)=0,"xxx",_xlfn.IFNA(VLOOKUP(T549,$M$2:$N$13,2,FALSE),U549)))</f>
        <v>313</v>
      </c>
      <c r="Y549" s="9">
        <f t="shared" si="555"/>
        <v>523</v>
      </c>
    </row>
    <row r="550" spans="3:25" x14ac:dyDescent="0.2">
      <c r="C550">
        <v>549</v>
      </c>
      <c r="D550" t="s">
        <v>2991</v>
      </c>
      <c r="E550">
        <v>549</v>
      </c>
      <c r="S550" s="9">
        <v>1380</v>
      </c>
      <c r="T550" s="9">
        <v>853</v>
      </c>
      <c r="U550" s="9">
        <v>314</v>
      </c>
      <c r="V550" s="9">
        <v>523</v>
      </c>
      <c r="W550" s="9">
        <f t="shared" si="520"/>
        <v>853</v>
      </c>
      <c r="X550" s="9">
        <f t="shared" ref="X550:Y550" si="556">IF(W550&lt;&gt;T550,W550,IF(_xlfn.IFNA(VLOOKUP(T550,$M$2:$N$13,2,FALSE),U550)=0,"xxx",_xlfn.IFNA(VLOOKUP(T550,$M$2:$N$13,2,FALSE),U550)))</f>
        <v>314</v>
      </c>
      <c r="Y550" s="9">
        <f t="shared" si="556"/>
        <v>523</v>
      </c>
    </row>
    <row r="551" spans="3:25" x14ac:dyDescent="0.2">
      <c r="C551">
        <v>550</v>
      </c>
      <c r="D551" t="s">
        <v>2992</v>
      </c>
      <c r="E551">
        <v>550</v>
      </c>
      <c r="S551" s="9">
        <v>1381</v>
      </c>
      <c r="T551" s="9">
        <v>853</v>
      </c>
      <c r="U551" s="9">
        <v>323</v>
      </c>
      <c r="V551" s="9">
        <v>533</v>
      </c>
      <c r="W551" s="9">
        <f t="shared" si="520"/>
        <v>853</v>
      </c>
      <c r="X551" s="9">
        <f t="shared" ref="X551:Y551" si="557">IF(W551&lt;&gt;T551,W551,IF(_xlfn.IFNA(VLOOKUP(T551,$M$2:$N$13,2,FALSE),U551)=0,"xxx",_xlfn.IFNA(VLOOKUP(T551,$M$2:$N$13,2,FALSE),U551)))</f>
        <v>323</v>
      </c>
      <c r="Y551" s="9">
        <f t="shared" si="557"/>
        <v>533</v>
      </c>
    </row>
    <row r="552" spans="3:25" x14ac:dyDescent="0.2">
      <c r="C552">
        <v>551</v>
      </c>
      <c r="D552" t="s">
        <v>2993</v>
      </c>
      <c r="E552">
        <v>551</v>
      </c>
      <c r="S552" s="9">
        <v>1382</v>
      </c>
      <c r="T552" s="9">
        <v>853</v>
      </c>
      <c r="U552" s="9">
        <v>316</v>
      </c>
      <c r="V552" s="9">
        <v>526</v>
      </c>
      <c r="W552" s="9">
        <f t="shared" si="520"/>
        <v>853</v>
      </c>
      <c r="X552" s="9">
        <f t="shared" ref="X552:Y552" si="558">IF(W552&lt;&gt;T552,W552,IF(_xlfn.IFNA(VLOOKUP(T552,$M$2:$N$13,2,FALSE),U552)=0,"xxx",_xlfn.IFNA(VLOOKUP(T552,$M$2:$N$13,2,FALSE),U552)))</f>
        <v>316</v>
      </c>
      <c r="Y552" s="9">
        <f t="shared" si="558"/>
        <v>526</v>
      </c>
    </row>
    <row r="553" spans="3:25" x14ac:dyDescent="0.2">
      <c r="C553">
        <v>552</v>
      </c>
      <c r="D553" t="s">
        <v>2994</v>
      </c>
      <c r="E553">
        <v>552</v>
      </c>
      <c r="S553" s="9">
        <v>1383</v>
      </c>
      <c r="T553" s="9">
        <v>853</v>
      </c>
      <c r="U553" s="9">
        <v>313</v>
      </c>
      <c r="V553" s="9">
        <v>523</v>
      </c>
      <c r="W553" s="9">
        <f t="shared" si="520"/>
        <v>853</v>
      </c>
      <c r="X553" s="9">
        <f t="shared" ref="X553:Y553" si="559">IF(W553&lt;&gt;T553,W553,IF(_xlfn.IFNA(VLOOKUP(T553,$M$2:$N$13,2,FALSE),U553)=0,"xxx",_xlfn.IFNA(VLOOKUP(T553,$M$2:$N$13,2,FALSE),U553)))</f>
        <v>313</v>
      </c>
      <c r="Y553" s="9">
        <f t="shared" si="559"/>
        <v>523</v>
      </c>
    </row>
    <row r="554" spans="3:25" x14ac:dyDescent="0.2">
      <c r="C554">
        <v>553</v>
      </c>
      <c r="D554" t="s">
        <v>2995</v>
      </c>
      <c r="E554">
        <v>553</v>
      </c>
      <c r="S554" s="9">
        <v>1384</v>
      </c>
      <c r="T554" s="9">
        <v>853</v>
      </c>
      <c r="U554" s="9">
        <v>314</v>
      </c>
      <c r="V554" s="9">
        <v>524</v>
      </c>
      <c r="W554" s="9">
        <f t="shared" si="520"/>
        <v>853</v>
      </c>
      <c r="X554" s="9">
        <f t="shared" ref="X554:Y554" si="560">IF(W554&lt;&gt;T554,W554,IF(_xlfn.IFNA(VLOOKUP(T554,$M$2:$N$13,2,FALSE),U554)=0,"xxx",_xlfn.IFNA(VLOOKUP(T554,$M$2:$N$13,2,FALSE),U554)))</f>
        <v>314</v>
      </c>
      <c r="Y554" s="9">
        <f t="shared" si="560"/>
        <v>524</v>
      </c>
    </row>
    <row r="555" spans="3:25" x14ac:dyDescent="0.2">
      <c r="C555">
        <v>554</v>
      </c>
      <c r="D555" t="s">
        <v>2996</v>
      </c>
      <c r="E555">
        <v>554</v>
      </c>
      <c r="S555" s="9">
        <v>1385</v>
      </c>
      <c r="T555" s="9">
        <v>853</v>
      </c>
      <c r="U555" s="9">
        <v>315</v>
      </c>
      <c r="V555" s="9">
        <v>525</v>
      </c>
      <c r="W555" s="9">
        <f t="shared" si="520"/>
        <v>853</v>
      </c>
      <c r="X555" s="9">
        <f t="shared" ref="X555:Y555" si="561">IF(W555&lt;&gt;T555,W555,IF(_xlfn.IFNA(VLOOKUP(T555,$M$2:$N$13,2,FALSE),U555)=0,"xxx",_xlfn.IFNA(VLOOKUP(T555,$M$2:$N$13,2,FALSE),U555)))</f>
        <v>315</v>
      </c>
      <c r="Y555" s="9">
        <f t="shared" si="561"/>
        <v>525</v>
      </c>
    </row>
    <row r="556" spans="3:25" x14ac:dyDescent="0.2">
      <c r="C556">
        <v>555</v>
      </c>
      <c r="D556" t="s">
        <v>2997</v>
      </c>
      <c r="E556">
        <v>555</v>
      </c>
      <c r="S556" s="9">
        <v>1386</v>
      </c>
      <c r="T556" s="9">
        <v>853</v>
      </c>
      <c r="U556" s="9">
        <v>316</v>
      </c>
      <c r="V556" s="9">
        <v>526</v>
      </c>
      <c r="W556" s="9">
        <f t="shared" si="520"/>
        <v>853</v>
      </c>
      <c r="X556" s="9">
        <f t="shared" ref="X556:Y556" si="562">IF(W556&lt;&gt;T556,W556,IF(_xlfn.IFNA(VLOOKUP(T556,$M$2:$N$13,2,FALSE),U556)=0,"xxx",_xlfn.IFNA(VLOOKUP(T556,$M$2:$N$13,2,FALSE),U556)))</f>
        <v>316</v>
      </c>
      <c r="Y556" s="9">
        <f t="shared" si="562"/>
        <v>526</v>
      </c>
    </row>
    <row r="557" spans="3:25" x14ac:dyDescent="0.2">
      <c r="C557">
        <v>556</v>
      </c>
      <c r="D557" t="s">
        <v>2998</v>
      </c>
      <c r="E557">
        <v>556</v>
      </c>
      <c r="S557" s="9">
        <v>1387</v>
      </c>
      <c r="T557" s="9">
        <v>853</v>
      </c>
      <c r="U557" s="9">
        <v>313</v>
      </c>
      <c r="V557" s="9">
        <v>523</v>
      </c>
      <c r="W557" s="9">
        <f t="shared" si="520"/>
        <v>853</v>
      </c>
      <c r="X557" s="9">
        <f t="shared" ref="X557:Y557" si="563">IF(W557&lt;&gt;T557,W557,IF(_xlfn.IFNA(VLOOKUP(T557,$M$2:$N$13,2,FALSE),U557)=0,"xxx",_xlfn.IFNA(VLOOKUP(T557,$M$2:$N$13,2,FALSE),U557)))</f>
        <v>313</v>
      </c>
      <c r="Y557" s="9">
        <f t="shared" si="563"/>
        <v>523</v>
      </c>
    </row>
    <row r="558" spans="3:25" x14ac:dyDescent="0.2">
      <c r="C558">
        <v>557</v>
      </c>
      <c r="D558" t="s">
        <v>2999</v>
      </c>
      <c r="E558">
        <v>557</v>
      </c>
      <c r="S558" s="9">
        <v>1388</v>
      </c>
      <c r="T558" s="9">
        <v>853</v>
      </c>
      <c r="U558" s="9">
        <v>314</v>
      </c>
      <c r="V558" s="9">
        <v>524</v>
      </c>
      <c r="W558" s="9">
        <f t="shared" si="520"/>
        <v>853</v>
      </c>
      <c r="X558" s="9">
        <f t="shared" ref="X558:Y558" si="564">IF(W558&lt;&gt;T558,W558,IF(_xlfn.IFNA(VLOOKUP(T558,$M$2:$N$13,2,FALSE),U558)=0,"xxx",_xlfn.IFNA(VLOOKUP(T558,$M$2:$N$13,2,FALSE),U558)))</f>
        <v>314</v>
      </c>
      <c r="Y558" s="9">
        <f t="shared" si="564"/>
        <v>524</v>
      </c>
    </row>
    <row r="559" spans="3:25" x14ac:dyDescent="0.2">
      <c r="C559">
        <v>558</v>
      </c>
      <c r="D559" t="s">
        <v>3000</v>
      </c>
      <c r="E559">
        <v>558</v>
      </c>
      <c r="S559" s="9">
        <v>1389</v>
      </c>
      <c r="T559" s="9">
        <v>853</v>
      </c>
      <c r="U559" s="9">
        <v>315</v>
      </c>
      <c r="V559" s="9">
        <v>525</v>
      </c>
      <c r="W559" s="9">
        <f t="shared" si="520"/>
        <v>853</v>
      </c>
      <c r="X559" s="9">
        <f t="shared" ref="X559:Y559" si="565">IF(W559&lt;&gt;T559,W559,IF(_xlfn.IFNA(VLOOKUP(T559,$M$2:$N$13,2,FALSE),U559)=0,"xxx",_xlfn.IFNA(VLOOKUP(T559,$M$2:$N$13,2,FALSE),U559)))</f>
        <v>315</v>
      </c>
      <c r="Y559" s="9">
        <f t="shared" si="565"/>
        <v>525</v>
      </c>
    </row>
    <row r="560" spans="3:25" x14ac:dyDescent="0.2">
      <c r="C560">
        <v>559</v>
      </c>
      <c r="D560" t="s">
        <v>3001</v>
      </c>
      <c r="E560">
        <v>559</v>
      </c>
      <c r="S560" s="9">
        <v>1390</v>
      </c>
      <c r="T560" s="9">
        <v>853</v>
      </c>
      <c r="U560" s="9">
        <v>316</v>
      </c>
      <c r="V560" s="9">
        <v>526</v>
      </c>
      <c r="W560" s="9">
        <f t="shared" si="520"/>
        <v>853</v>
      </c>
      <c r="X560" s="9">
        <f t="shared" ref="X560:Y560" si="566">IF(W560&lt;&gt;T560,W560,IF(_xlfn.IFNA(VLOOKUP(T560,$M$2:$N$13,2,FALSE),U560)=0,"xxx",_xlfn.IFNA(VLOOKUP(T560,$M$2:$N$13,2,FALSE),U560)))</f>
        <v>316</v>
      </c>
      <c r="Y560" s="9">
        <f t="shared" si="566"/>
        <v>526</v>
      </c>
    </row>
    <row r="561" spans="3:25" x14ac:dyDescent="0.2">
      <c r="C561">
        <v>560</v>
      </c>
      <c r="D561" t="s">
        <v>3002</v>
      </c>
      <c r="E561">
        <v>560</v>
      </c>
      <c r="S561" s="9">
        <v>1391</v>
      </c>
      <c r="T561" s="9">
        <v>853</v>
      </c>
      <c r="U561" s="9">
        <v>709</v>
      </c>
      <c r="V561" s="9">
        <v>532</v>
      </c>
      <c r="W561" s="9">
        <f t="shared" si="520"/>
        <v>853</v>
      </c>
      <c r="X561" s="9">
        <f t="shared" ref="X561:Y561" si="567">IF(W561&lt;&gt;T561,W561,IF(_xlfn.IFNA(VLOOKUP(T561,$M$2:$N$13,2,FALSE),U561)=0,"xxx",_xlfn.IFNA(VLOOKUP(T561,$M$2:$N$13,2,FALSE),U561)))</f>
        <v>709</v>
      </c>
      <c r="Y561" s="9">
        <f t="shared" si="567"/>
        <v>532</v>
      </c>
    </row>
    <row r="562" spans="3:25" x14ac:dyDescent="0.2">
      <c r="C562">
        <v>561</v>
      </c>
      <c r="D562" t="s">
        <v>3003</v>
      </c>
      <c r="E562">
        <v>561</v>
      </c>
      <c r="S562" s="9">
        <v>1392</v>
      </c>
      <c r="T562" s="9">
        <v>853</v>
      </c>
      <c r="U562" s="9"/>
      <c r="V562" s="9"/>
      <c r="W562" s="9">
        <f t="shared" si="520"/>
        <v>853</v>
      </c>
      <c r="X562" s="9" t="str">
        <f t="shared" ref="X562:Y562" si="568">IF(W562&lt;&gt;T562,W562,IF(_xlfn.IFNA(VLOOKUP(T562,$M$2:$N$13,2,FALSE),U562)=0,"xxx",_xlfn.IFNA(VLOOKUP(T562,$M$2:$N$13,2,FALSE),U562)))</f>
        <v>xxx</v>
      </c>
      <c r="Y562" s="9" t="str">
        <f t="shared" si="568"/>
        <v>xxx</v>
      </c>
    </row>
    <row r="563" spans="3:25" x14ac:dyDescent="0.2">
      <c r="C563">
        <v>562</v>
      </c>
      <c r="D563" t="s">
        <v>3004</v>
      </c>
      <c r="E563">
        <v>562</v>
      </c>
      <c r="S563" s="9">
        <v>1393</v>
      </c>
      <c r="T563" s="9">
        <v>853</v>
      </c>
      <c r="U563" s="9"/>
      <c r="V563" s="9"/>
      <c r="W563" s="9">
        <f t="shared" si="520"/>
        <v>853</v>
      </c>
      <c r="X563" s="9" t="str">
        <f t="shared" ref="X563:Y563" si="569">IF(W563&lt;&gt;T563,W563,IF(_xlfn.IFNA(VLOOKUP(T563,$M$2:$N$13,2,FALSE),U563)=0,"xxx",_xlfn.IFNA(VLOOKUP(T563,$M$2:$N$13,2,FALSE),U563)))</f>
        <v>xxx</v>
      </c>
      <c r="Y563" s="9" t="str">
        <f t="shared" si="569"/>
        <v>xxx</v>
      </c>
    </row>
    <row r="564" spans="3:25" x14ac:dyDescent="0.2">
      <c r="C564">
        <v>563</v>
      </c>
      <c r="D564" t="s">
        <v>3005</v>
      </c>
      <c r="E564">
        <v>563</v>
      </c>
      <c r="S564" s="9">
        <v>1394</v>
      </c>
      <c r="T564" s="9">
        <v>853</v>
      </c>
      <c r="U564" s="9">
        <v>357</v>
      </c>
      <c r="V564" s="9">
        <v>525</v>
      </c>
      <c r="W564" s="9">
        <f t="shared" si="520"/>
        <v>853</v>
      </c>
      <c r="X564" s="9">
        <f t="shared" ref="X564:Y564" si="570">IF(W564&lt;&gt;T564,W564,IF(_xlfn.IFNA(VLOOKUP(T564,$M$2:$N$13,2,FALSE),U564)=0,"xxx",_xlfn.IFNA(VLOOKUP(T564,$M$2:$N$13,2,FALSE),U564)))</f>
        <v>357</v>
      </c>
      <c r="Y564" s="9">
        <f t="shared" si="570"/>
        <v>525</v>
      </c>
    </row>
    <row r="565" spans="3:25" x14ac:dyDescent="0.2">
      <c r="C565">
        <v>564</v>
      </c>
      <c r="D565" t="s">
        <v>3006</v>
      </c>
      <c r="E565">
        <v>564</v>
      </c>
      <c r="S565" s="9">
        <v>1395</v>
      </c>
      <c r="T565" s="9">
        <v>853</v>
      </c>
      <c r="U565" s="9">
        <v>358</v>
      </c>
      <c r="V565" s="9">
        <v>526</v>
      </c>
      <c r="W565" s="9">
        <f t="shared" si="520"/>
        <v>853</v>
      </c>
      <c r="X565" s="9">
        <f t="shared" ref="X565:Y565" si="571">IF(W565&lt;&gt;T565,W565,IF(_xlfn.IFNA(VLOOKUP(T565,$M$2:$N$13,2,FALSE),U565)=0,"xxx",_xlfn.IFNA(VLOOKUP(T565,$M$2:$N$13,2,FALSE),U565)))</f>
        <v>358</v>
      </c>
      <c r="Y565" s="9">
        <f t="shared" si="571"/>
        <v>526</v>
      </c>
    </row>
    <row r="566" spans="3:25" x14ac:dyDescent="0.2">
      <c r="C566">
        <v>565</v>
      </c>
      <c r="D566" t="s">
        <v>3007</v>
      </c>
      <c r="E566">
        <v>565</v>
      </c>
      <c r="S566" s="9">
        <v>1396</v>
      </c>
      <c r="T566" s="9">
        <v>853</v>
      </c>
      <c r="U566" s="9">
        <v>272</v>
      </c>
      <c r="V566" s="9">
        <v>524</v>
      </c>
      <c r="W566" s="9">
        <f t="shared" si="520"/>
        <v>853</v>
      </c>
      <c r="X566" s="9">
        <f t="shared" ref="X566:Y566" si="572">IF(W566&lt;&gt;T566,W566,IF(_xlfn.IFNA(VLOOKUP(T566,$M$2:$N$13,2,FALSE),U566)=0,"xxx",_xlfn.IFNA(VLOOKUP(T566,$M$2:$N$13,2,FALSE),U566)))</f>
        <v>272</v>
      </c>
      <c r="Y566" s="9">
        <f t="shared" si="572"/>
        <v>524</v>
      </c>
    </row>
    <row r="567" spans="3:25" x14ac:dyDescent="0.2">
      <c r="C567">
        <v>566</v>
      </c>
      <c r="D567" t="s">
        <v>3008</v>
      </c>
      <c r="E567">
        <v>566</v>
      </c>
      <c r="S567" s="9">
        <v>1397</v>
      </c>
      <c r="T567" s="9">
        <v>853</v>
      </c>
      <c r="U567" s="9">
        <v>276</v>
      </c>
      <c r="V567" s="9">
        <v>528</v>
      </c>
      <c r="W567" s="9">
        <f t="shared" si="520"/>
        <v>853</v>
      </c>
      <c r="X567" s="9">
        <f t="shared" ref="X567:Y567" si="573">IF(W567&lt;&gt;T567,W567,IF(_xlfn.IFNA(VLOOKUP(T567,$M$2:$N$13,2,FALSE),U567)=0,"xxx",_xlfn.IFNA(VLOOKUP(T567,$M$2:$N$13,2,FALSE),U567)))</f>
        <v>276</v>
      </c>
      <c r="Y567" s="9">
        <f t="shared" si="573"/>
        <v>528</v>
      </c>
    </row>
    <row r="568" spans="3:25" x14ac:dyDescent="0.2">
      <c r="C568">
        <v>567</v>
      </c>
      <c r="D568" t="s">
        <v>3009</v>
      </c>
      <c r="E568">
        <v>567</v>
      </c>
      <c r="S568" s="9">
        <v>1398</v>
      </c>
      <c r="T568" s="9">
        <v>853</v>
      </c>
      <c r="U568" s="9">
        <v>276</v>
      </c>
      <c r="V568" s="9">
        <v>528</v>
      </c>
      <c r="W568" s="9">
        <f t="shared" si="520"/>
        <v>853</v>
      </c>
      <c r="X568" s="9">
        <f t="shared" ref="X568:Y568" si="574">IF(W568&lt;&gt;T568,W568,IF(_xlfn.IFNA(VLOOKUP(T568,$M$2:$N$13,2,FALSE),U568)=0,"xxx",_xlfn.IFNA(VLOOKUP(T568,$M$2:$N$13,2,FALSE),U568)))</f>
        <v>276</v>
      </c>
      <c r="Y568" s="9">
        <f t="shared" si="574"/>
        <v>528</v>
      </c>
    </row>
    <row r="569" spans="3:25" x14ac:dyDescent="0.2">
      <c r="C569">
        <v>568</v>
      </c>
      <c r="D569" t="s">
        <v>3010</v>
      </c>
      <c r="E569">
        <v>568</v>
      </c>
      <c r="S569" s="9">
        <v>1399</v>
      </c>
      <c r="T569" s="9">
        <v>853</v>
      </c>
      <c r="U569" s="9">
        <v>277</v>
      </c>
      <c r="V569" s="9">
        <v>529</v>
      </c>
      <c r="W569" s="9">
        <f t="shared" si="520"/>
        <v>853</v>
      </c>
      <c r="X569" s="9">
        <f t="shared" ref="X569:Y569" si="575">IF(W569&lt;&gt;T569,W569,IF(_xlfn.IFNA(VLOOKUP(T569,$M$2:$N$13,2,FALSE),U569)=0,"xxx",_xlfn.IFNA(VLOOKUP(T569,$M$2:$N$13,2,FALSE),U569)))</f>
        <v>277</v>
      </c>
      <c r="Y569" s="9">
        <f t="shared" si="575"/>
        <v>529</v>
      </c>
    </row>
    <row r="570" spans="3:25" x14ac:dyDescent="0.2">
      <c r="C570">
        <v>569</v>
      </c>
      <c r="D570" t="s">
        <v>3011</v>
      </c>
      <c r="E570">
        <v>569</v>
      </c>
      <c r="S570" s="9">
        <v>1400</v>
      </c>
      <c r="T570" s="9">
        <v>853</v>
      </c>
      <c r="U570" s="9">
        <v>277</v>
      </c>
      <c r="V570" s="9">
        <v>529</v>
      </c>
      <c r="W570" s="9">
        <f t="shared" si="520"/>
        <v>853</v>
      </c>
      <c r="X570" s="9">
        <f t="shared" ref="X570:Y570" si="576">IF(W570&lt;&gt;T570,W570,IF(_xlfn.IFNA(VLOOKUP(T570,$M$2:$N$13,2,FALSE),U570)=0,"xxx",_xlfn.IFNA(VLOOKUP(T570,$M$2:$N$13,2,FALSE),U570)))</f>
        <v>277</v>
      </c>
      <c r="Y570" s="9">
        <f t="shared" si="576"/>
        <v>529</v>
      </c>
    </row>
    <row r="571" spans="3:25" x14ac:dyDescent="0.2">
      <c r="C571">
        <v>570</v>
      </c>
      <c r="D571" t="s">
        <v>3012</v>
      </c>
      <c r="E571">
        <v>570</v>
      </c>
      <c r="S571" s="9">
        <v>1401</v>
      </c>
      <c r="T571" s="9">
        <v>853</v>
      </c>
      <c r="U571" s="9">
        <v>712</v>
      </c>
      <c r="V571" s="9">
        <v>712</v>
      </c>
      <c r="W571" s="9">
        <f t="shared" si="520"/>
        <v>853</v>
      </c>
      <c r="X571" s="9">
        <f t="shared" ref="X571:Y571" si="577">IF(W571&lt;&gt;T571,W571,IF(_xlfn.IFNA(VLOOKUP(T571,$M$2:$N$13,2,FALSE),U571)=0,"xxx",_xlfn.IFNA(VLOOKUP(T571,$M$2:$N$13,2,FALSE),U571)))</f>
        <v>712</v>
      </c>
      <c r="Y571" s="9">
        <f t="shared" si="577"/>
        <v>712</v>
      </c>
    </row>
    <row r="572" spans="3:25" x14ac:dyDescent="0.2">
      <c r="C572">
        <v>571</v>
      </c>
      <c r="D572" t="s">
        <v>3013</v>
      </c>
      <c r="E572">
        <v>571</v>
      </c>
      <c r="S572" s="9">
        <v>1402</v>
      </c>
      <c r="T572" s="9">
        <v>853</v>
      </c>
      <c r="U572" s="9">
        <v>730</v>
      </c>
      <c r="V572" s="9">
        <v>730</v>
      </c>
      <c r="W572" s="9">
        <f t="shared" si="520"/>
        <v>853</v>
      </c>
      <c r="X572" s="9">
        <f t="shared" ref="X572:Y572" si="578">IF(W572&lt;&gt;T572,W572,IF(_xlfn.IFNA(VLOOKUP(T572,$M$2:$N$13,2,FALSE),U572)=0,"xxx",_xlfn.IFNA(VLOOKUP(T572,$M$2:$N$13,2,FALSE),U572)))</f>
        <v>730</v>
      </c>
      <c r="Y572" s="9">
        <f t="shared" si="578"/>
        <v>730</v>
      </c>
    </row>
    <row r="573" spans="3:25" x14ac:dyDescent="0.2">
      <c r="C573">
        <v>572</v>
      </c>
      <c r="D573" t="s">
        <v>3014</v>
      </c>
      <c r="E573">
        <v>572</v>
      </c>
      <c r="S573" s="9">
        <v>1403</v>
      </c>
      <c r="T573" s="9">
        <v>853</v>
      </c>
      <c r="U573" s="9">
        <v>712</v>
      </c>
      <c r="V573" s="9">
        <v>712</v>
      </c>
      <c r="W573" s="9">
        <f t="shared" si="520"/>
        <v>853</v>
      </c>
      <c r="X573" s="9">
        <f t="shared" ref="X573:Y573" si="579">IF(W573&lt;&gt;T573,W573,IF(_xlfn.IFNA(VLOOKUP(T573,$M$2:$N$13,2,FALSE),U573)=0,"xxx",_xlfn.IFNA(VLOOKUP(T573,$M$2:$N$13,2,FALSE),U573)))</f>
        <v>712</v>
      </c>
      <c r="Y573" s="9">
        <f t="shared" si="579"/>
        <v>712</v>
      </c>
    </row>
    <row r="574" spans="3:25" x14ac:dyDescent="0.2">
      <c r="C574">
        <v>573</v>
      </c>
      <c r="D574" t="s">
        <v>3015</v>
      </c>
      <c r="E574">
        <v>573</v>
      </c>
      <c r="S574" s="9">
        <v>1404</v>
      </c>
      <c r="T574" s="9">
        <v>853</v>
      </c>
      <c r="U574" s="9">
        <v>712</v>
      </c>
      <c r="V574" s="9">
        <v>712</v>
      </c>
      <c r="W574" s="9">
        <f t="shared" si="520"/>
        <v>853</v>
      </c>
      <c r="X574" s="9">
        <f t="shared" ref="X574:Y574" si="580">IF(W574&lt;&gt;T574,W574,IF(_xlfn.IFNA(VLOOKUP(T574,$M$2:$N$13,2,FALSE),U574)=0,"xxx",_xlfn.IFNA(VLOOKUP(T574,$M$2:$N$13,2,FALSE),U574)))</f>
        <v>712</v>
      </c>
      <c r="Y574" s="9">
        <f t="shared" si="580"/>
        <v>712</v>
      </c>
    </row>
    <row r="575" spans="3:25" x14ac:dyDescent="0.2">
      <c r="C575">
        <v>574</v>
      </c>
      <c r="D575" t="s">
        <v>3016</v>
      </c>
      <c r="E575">
        <v>574</v>
      </c>
      <c r="S575" s="9">
        <v>1405</v>
      </c>
      <c r="T575" s="9">
        <v>853</v>
      </c>
      <c r="U575" s="9"/>
      <c r="V575" s="9"/>
      <c r="W575" s="9">
        <f t="shared" si="520"/>
        <v>853</v>
      </c>
      <c r="X575" s="9" t="str">
        <f t="shared" ref="X575:Y575" si="581">IF(W575&lt;&gt;T575,W575,IF(_xlfn.IFNA(VLOOKUP(T575,$M$2:$N$13,2,FALSE),U575)=0,"xxx",_xlfn.IFNA(VLOOKUP(T575,$M$2:$N$13,2,FALSE),U575)))</f>
        <v>xxx</v>
      </c>
      <c r="Y575" s="9" t="str">
        <f t="shared" si="581"/>
        <v>xxx</v>
      </c>
    </row>
    <row r="576" spans="3:25" x14ac:dyDescent="0.2">
      <c r="C576">
        <v>575</v>
      </c>
      <c r="D576" t="s">
        <v>3017</v>
      </c>
      <c r="E576">
        <v>575</v>
      </c>
      <c r="S576" s="9">
        <v>1406</v>
      </c>
      <c r="T576" s="9">
        <v>853</v>
      </c>
      <c r="U576" s="9"/>
      <c r="V576" s="9"/>
      <c r="W576" s="9">
        <f t="shared" si="520"/>
        <v>853</v>
      </c>
      <c r="X576" s="9" t="str">
        <f t="shared" ref="X576:Y576" si="582">IF(W576&lt;&gt;T576,W576,IF(_xlfn.IFNA(VLOOKUP(T576,$M$2:$N$13,2,FALSE),U576)=0,"xxx",_xlfn.IFNA(VLOOKUP(T576,$M$2:$N$13,2,FALSE),U576)))</f>
        <v>xxx</v>
      </c>
      <c r="Y576" s="9" t="str">
        <f t="shared" si="582"/>
        <v>xxx</v>
      </c>
    </row>
    <row r="577" spans="3:25" x14ac:dyDescent="0.2">
      <c r="C577">
        <v>576</v>
      </c>
      <c r="D577" t="s">
        <v>3018</v>
      </c>
      <c r="E577">
        <v>576</v>
      </c>
      <c r="S577" s="9">
        <v>1407</v>
      </c>
      <c r="T577" s="9">
        <v>853</v>
      </c>
      <c r="U577" s="9">
        <v>277</v>
      </c>
      <c r="V577" s="9">
        <v>529</v>
      </c>
      <c r="W577" s="9">
        <f t="shared" si="520"/>
        <v>853</v>
      </c>
      <c r="X577" s="9">
        <f t="shared" ref="X577:Y577" si="583">IF(W577&lt;&gt;T577,W577,IF(_xlfn.IFNA(VLOOKUP(T577,$M$2:$N$13,2,FALSE),U577)=0,"xxx",_xlfn.IFNA(VLOOKUP(T577,$M$2:$N$13,2,FALSE),U577)))</f>
        <v>277</v>
      </c>
      <c r="Y577" s="9">
        <f t="shared" si="583"/>
        <v>529</v>
      </c>
    </row>
    <row r="578" spans="3:25" x14ac:dyDescent="0.2">
      <c r="C578">
        <v>577</v>
      </c>
      <c r="D578" t="s">
        <v>3019</v>
      </c>
      <c r="E578">
        <v>577</v>
      </c>
      <c r="S578" s="9">
        <v>1408</v>
      </c>
      <c r="T578" s="9">
        <v>853</v>
      </c>
      <c r="U578" s="9"/>
      <c r="V578" s="9"/>
      <c r="W578" s="9">
        <f t="shared" si="520"/>
        <v>853</v>
      </c>
      <c r="X578" s="9" t="str">
        <f t="shared" ref="X578:Y578" si="584">IF(W578&lt;&gt;T578,W578,IF(_xlfn.IFNA(VLOOKUP(T578,$M$2:$N$13,2,FALSE),U578)=0,"xxx",_xlfn.IFNA(VLOOKUP(T578,$M$2:$N$13,2,FALSE),U578)))</f>
        <v>xxx</v>
      </c>
      <c r="Y578" s="9" t="str">
        <f t="shared" si="584"/>
        <v>xxx</v>
      </c>
    </row>
    <row r="579" spans="3:25" x14ac:dyDescent="0.2">
      <c r="C579">
        <v>578</v>
      </c>
      <c r="D579" t="s">
        <v>3020</v>
      </c>
      <c r="E579">
        <v>578</v>
      </c>
      <c r="S579" s="9">
        <v>1409</v>
      </c>
      <c r="T579" s="9">
        <v>853</v>
      </c>
      <c r="U579" s="9">
        <v>715</v>
      </c>
      <c r="V579" s="9">
        <v>715</v>
      </c>
      <c r="W579" s="9">
        <f t="shared" ref="W579:W642" si="585">IF(_xlfn.IFNA(VLOOKUP(S579,$M$2:$N$13,2,FALSE),T579)=0,"xxx",_xlfn.IFNA(VLOOKUP(S579,$M$2:$N$13,2,FALSE),T579))</f>
        <v>853</v>
      </c>
      <c r="X579" s="9">
        <f t="shared" ref="X579:Y579" si="586">IF(W579&lt;&gt;T579,W579,IF(_xlfn.IFNA(VLOOKUP(T579,$M$2:$N$13,2,FALSE),U579)=0,"xxx",_xlfn.IFNA(VLOOKUP(T579,$M$2:$N$13,2,FALSE),U579)))</f>
        <v>715</v>
      </c>
      <c r="Y579" s="9">
        <f t="shared" si="586"/>
        <v>715</v>
      </c>
    </row>
    <row r="580" spans="3:25" x14ac:dyDescent="0.2">
      <c r="C580">
        <v>579</v>
      </c>
      <c r="D580" t="s">
        <v>3021</v>
      </c>
      <c r="E580">
        <v>579</v>
      </c>
      <c r="S580" s="9">
        <v>1410</v>
      </c>
      <c r="T580" s="9">
        <v>853</v>
      </c>
      <c r="U580" s="9"/>
      <c r="V580" s="9"/>
      <c r="W580" s="9">
        <f t="shared" si="585"/>
        <v>853</v>
      </c>
      <c r="X580" s="9" t="str">
        <f t="shared" ref="X580:Y580" si="587">IF(W580&lt;&gt;T580,W580,IF(_xlfn.IFNA(VLOOKUP(T580,$M$2:$N$13,2,FALSE),U580)=0,"xxx",_xlfn.IFNA(VLOOKUP(T580,$M$2:$N$13,2,FALSE),U580)))</f>
        <v>xxx</v>
      </c>
      <c r="Y580" s="9" t="str">
        <f t="shared" si="587"/>
        <v>xxx</v>
      </c>
    </row>
    <row r="581" spans="3:25" x14ac:dyDescent="0.2">
      <c r="C581">
        <v>580</v>
      </c>
      <c r="D581" t="s">
        <v>3022</v>
      </c>
      <c r="E581">
        <v>580</v>
      </c>
      <c r="S581" s="9">
        <v>1411</v>
      </c>
      <c r="T581" s="9">
        <v>853</v>
      </c>
      <c r="U581" s="9"/>
      <c r="V581" s="9"/>
      <c r="W581" s="9">
        <f t="shared" si="585"/>
        <v>853</v>
      </c>
      <c r="X581" s="9" t="str">
        <f t="shared" ref="X581:Y581" si="588">IF(W581&lt;&gt;T581,W581,IF(_xlfn.IFNA(VLOOKUP(T581,$M$2:$N$13,2,FALSE),U581)=0,"xxx",_xlfn.IFNA(VLOOKUP(T581,$M$2:$N$13,2,FALSE),U581)))</f>
        <v>xxx</v>
      </c>
      <c r="Y581" s="9" t="str">
        <f t="shared" si="588"/>
        <v>xxx</v>
      </c>
    </row>
    <row r="582" spans="3:25" x14ac:dyDescent="0.2">
      <c r="C582">
        <v>581</v>
      </c>
      <c r="D582" t="s">
        <v>3023</v>
      </c>
      <c r="E582">
        <v>581</v>
      </c>
      <c r="S582" s="9">
        <v>1412</v>
      </c>
      <c r="T582" s="9">
        <v>853</v>
      </c>
      <c r="U582" s="9"/>
      <c r="V582" s="9"/>
      <c r="W582" s="9">
        <f t="shared" si="585"/>
        <v>853</v>
      </c>
      <c r="X582" s="9" t="str">
        <f t="shared" ref="X582:Y582" si="589">IF(W582&lt;&gt;T582,W582,IF(_xlfn.IFNA(VLOOKUP(T582,$M$2:$N$13,2,FALSE),U582)=0,"xxx",_xlfn.IFNA(VLOOKUP(T582,$M$2:$N$13,2,FALSE),U582)))</f>
        <v>xxx</v>
      </c>
      <c r="Y582" s="9" t="str">
        <f t="shared" si="589"/>
        <v>xxx</v>
      </c>
    </row>
    <row r="583" spans="3:25" x14ac:dyDescent="0.2">
      <c r="C583">
        <v>582</v>
      </c>
      <c r="D583" t="s">
        <v>3024</v>
      </c>
      <c r="E583">
        <v>582</v>
      </c>
      <c r="S583" s="9">
        <v>1413</v>
      </c>
      <c r="T583" s="9">
        <v>853</v>
      </c>
      <c r="U583" s="9"/>
      <c r="V583" s="9"/>
      <c r="W583" s="9">
        <f t="shared" si="585"/>
        <v>853</v>
      </c>
      <c r="X583" s="9" t="str">
        <f t="shared" ref="X583:Y583" si="590">IF(W583&lt;&gt;T583,W583,IF(_xlfn.IFNA(VLOOKUP(T583,$M$2:$N$13,2,FALSE),U583)=0,"xxx",_xlfn.IFNA(VLOOKUP(T583,$M$2:$N$13,2,FALSE),U583)))</f>
        <v>xxx</v>
      </c>
      <c r="Y583" s="9" t="str">
        <f t="shared" si="590"/>
        <v>xxx</v>
      </c>
    </row>
    <row r="584" spans="3:25" x14ac:dyDescent="0.2">
      <c r="C584">
        <v>583</v>
      </c>
      <c r="D584" t="s">
        <v>3025</v>
      </c>
      <c r="E584">
        <v>583</v>
      </c>
      <c r="S584" s="9">
        <v>1414</v>
      </c>
      <c r="T584" s="9">
        <v>853</v>
      </c>
      <c r="U584" s="9"/>
      <c r="V584" s="9"/>
      <c r="W584" s="9">
        <f t="shared" si="585"/>
        <v>853</v>
      </c>
      <c r="X584" s="9" t="str">
        <f t="shared" ref="X584:Y584" si="591">IF(W584&lt;&gt;T584,W584,IF(_xlfn.IFNA(VLOOKUP(T584,$M$2:$N$13,2,FALSE),U584)=0,"xxx",_xlfn.IFNA(VLOOKUP(T584,$M$2:$N$13,2,FALSE),U584)))</f>
        <v>xxx</v>
      </c>
      <c r="Y584" s="9" t="str">
        <f t="shared" si="591"/>
        <v>xxx</v>
      </c>
    </row>
    <row r="585" spans="3:25" x14ac:dyDescent="0.2">
      <c r="C585">
        <v>584</v>
      </c>
      <c r="D585" t="s">
        <v>3026</v>
      </c>
      <c r="E585">
        <v>584</v>
      </c>
      <c r="S585" s="9">
        <v>1415</v>
      </c>
      <c r="T585" s="9">
        <v>853</v>
      </c>
      <c r="U585" s="9"/>
      <c r="V585" s="9"/>
      <c r="W585" s="9">
        <f t="shared" si="585"/>
        <v>853</v>
      </c>
      <c r="X585" s="9" t="str">
        <f t="shared" ref="X585:Y585" si="592">IF(W585&lt;&gt;T585,W585,IF(_xlfn.IFNA(VLOOKUP(T585,$M$2:$N$13,2,FALSE),U585)=0,"xxx",_xlfn.IFNA(VLOOKUP(T585,$M$2:$N$13,2,FALSE),U585)))</f>
        <v>xxx</v>
      </c>
      <c r="Y585" s="9" t="str">
        <f t="shared" si="592"/>
        <v>xxx</v>
      </c>
    </row>
    <row r="586" spans="3:25" x14ac:dyDescent="0.2">
      <c r="C586">
        <v>585</v>
      </c>
      <c r="D586" t="s">
        <v>3027</v>
      </c>
      <c r="E586">
        <v>585</v>
      </c>
      <c r="S586" s="9">
        <v>1416</v>
      </c>
      <c r="T586" s="9">
        <v>853</v>
      </c>
      <c r="U586" s="9"/>
      <c r="V586" s="9"/>
      <c r="W586" s="9">
        <f t="shared" si="585"/>
        <v>853</v>
      </c>
      <c r="X586" s="9" t="str">
        <f t="shared" ref="X586:Y586" si="593">IF(W586&lt;&gt;T586,W586,IF(_xlfn.IFNA(VLOOKUP(T586,$M$2:$N$13,2,FALSE),U586)=0,"xxx",_xlfn.IFNA(VLOOKUP(T586,$M$2:$N$13,2,FALSE),U586)))</f>
        <v>xxx</v>
      </c>
      <c r="Y586" s="9" t="str">
        <f t="shared" si="593"/>
        <v>xxx</v>
      </c>
    </row>
    <row r="587" spans="3:25" x14ac:dyDescent="0.2">
      <c r="C587">
        <v>586</v>
      </c>
      <c r="D587" t="s">
        <v>3028</v>
      </c>
      <c r="E587">
        <v>586</v>
      </c>
      <c r="S587" s="9">
        <v>1417</v>
      </c>
      <c r="T587" s="9">
        <v>853</v>
      </c>
      <c r="U587" s="9"/>
      <c r="V587" s="9"/>
      <c r="W587" s="9">
        <f t="shared" si="585"/>
        <v>853</v>
      </c>
      <c r="X587" s="9" t="str">
        <f t="shared" ref="X587:Y587" si="594">IF(W587&lt;&gt;T587,W587,IF(_xlfn.IFNA(VLOOKUP(T587,$M$2:$N$13,2,FALSE),U587)=0,"xxx",_xlfn.IFNA(VLOOKUP(T587,$M$2:$N$13,2,FALSE),U587)))</f>
        <v>xxx</v>
      </c>
      <c r="Y587" s="9" t="str">
        <f t="shared" si="594"/>
        <v>xxx</v>
      </c>
    </row>
    <row r="588" spans="3:25" x14ac:dyDescent="0.2">
      <c r="C588">
        <v>587</v>
      </c>
      <c r="D588" t="s">
        <v>3029</v>
      </c>
      <c r="E588">
        <v>587</v>
      </c>
      <c r="S588" s="9">
        <v>1418</v>
      </c>
      <c r="T588" s="9">
        <v>853</v>
      </c>
      <c r="U588" s="9"/>
      <c r="V588" s="9"/>
      <c r="W588" s="9">
        <f t="shared" si="585"/>
        <v>853</v>
      </c>
      <c r="X588" s="9" t="str">
        <f t="shared" ref="X588:Y588" si="595">IF(W588&lt;&gt;T588,W588,IF(_xlfn.IFNA(VLOOKUP(T588,$M$2:$N$13,2,FALSE),U588)=0,"xxx",_xlfn.IFNA(VLOOKUP(T588,$M$2:$N$13,2,FALSE),U588)))</f>
        <v>xxx</v>
      </c>
      <c r="Y588" s="9" t="str">
        <f t="shared" si="595"/>
        <v>xxx</v>
      </c>
    </row>
    <row r="589" spans="3:25" x14ac:dyDescent="0.2">
      <c r="C589">
        <v>588</v>
      </c>
      <c r="D589" t="s">
        <v>3030</v>
      </c>
      <c r="E589">
        <v>588</v>
      </c>
      <c r="S589" s="9">
        <v>1419</v>
      </c>
      <c r="T589" s="9">
        <v>853</v>
      </c>
      <c r="U589" s="9"/>
      <c r="V589" s="9"/>
      <c r="W589" s="9">
        <f t="shared" si="585"/>
        <v>853</v>
      </c>
      <c r="X589" s="9" t="str">
        <f t="shared" ref="X589:Y589" si="596">IF(W589&lt;&gt;T589,W589,IF(_xlfn.IFNA(VLOOKUP(T589,$M$2:$N$13,2,FALSE),U589)=0,"xxx",_xlfn.IFNA(VLOOKUP(T589,$M$2:$N$13,2,FALSE),U589)))</f>
        <v>xxx</v>
      </c>
      <c r="Y589" s="9" t="str">
        <f t="shared" si="596"/>
        <v>xxx</v>
      </c>
    </row>
    <row r="590" spans="3:25" x14ac:dyDescent="0.2">
      <c r="C590">
        <v>589</v>
      </c>
      <c r="D590" t="s">
        <v>3031</v>
      </c>
      <c r="E590">
        <v>589</v>
      </c>
      <c r="S590" s="9">
        <v>1420</v>
      </c>
      <c r="T590" s="9">
        <v>853</v>
      </c>
      <c r="U590" s="9"/>
      <c r="V590" s="9"/>
      <c r="W590" s="9">
        <f t="shared" si="585"/>
        <v>853</v>
      </c>
      <c r="X590" s="9" t="str">
        <f t="shared" ref="X590:Y590" si="597">IF(W590&lt;&gt;T590,W590,IF(_xlfn.IFNA(VLOOKUP(T590,$M$2:$N$13,2,FALSE),U590)=0,"xxx",_xlfn.IFNA(VLOOKUP(T590,$M$2:$N$13,2,FALSE),U590)))</f>
        <v>xxx</v>
      </c>
      <c r="Y590" s="9" t="str">
        <f t="shared" si="597"/>
        <v>xxx</v>
      </c>
    </row>
    <row r="591" spans="3:25" x14ac:dyDescent="0.2">
      <c r="C591">
        <v>590</v>
      </c>
      <c r="D591" t="s">
        <v>3032</v>
      </c>
      <c r="E591">
        <v>590</v>
      </c>
      <c r="S591" s="9">
        <v>1421</v>
      </c>
      <c r="T591" s="9">
        <v>853</v>
      </c>
      <c r="U591" s="9"/>
      <c r="V591" s="9"/>
      <c r="W591" s="9">
        <f t="shared" si="585"/>
        <v>853</v>
      </c>
      <c r="X591" s="9" t="str">
        <f t="shared" ref="X591:Y591" si="598">IF(W591&lt;&gt;T591,W591,IF(_xlfn.IFNA(VLOOKUP(T591,$M$2:$N$13,2,FALSE),U591)=0,"xxx",_xlfn.IFNA(VLOOKUP(T591,$M$2:$N$13,2,FALSE),U591)))</f>
        <v>xxx</v>
      </c>
      <c r="Y591" s="9" t="str">
        <f t="shared" si="598"/>
        <v>xxx</v>
      </c>
    </row>
    <row r="592" spans="3:25" x14ac:dyDescent="0.2">
      <c r="C592">
        <v>591</v>
      </c>
      <c r="D592" t="s">
        <v>3033</v>
      </c>
      <c r="E592">
        <v>591</v>
      </c>
      <c r="S592" s="9">
        <v>1422</v>
      </c>
      <c r="T592" s="9">
        <v>853</v>
      </c>
      <c r="U592" s="9"/>
      <c r="V592" s="9"/>
      <c r="W592" s="9">
        <f t="shared" si="585"/>
        <v>853</v>
      </c>
      <c r="X592" s="9" t="str">
        <f t="shared" ref="X592:Y592" si="599">IF(W592&lt;&gt;T592,W592,IF(_xlfn.IFNA(VLOOKUP(T592,$M$2:$N$13,2,FALSE),U592)=0,"xxx",_xlfn.IFNA(VLOOKUP(T592,$M$2:$N$13,2,FALSE),U592)))</f>
        <v>xxx</v>
      </c>
      <c r="Y592" s="9" t="str">
        <f t="shared" si="599"/>
        <v>xxx</v>
      </c>
    </row>
    <row r="593" spans="3:25" x14ac:dyDescent="0.2">
      <c r="C593">
        <v>592</v>
      </c>
      <c r="D593" t="s">
        <v>3034</v>
      </c>
      <c r="E593">
        <v>592</v>
      </c>
      <c r="S593" s="9">
        <v>1423</v>
      </c>
      <c r="T593" s="9">
        <v>853</v>
      </c>
      <c r="U593" s="9"/>
      <c r="V593" s="9"/>
      <c r="W593" s="9">
        <f t="shared" si="585"/>
        <v>853</v>
      </c>
      <c r="X593" s="9" t="str">
        <f t="shared" ref="X593:Y593" si="600">IF(W593&lt;&gt;T593,W593,IF(_xlfn.IFNA(VLOOKUP(T593,$M$2:$N$13,2,FALSE),U593)=0,"xxx",_xlfn.IFNA(VLOOKUP(T593,$M$2:$N$13,2,FALSE),U593)))</f>
        <v>xxx</v>
      </c>
      <c r="Y593" s="9" t="str">
        <f t="shared" si="600"/>
        <v>xxx</v>
      </c>
    </row>
    <row r="594" spans="3:25" x14ac:dyDescent="0.2">
      <c r="C594">
        <v>593</v>
      </c>
      <c r="D594" t="s">
        <v>3035</v>
      </c>
      <c r="E594">
        <v>593</v>
      </c>
      <c r="S594" s="9">
        <v>1424</v>
      </c>
      <c r="T594" s="9">
        <v>853</v>
      </c>
      <c r="U594" s="9"/>
      <c r="V594" s="9"/>
      <c r="W594" s="9">
        <f t="shared" si="585"/>
        <v>853</v>
      </c>
      <c r="X594" s="9" t="str">
        <f t="shared" ref="X594:Y594" si="601">IF(W594&lt;&gt;T594,W594,IF(_xlfn.IFNA(VLOOKUP(T594,$M$2:$N$13,2,FALSE),U594)=0,"xxx",_xlfn.IFNA(VLOOKUP(T594,$M$2:$N$13,2,FALSE),U594)))</f>
        <v>xxx</v>
      </c>
      <c r="Y594" s="9" t="str">
        <f t="shared" si="601"/>
        <v>xxx</v>
      </c>
    </row>
    <row r="595" spans="3:25" x14ac:dyDescent="0.2">
      <c r="C595">
        <v>594</v>
      </c>
      <c r="D595" t="s">
        <v>3036</v>
      </c>
      <c r="E595">
        <v>594</v>
      </c>
      <c r="S595" s="9">
        <v>1425</v>
      </c>
      <c r="T595" s="9">
        <v>853</v>
      </c>
      <c r="U595" s="9"/>
      <c r="V595" s="9"/>
      <c r="W595" s="9">
        <f t="shared" si="585"/>
        <v>853</v>
      </c>
      <c r="X595" s="9" t="str">
        <f t="shared" ref="X595:Y595" si="602">IF(W595&lt;&gt;T595,W595,IF(_xlfn.IFNA(VLOOKUP(T595,$M$2:$N$13,2,FALSE),U595)=0,"xxx",_xlfn.IFNA(VLOOKUP(T595,$M$2:$N$13,2,FALSE),U595)))</f>
        <v>xxx</v>
      </c>
      <c r="Y595" s="9" t="str">
        <f t="shared" si="602"/>
        <v>xxx</v>
      </c>
    </row>
    <row r="596" spans="3:25" x14ac:dyDescent="0.2">
      <c r="C596">
        <v>595</v>
      </c>
      <c r="D596" t="s">
        <v>3037</v>
      </c>
      <c r="E596">
        <v>595</v>
      </c>
      <c r="S596" s="9">
        <v>1426</v>
      </c>
      <c r="T596" s="9">
        <v>853</v>
      </c>
      <c r="U596" s="9"/>
      <c r="V596" s="9"/>
      <c r="W596" s="9">
        <f t="shared" si="585"/>
        <v>853</v>
      </c>
      <c r="X596" s="9" t="str">
        <f t="shared" ref="X596:Y596" si="603">IF(W596&lt;&gt;T596,W596,IF(_xlfn.IFNA(VLOOKUP(T596,$M$2:$N$13,2,FALSE),U596)=0,"xxx",_xlfn.IFNA(VLOOKUP(T596,$M$2:$N$13,2,FALSE),U596)))</f>
        <v>xxx</v>
      </c>
      <c r="Y596" s="9" t="str">
        <f t="shared" si="603"/>
        <v>xxx</v>
      </c>
    </row>
    <row r="597" spans="3:25" x14ac:dyDescent="0.2">
      <c r="C597">
        <v>596</v>
      </c>
      <c r="D597" t="s">
        <v>3038</v>
      </c>
      <c r="E597">
        <v>596</v>
      </c>
      <c r="S597" s="9">
        <v>1427</v>
      </c>
      <c r="T597" s="9">
        <v>853</v>
      </c>
      <c r="U597" s="9"/>
      <c r="V597" s="9"/>
      <c r="W597" s="9">
        <f t="shared" si="585"/>
        <v>853</v>
      </c>
      <c r="X597" s="9" t="str">
        <f t="shared" ref="X597:Y597" si="604">IF(W597&lt;&gt;T597,W597,IF(_xlfn.IFNA(VLOOKUP(T597,$M$2:$N$13,2,FALSE),U597)=0,"xxx",_xlfn.IFNA(VLOOKUP(T597,$M$2:$N$13,2,FALSE),U597)))</f>
        <v>xxx</v>
      </c>
      <c r="Y597" s="9" t="str">
        <f t="shared" si="604"/>
        <v>xxx</v>
      </c>
    </row>
    <row r="598" spans="3:25" x14ac:dyDescent="0.2">
      <c r="C598">
        <v>597</v>
      </c>
      <c r="D598" t="s">
        <v>3039</v>
      </c>
      <c r="E598">
        <v>597</v>
      </c>
      <c r="S598" s="9">
        <v>1428</v>
      </c>
      <c r="T598" s="9">
        <v>853</v>
      </c>
      <c r="U598" s="9"/>
      <c r="V598" s="9"/>
      <c r="W598" s="9">
        <f t="shared" si="585"/>
        <v>853</v>
      </c>
      <c r="X598" s="9" t="str">
        <f t="shared" ref="X598:Y598" si="605">IF(W598&lt;&gt;T598,W598,IF(_xlfn.IFNA(VLOOKUP(T598,$M$2:$N$13,2,FALSE),U598)=0,"xxx",_xlfn.IFNA(VLOOKUP(T598,$M$2:$N$13,2,FALSE),U598)))</f>
        <v>xxx</v>
      </c>
      <c r="Y598" s="9" t="str">
        <f t="shared" si="605"/>
        <v>xxx</v>
      </c>
    </row>
    <row r="599" spans="3:25" x14ac:dyDescent="0.2">
      <c r="C599">
        <v>598</v>
      </c>
      <c r="D599" t="s">
        <v>3040</v>
      </c>
      <c r="E599">
        <v>598</v>
      </c>
      <c r="S599" s="9">
        <v>1429</v>
      </c>
      <c r="T599" s="9">
        <v>853</v>
      </c>
      <c r="U599" s="9"/>
      <c r="V599" s="9"/>
      <c r="W599" s="9">
        <f t="shared" si="585"/>
        <v>853</v>
      </c>
      <c r="X599" s="9" t="str">
        <f t="shared" ref="X599:Y599" si="606">IF(W599&lt;&gt;T599,W599,IF(_xlfn.IFNA(VLOOKUP(T599,$M$2:$N$13,2,FALSE),U599)=0,"xxx",_xlfn.IFNA(VLOOKUP(T599,$M$2:$N$13,2,FALSE),U599)))</f>
        <v>xxx</v>
      </c>
      <c r="Y599" s="9" t="str">
        <f t="shared" si="606"/>
        <v>xxx</v>
      </c>
    </row>
    <row r="600" spans="3:25" x14ac:dyDescent="0.2">
      <c r="C600">
        <v>599</v>
      </c>
      <c r="D600" t="s">
        <v>3041</v>
      </c>
      <c r="E600">
        <v>599</v>
      </c>
      <c r="S600" s="9">
        <v>1430</v>
      </c>
      <c r="T600" s="9">
        <v>853</v>
      </c>
      <c r="U600" s="9"/>
      <c r="V600" s="9"/>
      <c r="W600" s="9">
        <f t="shared" si="585"/>
        <v>853</v>
      </c>
      <c r="X600" s="9" t="str">
        <f t="shared" ref="X600:Y600" si="607">IF(W600&lt;&gt;T600,W600,IF(_xlfn.IFNA(VLOOKUP(T600,$M$2:$N$13,2,FALSE),U600)=0,"xxx",_xlfn.IFNA(VLOOKUP(T600,$M$2:$N$13,2,FALSE),U600)))</f>
        <v>xxx</v>
      </c>
      <c r="Y600" s="9" t="str">
        <f t="shared" si="607"/>
        <v>xxx</v>
      </c>
    </row>
    <row r="601" spans="3:25" x14ac:dyDescent="0.2">
      <c r="C601">
        <v>600</v>
      </c>
      <c r="D601" t="s">
        <v>3042</v>
      </c>
      <c r="E601">
        <v>600</v>
      </c>
      <c r="S601" s="9">
        <v>1431</v>
      </c>
      <c r="T601" s="9">
        <v>853</v>
      </c>
      <c r="U601" s="9"/>
      <c r="V601" s="9"/>
      <c r="W601" s="9">
        <f t="shared" si="585"/>
        <v>853</v>
      </c>
      <c r="X601" s="9" t="str">
        <f t="shared" ref="X601:Y601" si="608">IF(W601&lt;&gt;T601,W601,IF(_xlfn.IFNA(VLOOKUP(T601,$M$2:$N$13,2,FALSE),U601)=0,"xxx",_xlfn.IFNA(VLOOKUP(T601,$M$2:$N$13,2,FALSE),U601)))</f>
        <v>xxx</v>
      </c>
      <c r="Y601" s="9" t="str">
        <f t="shared" si="608"/>
        <v>xxx</v>
      </c>
    </row>
    <row r="602" spans="3:25" x14ac:dyDescent="0.2">
      <c r="C602">
        <v>601</v>
      </c>
      <c r="D602" t="s">
        <v>3043</v>
      </c>
      <c r="E602">
        <v>601</v>
      </c>
      <c r="S602" s="9">
        <v>1432</v>
      </c>
      <c r="T602" s="9">
        <v>853</v>
      </c>
      <c r="U602" s="9"/>
      <c r="V602" s="9"/>
      <c r="W602" s="9">
        <f t="shared" si="585"/>
        <v>853</v>
      </c>
      <c r="X602" s="9" t="str">
        <f t="shared" ref="X602:Y602" si="609">IF(W602&lt;&gt;T602,W602,IF(_xlfn.IFNA(VLOOKUP(T602,$M$2:$N$13,2,FALSE),U602)=0,"xxx",_xlfn.IFNA(VLOOKUP(T602,$M$2:$N$13,2,FALSE),U602)))</f>
        <v>xxx</v>
      </c>
      <c r="Y602" s="9" t="str">
        <f t="shared" si="609"/>
        <v>xxx</v>
      </c>
    </row>
    <row r="603" spans="3:25" x14ac:dyDescent="0.2">
      <c r="C603">
        <v>602</v>
      </c>
      <c r="D603" t="s">
        <v>3044</v>
      </c>
      <c r="E603">
        <v>602</v>
      </c>
      <c r="S603" s="9">
        <v>1433</v>
      </c>
      <c r="T603" s="9">
        <v>853</v>
      </c>
      <c r="U603" s="9"/>
      <c r="V603" s="9"/>
      <c r="W603" s="9">
        <f t="shared" si="585"/>
        <v>853</v>
      </c>
      <c r="X603" s="9" t="str">
        <f t="shared" ref="X603:Y603" si="610">IF(W603&lt;&gt;T603,W603,IF(_xlfn.IFNA(VLOOKUP(T603,$M$2:$N$13,2,FALSE),U603)=0,"xxx",_xlfn.IFNA(VLOOKUP(T603,$M$2:$N$13,2,FALSE),U603)))</f>
        <v>xxx</v>
      </c>
      <c r="Y603" s="9" t="str">
        <f t="shared" si="610"/>
        <v>xxx</v>
      </c>
    </row>
    <row r="604" spans="3:25" x14ac:dyDescent="0.2">
      <c r="C604">
        <v>603</v>
      </c>
      <c r="D604" t="s">
        <v>3045</v>
      </c>
      <c r="E604">
        <v>603</v>
      </c>
      <c r="S604" s="9">
        <v>1434</v>
      </c>
      <c r="T604" s="9">
        <v>853</v>
      </c>
      <c r="U604" s="9"/>
      <c r="V604" s="9"/>
      <c r="W604" s="9">
        <f t="shared" si="585"/>
        <v>853</v>
      </c>
      <c r="X604" s="9" t="str">
        <f t="shared" ref="X604:Y604" si="611">IF(W604&lt;&gt;T604,W604,IF(_xlfn.IFNA(VLOOKUP(T604,$M$2:$N$13,2,FALSE),U604)=0,"xxx",_xlfn.IFNA(VLOOKUP(T604,$M$2:$N$13,2,FALSE),U604)))</f>
        <v>xxx</v>
      </c>
      <c r="Y604" s="9" t="str">
        <f t="shared" si="611"/>
        <v>xxx</v>
      </c>
    </row>
    <row r="605" spans="3:25" x14ac:dyDescent="0.2">
      <c r="C605">
        <v>604</v>
      </c>
      <c r="D605" t="s">
        <v>3046</v>
      </c>
      <c r="E605">
        <v>604</v>
      </c>
      <c r="S605" s="9">
        <v>1435</v>
      </c>
      <c r="T605" s="9">
        <v>853</v>
      </c>
      <c r="U605" s="9"/>
      <c r="V605" s="9"/>
      <c r="W605" s="9">
        <f t="shared" si="585"/>
        <v>853</v>
      </c>
      <c r="X605" s="9" t="str">
        <f t="shared" ref="X605:Y605" si="612">IF(W605&lt;&gt;T605,W605,IF(_xlfn.IFNA(VLOOKUP(T605,$M$2:$N$13,2,FALSE),U605)=0,"xxx",_xlfn.IFNA(VLOOKUP(T605,$M$2:$N$13,2,FALSE),U605)))</f>
        <v>xxx</v>
      </c>
      <c r="Y605" s="9" t="str">
        <f t="shared" si="612"/>
        <v>xxx</v>
      </c>
    </row>
    <row r="606" spans="3:25" x14ac:dyDescent="0.2">
      <c r="C606">
        <v>605</v>
      </c>
      <c r="D606" t="s">
        <v>3047</v>
      </c>
      <c r="E606">
        <v>605</v>
      </c>
      <c r="S606" s="9">
        <v>1436</v>
      </c>
      <c r="T606" s="9">
        <v>853</v>
      </c>
      <c r="U606" s="9">
        <v>281</v>
      </c>
      <c r="V606" s="9">
        <v>533</v>
      </c>
      <c r="W606" s="9">
        <f t="shared" si="585"/>
        <v>853</v>
      </c>
      <c r="X606" s="9">
        <f t="shared" ref="X606:Y606" si="613">IF(W606&lt;&gt;T606,W606,IF(_xlfn.IFNA(VLOOKUP(T606,$M$2:$N$13,2,FALSE),U606)=0,"xxx",_xlfn.IFNA(VLOOKUP(T606,$M$2:$N$13,2,FALSE),U606)))</f>
        <v>281</v>
      </c>
      <c r="Y606" s="9">
        <f t="shared" si="613"/>
        <v>533</v>
      </c>
    </row>
    <row r="607" spans="3:25" x14ac:dyDescent="0.2">
      <c r="C607">
        <v>606</v>
      </c>
      <c r="D607" t="s">
        <v>3048</v>
      </c>
      <c r="E607">
        <v>606</v>
      </c>
      <c r="S607" s="9">
        <v>1437</v>
      </c>
      <c r="T607" s="9">
        <v>853</v>
      </c>
      <c r="U607" s="9">
        <v>282</v>
      </c>
      <c r="V607" s="9">
        <v>533</v>
      </c>
      <c r="W607" s="9">
        <f t="shared" si="585"/>
        <v>853</v>
      </c>
      <c r="X607" s="9">
        <f t="shared" ref="X607:Y607" si="614">IF(W607&lt;&gt;T607,W607,IF(_xlfn.IFNA(VLOOKUP(T607,$M$2:$N$13,2,FALSE),U607)=0,"xxx",_xlfn.IFNA(VLOOKUP(T607,$M$2:$N$13,2,FALSE),U607)))</f>
        <v>282</v>
      </c>
      <c r="Y607" s="9">
        <f t="shared" si="614"/>
        <v>533</v>
      </c>
    </row>
    <row r="608" spans="3:25" x14ac:dyDescent="0.2">
      <c r="C608">
        <v>607</v>
      </c>
      <c r="D608" t="s">
        <v>3049</v>
      </c>
      <c r="E608">
        <v>607</v>
      </c>
      <c r="S608" s="9">
        <v>1438</v>
      </c>
      <c r="T608" s="9">
        <v>853</v>
      </c>
      <c r="U608" s="9">
        <v>282</v>
      </c>
      <c r="V608" s="9">
        <v>534</v>
      </c>
      <c r="W608" s="9">
        <f t="shared" si="585"/>
        <v>853</v>
      </c>
      <c r="X608" s="9">
        <f t="shared" ref="X608:Y608" si="615">IF(W608&lt;&gt;T608,W608,IF(_xlfn.IFNA(VLOOKUP(T608,$M$2:$N$13,2,FALSE),U608)=0,"xxx",_xlfn.IFNA(VLOOKUP(T608,$M$2:$N$13,2,FALSE),U608)))</f>
        <v>282</v>
      </c>
      <c r="Y608" s="9">
        <f t="shared" si="615"/>
        <v>534</v>
      </c>
    </row>
    <row r="609" spans="3:25" x14ac:dyDescent="0.2">
      <c r="C609">
        <v>608</v>
      </c>
      <c r="D609" t="s">
        <v>3050</v>
      </c>
      <c r="E609">
        <v>608</v>
      </c>
      <c r="S609" s="9">
        <v>1439</v>
      </c>
      <c r="T609" s="9">
        <v>853</v>
      </c>
      <c r="U609" s="9">
        <v>283</v>
      </c>
      <c r="V609" s="9">
        <v>535</v>
      </c>
      <c r="W609" s="9">
        <f t="shared" si="585"/>
        <v>853</v>
      </c>
      <c r="X609" s="9">
        <f t="shared" ref="X609:Y609" si="616">IF(W609&lt;&gt;T609,W609,IF(_xlfn.IFNA(VLOOKUP(T609,$M$2:$N$13,2,FALSE),U609)=0,"xxx",_xlfn.IFNA(VLOOKUP(T609,$M$2:$N$13,2,FALSE),U609)))</f>
        <v>283</v>
      </c>
      <c r="Y609" s="9">
        <f t="shared" si="616"/>
        <v>535</v>
      </c>
    </row>
    <row r="610" spans="3:25" x14ac:dyDescent="0.2">
      <c r="C610">
        <v>609</v>
      </c>
      <c r="D610" t="s">
        <v>3051</v>
      </c>
      <c r="E610">
        <v>609</v>
      </c>
      <c r="S610" s="9">
        <v>1440</v>
      </c>
      <c r="T610" s="9">
        <v>853</v>
      </c>
      <c r="U610" s="9">
        <v>283</v>
      </c>
      <c r="V610" s="9">
        <v>535</v>
      </c>
      <c r="W610" s="9">
        <f t="shared" si="585"/>
        <v>853</v>
      </c>
      <c r="X610" s="9">
        <f t="shared" ref="X610:Y610" si="617">IF(W610&lt;&gt;T610,W610,IF(_xlfn.IFNA(VLOOKUP(T610,$M$2:$N$13,2,FALSE),U610)=0,"xxx",_xlfn.IFNA(VLOOKUP(T610,$M$2:$N$13,2,FALSE),U610)))</f>
        <v>283</v>
      </c>
      <c r="Y610" s="9">
        <f t="shared" si="617"/>
        <v>535</v>
      </c>
    </row>
    <row r="611" spans="3:25" x14ac:dyDescent="0.2">
      <c r="C611">
        <v>610</v>
      </c>
      <c r="D611" t="s">
        <v>3052</v>
      </c>
      <c r="E611">
        <v>610</v>
      </c>
      <c r="S611" s="9">
        <v>1441</v>
      </c>
      <c r="T611" s="9">
        <v>853</v>
      </c>
      <c r="U611" s="9">
        <v>283</v>
      </c>
      <c r="V611" s="9">
        <v>535</v>
      </c>
      <c r="W611" s="9">
        <f t="shared" si="585"/>
        <v>853</v>
      </c>
      <c r="X611" s="9">
        <f t="shared" ref="X611:Y611" si="618">IF(W611&lt;&gt;T611,W611,IF(_xlfn.IFNA(VLOOKUP(T611,$M$2:$N$13,2,FALSE),U611)=0,"xxx",_xlfn.IFNA(VLOOKUP(T611,$M$2:$N$13,2,FALSE),U611)))</f>
        <v>283</v>
      </c>
      <c r="Y611" s="9">
        <f t="shared" si="618"/>
        <v>535</v>
      </c>
    </row>
    <row r="612" spans="3:25" x14ac:dyDescent="0.2">
      <c r="C612">
        <v>611</v>
      </c>
      <c r="D612" t="s">
        <v>3053</v>
      </c>
      <c r="E612">
        <v>611</v>
      </c>
      <c r="S612" s="9">
        <v>1442</v>
      </c>
      <c r="T612" s="9">
        <v>853</v>
      </c>
      <c r="U612" s="9">
        <v>283</v>
      </c>
      <c r="V612" s="9">
        <v>535</v>
      </c>
      <c r="W612" s="9">
        <f t="shared" si="585"/>
        <v>853</v>
      </c>
      <c r="X612" s="9">
        <f t="shared" ref="X612:Y612" si="619">IF(W612&lt;&gt;T612,W612,IF(_xlfn.IFNA(VLOOKUP(T612,$M$2:$N$13,2,FALSE),U612)=0,"xxx",_xlfn.IFNA(VLOOKUP(T612,$M$2:$N$13,2,FALSE),U612)))</f>
        <v>283</v>
      </c>
      <c r="Y612" s="9">
        <f t="shared" si="619"/>
        <v>535</v>
      </c>
    </row>
    <row r="613" spans="3:25" x14ac:dyDescent="0.2">
      <c r="C613">
        <v>612</v>
      </c>
      <c r="D613" t="s">
        <v>3054</v>
      </c>
      <c r="E613">
        <v>612</v>
      </c>
      <c r="S613" s="9">
        <v>1443</v>
      </c>
      <c r="T613" s="9">
        <v>853</v>
      </c>
      <c r="U613" s="9">
        <v>283</v>
      </c>
      <c r="V613" s="9">
        <v>535</v>
      </c>
      <c r="W613" s="9">
        <f t="shared" si="585"/>
        <v>853</v>
      </c>
      <c r="X613" s="9">
        <f t="shared" ref="X613:Y613" si="620">IF(W613&lt;&gt;T613,W613,IF(_xlfn.IFNA(VLOOKUP(T613,$M$2:$N$13,2,FALSE),U613)=0,"xxx",_xlfn.IFNA(VLOOKUP(T613,$M$2:$N$13,2,FALSE),U613)))</f>
        <v>283</v>
      </c>
      <c r="Y613" s="9">
        <f t="shared" si="620"/>
        <v>535</v>
      </c>
    </row>
    <row r="614" spans="3:25" x14ac:dyDescent="0.2">
      <c r="C614">
        <v>613</v>
      </c>
      <c r="D614" t="s">
        <v>3055</v>
      </c>
      <c r="E614">
        <v>613</v>
      </c>
      <c r="S614" s="9">
        <v>1444</v>
      </c>
      <c r="T614" s="9">
        <v>853</v>
      </c>
      <c r="U614" s="9">
        <v>283</v>
      </c>
      <c r="V614" s="9">
        <v>535</v>
      </c>
      <c r="W614" s="9">
        <f t="shared" si="585"/>
        <v>853</v>
      </c>
      <c r="X614" s="9">
        <f t="shared" ref="X614:Y614" si="621">IF(W614&lt;&gt;T614,W614,IF(_xlfn.IFNA(VLOOKUP(T614,$M$2:$N$13,2,FALSE),U614)=0,"xxx",_xlfn.IFNA(VLOOKUP(T614,$M$2:$N$13,2,FALSE),U614)))</f>
        <v>283</v>
      </c>
      <c r="Y614" s="9">
        <f t="shared" si="621"/>
        <v>535</v>
      </c>
    </row>
    <row r="615" spans="3:25" x14ac:dyDescent="0.2">
      <c r="C615">
        <v>614</v>
      </c>
      <c r="D615" t="s">
        <v>3056</v>
      </c>
      <c r="E615">
        <v>614</v>
      </c>
      <c r="S615" s="9">
        <v>1445</v>
      </c>
      <c r="T615" s="9">
        <v>853</v>
      </c>
      <c r="U615" s="9">
        <v>283</v>
      </c>
      <c r="V615" s="9">
        <v>535</v>
      </c>
      <c r="W615" s="9">
        <f t="shared" si="585"/>
        <v>853</v>
      </c>
      <c r="X615" s="9">
        <f t="shared" ref="X615:Y615" si="622">IF(W615&lt;&gt;T615,W615,IF(_xlfn.IFNA(VLOOKUP(T615,$M$2:$N$13,2,FALSE),U615)=0,"xxx",_xlfn.IFNA(VLOOKUP(T615,$M$2:$N$13,2,FALSE),U615)))</f>
        <v>283</v>
      </c>
      <c r="Y615" s="9">
        <f t="shared" si="622"/>
        <v>535</v>
      </c>
    </row>
    <row r="616" spans="3:25" x14ac:dyDescent="0.2">
      <c r="C616">
        <v>615</v>
      </c>
      <c r="D616" t="s">
        <v>3057</v>
      </c>
      <c r="E616">
        <v>615</v>
      </c>
      <c r="S616" s="9">
        <v>1446</v>
      </c>
      <c r="T616" s="9">
        <v>853</v>
      </c>
      <c r="U616" s="9">
        <v>281</v>
      </c>
      <c r="V616" s="9">
        <v>533</v>
      </c>
      <c r="W616" s="9">
        <f t="shared" si="585"/>
        <v>853</v>
      </c>
      <c r="X616" s="9">
        <f t="shared" ref="X616:Y616" si="623">IF(W616&lt;&gt;T616,W616,IF(_xlfn.IFNA(VLOOKUP(T616,$M$2:$N$13,2,FALSE),U616)=0,"xxx",_xlfn.IFNA(VLOOKUP(T616,$M$2:$N$13,2,FALSE),U616)))</f>
        <v>281</v>
      </c>
      <c r="Y616" s="9">
        <f t="shared" si="623"/>
        <v>533</v>
      </c>
    </row>
    <row r="617" spans="3:25" x14ac:dyDescent="0.2">
      <c r="C617">
        <v>616</v>
      </c>
      <c r="D617" t="s">
        <v>3058</v>
      </c>
      <c r="E617">
        <v>616</v>
      </c>
      <c r="S617" s="9">
        <v>1447</v>
      </c>
      <c r="T617" s="9">
        <v>853</v>
      </c>
      <c r="U617" s="9">
        <v>282</v>
      </c>
      <c r="V617" s="9">
        <v>534</v>
      </c>
      <c r="W617" s="9">
        <f t="shared" si="585"/>
        <v>853</v>
      </c>
      <c r="X617" s="9">
        <f t="shared" ref="X617:Y617" si="624">IF(W617&lt;&gt;T617,W617,IF(_xlfn.IFNA(VLOOKUP(T617,$M$2:$N$13,2,FALSE),U617)=0,"xxx",_xlfn.IFNA(VLOOKUP(T617,$M$2:$N$13,2,FALSE),U617)))</f>
        <v>282</v>
      </c>
      <c r="Y617" s="9">
        <f t="shared" si="624"/>
        <v>534</v>
      </c>
    </row>
    <row r="618" spans="3:25" x14ac:dyDescent="0.2">
      <c r="C618">
        <v>617</v>
      </c>
      <c r="D618" t="s">
        <v>3059</v>
      </c>
      <c r="E618">
        <v>617</v>
      </c>
      <c r="S618" s="9">
        <v>1448</v>
      </c>
      <c r="T618" s="9">
        <v>853</v>
      </c>
      <c r="U618" s="9">
        <v>283</v>
      </c>
      <c r="V618" s="9">
        <v>535</v>
      </c>
      <c r="W618" s="9">
        <f t="shared" si="585"/>
        <v>853</v>
      </c>
      <c r="X618" s="9">
        <f t="shared" ref="X618:Y618" si="625">IF(W618&lt;&gt;T618,W618,IF(_xlfn.IFNA(VLOOKUP(T618,$M$2:$N$13,2,FALSE),U618)=0,"xxx",_xlfn.IFNA(VLOOKUP(T618,$M$2:$N$13,2,FALSE),U618)))</f>
        <v>283</v>
      </c>
      <c r="Y618" s="9">
        <f t="shared" si="625"/>
        <v>535</v>
      </c>
    </row>
    <row r="619" spans="3:25" x14ac:dyDescent="0.2">
      <c r="C619">
        <v>618</v>
      </c>
      <c r="D619" t="s">
        <v>3060</v>
      </c>
      <c r="E619">
        <v>618</v>
      </c>
      <c r="S619" s="9">
        <v>1449</v>
      </c>
      <c r="T619" s="9">
        <v>853</v>
      </c>
      <c r="U619" s="9">
        <v>283</v>
      </c>
      <c r="V619" s="9">
        <v>535</v>
      </c>
      <c r="W619" s="9">
        <f t="shared" si="585"/>
        <v>853</v>
      </c>
      <c r="X619" s="9">
        <f t="shared" ref="X619:Y619" si="626">IF(W619&lt;&gt;T619,W619,IF(_xlfn.IFNA(VLOOKUP(T619,$M$2:$N$13,2,FALSE),U619)=0,"xxx",_xlfn.IFNA(VLOOKUP(T619,$M$2:$N$13,2,FALSE),U619)))</f>
        <v>283</v>
      </c>
      <c r="Y619" s="9">
        <f t="shared" si="626"/>
        <v>535</v>
      </c>
    </row>
    <row r="620" spans="3:25" x14ac:dyDescent="0.2">
      <c r="C620">
        <v>619</v>
      </c>
      <c r="D620" t="s">
        <v>3061</v>
      </c>
      <c r="E620">
        <v>619</v>
      </c>
      <c r="S620" s="9">
        <v>1450</v>
      </c>
      <c r="T620" s="9">
        <v>853</v>
      </c>
      <c r="U620" s="9">
        <v>281</v>
      </c>
      <c r="V620" s="9">
        <v>533</v>
      </c>
      <c r="W620" s="9">
        <f t="shared" si="585"/>
        <v>853</v>
      </c>
      <c r="X620" s="9">
        <f t="shared" ref="X620:Y620" si="627">IF(W620&lt;&gt;T620,W620,IF(_xlfn.IFNA(VLOOKUP(T620,$M$2:$N$13,2,FALSE),U620)=0,"xxx",_xlfn.IFNA(VLOOKUP(T620,$M$2:$N$13,2,FALSE),U620)))</f>
        <v>281</v>
      </c>
      <c r="Y620" s="9">
        <f t="shared" si="627"/>
        <v>533</v>
      </c>
    </row>
    <row r="621" spans="3:25" x14ac:dyDescent="0.2">
      <c r="C621">
        <v>620</v>
      </c>
      <c r="D621" t="s">
        <v>3062</v>
      </c>
      <c r="E621">
        <v>620</v>
      </c>
      <c r="S621" s="9">
        <v>1451</v>
      </c>
      <c r="T621" s="9">
        <v>853</v>
      </c>
      <c r="U621" s="9">
        <v>282</v>
      </c>
      <c r="V621" s="9">
        <v>534</v>
      </c>
      <c r="W621" s="9">
        <f t="shared" si="585"/>
        <v>853</v>
      </c>
      <c r="X621" s="9">
        <f t="shared" ref="X621:Y621" si="628">IF(W621&lt;&gt;T621,W621,IF(_xlfn.IFNA(VLOOKUP(T621,$M$2:$N$13,2,FALSE),U621)=0,"xxx",_xlfn.IFNA(VLOOKUP(T621,$M$2:$N$13,2,FALSE),U621)))</f>
        <v>282</v>
      </c>
      <c r="Y621" s="9">
        <f t="shared" si="628"/>
        <v>534</v>
      </c>
    </row>
    <row r="622" spans="3:25" x14ac:dyDescent="0.2">
      <c r="C622">
        <v>621</v>
      </c>
      <c r="D622" t="s">
        <v>3063</v>
      </c>
      <c r="E622">
        <v>621</v>
      </c>
      <c r="S622" s="9">
        <v>1452</v>
      </c>
      <c r="T622" s="9">
        <v>853</v>
      </c>
      <c r="U622" s="9">
        <v>283</v>
      </c>
      <c r="V622" s="9">
        <v>535</v>
      </c>
      <c r="W622" s="9">
        <f t="shared" si="585"/>
        <v>853</v>
      </c>
      <c r="X622" s="9">
        <f t="shared" ref="X622:Y622" si="629">IF(W622&lt;&gt;T622,W622,IF(_xlfn.IFNA(VLOOKUP(T622,$M$2:$N$13,2,FALSE),U622)=0,"xxx",_xlfn.IFNA(VLOOKUP(T622,$M$2:$N$13,2,FALSE),U622)))</f>
        <v>283</v>
      </c>
      <c r="Y622" s="9">
        <f t="shared" si="629"/>
        <v>535</v>
      </c>
    </row>
    <row r="623" spans="3:25" x14ac:dyDescent="0.2">
      <c r="C623">
        <v>622</v>
      </c>
      <c r="D623" t="s">
        <v>3064</v>
      </c>
      <c r="E623">
        <v>622</v>
      </c>
      <c r="S623" s="9">
        <v>1453</v>
      </c>
      <c r="T623" s="9">
        <v>853</v>
      </c>
      <c r="U623" s="9">
        <v>281</v>
      </c>
      <c r="V623" s="9">
        <v>533</v>
      </c>
      <c r="W623" s="9">
        <f t="shared" si="585"/>
        <v>853</v>
      </c>
      <c r="X623" s="9">
        <f t="shared" ref="X623:Y623" si="630">IF(W623&lt;&gt;T623,W623,IF(_xlfn.IFNA(VLOOKUP(T623,$M$2:$N$13,2,FALSE),U623)=0,"xxx",_xlfn.IFNA(VLOOKUP(T623,$M$2:$N$13,2,FALSE),U623)))</f>
        <v>281</v>
      </c>
      <c r="Y623" s="9">
        <f t="shared" si="630"/>
        <v>533</v>
      </c>
    </row>
    <row r="624" spans="3:25" x14ac:dyDescent="0.2">
      <c r="C624">
        <v>623</v>
      </c>
      <c r="D624" t="s">
        <v>3065</v>
      </c>
      <c r="E624">
        <v>623</v>
      </c>
      <c r="S624" s="9">
        <v>1454</v>
      </c>
      <c r="T624" s="9">
        <v>853</v>
      </c>
      <c r="U624" s="9">
        <v>281</v>
      </c>
      <c r="V624" s="9">
        <v>533</v>
      </c>
      <c r="W624" s="9">
        <f t="shared" si="585"/>
        <v>853</v>
      </c>
      <c r="X624" s="9">
        <f t="shared" ref="X624:Y624" si="631">IF(W624&lt;&gt;T624,W624,IF(_xlfn.IFNA(VLOOKUP(T624,$M$2:$N$13,2,FALSE),U624)=0,"xxx",_xlfn.IFNA(VLOOKUP(T624,$M$2:$N$13,2,FALSE),U624)))</f>
        <v>281</v>
      </c>
      <c r="Y624" s="9">
        <f t="shared" si="631"/>
        <v>533</v>
      </c>
    </row>
    <row r="625" spans="3:25" x14ac:dyDescent="0.2">
      <c r="C625">
        <v>624</v>
      </c>
      <c r="D625" t="s">
        <v>3066</v>
      </c>
      <c r="E625">
        <v>624</v>
      </c>
      <c r="S625" s="9">
        <v>1455</v>
      </c>
      <c r="T625" s="9">
        <v>853</v>
      </c>
      <c r="U625" s="9">
        <v>282</v>
      </c>
      <c r="V625" s="9">
        <v>534</v>
      </c>
      <c r="W625" s="9">
        <f t="shared" si="585"/>
        <v>853</v>
      </c>
      <c r="X625" s="9">
        <f t="shared" ref="X625:Y625" si="632">IF(W625&lt;&gt;T625,W625,IF(_xlfn.IFNA(VLOOKUP(T625,$M$2:$N$13,2,FALSE),U625)=0,"xxx",_xlfn.IFNA(VLOOKUP(T625,$M$2:$N$13,2,FALSE),U625)))</f>
        <v>282</v>
      </c>
      <c r="Y625" s="9">
        <f t="shared" si="632"/>
        <v>534</v>
      </c>
    </row>
    <row r="626" spans="3:25" x14ac:dyDescent="0.2">
      <c r="C626">
        <v>625</v>
      </c>
      <c r="D626" t="s">
        <v>3067</v>
      </c>
      <c r="E626">
        <v>625</v>
      </c>
      <c r="S626" s="9">
        <v>1456</v>
      </c>
      <c r="T626" s="9">
        <v>853</v>
      </c>
      <c r="U626" s="9">
        <v>282</v>
      </c>
      <c r="V626" s="9">
        <v>534</v>
      </c>
      <c r="W626" s="9">
        <f t="shared" si="585"/>
        <v>853</v>
      </c>
      <c r="X626" s="9">
        <f t="shared" ref="X626:Y626" si="633">IF(W626&lt;&gt;T626,W626,IF(_xlfn.IFNA(VLOOKUP(T626,$M$2:$N$13,2,FALSE),U626)=0,"xxx",_xlfn.IFNA(VLOOKUP(T626,$M$2:$N$13,2,FALSE),U626)))</f>
        <v>282</v>
      </c>
      <c r="Y626" s="9">
        <f t="shared" si="633"/>
        <v>534</v>
      </c>
    </row>
    <row r="627" spans="3:25" x14ac:dyDescent="0.2">
      <c r="C627">
        <v>626</v>
      </c>
      <c r="D627" t="s">
        <v>3068</v>
      </c>
      <c r="E627">
        <v>626</v>
      </c>
      <c r="S627" s="9">
        <v>1457</v>
      </c>
      <c r="T627" s="9">
        <v>853</v>
      </c>
      <c r="U627" s="9">
        <v>283</v>
      </c>
      <c r="V627" s="9">
        <v>535</v>
      </c>
      <c r="W627" s="9">
        <f t="shared" si="585"/>
        <v>853</v>
      </c>
      <c r="X627" s="9">
        <f t="shared" ref="X627:Y627" si="634">IF(W627&lt;&gt;T627,W627,IF(_xlfn.IFNA(VLOOKUP(T627,$M$2:$N$13,2,FALSE),U627)=0,"xxx",_xlfn.IFNA(VLOOKUP(T627,$M$2:$N$13,2,FALSE),U627)))</f>
        <v>283</v>
      </c>
      <c r="Y627" s="9">
        <f t="shared" si="634"/>
        <v>535</v>
      </c>
    </row>
    <row r="628" spans="3:25" x14ac:dyDescent="0.2">
      <c r="C628">
        <v>627</v>
      </c>
      <c r="D628" t="s">
        <v>3069</v>
      </c>
      <c r="E628">
        <v>627</v>
      </c>
      <c r="S628" s="9">
        <v>1458</v>
      </c>
      <c r="T628" s="9">
        <v>853</v>
      </c>
      <c r="U628" s="9">
        <v>283</v>
      </c>
      <c r="V628" s="9">
        <v>535</v>
      </c>
      <c r="W628" s="9">
        <f t="shared" si="585"/>
        <v>853</v>
      </c>
      <c r="X628" s="9">
        <f t="shared" ref="X628:Y628" si="635">IF(W628&lt;&gt;T628,W628,IF(_xlfn.IFNA(VLOOKUP(T628,$M$2:$N$13,2,FALSE),U628)=0,"xxx",_xlfn.IFNA(VLOOKUP(T628,$M$2:$N$13,2,FALSE),U628)))</f>
        <v>283</v>
      </c>
      <c r="Y628" s="9">
        <f t="shared" si="635"/>
        <v>535</v>
      </c>
    </row>
    <row r="629" spans="3:25" x14ac:dyDescent="0.2">
      <c r="C629">
        <v>628</v>
      </c>
      <c r="D629" t="s">
        <v>3070</v>
      </c>
      <c r="E629">
        <v>628</v>
      </c>
      <c r="S629" s="9">
        <v>1459</v>
      </c>
      <c r="T629" s="9">
        <v>853</v>
      </c>
      <c r="U629" s="9">
        <v>282</v>
      </c>
      <c r="V629" s="9">
        <v>534</v>
      </c>
      <c r="W629" s="9">
        <f t="shared" si="585"/>
        <v>853</v>
      </c>
      <c r="X629" s="9">
        <f t="shared" ref="X629:Y629" si="636">IF(W629&lt;&gt;T629,W629,IF(_xlfn.IFNA(VLOOKUP(T629,$M$2:$N$13,2,FALSE),U629)=0,"xxx",_xlfn.IFNA(VLOOKUP(T629,$M$2:$N$13,2,FALSE),U629)))</f>
        <v>282</v>
      </c>
      <c r="Y629" s="9">
        <f t="shared" si="636"/>
        <v>534</v>
      </c>
    </row>
    <row r="630" spans="3:25" x14ac:dyDescent="0.2">
      <c r="C630">
        <v>629</v>
      </c>
      <c r="D630" t="s">
        <v>3071</v>
      </c>
      <c r="E630">
        <v>629</v>
      </c>
      <c r="S630" s="9">
        <v>1460</v>
      </c>
      <c r="T630" s="9">
        <v>853</v>
      </c>
      <c r="U630" s="9">
        <v>282</v>
      </c>
      <c r="V630" s="9">
        <v>534</v>
      </c>
      <c r="W630" s="9">
        <f t="shared" si="585"/>
        <v>853</v>
      </c>
      <c r="X630" s="9">
        <f t="shared" ref="X630:Y630" si="637">IF(W630&lt;&gt;T630,W630,IF(_xlfn.IFNA(VLOOKUP(T630,$M$2:$N$13,2,FALSE),U630)=0,"xxx",_xlfn.IFNA(VLOOKUP(T630,$M$2:$N$13,2,FALSE),U630)))</f>
        <v>282</v>
      </c>
      <c r="Y630" s="9">
        <f t="shared" si="637"/>
        <v>534</v>
      </c>
    </row>
    <row r="631" spans="3:25" x14ac:dyDescent="0.2">
      <c r="C631">
        <v>630</v>
      </c>
      <c r="D631" t="s">
        <v>3072</v>
      </c>
      <c r="E631">
        <v>630</v>
      </c>
      <c r="S631" s="9">
        <v>1461</v>
      </c>
      <c r="T631" s="9">
        <v>853</v>
      </c>
      <c r="U631" s="9"/>
      <c r="V631" s="9"/>
      <c r="W631" s="9">
        <f t="shared" si="585"/>
        <v>853</v>
      </c>
      <c r="X631" s="9" t="str">
        <f t="shared" ref="X631:Y631" si="638">IF(W631&lt;&gt;T631,W631,IF(_xlfn.IFNA(VLOOKUP(T631,$M$2:$N$13,2,FALSE),U631)=0,"xxx",_xlfn.IFNA(VLOOKUP(T631,$M$2:$N$13,2,FALSE),U631)))</f>
        <v>xxx</v>
      </c>
      <c r="Y631" s="9" t="str">
        <f t="shared" si="638"/>
        <v>xxx</v>
      </c>
    </row>
    <row r="632" spans="3:25" x14ac:dyDescent="0.2">
      <c r="C632">
        <v>631</v>
      </c>
      <c r="D632" t="s">
        <v>3073</v>
      </c>
      <c r="E632">
        <v>631</v>
      </c>
      <c r="S632" s="9">
        <v>1462</v>
      </c>
      <c r="T632" s="9">
        <v>853</v>
      </c>
      <c r="U632" s="9"/>
      <c r="V632" s="9"/>
      <c r="W632" s="9">
        <f t="shared" si="585"/>
        <v>853</v>
      </c>
      <c r="X632" s="9" t="str">
        <f t="shared" ref="X632:Y632" si="639">IF(W632&lt;&gt;T632,W632,IF(_xlfn.IFNA(VLOOKUP(T632,$M$2:$N$13,2,FALSE),U632)=0,"xxx",_xlfn.IFNA(VLOOKUP(T632,$M$2:$N$13,2,FALSE),U632)))</f>
        <v>xxx</v>
      </c>
      <c r="Y632" s="9" t="str">
        <f t="shared" si="639"/>
        <v>xxx</v>
      </c>
    </row>
    <row r="633" spans="3:25" x14ac:dyDescent="0.2">
      <c r="C633">
        <v>632</v>
      </c>
      <c r="D633" t="s">
        <v>3074</v>
      </c>
      <c r="E633">
        <v>632</v>
      </c>
      <c r="S633" s="9">
        <v>1463</v>
      </c>
      <c r="T633" s="9">
        <v>853</v>
      </c>
      <c r="U633" s="9"/>
      <c r="V633" s="9"/>
      <c r="W633" s="9">
        <f t="shared" si="585"/>
        <v>853</v>
      </c>
      <c r="X633" s="9" t="str">
        <f t="shared" ref="X633:Y633" si="640">IF(W633&lt;&gt;T633,W633,IF(_xlfn.IFNA(VLOOKUP(T633,$M$2:$N$13,2,FALSE),U633)=0,"xxx",_xlfn.IFNA(VLOOKUP(T633,$M$2:$N$13,2,FALSE),U633)))</f>
        <v>xxx</v>
      </c>
      <c r="Y633" s="9" t="str">
        <f t="shared" si="640"/>
        <v>xxx</v>
      </c>
    </row>
    <row r="634" spans="3:25" x14ac:dyDescent="0.2">
      <c r="C634">
        <v>633</v>
      </c>
      <c r="D634" t="s">
        <v>3075</v>
      </c>
      <c r="E634">
        <v>633</v>
      </c>
      <c r="S634" s="9">
        <v>1464</v>
      </c>
      <c r="T634" s="9">
        <v>853</v>
      </c>
      <c r="U634" s="9"/>
      <c r="V634" s="9"/>
      <c r="W634" s="9">
        <f t="shared" si="585"/>
        <v>853</v>
      </c>
      <c r="X634" s="9" t="str">
        <f t="shared" ref="X634:Y634" si="641">IF(W634&lt;&gt;T634,W634,IF(_xlfn.IFNA(VLOOKUP(T634,$M$2:$N$13,2,FALSE),U634)=0,"xxx",_xlfn.IFNA(VLOOKUP(T634,$M$2:$N$13,2,FALSE),U634)))</f>
        <v>xxx</v>
      </c>
      <c r="Y634" s="9" t="str">
        <f t="shared" si="641"/>
        <v>xxx</v>
      </c>
    </row>
    <row r="635" spans="3:25" x14ac:dyDescent="0.2">
      <c r="C635">
        <v>634</v>
      </c>
      <c r="D635" t="s">
        <v>3076</v>
      </c>
      <c r="E635">
        <v>634</v>
      </c>
      <c r="S635" s="9">
        <v>1465</v>
      </c>
      <c r="T635" s="9">
        <v>853</v>
      </c>
      <c r="U635" s="9"/>
      <c r="V635" s="9"/>
      <c r="W635" s="9">
        <f t="shared" si="585"/>
        <v>853</v>
      </c>
      <c r="X635" s="9" t="str">
        <f t="shared" ref="X635:Y635" si="642">IF(W635&lt;&gt;T635,W635,IF(_xlfn.IFNA(VLOOKUP(T635,$M$2:$N$13,2,FALSE),U635)=0,"xxx",_xlfn.IFNA(VLOOKUP(T635,$M$2:$N$13,2,FALSE),U635)))</f>
        <v>xxx</v>
      </c>
      <c r="Y635" s="9" t="str">
        <f t="shared" si="642"/>
        <v>xxx</v>
      </c>
    </row>
    <row r="636" spans="3:25" x14ac:dyDescent="0.2">
      <c r="C636">
        <v>635</v>
      </c>
      <c r="D636" t="s">
        <v>3077</v>
      </c>
      <c r="E636">
        <v>635</v>
      </c>
      <c r="S636" s="9">
        <v>1466</v>
      </c>
      <c r="T636" s="9">
        <v>853</v>
      </c>
      <c r="U636" s="9"/>
      <c r="V636" s="9"/>
      <c r="W636" s="9">
        <f t="shared" si="585"/>
        <v>853</v>
      </c>
      <c r="X636" s="9" t="str">
        <f t="shared" ref="X636:Y636" si="643">IF(W636&lt;&gt;T636,W636,IF(_xlfn.IFNA(VLOOKUP(T636,$M$2:$N$13,2,FALSE),U636)=0,"xxx",_xlfn.IFNA(VLOOKUP(T636,$M$2:$N$13,2,FALSE),U636)))</f>
        <v>xxx</v>
      </c>
      <c r="Y636" s="9" t="str">
        <f t="shared" si="643"/>
        <v>xxx</v>
      </c>
    </row>
    <row r="637" spans="3:25" x14ac:dyDescent="0.2">
      <c r="C637">
        <v>636</v>
      </c>
      <c r="D637" t="s">
        <v>3078</v>
      </c>
      <c r="E637">
        <v>636</v>
      </c>
      <c r="S637" s="9">
        <v>1467</v>
      </c>
      <c r="T637" s="9">
        <v>853</v>
      </c>
      <c r="U637" s="9"/>
      <c r="V637" s="9"/>
      <c r="W637" s="9">
        <f t="shared" si="585"/>
        <v>853</v>
      </c>
      <c r="X637" s="9" t="str">
        <f t="shared" ref="X637:Y637" si="644">IF(W637&lt;&gt;T637,W637,IF(_xlfn.IFNA(VLOOKUP(T637,$M$2:$N$13,2,FALSE),U637)=0,"xxx",_xlfn.IFNA(VLOOKUP(T637,$M$2:$N$13,2,FALSE),U637)))</f>
        <v>xxx</v>
      </c>
      <c r="Y637" s="9" t="str">
        <f t="shared" si="644"/>
        <v>xxx</v>
      </c>
    </row>
    <row r="638" spans="3:25" x14ac:dyDescent="0.2">
      <c r="C638">
        <v>637</v>
      </c>
      <c r="D638" t="s">
        <v>3079</v>
      </c>
      <c r="E638">
        <v>637</v>
      </c>
      <c r="S638" s="9">
        <v>1468</v>
      </c>
      <c r="T638" s="9">
        <v>853</v>
      </c>
      <c r="U638" s="9"/>
      <c r="V638" s="9"/>
      <c r="W638" s="9">
        <f t="shared" si="585"/>
        <v>853</v>
      </c>
      <c r="X638" s="9" t="str">
        <f t="shared" ref="X638:Y638" si="645">IF(W638&lt;&gt;T638,W638,IF(_xlfn.IFNA(VLOOKUP(T638,$M$2:$N$13,2,FALSE),U638)=0,"xxx",_xlfn.IFNA(VLOOKUP(T638,$M$2:$N$13,2,FALSE),U638)))</f>
        <v>xxx</v>
      </c>
      <c r="Y638" s="9" t="str">
        <f t="shared" si="645"/>
        <v>xxx</v>
      </c>
    </row>
    <row r="639" spans="3:25" x14ac:dyDescent="0.2">
      <c r="C639">
        <v>638</v>
      </c>
      <c r="D639" t="s">
        <v>3080</v>
      </c>
      <c r="E639">
        <v>638</v>
      </c>
      <c r="S639" s="9">
        <v>1469</v>
      </c>
      <c r="T639" s="9">
        <v>853</v>
      </c>
      <c r="U639" s="9">
        <v>281</v>
      </c>
      <c r="V639" s="9">
        <v>533</v>
      </c>
      <c r="W639" s="9">
        <f t="shared" si="585"/>
        <v>853</v>
      </c>
      <c r="X639" s="9">
        <f t="shared" ref="X639:Y639" si="646">IF(W639&lt;&gt;T639,W639,IF(_xlfn.IFNA(VLOOKUP(T639,$M$2:$N$13,2,FALSE),U639)=0,"xxx",_xlfn.IFNA(VLOOKUP(T639,$M$2:$N$13,2,FALSE),U639)))</f>
        <v>281</v>
      </c>
      <c r="Y639" s="9">
        <f t="shared" si="646"/>
        <v>533</v>
      </c>
    </row>
    <row r="640" spans="3:25" x14ac:dyDescent="0.2">
      <c r="C640">
        <v>639</v>
      </c>
      <c r="D640" t="s">
        <v>3081</v>
      </c>
      <c r="E640">
        <v>639</v>
      </c>
      <c r="S640" s="9">
        <v>1470</v>
      </c>
      <c r="T640" s="9">
        <v>853</v>
      </c>
      <c r="U640" s="9">
        <v>282</v>
      </c>
      <c r="V640" s="9">
        <v>534</v>
      </c>
      <c r="W640" s="9">
        <f t="shared" si="585"/>
        <v>853</v>
      </c>
      <c r="X640" s="9">
        <f t="shared" ref="X640:Y640" si="647">IF(W640&lt;&gt;T640,W640,IF(_xlfn.IFNA(VLOOKUP(T640,$M$2:$N$13,2,FALSE),U640)=0,"xxx",_xlfn.IFNA(VLOOKUP(T640,$M$2:$N$13,2,FALSE),U640)))</f>
        <v>282</v>
      </c>
      <c r="Y640" s="9">
        <f t="shared" si="647"/>
        <v>534</v>
      </c>
    </row>
    <row r="641" spans="3:25" x14ac:dyDescent="0.2">
      <c r="C641">
        <v>640</v>
      </c>
      <c r="D641" t="s">
        <v>3082</v>
      </c>
      <c r="E641">
        <v>640</v>
      </c>
      <c r="S641" s="9">
        <v>1471</v>
      </c>
      <c r="T641" s="9">
        <v>853</v>
      </c>
      <c r="U641" s="9">
        <v>282</v>
      </c>
      <c r="V641" s="9">
        <v>534</v>
      </c>
      <c r="W641" s="9">
        <f t="shared" si="585"/>
        <v>853</v>
      </c>
      <c r="X641" s="9">
        <f t="shared" ref="X641:Y641" si="648">IF(W641&lt;&gt;T641,W641,IF(_xlfn.IFNA(VLOOKUP(T641,$M$2:$N$13,2,FALSE),U641)=0,"xxx",_xlfn.IFNA(VLOOKUP(T641,$M$2:$N$13,2,FALSE),U641)))</f>
        <v>282</v>
      </c>
      <c r="Y641" s="9">
        <f t="shared" si="648"/>
        <v>534</v>
      </c>
    </row>
    <row r="642" spans="3:25" x14ac:dyDescent="0.2">
      <c r="C642">
        <v>641</v>
      </c>
      <c r="D642" t="s">
        <v>3083</v>
      </c>
      <c r="E642">
        <v>641</v>
      </c>
      <c r="S642" s="9">
        <v>1472</v>
      </c>
      <c r="T642" s="9">
        <v>853</v>
      </c>
      <c r="U642" s="9">
        <v>283</v>
      </c>
      <c r="V642" s="9">
        <v>535</v>
      </c>
      <c r="W642" s="9">
        <f t="shared" si="585"/>
        <v>853</v>
      </c>
      <c r="X642" s="9">
        <f t="shared" ref="X642:Y642" si="649">IF(W642&lt;&gt;T642,W642,IF(_xlfn.IFNA(VLOOKUP(T642,$M$2:$N$13,2,FALSE),U642)=0,"xxx",_xlfn.IFNA(VLOOKUP(T642,$M$2:$N$13,2,FALSE),U642)))</f>
        <v>283</v>
      </c>
      <c r="Y642" s="9">
        <f t="shared" si="649"/>
        <v>535</v>
      </c>
    </row>
    <row r="643" spans="3:25" x14ac:dyDescent="0.2">
      <c r="C643">
        <v>642</v>
      </c>
      <c r="D643" t="s">
        <v>3084</v>
      </c>
      <c r="E643">
        <v>642</v>
      </c>
      <c r="S643" s="9">
        <v>1473</v>
      </c>
      <c r="T643" s="9">
        <v>853</v>
      </c>
      <c r="U643" s="9">
        <v>283</v>
      </c>
      <c r="V643" s="9">
        <v>535</v>
      </c>
      <c r="W643" s="9">
        <f t="shared" ref="W643:W706" si="650">IF(_xlfn.IFNA(VLOOKUP(S643,$M$2:$N$13,2,FALSE),T643)=0,"xxx",_xlfn.IFNA(VLOOKUP(S643,$M$2:$N$13,2,FALSE),T643))</f>
        <v>853</v>
      </c>
      <c r="X643" s="9">
        <f t="shared" ref="X643:Y643" si="651">IF(W643&lt;&gt;T643,W643,IF(_xlfn.IFNA(VLOOKUP(T643,$M$2:$N$13,2,FALSE),U643)=0,"xxx",_xlfn.IFNA(VLOOKUP(T643,$M$2:$N$13,2,FALSE),U643)))</f>
        <v>283</v>
      </c>
      <c r="Y643" s="9">
        <f t="shared" si="651"/>
        <v>535</v>
      </c>
    </row>
    <row r="644" spans="3:25" x14ac:dyDescent="0.2">
      <c r="C644">
        <v>643</v>
      </c>
      <c r="D644" t="s">
        <v>3085</v>
      </c>
      <c r="E644">
        <v>643</v>
      </c>
      <c r="S644" s="9">
        <v>1474</v>
      </c>
      <c r="T644" s="9">
        <v>853</v>
      </c>
      <c r="U644" s="9">
        <v>323</v>
      </c>
      <c r="V644" s="9">
        <v>533</v>
      </c>
      <c r="W644" s="9">
        <f t="shared" si="650"/>
        <v>853</v>
      </c>
      <c r="X644" s="9">
        <f t="shared" ref="X644:Y644" si="652">IF(W644&lt;&gt;T644,W644,IF(_xlfn.IFNA(VLOOKUP(T644,$M$2:$N$13,2,FALSE),U644)=0,"xxx",_xlfn.IFNA(VLOOKUP(T644,$M$2:$N$13,2,FALSE),U644)))</f>
        <v>323</v>
      </c>
      <c r="Y644" s="9">
        <f t="shared" si="652"/>
        <v>533</v>
      </c>
    </row>
    <row r="645" spans="3:25" x14ac:dyDescent="0.2">
      <c r="C645">
        <v>644</v>
      </c>
      <c r="D645" t="s">
        <v>3086</v>
      </c>
      <c r="E645">
        <v>644</v>
      </c>
      <c r="S645" s="9">
        <v>1475</v>
      </c>
      <c r="T645" s="9">
        <v>853</v>
      </c>
      <c r="U645" s="9">
        <v>323</v>
      </c>
      <c r="V645" s="9">
        <v>533</v>
      </c>
      <c r="W645" s="9">
        <f t="shared" si="650"/>
        <v>853</v>
      </c>
      <c r="X645" s="9">
        <f t="shared" ref="X645:Y645" si="653">IF(W645&lt;&gt;T645,W645,IF(_xlfn.IFNA(VLOOKUP(T645,$M$2:$N$13,2,FALSE),U645)=0,"xxx",_xlfn.IFNA(VLOOKUP(T645,$M$2:$N$13,2,FALSE),U645)))</f>
        <v>323</v>
      </c>
      <c r="Y645" s="9">
        <f t="shared" si="653"/>
        <v>533</v>
      </c>
    </row>
    <row r="646" spans="3:25" x14ac:dyDescent="0.2">
      <c r="C646">
        <v>645</v>
      </c>
      <c r="D646" t="s">
        <v>3087</v>
      </c>
      <c r="E646">
        <v>645</v>
      </c>
      <c r="S646" s="9">
        <v>1476</v>
      </c>
      <c r="T646" s="9">
        <v>853</v>
      </c>
      <c r="U646" s="9">
        <v>324</v>
      </c>
      <c r="V646" s="9">
        <v>534</v>
      </c>
      <c r="W646" s="9">
        <f t="shared" si="650"/>
        <v>853</v>
      </c>
      <c r="X646" s="9">
        <f t="shared" ref="X646:Y646" si="654">IF(W646&lt;&gt;T646,W646,IF(_xlfn.IFNA(VLOOKUP(T646,$M$2:$N$13,2,FALSE),U646)=0,"xxx",_xlfn.IFNA(VLOOKUP(T646,$M$2:$N$13,2,FALSE),U646)))</f>
        <v>324</v>
      </c>
      <c r="Y646" s="9">
        <f t="shared" si="654"/>
        <v>534</v>
      </c>
    </row>
    <row r="647" spans="3:25" x14ac:dyDescent="0.2">
      <c r="C647">
        <v>646</v>
      </c>
      <c r="D647" t="s">
        <v>3088</v>
      </c>
      <c r="E647">
        <v>646</v>
      </c>
      <c r="S647" s="9">
        <v>1477</v>
      </c>
      <c r="T647" s="9">
        <v>853</v>
      </c>
      <c r="U647" s="9">
        <v>324</v>
      </c>
      <c r="V647" s="9">
        <v>534</v>
      </c>
      <c r="W647" s="9">
        <f t="shared" si="650"/>
        <v>853</v>
      </c>
      <c r="X647" s="9">
        <f t="shared" ref="X647:Y647" si="655">IF(W647&lt;&gt;T647,W647,IF(_xlfn.IFNA(VLOOKUP(T647,$M$2:$N$13,2,FALSE),U647)=0,"xxx",_xlfn.IFNA(VLOOKUP(T647,$M$2:$N$13,2,FALSE),U647)))</f>
        <v>324</v>
      </c>
      <c r="Y647" s="9">
        <f t="shared" si="655"/>
        <v>534</v>
      </c>
    </row>
    <row r="648" spans="3:25" x14ac:dyDescent="0.2">
      <c r="C648">
        <v>647</v>
      </c>
      <c r="D648" t="s">
        <v>3089</v>
      </c>
      <c r="E648">
        <v>647</v>
      </c>
      <c r="S648" s="9">
        <v>1478</v>
      </c>
      <c r="T648" s="9">
        <v>853</v>
      </c>
      <c r="U648" s="9">
        <v>325</v>
      </c>
      <c r="V648" s="9">
        <v>535</v>
      </c>
      <c r="W648" s="9">
        <f t="shared" si="650"/>
        <v>853</v>
      </c>
      <c r="X648" s="9">
        <f t="shared" ref="X648:Y648" si="656">IF(W648&lt;&gt;T648,W648,IF(_xlfn.IFNA(VLOOKUP(T648,$M$2:$N$13,2,FALSE),U648)=0,"xxx",_xlfn.IFNA(VLOOKUP(T648,$M$2:$N$13,2,FALSE),U648)))</f>
        <v>325</v>
      </c>
      <c r="Y648" s="9">
        <f t="shared" si="656"/>
        <v>535</v>
      </c>
    </row>
    <row r="649" spans="3:25" x14ac:dyDescent="0.2">
      <c r="C649">
        <v>648</v>
      </c>
      <c r="D649" t="s">
        <v>3090</v>
      </c>
      <c r="E649">
        <v>648</v>
      </c>
      <c r="S649" s="9">
        <v>1479</v>
      </c>
      <c r="T649" s="9">
        <v>853</v>
      </c>
      <c r="U649" s="9">
        <v>281</v>
      </c>
      <c r="V649" s="9">
        <v>533</v>
      </c>
      <c r="W649" s="9">
        <f t="shared" si="650"/>
        <v>853</v>
      </c>
      <c r="X649" s="9">
        <f t="shared" ref="X649:Y649" si="657">IF(W649&lt;&gt;T649,W649,IF(_xlfn.IFNA(VLOOKUP(T649,$M$2:$N$13,2,FALSE),U649)=0,"xxx",_xlfn.IFNA(VLOOKUP(T649,$M$2:$N$13,2,FALSE),U649)))</f>
        <v>281</v>
      </c>
      <c r="Y649" s="9">
        <f t="shared" si="657"/>
        <v>533</v>
      </c>
    </row>
    <row r="650" spans="3:25" x14ac:dyDescent="0.2">
      <c r="C650">
        <v>649</v>
      </c>
      <c r="D650" t="s">
        <v>3091</v>
      </c>
      <c r="E650">
        <v>649</v>
      </c>
      <c r="S650" s="9">
        <v>1480</v>
      </c>
      <c r="T650" s="9">
        <v>853</v>
      </c>
      <c r="U650" s="9">
        <v>281</v>
      </c>
      <c r="V650" s="9">
        <v>533</v>
      </c>
      <c r="W650" s="9">
        <f t="shared" si="650"/>
        <v>853</v>
      </c>
      <c r="X650" s="9">
        <f t="shared" ref="X650:Y650" si="658">IF(W650&lt;&gt;T650,W650,IF(_xlfn.IFNA(VLOOKUP(T650,$M$2:$N$13,2,FALSE),U650)=0,"xxx",_xlfn.IFNA(VLOOKUP(T650,$M$2:$N$13,2,FALSE),U650)))</f>
        <v>281</v>
      </c>
      <c r="Y650" s="9">
        <f t="shared" si="658"/>
        <v>533</v>
      </c>
    </row>
    <row r="651" spans="3:25" x14ac:dyDescent="0.2">
      <c r="C651">
        <v>650</v>
      </c>
      <c r="D651" t="s">
        <v>3092</v>
      </c>
      <c r="E651">
        <v>650</v>
      </c>
      <c r="S651" s="9">
        <v>1481</v>
      </c>
      <c r="T651" s="9">
        <v>853</v>
      </c>
      <c r="U651" s="9">
        <v>282</v>
      </c>
      <c r="V651" s="9">
        <v>534</v>
      </c>
      <c r="W651" s="9">
        <f t="shared" si="650"/>
        <v>853</v>
      </c>
      <c r="X651" s="9">
        <f t="shared" ref="X651:Y651" si="659">IF(W651&lt;&gt;T651,W651,IF(_xlfn.IFNA(VLOOKUP(T651,$M$2:$N$13,2,FALSE),U651)=0,"xxx",_xlfn.IFNA(VLOOKUP(T651,$M$2:$N$13,2,FALSE),U651)))</f>
        <v>282</v>
      </c>
      <c r="Y651" s="9">
        <f t="shared" si="659"/>
        <v>534</v>
      </c>
    </row>
    <row r="652" spans="3:25" x14ac:dyDescent="0.2">
      <c r="C652">
        <v>651</v>
      </c>
      <c r="D652" t="s">
        <v>3093</v>
      </c>
      <c r="E652">
        <v>651</v>
      </c>
      <c r="S652" s="9">
        <v>1482</v>
      </c>
      <c r="T652" s="9">
        <v>853</v>
      </c>
      <c r="U652" s="9">
        <v>282</v>
      </c>
      <c r="V652" s="9">
        <v>534</v>
      </c>
      <c r="W652" s="9">
        <f t="shared" si="650"/>
        <v>853</v>
      </c>
      <c r="X652" s="9">
        <f t="shared" ref="X652:Y652" si="660">IF(W652&lt;&gt;T652,W652,IF(_xlfn.IFNA(VLOOKUP(T652,$M$2:$N$13,2,FALSE),U652)=0,"xxx",_xlfn.IFNA(VLOOKUP(T652,$M$2:$N$13,2,FALSE),U652)))</f>
        <v>282</v>
      </c>
      <c r="Y652" s="9">
        <f t="shared" si="660"/>
        <v>534</v>
      </c>
    </row>
    <row r="653" spans="3:25" x14ac:dyDescent="0.2">
      <c r="C653">
        <v>652</v>
      </c>
      <c r="D653" t="s">
        <v>3094</v>
      </c>
      <c r="E653">
        <v>652</v>
      </c>
      <c r="S653" s="9">
        <v>1483</v>
      </c>
      <c r="T653" s="9">
        <v>853</v>
      </c>
      <c r="U653" s="9">
        <v>283</v>
      </c>
      <c r="V653" s="9">
        <v>535</v>
      </c>
      <c r="W653" s="9">
        <f t="shared" si="650"/>
        <v>853</v>
      </c>
      <c r="X653" s="9">
        <f t="shared" ref="X653:Y653" si="661">IF(W653&lt;&gt;T653,W653,IF(_xlfn.IFNA(VLOOKUP(T653,$M$2:$N$13,2,FALSE),U653)=0,"xxx",_xlfn.IFNA(VLOOKUP(T653,$M$2:$N$13,2,FALSE),U653)))</f>
        <v>283</v>
      </c>
      <c r="Y653" s="9">
        <f t="shared" si="661"/>
        <v>535</v>
      </c>
    </row>
    <row r="654" spans="3:25" x14ac:dyDescent="0.2">
      <c r="C654">
        <v>653</v>
      </c>
      <c r="D654" t="s">
        <v>3095</v>
      </c>
      <c r="E654">
        <v>653</v>
      </c>
      <c r="S654" s="9">
        <v>1484</v>
      </c>
      <c r="T654" s="9">
        <v>853</v>
      </c>
      <c r="U654" s="9">
        <v>281</v>
      </c>
      <c r="V654" s="9">
        <v>533</v>
      </c>
      <c r="W654" s="9">
        <f t="shared" si="650"/>
        <v>853</v>
      </c>
      <c r="X654" s="9">
        <f t="shared" ref="X654:Y654" si="662">IF(W654&lt;&gt;T654,W654,IF(_xlfn.IFNA(VLOOKUP(T654,$M$2:$N$13,2,FALSE),U654)=0,"xxx",_xlfn.IFNA(VLOOKUP(T654,$M$2:$N$13,2,FALSE),U654)))</f>
        <v>281</v>
      </c>
      <c r="Y654" s="9">
        <f t="shared" si="662"/>
        <v>533</v>
      </c>
    </row>
    <row r="655" spans="3:25" x14ac:dyDescent="0.2">
      <c r="C655">
        <v>654</v>
      </c>
      <c r="D655" t="s">
        <v>3096</v>
      </c>
      <c r="E655">
        <v>654</v>
      </c>
      <c r="S655" s="9">
        <v>1485</v>
      </c>
      <c r="T655" s="9">
        <v>853</v>
      </c>
      <c r="U655" s="9">
        <v>281</v>
      </c>
      <c r="V655" s="9">
        <v>533</v>
      </c>
      <c r="W655" s="9">
        <f t="shared" si="650"/>
        <v>853</v>
      </c>
      <c r="X655" s="9">
        <f t="shared" ref="X655:Y655" si="663">IF(W655&lt;&gt;T655,W655,IF(_xlfn.IFNA(VLOOKUP(T655,$M$2:$N$13,2,FALSE),U655)=0,"xxx",_xlfn.IFNA(VLOOKUP(T655,$M$2:$N$13,2,FALSE),U655)))</f>
        <v>281</v>
      </c>
      <c r="Y655" s="9">
        <f t="shared" si="663"/>
        <v>533</v>
      </c>
    </row>
    <row r="656" spans="3:25" x14ac:dyDescent="0.2">
      <c r="C656">
        <v>655</v>
      </c>
      <c r="D656" t="s">
        <v>3097</v>
      </c>
      <c r="E656">
        <v>655</v>
      </c>
      <c r="S656" s="9">
        <v>1486</v>
      </c>
      <c r="T656" s="9">
        <v>853</v>
      </c>
      <c r="U656" s="9">
        <v>282</v>
      </c>
      <c r="V656" s="9">
        <v>534</v>
      </c>
      <c r="W656" s="9">
        <f t="shared" si="650"/>
        <v>853</v>
      </c>
      <c r="X656" s="9">
        <f t="shared" ref="X656:Y656" si="664">IF(W656&lt;&gt;T656,W656,IF(_xlfn.IFNA(VLOOKUP(T656,$M$2:$N$13,2,FALSE),U656)=0,"xxx",_xlfn.IFNA(VLOOKUP(T656,$M$2:$N$13,2,FALSE),U656)))</f>
        <v>282</v>
      </c>
      <c r="Y656" s="9">
        <f t="shared" si="664"/>
        <v>534</v>
      </c>
    </row>
    <row r="657" spans="3:25" x14ac:dyDescent="0.2">
      <c r="C657">
        <v>656</v>
      </c>
      <c r="D657" t="s">
        <v>3098</v>
      </c>
      <c r="E657">
        <v>656</v>
      </c>
      <c r="S657" s="9">
        <v>1487</v>
      </c>
      <c r="T657" s="9">
        <v>853</v>
      </c>
      <c r="U657" s="9">
        <v>282</v>
      </c>
      <c r="V657" s="9">
        <v>534</v>
      </c>
      <c r="W657" s="9">
        <f t="shared" si="650"/>
        <v>853</v>
      </c>
      <c r="X657" s="9">
        <f t="shared" ref="X657:Y657" si="665">IF(W657&lt;&gt;T657,W657,IF(_xlfn.IFNA(VLOOKUP(T657,$M$2:$N$13,2,FALSE),U657)=0,"xxx",_xlfn.IFNA(VLOOKUP(T657,$M$2:$N$13,2,FALSE),U657)))</f>
        <v>282</v>
      </c>
      <c r="Y657" s="9">
        <f t="shared" si="665"/>
        <v>534</v>
      </c>
    </row>
    <row r="658" spans="3:25" x14ac:dyDescent="0.2">
      <c r="C658">
        <v>657</v>
      </c>
      <c r="D658" t="s">
        <v>3099</v>
      </c>
      <c r="E658">
        <v>657</v>
      </c>
      <c r="S658" s="9">
        <v>1488</v>
      </c>
      <c r="T658" s="9">
        <v>853</v>
      </c>
      <c r="U658" s="9">
        <v>282</v>
      </c>
      <c r="V658" s="9">
        <v>534</v>
      </c>
      <c r="W658" s="9">
        <f t="shared" si="650"/>
        <v>853</v>
      </c>
      <c r="X658" s="9">
        <f t="shared" ref="X658:Y658" si="666">IF(W658&lt;&gt;T658,W658,IF(_xlfn.IFNA(VLOOKUP(T658,$M$2:$N$13,2,FALSE),U658)=0,"xxx",_xlfn.IFNA(VLOOKUP(T658,$M$2:$N$13,2,FALSE),U658)))</f>
        <v>282</v>
      </c>
      <c r="Y658" s="9">
        <f t="shared" si="666"/>
        <v>534</v>
      </c>
    </row>
    <row r="659" spans="3:25" x14ac:dyDescent="0.2">
      <c r="C659">
        <v>658</v>
      </c>
      <c r="D659" t="s">
        <v>3100</v>
      </c>
      <c r="E659">
        <v>658</v>
      </c>
      <c r="S659" s="9">
        <v>1489</v>
      </c>
      <c r="T659" s="9">
        <v>853</v>
      </c>
      <c r="U659" s="9">
        <v>282</v>
      </c>
      <c r="V659" s="9">
        <v>534</v>
      </c>
      <c r="W659" s="9">
        <f t="shared" si="650"/>
        <v>853</v>
      </c>
      <c r="X659" s="9">
        <f t="shared" ref="X659:Y659" si="667">IF(W659&lt;&gt;T659,W659,IF(_xlfn.IFNA(VLOOKUP(T659,$M$2:$N$13,2,FALSE),U659)=0,"xxx",_xlfn.IFNA(VLOOKUP(T659,$M$2:$N$13,2,FALSE),U659)))</f>
        <v>282</v>
      </c>
      <c r="Y659" s="9">
        <f t="shared" si="667"/>
        <v>534</v>
      </c>
    </row>
    <row r="660" spans="3:25" x14ac:dyDescent="0.2">
      <c r="C660">
        <v>659</v>
      </c>
      <c r="D660" t="s">
        <v>3101</v>
      </c>
      <c r="E660">
        <v>659</v>
      </c>
      <c r="S660" s="9">
        <v>1490</v>
      </c>
      <c r="T660" s="9">
        <v>853</v>
      </c>
      <c r="U660" s="9">
        <v>282</v>
      </c>
      <c r="V660" s="9">
        <v>534</v>
      </c>
      <c r="W660" s="9">
        <f t="shared" si="650"/>
        <v>853</v>
      </c>
      <c r="X660" s="9">
        <f t="shared" ref="X660:Y660" si="668">IF(W660&lt;&gt;T660,W660,IF(_xlfn.IFNA(VLOOKUP(T660,$M$2:$N$13,2,FALSE),U660)=0,"xxx",_xlfn.IFNA(VLOOKUP(T660,$M$2:$N$13,2,FALSE),U660)))</f>
        <v>282</v>
      </c>
      <c r="Y660" s="9">
        <f t="shared" si="668"/>
        <v>534</v>
      </c>
    </row>
    <row r="661" spans="3:25" x14ac:dyDescent="0.2">
      <c r="C661">
        <v>660</v>
      </c>
      <c r="D661" t="s">
        <v>3102</v>
      </c>
      <c r="E661">
        <v>660</v>
      </c>
      <c r="S661" s="9">
        <v>1491</v>
      </c>
      <c r="T661" s="9">
        <v>853</v>
      </c>
      <c r="U661" s="9">
        <v>282</v>
      </c>
      <c r="V661" s="9">
        <v>534</v>
      </c>
      <c r="W661" s="9">
        <f t="shared" si="650"/>
        <v>853</v>
      </c>
      <c r="X661" s="9">
        <f t="shared" ref="X661:Y661" si="669">IF(W661&lt;&gt;T661,W661,IF(_xlfn.IFNA(VLOOKUP(T661,$M$2:$N$13,2,FALSE),U661)=0,"xxx",_xlfn.IFNA(VLOOKUP(T661,$M$2:$N$13,2,FALSE),U661)))</f>
        <v>282</v>
      </c>
      <c r="Y661" s="9">
        <f t="shared" si="669"/>
        <v>534</v>
      </c>
    </row>
    <row r="662" spans="3:25" x14ac:dyDescent="0.2">
      <c r="C662">
        <v>661</v>
      </c>
      <c r="D662" t="s">
        <v>3103</v>
      </c>
      <c r="E662">
        <v>661</v>
      </c>
      <c r="S662" s="9">
        <v>1492</v>
      </c>
      <c r="T662" s="9">
        <v>853</v>
      </c>
      <c r="U662" s="9">
        <v>323</v>
      </c>
      <c r="V662" s="9">
        <v>533</v>
      </c>
      <c r="W662" s="9">
        <f t="shared" si="650"/>
        <v>853</v>
      </c>
      <c r="X662" s="9">
        <f t="shared" ref="X662:Y662" si="670">IF(W662&lt;&gt;T662,W662,IF(_xlfn.IFNA(VLOOKUP(T662,$M$2:$N$13,2,FALSE),U662)=0,"xxx",_xlfn.IFNA(VLOOKUP(T662,$M$2:$N$13,2,FALSE),U662)))</f>
        <v>323</v>
      </c>
      <c r="Y662" s="9">
        <f t="shared" si="670"/>
        <v>533</v>
      </c>
    </row>
    <row r="663" spans="3:25" x14ac:dyDescent="0.2">
      <c r="C663">
        <v>662</v>
      </c>
      <c r="D663" t="s">
        <v>3104</v>
      </c>
      <c r="E663">
        <v>662</v>
      </c>
      <c r="S663" s="9">
        <v>1493</v>
      </c>
      <c r="T663" s="9">
        <v>853</v>
      </c>
      <c r="U663" s="9">
        <v>323</v>
      </c>
      <c r="V663" s="9">
        <v>533</v>
      </c>
      <c r="W663" s="9">
        <f t="shared" si="650"/>
        <v>853</v>
      </c>
      <c r="X663" s="9">
        <f t="shared" ref="X663:Y663" si="671">IF(W663&lt;&gt;T663,W663,IF(_xlfn.IFNA(VLOOKUP(T663,$M$2:$N$13,2,FALSE),U663)=0,"xxx",_xlfn.IFNA(VLOOKUP(T663,$M$2:$N$13,2,FALSE),U663)))</f>
        <v>323</v>
      </c>
      <c r="Y663" s="9">
        <f t="shared" si="671"/>
        <v>533</v>
      </c>
    </row>
    <row r="664" spans="3:25" x14ac:dyDescent="0.2">
      <c r="C664">
        <v>663</v>
      </c>
      <c r="D664" t="s">
        <v>3105</v>
      </c>
      <c r="E664">
        <v>663</v>
      </c>
      <c r="S664" s="9">
        <v>1494</v>
      </c>
      <c r="T664" s="9">
        <v>853</v>
      </c>
      <c r="U664" s="9">
        <v>324</v>
      </c>
      <c r="V664" s="9">
        <v>534</v>
      </c>
      <c r="W664" s="9">
        <f t="shared" si="650"/>
        <v>853</v>
      </c>
      <c r="X664" s="9">
        <f t="shared" ref="X664:Y664" si="672">IF(W664&lt;&gt;T664,W664,IF(_xlfn.IFNA(VLOOKUP(T664,$M$2:$N$13,2,FALSE),U664)=0,"xxx",_xlfn.IFNA(VLOOKUP(T664,$M$2:$N$13,2,FALSE),U664)))</f>
        <v>324</v>
      </c>
      <c r="Y664" s="9">
        <f t="shared" si="672"/>
        <v>534</v>
      </c>
    </row>
    <row r="665" spans="3:25" x14ac:dyDescent="0.2">
      <c r="C665">
        <v>664</v>
      </c>
      <c r="D665" t="s">
        <v>3106</v>
      </c>
      <c r="E665">
        <v>664</v>
      </c>
      <c r="S665" s="9">
        <v>1495</v>
      </c>
      <c r="T665" s="9">
        <v>853</v>
      </c>
      <c r="U665" s="9">
        <v>324</v>
      </c>
      <c r="V665" s="9">
        <v>534</v>
      </c>
      <c r="W665" s="9">
        <f t="shared" si="650"/>
        <v>853</v>
      </c>
      <c r="X665" s="9">
        <f t="shared" ref="X665:Y665" si="673">IF(W665&lt;&gt;T665,W665,IF(_xlfn.IFNA(VLOOKUP(T665,$M$2:$N$13,2,FALSE),U665)=0,"xxx",_xlfn.IFNA(VLOOKUP(T665,$M$2:$N$13,2,FALSE),U665)))</f>
        <v>324</v>
      </c>
      <c r="Y665" s="9">
        <f t="shared" si="673"/>
        <v>534</v>
      </c>
    </row>
    <row r="666" spans="3:25" x14ac:dyDescent="0.2">
      <c r="C666">
        <v>665</v>
      </c>
      <c r="D666" t="s">
        <v>3107</v>
      </c>
      <c r="E666">
        <v>665</v>
      </c>
      <c r="S666" s="9">
        <v>1496</v>
      </c>
      <c r="T666" s="9">
        <v>853</v>
      </c>
      <c r="U666" s="9">
        <v>325</v>
      </c>
      <c r="V666" s="9">
        <v>535</v>
      </c>
      <c r="W666" s="9">
        <f t="shared" si="650"/>
        <v>853</v>
      </c>
      <c r="X666" s="9">
        <f t="shared" ref="X666:Y666" si="674">IF(W666&lt;&gt;T666,W666,IF(_xlfn.IFNA(VLOOKUP(T666,$M$2:$N$13,2,FALSE),U666)=0,"xxx",_xlfn.IFNA(VLOOKUP(T666,$M$2:$N$13,2,FALSE),U666)))</f>
        <v>325</v>
      </c>
      <c r="Y666" s="9">
        <f t="shared" si="674"/>
        <v>535</v>
      </c>
    </row>
    <row r="667" spans="3:25" x14ac:dyDescent="0.2">
      <c r="C667">
        <v>666</v>
      </c>
      <c r="D667" t="s">
        <v>3108</v>
      </c>
      <c r="E667">
        <v>666</v>
      </c>
      <c r="S667" s="9">
        <v>1497</v>
      </c>
      <c r="T667" s="9">
        <v>853</v>
      </c>
      <c r="U667" s="9">
        <v>283</v>
      </c>
      <c r="V667" s="9">
        <v>535</v>
      </c>
      <c r="W667" s="9">
        <f t="shared" si="650"/>
        <v>853</v>
      </c>
      <c r="X667" s="9">
        <f t="shared" ref="X667:Y667" si="675">IF(W667&lt;&gt;T667,W667,IF(_xlfn.IFNA(VLOOKUP(T667,$M$2:$N$13,2,FALSE),U667)=0,"xxx",_xlfn.IFNA(VLOOKUP(T667,$M$2:$N$13,2,FALSE),U667)))</f>
        <v>283</v>
      </c>
      <c r="Y667" s="9">
        <f t="shared" si="675"/>
        <v>535</v>
      </c>
    </row>
    <row r="668" spans="3:25" x14ac:dyDescent="0.2">
      <c r="C668">
        <v>667</v>
      </c>
      <c r="D668" t="s">
        <v>3109</v>
      </c>
      <c r="E668">
        <v>667</v>
      </c>
      <c r="S668" s="9">
        <v>1498</v>
      </c>
      <c r="T668" s="9">
        <v>853</v>
      </c>
      <c r="U668" s="9">
        <v>283</v>
      </c>
      <c r="V668" s="9">
        <v>535</v>
      </c>
      <c r="W668" s="9">
        <f t="shared" si="650"/>
        <v>853</v>
      </c>
      <c r="X668" s="9">
        <f t="shared" ref="X668:Y668" si="676">IF(W668&lt;&gt;T668,W668,IF(_xlfn.IFNA(VLOOKUP(T668,$M$2:$N$13,2,FALSE),U668)=0,"xxx",_xlfn.IFNA(VLOOKUP(T668,$M$2:$N$13,2,FALSE),U668)))</f>
        <v>283</v>
      </c>
      <c r="Y668" s="9">
        <f t="shared" si="676"/>
        <v>535</v>
      </c>
    </row>
    <row r="669" spans="3:25" x14ac:dyDescent="0.2">
      <c r="C669">
        <v>668</v>
      </c>
      <c r="D669" t="s">
        <v>3110</v>
      </c>
      <c r="E669">
        <v>668</v>
      </c>
      <c r="S669" s="9">
        <v>1499</v>
      </c>
      <c r="T669" s="9">
        <v>853</v>
      </c>
      <c r="U669" s="9">
        <v>283</v>
      </c>
      <c r="V669" s="9">
        <v>535</v>
      </c>
      <c r="W669" s="9">
        <f t="shared" si="650"/>
        <v>853</v>
      </c>
      <c r="X669" s="9">
        <f t="shared" ref="X669:Y669" si="677">IF(W669&lt;&gt;T669,W669,IF(_xlfn.IFNA(VLOOKUP(T669,$M$2:$N$13,2,FALSE),U669)=0,"xxx",_xlfn.IFNA(VLOOKUP(T669,$M$2:$N$13,2,FALSE),U669)))</f>
        <v>283</v>
      </c>
      <c r="Y669" s="9">
        <f t="shared" si="677"/>
        <v>535</v>
      </c>
    </row>
    <row r="670" spans="3:25" x14ac:dyDescent="0.2">
      <c r="C670">
        <v>669</v>
      </c>
      <c r="D670" t="s">
        <v>3111</v>
      </c>
      <c r="E670">
        <v>669</v>
      </c>
      <c r="S670" s="9">
        <v>1500</v>
      </c>
      <c r="T670" s="9">
        <v>853</v>
      </c>
      <c r="U670" s="9">
        <v>283</v>
      </c>
      <c r="V670" s="9">
        <v>535</v>
      </c>
      <c r="W670" s="9">
        <f t="shared" si="650"/>
        <v>853</v>
      </c>
      <c r="X670" s="9">
        <f t="shared" ref="X670:Y670" si="678">IF(W670&lt;&gt;T670,W670,IF(_xlfn.IFNA(VLOOKUP(T670,$M$2:$N$13,2,FALSE),U670)=0,"xxx",_xlfn.IFNA(VLOOKUP(T670,$M$2:$N$13,2,FALSE),U670)))</f>
        <v>283</v>
      </c>
      <c r="Y670" s="9">
        <f t="shared" si="678"/>
        <v>535</v>
      </c>
    </row>
    <row r="671" spans="3:25" x14ac:dyDescent="0.2">
      <c r="C671">
        <v>670</v>
      </c>
      <c r="D671" t="s">
        <v>3112</v>
      </c>
      <c r="E671">
        <v>670</v>
      </c>
      <c r="S671" s="9">
        <v>1501</v>
      </c>
      <c r="T671" s="9">
        <v>853</v>
      </c>
      <c r="U671" s="9">
        <v>281</v>
      </c>
      <c r="V671" s="9">
        <v>533</v>
      </c>
      <c r="W671" s="9">
        <f t="shared" si="650"/>
        <v>853</v>
      </c>
      <c r="X671" s="9">
        <f t="shared" ref="X671:Y671" si="679">IF(W671&lt;&gt;T671,W671,IF(_xlfn.IFNA(VLOOKUP(T671,$M$2:$N$13,2,FALSE),U671)=0,"xxx",_xlfn.IFNA(VLOOKUP(T671,$M$2:$N$13,2,FALSE),U671)))</f>
        <v>281</v>
      </c>
      <c r="Y671" s="9">
        <f t="shared" si="679"/>
        <v>533</v>
      </c>
    </row>
    <row r="672" spans="3:25" x14ac:dyDescent="0.2">
      <c r="C672">
        <v>671</v>
      </c>
      <c r="D672" t="s">
        <v>3113</v>
      </c>
      <c r="E672">
        <v>671</v>
      </c>
      <c r="S672" s="9">
        <v>1502</v>
      </c>
      <c r="T672" s="9">
        <v>853</v>
      </c>
      <c r="U672" s="9">
        <v>282</v>
      </c>
      <c r="V672" s="9">
        <v>534</v>
      </c>
      <c r="W672" s="9">
        <f t="shared" si="650"/>
        <v>853</v>
      </c>
      <c r="X672" s="9">
        <f t="shared" ref="X672:Y672" si="680">IF(W672&lt;&gt;T672,W672,IF(_xlfn.IFNA(VLOOKUP(T672,$M$2:$N$13,2,FALSE),U672)=0,"xxx",_xlfn.IFNA(VLOOKUP(T672,$M$2:$N$13,2,FALSE),U672)))</f>
        <v>282</v>
      </c>
      <c r="Y672" s="9">
        <f t="shared" si="680"/>
        <v>534</v>
      </c>
    </row>
    <row r="673" spans="3:25" x14ac:dyDescent="0.2">
      <c r="C673">
        <v>672</v>
      </c>
      <c r="D673" t="s">
        <v>3114</v>
      </c>
      <c r="E673">
        <v>672</v>
      </c>
      <c r="S673" s="9">
        <v>1503</v>
      </c>
      <c r="T673" s="9">
        <v>853</v>
      </c>
      <c r="U673" s="9">
        <v>283</v>
      </c>
      <c r="V673" s="9">
        <v>535</v>
      </c>
      <c r="W673" s="9">
        <f t="shared" si="650"/>
        <v>853</v>
      </c>
      <c r="X673" s="9">
        <f t="shared" ref="X673:Y673" si="681">IF(W673&lt;&gt;T673,W673,IF(_xlfn.IFNA(VLOOKUP(T673,$M$2:$N$13,2,FALSE),U673)=0,"xxx",_xlfn.IFNA(VLOOKUP(T673,$M$2:$N$13,2,FALSE),U673)))</f>
        <v>283</v>
      </c>
      <c r="Y673" s="9">
        <f t="shared" si="681"/>
        <v>535</v>
      </c>
    </row>
    <row r="674" spans="3:25" x14ac:dyDescent="0.2">
      <c r="C674">
        <v>673</v>
      </c>
      <c r="D674" t="s">
        <v>3115</v>
      </c>
      <c r="E674">
        <v>673</v>
      </c>
      <c r="S674" s="9">
        <v>1504</v>
      </c>
      <c r="T674" s="9">
        <v>853</v>
      </c>
      <c r="U674" s="9">
        <v>283</v>
      </c>
      <c r="V674" s="9">
        <v>535</v>
      </c>
      <c r="W674" s="9">
        <f t="shared" si="650"/>
        <v>853</v>
      </c>
      <c r="X674" s="9">
        <f t="shared" ref="X674:Y674" si="682">IF(W674&lt;&gt;T674,W674,IF(_xlfn.IFNA(VLOOKUP(T674,$M$2:$N$13,2,FALSE),U674)=0,"xxx",_xlfn.IFNA(VLOOKUP(T674,$M$2:$N$13,2,FALSE),U674)))</f>
        <v>283</v>
      </c>
      <c r="Y674" s="9">
        <f t="shared" si="682"/>
        <v>535</v>
      </c>
    </row>
    <row r="675" spans="3:25" x14ac:dyDescent="0.2">
      <c r="C675">
        <v>674</v>
      </c>
      <c r="D675" t="s">
        <v>3116</v>
      </c>
      <c r="E675">
        <v>674</v>
      </c>
      <c r="S675" s="9">
        <v>1505</v>
      </c>
      <c r="T675" s="9">
        <v>853</v>
      </c>
      <c r="U675" s="9">
        <v>283</v>
      </c>
      <c r="V675" s="9">
        <v>535</v>
      </c>
      <c r="W675" s="9">
        <f t="shared" si="650"/>
        <v>853</v>
      </c>
      <c r="X675" s="9">
        <f t="shared" ref="X675:Y675" si="683">IF(W675&lt;&gt;T675,W675,IF(_xlfn.IFNA(VLOOKUP(T675,$M$2:$N$13,2,FALSE),U675)=0,"xxx",_xlfn.IFNA(VLOOKUP(T675,$M$2:$N$13,2,FALSE),U675)))</f>
        <v>283</v>
      </c>
      <c r="Y675" s="9">
        <f t="shared" si="683"/>
        <v>535</v>
      </c>
    </row>
    <row r="676" spans="3:25" x14ac:dyDescent="0.2">
      <c r="C676">
        <v>675</v>
      </c>
      <c r="D676" t="s">
        <v>3117</v>
      </c>
      <c r="E676">
        <v>675</v>
      </c>
      <c r="S676" s="9">
        <v>1506</v>
      </c>
      <c r="T676" s="9">
        <v>853</v>
      </c>
      <c r="U676" s="9">
        <v>281</v>
      </c>
      <c r="V676" s="9">
        <v>533</v>
      </c>
      <c r="W676" s="9">
        <f t="shared" si="650"/>
        <v>853</v>
      </c>
      <c r="X676" s="9">
        <f t="shared" ref="X676:Y676" si="684">IF(W676&lt;&gt;T676,W676,IF(_xlfn.IFNA(VLOOKUP(T676,$M$2:$N$13,2,FALSE),U676)=0,"xxx",_xlfn.IFNA(VLOOKUP(T676,$M$2:$N$13,2,FALSE),U676)))</f>
        <v>281</v>
      </c>
      <c r="Y676" s="9">
        <f t="shared" si="684"/>
        <v>533</v>
      </c>
    </row>
    <row r="677" spans="3:25" x14ac:dyDescent="0.2">
      <c r="C677">
        <v>676</v>
      </c>
      <c r="D677" t="s">
        <v>3118</v>
      </c>
      <c r="E677">
        <v>676</v>
      </c>
      <c r="S677" s="9">
        <v>1507</v>
      </c>
      <c r="T677" s="9">
        <v>853</v>
      </c>
      <c r="U677" s="9">
        <v>282</v>
      </c>
      <c r="V677" s="9">
        <v>534</v>
      </c>
      <c r="W677" s="9">
        <f t="shared" si="650"/>
        <v>853</v>
      </c>
      <c r="X677" s="9">
        <f t="shared" ref="X677:Y677" si="685">IF(W677&lt;&gt;T677,W677,IF(_xlfn.IFNA(VLOOKUP(T677,$M$2:$N$13,2,FALSE),U677)=0,"xxx",_xlfn.IFNA(VLOOKUP(T677,$M$2:$N$13,2,FALSE),U677)))</f>
        <v>282</v>
      </c>
      <c r="Y677" s="9">
        <f t="shared" si="685"/>
        <v>534</v>
      </c>
    </row>
    <row r="678" spans="3:25" x14ac:dyDescent="0.2">
      <c r="C678">
        <v>677</v>
      </c>
      <c r="D678" t="s">
        <v>3119</v>
      </c>
      <c r="E678">
        <v>677</v>
      </c>
      <c r="S678" s="9">
        <v>1508</v>
      </c>
      <c r="T678" s="9">
        <v>853</v>
      </c>
      <c r="U678" s="9">
        <v>283</v>
      </c>
      <c r="V678" s="9">
        <v>535</v>
      </c>
      <c r="W678" s="9">
        <f t="shared" si="650"/>
        <v>853</v>
      </c>
      <c r="X678" s="9">
        <f t="shared" ref="X678:Y678" si="686">IF(W678&lt;&gt;T678,W678,IF(_xlfn.IFNA(VLOOKUP(T678,$M$2:$N$13,2,FALSE),U678)=0,"xxx",_xlfn.IFNA(VLOOKUP(T678,$M$2:$N$13,2,FALSE),U678)))</f>
        <v>283</v>
      </c>
      <c r="Y678" s="9">
        <f t="shared" si="686"/>
        <v>535</v>
      </c>
    </row>
    <row r="679" spans="3:25" x14ac:dyDescent="0.2">
      <c r="C679">
        <v>678</v>
      </c>
      <c r="D679" t="s">
        <v>3120</v>
      </c>
      <c r="E679">
        <v>678</v>
      </c>
      <c r="S679" s="9">
        <v>1509</v>
      </c>
      <c r="T679" s="9">
        <v>853</v>
      </c>
      <c r="U679" s="9">
        <v>283</v>
      </c>
      <c r="V679" s="9">
        <v>535</v>
      </c>
      <c r="W679" s="9">
        <f t="shared" si="650"/>
        <v>853</v>
      </c>
      <c r="X679" s="9">
        <f t="shared" ref="X679:Y679" si="687">IF(W679&lt;&gt;T679,W679,IF(_xlfn.IFNA(VLOOKUP(T679,$M$2:$N$13,2,FALSE),U679)=0,"xxx",_xlfn.IFNA(VLOOKUP(T679,$M$2:$N$13,2,FALSE),U679)))</f>
        <v>283</v>
      </c>
      <c r="Y679" s="9">
        <f t="shared" si="687"/>
        <v>535</v>
      </c>
    </row>
    <row r="680" spans="3:25" x14ac:dyDescent="0.2">
      <c r="C680">
        <v>679</v>
      </c>
      <c r="D680" t="s">
        <v>3121</v>
      </c>
      <c r="E680">
        <v>679</v>
      </c>
      <c r="S680" s="9">
        <v>1510</v>
      </c>
      <c r="T680" s="9">
        <v>853</v>
      </c>
      <c r="U680" s="9">
        <v>283</v>
      </c>
      <c r="V680" s="9">
        <v>535</v>
      </c>
      <c r="W680" s="9">
        <f t="shared" si="650"/>
        <v>853</v>
      </c>
      <c r="X680" s="9">
        <f t="shared" ref="X680:Y680" si="688">IF(W680&lt;&gt;T680,W680,IF(_xlfn.IFNA(VLOOKUP(T680,$M$2:$N$13,2,FALSE),U680)=0,"xxx",_xlfn.IFNA(VLOOKUP(T680,$M$2:$N$13,2,FALSE),U680)))</f>
        <v>283</v>
      </c>
      <c r="Y680" s="9">
        <f t="shared" si="688"/>
        <v>535</v>
      </c>
    </row>
    <row r="681" spans="3:25" x14ac:dyDescent="0.2">
      <c r="C681">
        <v>680</v>
      </c>
      <c r="D681" t="s">
        <v>3122</v>
      </c>
      <c r="E681">
        <v>680</v>
      </c>
      <c r="S681" s="9">
        <v>1511</v>
      </c>
      <c r="T681" s="9">
        <v>853</v>
      </c>
      <c r="U681" s="9"/>
      <c r="V681" s="9"/>
      <c r="W681" s="9">
        <f t="shared" si="650"/>
        <v>853</v>
      </c>
      <c r="X681" s="9" t="str">
        <f t="shared" ref="X681:Y681" si="689">IF(W681&lt;&gt;T681,W681,IF(_xlfn.IFNA(VLOOKUP(T681,$M$2:$N$13,2,FALSE),U681)=0,"xxx",_xlfn.IFNA(VLOOKUP(T681,$M$2:$N$13,2,FALSE),U681)))</f>
        <v>xxx</v>
      </c>
      <c r="Y681" s="9" t="str">
        <f t="shared" si="689"/>
        <v>xxx</v>
      </c>
    </row>
    <row r="682" spans="3:25" x14ac:dyDescent="0.2">
      <c r="C682">
        <v>681</v>
      </c>
      <c r="D682" t="s">
        <v>3123</v>
      </c>
      <c r="E682">
        <v>681</v>
      </c>
      <c r="S682" s="9">
        <v>1512</v>
      </c>
      <c r="T682" s="9">
        <v>853</v>
      </c>
      <c r="U682" s="9"/>
      <c r="V682" s="9"/>
      <c r="W682" s="9">
        <f t="shared" si="650"/>
        <v>853</v>
      </c>
      <c r="X682" s="9" t="str">
        <f t="shared" ref="X682:Y682" si="690">IF(W682&lt;&gt;T682,W682,IF(_xlfn.IFNA(VLOOKUP(T682,$M$2:$N$13,2,FALSE),U682)=0,"xxx",_xlfn.IFNA(VLOOKUP(T682,$M$2:$N$13,2,FALSE),U682)))</f>
        <v>xxx</v>
      </c>
      <c r="Y682" s="9" t="str">
        <f t="shared" si="690"/>
        <v>xxx</v>
      </c>
    </row>
    <row r="683" spans="3:25" x14ac:dyDescent="0.2">
      <c r="C683">
        <v>682</v>
      </c>
      <c r="D683" t="s">
        <v>3124</v>
      </c>
      <c r="E683">
        <v>682</v>
      </c>
      <c r="S683" s="9">
        <v>1513</v>
      </c>
      <c r="T683" s="9">
        <v>853</v>
      </c>
      <c r="U683" s="9"/>
      <c r="V683" s="9"/>
      <c r="W683" s="9">
        <f t="shared" si="650"/>
        <v>853</v>
      </c>
      <c r="X683" s="9" t="str">
        <f t="shared" ref="X683:Y683" si="691">IF(W683&lt;&gt;T683,W683,IF(_xlfn.IFNA(VLOOKUP(T683,$M$2:$N$13,2,FALSE),U683)=0,"xxx",_xlfn.IFNA(VLOOKUP(T683,$M$2:$N$13,2,FALSE),U683)))</f>
        <v>xxx</v>
      </c>
      <c r="Y683" s="9" t="str">
        <f t="shared" si="691"/>
        <v>xxx</v>
      </c>
    </row>
    <row r="684" spans="3:25" x14ac:dyDescent="0.2">
      <c r="C684">
        <v>683</v>
      </c>
      <c r="D684" t="s">
        <v>3125</v>
      </c>
      <c r="E684">
        <v>683</v>
      </c>
      <c r="S684" s="9">
        <v>1514</v>
      </c>
      <c r="T684" s="9">
        <v>853</v>
      </c>
      <c r="U684" s="9"/>
      <c r="V684" s="9"/>
      <c r="W684" s="9">
        <f t="shared" si="650"/>
        <v>853</v>
      </c>
      <c r="X684" s="9" t="str">
        <f t="shared" ref="X684:Y684" si="692">IF(W684&lt;&gt;T684,W684,IF(_xlfn.IFNA(VLOOKUP(T684,$M$2:$N$13,2,FALSE),U684)=0,"xxx",_xlfn.IFNA(VLOOKUP(T684,$M$2:$N$13,2,FALSE),U684)))</f>
        <v>xxx</v>
      </c>
      <c r="Y684" s="9" t="str">
        <f t="shared" si="692"/>
        <v>xxx</v>
      </c>
    </row>
    <row r="685" spans="3:25" x14ac:dyDescent="0.2">
      <c r="C685">
        <v>684</v>
      </c>
      <c r="D685" t="s">
        <v>3126</v>
      </c>
      <c r="E685">
        <v>684</v>
      </c>
      <c r="S685" s="9">
        <v>1515</v>
      </c>
      <c r="T685" s="9">
        <v>853</v>
      </c>
      <c r="U685" s="9"/>
      <c r="V685" s="9"/>
      <c r="W685" s="9">
        <f t="shared" si="650"/>
        <v>853</v>
      </c>
      <c r="X685" s="9" t="str">
        <f t="shared" ref="X685:Y685" si="693">IF(W685&lt;&gt;T685,W685,IF(_xlfn.IFNA(VLOOKUP(T685,$M$2:$N$13,2,FALSE),U685)=0,"xxx",_xlfn.IFNA(VLOOKUP(T685,$M$2:$N$13,2,FALSE),U685)))</f>
        <v>xxx</v>
      </c>
      <c r="Y685" s="9" t="str">
        <f t="shared" si="693"/>
        <v>xxx</v>
      </c>
    </row>
    <row r="686" spans="3:25" x14ac:dyDescent="0.2">
      <c r="C686">
        <v>685</v>
      </c>
      <c r="D686" t="s">
        <v>3127</v>
      </c>
      <c r="E686">
        <v>685</v>
      </c>
      <c r="S686" s="9">
        <v>1516</v>
      </c>
      <c r="T686" s="9">
        <v>853</v>
      </c>
      <c r="U686" s="9"/>
      <c r="V686" s="9"/>
      <c r="W686" s="9">
        <f t="shared" si="650"/>
        <v>853</v>
      </c>
      <c r="X686" s="9" t="str">
        <f t="shared" ref="X686:Y686" si="694">IF(W686&lt;&gt;T686,W686,IF(_xlfn.IFNA(VLOOKUP(T686,$M$2:$N$13,2,FALSE),U686)=0,"xxx",_xlfn.IFNA(VLOOKUP(T686,$M$2:$N$13,2,FALSE),U686)))</f>
        <v>xxx</v>
      </c>
      <c r="Y686" s="9" t="str">
        <f t="shared" si="694"/>
        <v>xxx</v>
      </c>
    </row>
    <row r="687" spans="3:25" x14ac:dyDescent="0.2">
      <c r="C687">
        <v>686</v>
      </c>
      <c r="D687" t="s">
        <v>3128</v>
      </c>
      <c r="E687">
        <v>686</v>
      </c>
      <c r="S687" s="9">
        <v>1517</v>
      </c>
      <c r="T687" s="9">
        <v>853</v>
      </c>
      <c r="U687" s="9"/>
      <c r="V687" s="9"/>
      <c r="W687" s="9">
        <f t="shared" si="650"/>
        <v>853</v>
      </c>
      <c r="X687" s="9" t="str">
        <f t="shared" ref="X687:Y687" si="695">IF(W687&lt;&gt;T687,W687,IF(_xlfn.IFNA(VLOOKUP(T687,$M$2:$N$13,2,FALSE),U687)=0,"xxx",_xlfn.IFNA(VLOOKUP(T687,$M$2:$N$13,2,FALSE),U687)))</f>
        <v>xxx</v>
      </c>
      <c r="Y687" s="9" t="str">
        <f t="shared" si="695"/>
        <v>xxx</v>
      </c>
    </row>
    <row r="688" spans="3:25" x14ac:dyDescent="0.2">
      <c r="C688">
        <v>687</v>
      </c>
      <c r="D688" t="s">
        <v>3129</v>
      </c>
      <c r="E688">
        <v>687</v>
      </c>
      <c r="S688" s="9">
        <v>1518</v>
      </c>
      <c r="T688" s="9">
        <v>853</v>
      </c>
      <c r="U688" s="9"/>
      <c r="V688" s="9"/>
      <c r="W688" s="9">
        <f t="shared" si="650"/>
        <v>853</v>
      </c>
      <c r="X688" s="9" t="str">
        <f t="shared" ref="X688:Y688" si="696">IF(W688&lt;&gt;T688,W688,IF(_xlfn.IFNA(VLOOKUP(T688,$M$2:$N$13,2,FALSE),U688)=0,"xxx",_xlfn.IFNA(VLOOKUP(T688,$M$2:$N$13,2,FALSE),U688)))</f>
        <v>xxx</v>
      </c>
      <c r="Y688" s="9" t="str">
        <f t="shared" si="696"/>
        <v>xxx</v>
      </c>
    </row>
    <row r="689" spans="3:25" x14ac:dyDescent="0.2">
      <c r="C689">
        <v>688</v>
      </c>
      <c r="D689" t="s">
        <v>3130</v>
      </c>
      <c r="E689">
        <v>688</v>
      </c>
      <c r="S689" s="9">
        <v>1519</v>
      </c>
      <c r="T689" s="9">
        <v>853</v>
      </c>
      <c r="U689" s="9"/>
      <c r="V689" s="9"/>
      <c r="W689" s="9">
        <f t="shared" si="650"/>
        <v>853</v>
      </c>
      <c r="X689" s="9" t="str">
        <f t="shared" ref="X689:Y689" si="697">IF(W689&lt;&gt;T689,W689,IF(_xlfn.IFNA(VLOOKUP(T689,$M$2:$N$13,2,FALSE),U689)=0,"xxx",_xlfn.IFNA(VLOOKUP(T689,$M$2:$N$13,2,FALSE),U689)))</f>
        <v>xxx</v>
      </c>
      <c r="Y689" s="9" t="str">
        <f t="shared" si="697"/>
        <v>xxx</v>
      </c>
    </row>
    <row r="690" spans="3:25" x14ac:dyDescent="0.2">
      <c r="C690">
        <v>689</v>
      </c>
      <c r="D690" t="s">
        <v>3131</v>
      </c>
      <c r="E690">
        <v>689</v>
      </c>
      <c r="S690" s="9">
        <v>1520</v>
      </c>
      <c r="T690" s="9">
        <v>853</v>
      </c>
      <c r="U690" s="9"/>
      <c r="V690" s="9"/>
      <c r="W690" s="9">
        <f t="shared" si="650"/>
        <v>853</v>
      </c>
      <c r="X690" s="9" t="str">
        <f t="shared" ref="X690:Y690" si="698">IF(W690&lt;&gt;T690,W690,IF(_xlfn.IFNA(VLOOKUP(T690,$M$2:$N$13,2,FALSE),U690)=0,"xxx",_xlfn.IFNA(VLOOKUP(T690,$M$2:$N$13,2,FALSE),U690)))</f>
        <v>xxx</v>
      </c>
      <c r="Y690" s="9" t="str">
        <f t="shared" si="698"/>
        <v>xxx</v>
      </c>
    </row>
    <row r="691" spans="3:25" x14ac:dyDescent="0.2">
      <c r="C691">
        <v>690</v>
      </c>
      <c r="D691" t="s">
        <v>3132</v>
      </c>
      <c r="E691">
        <v>690</v>
      </c>
      <c r="S691" s="9">
        <v>1521</v>
      </c>
      <c r="T691" s="9">
        <v>853</v>
      </c>
      <c r="U691" s="9"/>
      <c r="V691" s="9"/>
      <c r="W691" s="9">
        <f t="shared" si="650"/>
        <v>853</v>
      </c>
      <c r="X691" s="9" t="str">
        <f t="shared" ref="X691:Y691" si="699">IF(W691&lt;&gt;T691,W691,IF(_xlfn.IFNA(VLOOKUP(T691,$M$2:$N$13,2,FALSE),U691)=0,"xxx",_xlfn.IFNA(VLOOKUP(T691,$M$2:$N$13,2,FALSE),U691)))</f>
        <v>xxx</v>
      </c>
      <c r="Y691" s="9" t="str">
        <f t="shared" si="699"/>
        <v>xxx</v>
      </c>
    </row>
    <row r="692" spans="3:25" x14ac:dyDescent="0.2">
      <c r="C692">
        <v>691</v>
      </c>
      <c r="D692" t="s">
        <v>3133</v>
      </c>
      <c r="E692">
        <v>691</v>
      </c>
      <c r="S692" s="9">
        <v>1522</v>
      </c>
      <c r="T692" s="9">
        <v>853</v>
      </c>
      <c r="U692" s="9"/>
      <c r="V692" s="9"/>
      <c r="W692" s="9">
        <f t="shared" si="650"/>
        <v>853</v>
      </c>
      <c r="X692" s="9" t="str">
        <f t="shared" ref="X692:Y692" si="700">IF(W692&lt;&gt;T692,W692,IF(_xlfn.IFNA(VLOOKUP(T692,$M$2:$N$13,2,FALSE),U692)=0,"xxx",_xlfn.IFNA(VLOOKUP(T692,$M$2:$N$13,2,FALSE),U692)))</f>
        <v>xxx</v>
      </c>
      <c r="Y692" s="9" t="str">
        <f t="shared" si="700"/>
        <v>xxx</v>
      </c>
    </row>
    <row r="693" spans="3:25" x14ac:dyDescent="0.2">
      <c r="C693">
        <v>692</v>
      </c>
      <c r="D693" t="s">
        <v>3134</v>
      </c>
      <c r="E693">
        <v>692</v>
      </c>
      <c r="S693" s="9">
        <v>1523</v>
      </c>
      <c r="T693" s="9">
        <v>853</v>
      </c>
      <c r="U693" s="9"/>
      <c r="V693" s="9"/>
      <c r="W693" s="9">
        <f t="shared" si="650"/>
        <v>853</v>
      </c>
      <c r="X693" s="9" t="str">
        <f t="shared" ref="X693:Y693" si="701">IF(W693&lt;&gt;T693,W693,IF(_xlfn.IFNA(VLOOKUP(T693,$M$2:$N$13,2,FALSE),U693)=0,"xxx",_xlfn.IFNA(VLOOKUP(T693,$M$2:$N$13,2,FALSE),U693)))</f>
        <v>xxx</v>
      </c>
      <c r="Y693" s="9" t="str">
        <f t="shared" si="701"/>
        <v>xxx</v>
      </c>
    </row>
    <row r="694" spans="3:25" x14ac:dyDescent="0.2">
      <c r="C694">
        <v>693</v>
      </c>
      <c r="D694" t="s">
        <v>3135</v>
      </c>
      <c r="E694">
        <v>693</v>
      </c>
      <c r="S694" s="9">
        <v>1524</v>
      </c>
      <c r="T694" s="9">
        <v>853</v>
      </c>
      <c r="U694" s="9"/>
      <c r="V694" s="9"/>
      <c r="W694" s="9">
        <f t="shared" si="650"/>
        <v>853</v>
      </c>
      <c r="X694" s="9" t="str">
        <f t="shared" ref="X694:Y694" si="702">IF(W694&lt;&gt;T694,W694,IF(_xlfn.IFNA(VLOOKUP(T694,$M$2:$N$13,2,FALSE),U694)=0,"xxx",_xlfn.IFNA(VLOOKUP(T694,$M$2:$N$13,2,FALSE),U694)))</f>
        <v>xxx</v>
      </c>
      <c r="Y694" s="9" t="str">
        <f t="shared" si="702"/>
        <v>xxx</v>
      </c>
    </row>
    <row r="695" spans="3:25" x14ac:dyDescent="0.2">
      <c r="C695">
        <v>694</v>
      </c>
      <c r="D695" t="s">
        <v>3136</v>
      </c>
      <c r="E695">
        <v>694</v>
      </c>
      <c r="S695" s="9">
        <v>1525</v>
      </c>
      <c r="T695" s="9">
        <v>853</v>
      </c>
      <c r="U695" s="9"/>
      <c r="V695" s="9"/>
      <c r="W695" s="9">
        <f t="shared" si="650"/>
        <v>853</v>
      </c>
      <c r="X695" s="9" t="str">
        <f t="shared" ref="X695:Y695" si="703">IF(W695&lt;&gt;T695,W695,IF(_xlfn.IFNA(VLOOKUP(T695,$M$2:$N$13,2,FALSE),U695)=0,"xxx",_xlfn.IFNA(VLOOKUP(T695,$M$2:$N$13,2,FALSE),U695)))</f>
        <v>xxx</v>
      </c>
      <c r="Y695" s="9" t="str">
        <f t="shared" si="703"/>
        <v>xxx</v>
      </c>
    </row>
    <row r="696" spans="3:25" x14ac:dyDescent="0.2">
      <c r="C696">
        <v>695</v>
      </c>
      <c r="D696" t="s">
        <v>3137</v>
      </c>
      <c r="E696">
        <v>695</v>
      </c>
      <c r="S696" s="9">
        <v>1526</v>
      </c>
      <c r="T696" s="9">
        <v>853</v>
      </c>
      <c r="U696" s="9">
        <v>718</v>
      </c>
      <c r="V696" s="9">
        <v>718</v>
      </c>
      <c r="W696" s="9">
        <f t="shared" si="650"/>
        <v>853</v>
      </c>
      <c r="X696" s="9">
        <f t="shared" ref="X696:Y696" si="704">IF(W696&lt;&gt;T696,W696,IF(_xlfn.IFNA(VLOOKUP(T696,$M$2:$N$13,2,FALSE),U696)=0,"xxx",_xlfn.IFNA(VLOOKUP(T696,$M$2:$N$13,2,FALSE),U696)))</f>
        <v>718</v>
      </c>
      <c r="Y696" s="9">
        <f t="shared" si="704"/>
        <v>718</v>
      </c>
    </row>
    <row r="697" spans="3:25" x14ac:dyDescent="0.2">
      <c r="C697">
        <v>696</v>
      </c>
      <c r="D697" t="s">
        <v>3138</v>
      </c>
      <c r="E697">
        <v>696</v>
      </c>
      <c r="S697" s="9">
        <v>1527</v>
      </c>
      <c r="T697" s="9">
        <v>853</v>
      </c>
      <c r="U697" s="9"/>
      <c r="V697" s="9"/>
      <c r="W697" s="9">
        <f t="shared" si="650"/>
        <v>853</v>
      </c>
      <c r="X697" s="9" t="str">
        <f t="shared" ref="X697:Y697" si="705">IF(W697&lt;&gt;T697,W697,IF(_xlfn.IFNA(VLOOKUP(T697,$M$2:$N$13,2,FALSE),U697)=0,"xxx",_xlfn.IFNA(VLOOKUP(T697,$M$2:$N$13,2,FALSE),U697)))</f>
        <v>xxx</v>
      </c>
      <c r="Y697" s="9" t="str">
        <f t="shared" si="705"/>
        <v>xxx</v>
      </c>
    </row>
    <row r="698" spans="3:25" x14ac:dyDescent="0.2">
      <c r="C698">
        <v>697</v>
      </c>
      <c r="D698" t="s">
        <v>3139</v>
      </c>
      <c r="E698">
        <v>697</v>
      </c>
      <c r="S698" s="9">
        <v>1528</v>
      </c>
      <c r="T698" s="9">
        <v>853</v>
      </c>
      <c r="U698" s="9"/>
      <c r="V698" s="9"/>
      <c r="W698" s="9">
        <f t="shared" si="650"/>
        <v>853</v>
      </c>
      <c r="X698" s="9" t="str">
        <f t="shared" ref="X698:Y698" si="706">IF(W698&lt;&gt;T698,W698,IF(_xlfn.IFNA(VLOOKUP(T698,$M$2:$N$13,2,FALSE),U698)=0,"xxx",_xlfn.IFNA(VLOOKUP(T698,$M$2:$N$13,2,FALSE),U698)))</f>
        <v>xxx</v>
      </c>
      <c r="Y698" s="9" t="str">
        <f t="shared" si="706"/>
        <v>xxx</v>
      </c>
    </row>
    <row r="699" spans="3:25" x14ac:dyDescent="0.2">
      <c r="C699">
        <v>698</v>
      </c>
      <c r="D699" t="s">
        <v>3140</v>
      </c>
      <c r="E699">
        <v>698</v>
      </c>
      <c r="S699" s="9">
        <v>1529</v>
      </c>
      <c r="T699" s="9">
        <v>853</v>
      </c>
      <c r="U699" s="9">
        <v>281</v>
      </c>
      <c r="V699" s="9">
        <v>533</v>
      </c>
      <c r="W699" s="9">
        <f t="shared" si="650"/>
        <v>853</v>
      </c>
      <c r="X699" s="9">
        <f t="shared" ref="X699:Y699" si="707">IF(W699&lt;&gt;T699,W699,IF(_xlfn.IFNA(VLOOKUP(T699,$M$2:$N$13,2,FALSE),U699)=0,"xxx",_xlfn.IFNA(VLOOKUP(T699,$M$2:$N$13,2,FALSE),U699)))</f>
        <v>281</v>
      </c>
      <c r="Y699" s="9">
        <f t="shared" si="707"/>
        <v>533</v>
      </c>
    </row>
    <row r="700" spans="3:25" x14ac:dyDescent="0.2">
      <c r="C700">
        <v>699</v>
      </c>
      <c r="D700" t="s">
        <v>3141</v>
      </c>
      <c r="E700">
        <v>699</v>
      </c>
      <c r="S700" s="9">
        <v>1530</v>
      </c>
      <c r="T700" s="9">
        <v>853</v>
      </c>
      <c r="U700" s="9">
        <v>281</v>
      </c>
      <c r="V700" s="9">
        <v>533</v>
      </c>
      <c r="W700" s="9">
        <f t="shared" si="650"/>
        <v>853</v>
      </c>
      <c r="X700" s="9">
        <f t="shared" ref="X700:Y700" si="708">IF(W700&lt;&gt;T700,W700,IF(_xlfn.IFNA(VLOOKUP(T700,$M$2:$N$13,2,FALSE),U700)=0,"xxx",_xlfn.IFNA(VLOOKUP(T700,$M$2:$N$13,2,FALSE),U700)))</f>
        <v>281</v>
      </c>
      <c r="Y700" s="9">
        <f t="shared" si="708"/>
        <v>533</v>
      </c>
    </row>
    <row r="701" spans="3:25" x14ac:dyDescent="0.2">
      <c r="C701">
        <v>700</v>
      </c>
      <c r="D701" t="s">
        <v>3142</v>
      </c>
      <c r="E701">
        <v>700</v>
      </c>
      <c r="S701" s="9">
        <v>1531</v>
      </c>
      <c r="T701" s="9">
        <v>853</v>
      </c>
      <c r="U701" s="9">
        <v>282</v>
      </c>
      <c r="V701" s="9">
        <v>534</v>
      </c>
      <c r="W701" s="9">
        <f t="shared" si="650"/>
        <v>853</v>
      </c>
      <c r="X701" s="9">
        <f t="shared" ref="X701:Y701" si="709">IF(W701&lt;&gt;T701,W701,IF(_xlfn.IFNA(VLOOKUP(T701,$M$2:$N$13,2,FALSE),U701)=0,"xxx",_xlfn.IFNA(VLOOKUP(T701,$M$2:$N$13,2,FALSE),U701)))</f>
        <v>282</v>
      </c>
      <c r="Y701" s="9">
        <f t="shared" si="709"/>
        <v>534</v>
      </c>
    </row>
    <row r="702" spans="3:25" x14ac:dyDescent="0.2">
      <c r="C702">
        <v>701</v>
      </c>
      <c r="D702" t="s">
        <v>3143</v>
      </c>
      <c r="E702">
        <v>701</v>
      </c>
      <c r="S702" s="9">
        <v>1532</v>
      </c>
      <c r="T702" s="9">
        <v>853</v>
      </c>
      <c r="U702" s="9">
        <v>282</v>
      </c>
      <c r="V702" s="9">
        <v>534</v>
      </c>
      <c r="W702" s="9">
        <f t="shared" si="650"/>
        <v>853</v>
      </c>
      <c r="X702" s="9">
        <f t="shared" ref="X702:Y702" si="710">IF(W702&lt;&gt;T702,W702,IF(_xlfn.IFNA(VLOOKUP(T702,$M$2:$N$13,2,FALSE),U702)=0,"xxx",_xlfn.IFNA(VLOOKUP(T702,$M$2:$N$13,2,FALSE),U702)))</f>
        <v>282</v>
      </c>
      <c r="Y702" s="9">
        <f t="shared" si="710"/>
        <v>534</v>
      </c>
    </row>
    <row r="703" spans="3:25" x14ac:dyDescent="0.2">
      <c r="C703">
        <v>702</v>
      </c>
      <c r="D703" t="s">
        <v>3144</v>
      </c>
      <c r="E703">
        <v>702</v>
      </c>
      <c r="S703" s="9">
        <v>1533</v>
      </c>
      <c r="T703" s="9">
        <v>853</v>
      </c>
      <c r="U703" s="9">
        <v>283</v>
      </c>
      <c r="V703" s="9">
        <v>535</v>
      </c>
      <c r="W703" s="9">
        <f t="shared" si="650"/>
        <v>853</v>
      </c>
      <c r="X703" s="9">
        <f t="shared" ref="X703:Y703" si="711">IF(W703&lt;&gt;T703,W703,IF(_xlfn.IFNA(VLOOKUP(T703,$M$2:$N$13,2,FALSE),U703)=0,"xxx",_xlfn.IFNA(VLOOKUP(T703,$M$2:$N$13,2,FALSE),U703)))</f>
        <v>283</v>
      </c>
      <c r="Y703" s="9">
        <f t="shared" si="711"/>
        <v>535</v>
      </c>
    </row>
    <row r="704" spans="3:25" x14ac:dyDescent="0.2">
      <c r="C704">
        <v>703</v>
      </c>
      <c r="D704" t="s">
        <v>3145</v>
      </c>
      <c r="E704">
        <v>703</v>
      </c>
      <c r="S704" s="9">
        <v>1534</v>
      </c>
      <c r="T704" s="9">
        <v>853</v>
      </c>
      <c r="U704" s="9"/>
      <c r="V704" s="9"/>
      <c r="W704" s="9">
        <f t="shared" si="650"/>
        <v>853</v>
      </c>
      <c r="X704" s="9" t="str">
        <f t="shared" ref="X704:Y704" si="712">IF(W704&lt;&gt;T704,W704,IF(_xlfn.IFNA(VLOOKUP(T704,$M$2:$N$13,2,FALSE),U704)=0,"xxx",_xlfn.IFNA(VLOOKUP(T704,$M$2:$N$13,2,FALSE),U704)))</f>
        <v>xxx</v>
      </c>
      <c r="Y704" s="9" t="str">
        <f t="shared" si="712"/>
        <v>xxx</v>
      </c>
    </row>
    <row r="705" spans="3:25" x14ac:dyDescent="0.2">
      <c r="C705">
        <v>704</v>
      </c>
      <c r="D705" t="s">
        <v>3146</v>
      </c>
      <c r="E705">
        <v>704</v>
      </c>
      <c r="S705" s="9">
        <v>1535</v>
      </c>
      <c r="T705" s="9">
        <v>853</v>
      </c>
      <c r="U705" s="9"/>
      <c r="V705" s="9"/>
      <c r="W705" s="9">
        <f t="shared" si="650"/>
        <v>853</v>
      </c>
      <c r="X705" s="9" t="str">
        <f t="shared" ref="X705:Y705" si="713">IF(W705&lt;&gt;T705,W705,IF(_xlfn.IFNA(VLOOKUP(T705,$M$2:$N$13,2,FALSE),U705)=0,"xxx",_xlfn.IFNA(VLOOKUP(T705,$M$2:$N$13,2,FALSE),U705)))</f>
        <v>xxx</v>
      </c>
      <c r="Y705" s="9" t="str">
        <f t="shared" si="713"/>
        <v>xxx</v>
      </c>
    </row>
    <row r="706" spans="3:25" x14ac:dyDescent="0.2">
      <c r="C706">
        <v>705</v>
      </c>
      <c r="D706" t="s">
        <v>3147</v>
      </c>
      <c r="E706">
        <v>705</v>
      </c>
      <c r="S706" s="9">
        <v>1536</v>
      </c>
      <c r="T706" s="9">
        <v>853</v>
      </c>
      <c r="U706" s="9"/>
      <c r="V706" s="9"/>
      <c r="W706" s="9">
        <f t="shared" si="650"/>
        <v>853</v>
      </c>
      <c r="X706" s="9" t="str">
        <f t="shared" ref="X706:Y706" si="714">IF(W706&lt;&gt;T706,W706,IF(_xlfn.IFNA(VLOOKUP(T706,$M$2:$N$13,2,FALSE),U706)=0,"xxx",_xlfn.IFNA(VLOOKUP(T706,$M$2:$N$13,2,FALSE),U706)))</f>
        <v>xxx</v>
      </c>
      <c r="Y706" s="9" t="str">
        <f t="shared" si="714"/>
        <v>xxx</v>
      </c>
    </row>
    <row r="707" spans="3:25" x14ac:dyDescent="0.2">
      <c r="C707">
        <v>706</v>
      </c>
      <c r="D707" t="s">
        <v>3148</v>
      </c>
      <c r="E707">
        <v>706</v>
      </c>
      <c r="S707" s="9">
        <v>1537</v>
      </c>
      <c r="T707" s="9">
        <v>853</v>
      </c>
      <c r="U707" s="9"/>
      <c r="V707" s="9"/>
      <c r="W707" s="9">
        <f t="shared" ref="W707:W770" si="715">IF(_xlfn.IFNA(VLOOKUP(S707,$M$2:$N$13,2,FALSE),T707)=0,"xxx",_xlfn.IFNA(VLOOKUP(S707,$M$2:$N$13,2,FALSE),T707))</f>
        <v>853</v>
      </c>
      <c r="X707" s="9" t="str">
        <f t="shared" ref="X707:Y707" si="716">IF(W707&lt;&gt;T707,W707,IF(_xlfn.IFNA(VLOOKUP(T707,$M$2:$N$13,2,FALSE),U707)=0,"xxx",_xlfn.IFNA(VLOOKUP(T707,$M$2:$N$13,2,FALSE),U707)))</f>
        <v>xxx</v>
      </c>
      <c r="Y707" s="9" t="str">
        <f t="shared" si="716"/>
        <v>xxx</v>
      </c>
    </row>
    <row r="708" spans="3:25" x14ac:dyDescent="0.2">
      <c r="C708">
        <v>707</v>
      </c>
      <c r="D708" t="s">
        <v>3149</v>
      </c>
      <c r="E708">
        <v>707</v>
      </c>
      <c r="S708" s="9">
        <v>1538</v>
      </c>
      <c r="T708" s="9">
        <v>853</v>
      </c>
      <c r="U708" s="9"/>
      <c r="V708" s="9"/>
      <c r="W708" s="9">
        <f t="shared" si="715"/>
        <v>853</v>
      </c>
      <c r="X708" s="9" t="str">
        <f t="shared" ref="X708:Y708" si="717">IF(W708&lt;&gt;T708,W708,IF(_xlfn.IFNA(VLOOKUP(T708,$M$2:$N$13,2,FALSE),U708)=0,"xxx",_xlfn.IFNA(VLOOKUP(T708,$M$2:$N$13,2,FALSE),U708)))</f>
        <v>xxx</v>
      </c>
      <c r="Y708" s="9" t="str">
        <f t="shared" si="717"/>
        <v>xxx</v>
      </c>
    </row>
    <row r="709" spans="3:25" x14ac:dyDescent="0.2">
      <c r="C709">
        <v>708</v>
      </c>
      <c r="D709" t="s">
        <v>3150</v>
      </c>
      <c r="E709">
        <v>708</v>
      </c>
      <c r="S709" s="9">
        <v>1539</v>
      </c>
      <c r="T709" s="9">
        <v>853</v>
      </c>
      <c r="U709" s="9"/>
      <c r="V709" s="9"/>
      <c r="W709" s="9">
        <f t="shared" si="715"/>
        <v>853</v>
      </c>
      <c r="X709" s="9" t="str">
        <f t="shared" ref="X709:Y709" si="718">IF(W709&lt;&gt;T709,W709,IF(_xlfn.IFNA(VLOOKUP(T709,$M$2:$N$13,2,FALSE),U709)=0,"xxx",_xlfn.IFNA(VLOOKUP(T709,$M$2:$N$13,2,FALSE),U709)))</f>
        <v>xxx</v>
      </c>
      <c r="Y709" s="9" t="str">
        <f t="shared" si="718"/>
        <v>xxx</v>
      </c>
    </row>
    <row r="710" spans="3:25" x14ac:dyDescent="0.2">
      <c r="C710">
        <v>709</v>
      </c>
      <c r="D710" t="s">
        <v>3151</v>
      </c>
      <c r="E710">
        <v>709</v>
      </c>
      <c r="S710" s="9">
        <v>1540</v>
      </c>
      <c r="T710" s="9">
        <v>853</v>
      </c>
      <c r="U710" s="9"/>
      <c r="V710" s="9"/>
      <c r="W710" s="9">
        <f t="shared" si="715"/>
        <v>853</v>
      </c>
      <c r="X710" s="9" t="str">
        <f t="shared" ref="X710:Y710" si="719">IF(W710&lt;&gt;T710,W710,IF(_xlfn.IFNA(VLOOKUP(T710,$M$2:$N$13,2,FALSE),U710)=0,"xxx",_xlfn.IFNA(VLOOKUP(T710,$M$2:$N$13,2,FALSE),U710)))</f>
        <v>xxx</v>
      </c>
      <c r="Y710" s="9" t="str">
        <f t="shared" si="719"/>
        <v>xxx</v>
      </c>
    </row>
    <row r="711" spans="3:25" x14ac:dyDescent="0.2">
      <c r="C711">
        <v>710</v>
      </c>
      <c r="D711" t="s">
        <v>3152</v>
      </c>
      <c r="E711">
        <v>710</v>
      </c>
      <c r="S711" s="9">
        <v>1541</v>
      </c>
      <c r="T711" s="9">
        <v>853</v>
      </c>
      <c r="U711" s="9"/>
      <c r="V711" s="9"/>
      <c r="W711" s="9">
        <f t="shared" si="715"/>
        <v>853</v>
      </c>
      <c r="X711" s="9" t="str">
        <f t="shared" ref="X711:Y711" si="720">IF(W711&lt;&gt;T711,W711,IF(_xlfn.IFNA(VLOOKUP(T711,$M$2:$N$13,2,FALSE),U711)=0,"xxx",_xlfn.IFNA(VLOOKUP(T711,$M$2:$N$13,2,FALSE),U711)))</f>
        <v>xxx</v>
      </c>
      <c r="Y711" s="9" t="str">
        <f t="shared" si="720"/>
        <v>xxx</v>
      </c>
    </row>
    <row r="712" spans="3:25" x14ac:dyDescent="0.2">
      <c r="C712">
        <v>711</v>
      </c>
      <c r="D712" t="s">
        <v>3153</v>
      </c>
      <c r="E712">
        <v>711</v>
      </c>
      <c r="S712" s="9">
        <v>1542</v>
      </c>
      <c r="T712" s="9">
        <v>853</v>
      </c>
      <c r="U712" s="9"/>
      <c r="V712" s="9"/>
      <c r="W712" s="9">
        <f t="shared" si="715"/>
        <v>853</v>
      </c>
      <c r="X712" s="9" t="str">
        <f t="shared" ref="X712:Y712" si="721">IF(W712&lt;&gt;T712,W712,IF(_xlfn.IFNA(VLOOKUP(T712,$M$2:$N$13,2,FALSE),U712)=0,"xxx",_xlfn.IFNA(VLOOKUP(T712,$M$2:$N$13,2,FALSE),U712)))</f>
        <v>xxx</v>
      </c>
      <c r="Y712" s="9" t="str">
        <f t="shared" si="721"/>
        <v>xxx</v>
      </c>
    </row>
    <row r="713" spans="3:25" x14ac:dyDescent="0.2">
      <c r="C713">
        <v>712</v>
      </c>
      <c r="D713" t="s">
        <v>3154</v>
      </c>
      <c r="E713">
        <v>712</v>
      </c>
      <c r="S713" s="9">
        <v>1543</v>
      </c>
      <c r="T713" s="9">
        <v>853</v>
      </c>
      <c r="U713" s="9"/>
      <c r="V713" s="9"/>
      <c r="W713" s="9">
        <f t="shared" si="715"/>
        <v>853</v>
      </c>
      <c r="X713" s="9" t="str">
        <f t="shared" ref="X713:Y713" si="722">IF(W713&lt;&gt;T713,W713,IF(_xlfn.IFNA(VLOOKUP(T713,$M$2:$N$13,2,FALSE),U713)=0,"xxx",_xlfn.IFNA(VLOOKUP(T713,$M$2:$N$13,2,FALSE),U713)))</f>
        <v>xxx</v>
      </c>
      <c r="Y713" s="9" t="str">
        <f t="shared" si="722"/>
        <v>xxx</v>
      </c>
    </row>
    <row r="714" spans="3:25" x14ac:dyDescent="0.2">
      <c r="C714">
        <v>713</v>
      </c>
      <c r="D714" t="s">
        <v>3155</v>
      </c>
      <c r="E714">
        <v>713</v>
      </c>
      <c r="S714" s="9">
        <v>1544</v>
      </c>
      <c r="T714" s="9">
        <v>853</v>
      </c>
      <c r="U714" s="9">
        <v>721</v>
      </c>
      <c r="V714" s="9">
        <v>721</v>
      </c>
      <c r="W714" s="9">
        <f t="shared" si="715"/>
        <v>853</v>
      </c>
      <c r="X714" s="9">
        <f t="shared" ref="X714:Y714" si="723">IF(W714&lt;&gt;T714,W714,IF(_xlfn.IFNA(VLOOKUP(T714,$M$2:$N$13,2,FALSE),U714)=0,"xxx",_xlfn.IFNA(VLOOKUP(T714,$M$2:$N$13,2,FALSE),U714)))</f>
        <v>721</v>
      </c>
      <c r="Y714" s="9">
        <f t="shared" si="723"/>
        <v>721</v>
      </c>
    </row>
    <row r="715" spans="3:25" x14ac:dyDescent="0.2">
      <c r="C715">
        <v>714</v>
      </c>
      <c r="D715" t="s">
        <v>3156</v>
      </c>
      <c r="E715">
        <v>714</v>
      </c>
      <c r="S715" s="9">
        <v>1545</v>
      </c>
      <c r="T715" s="9">
        <v>853</v>
      </c>
      <c r="U715" s="9"/>
      <c r="V715" s="9"/>
      <c r="W715" s="9">
        <f t="shared" si="715"/>
        <v>853</v>
      </c>
      <c r="X715" s="9" t="str">
        <f t="shared" ref="X715:Y715" si="724">IF(W715&lt;&gt;T715,W715,IF(_xlfn.IFNA(VLOOKUP(T715,$M$2:$N$13,2,FALSE),U715)=0,"xxx",_xlfn.IFNA(VLOOKUP(T715,$M$2:$N$13,2,FALSE),U715)))</f>
        <v>xxx</v>
      </c>
      <c r="Y715" s="9" t="str">
        <f t="shared" si="724"/>
        <v>xxx</v>
      </c>
    </row>
    <row r="716" spans="3:25" x14ac:dyDescent="0.2">
      <c r="C716">
        <v>715</v>
      </c>
      <c r="D716" t="s">
        <v>3157</v>
      </c>
      <c r="E716">
        <v>715</v>
      </c>
      <c r="S716" s="9">
        <v>1546</v>
      </c>
      <c r="T716" s="9">
        <v>853</v>
      </c>
      <c r="U716" s="9">
        <v>323</v>
      </c>
      <c r="V716" s="9">
        <v>533</v>
      </c>
      <c r="W716" s="9">
        <f t="shared" si="715"/>
        <v>853</v>
      </c>
      <c r="X716" s="9">
        <f t="shared" ref="X716:Y716" si="725">IF(W716&lt;&gt;T716,W716,IF(_xlfn.IFNA(VLOOKUP(T716,$M$2:$N$13,2,FALSE),U716)=0,"xxx",_xlfn.IFNA(VLOOKUP(T716,$M$2:$N$13,2,FALSE),U716)))</f>
        <v>323</v>
      </c>
      <c r="Y716" s="9">
        <f t="shared" si="725"/>
        <v>533</v>
      </c>
    </row>
    <row r="717" spans="3:25" x14ac:dyDescent="0.2">
      <c r="C717">
        <v>716</v>
      </c>
      <c r="D717" t="s">
        <v>3158</v>
      </c>
      <c r="E717">
        <v>716</v>
      </c>
      <c r="S717" s="9">
        <v>1547</v>
      </c>
      <c r="T717" s="9">
        <v>853</v>
      </c>
      <c r="U717" s="9">
        <v>323</v>
      </c>
      <c r="V717" s="9">
        <v>533</v>
      </c>
      <c r="W717" s="9">
        <f t="shared" si="715"/>
        <v>853</v>
      </c>
      <c r="X717" s="9">
        <f t="shared" ref="X717:Y717" si="726">IF(W717&lt;&gt;T717,W717,IF(_xlfn.IFNA(VLOOKUP(T717,$M$2:$N$13,2,FALSE),U717)=0,"xxx",_xlfn.IFNA(VLOOKUP(T717,$M$2:$N$13,2,FALSE),U717)))</f>
        <v>323</v>
      </c>
      <c r="Y717" s="9">
        <f t="shared" si="726"/>
        <v>533</v>
      </c>
    </row>
    <row r="718" spans="3:25" x14ac:dyDescent="0.2">
      <c r="C718">
        <v>717</v>
      </c>
      <c r="D718" t="s">
        <v>3159</v>
      </c>
      <c r="E718">
        <v>717</v>
      </c>
      <c r="S718" s="9">
        <v>1548</v>
      </c>
      <c r="T718" s="9">
        <v>853</v>
      </c>
      <c r="U718" s="9">
        <v>324</v>
      </c>
      <c r="V718" s="9">
        <v>534</v>
      </c>
      <c r="W718" s="9">
        <f t="shared" si="715"/>
        <v>853</v>
      </c>
      <c r="X718" s="9">
        <f t="shared" ref="X718:Y718" si="727">IF(W718&lt;&gt;T718,W718,IF(_xlfn.IFNA(VLOOKUP(T718,$M$2:$N$13,2,FALSE),U718)=0,"xxx",_xlfn.IFNA(VLOOKUP(T718,$M$2:$N$13,2,FALSE),U718)))</f>
        <v>324</v>
      </c>
      <c r="Y718" s="9">
        <f t="shared" si="727"/>
        <v>534</v>
      </c>
    </row>
    <row r="719" spans="3:25" x14ac:dyDescent="0.2">
      <c r="C719">
        <v>718</v>
      </c>
      <c r="D719" t="s">
        <v>3160</v>
      </c>
      <c r="E719">
        <v>718</v>
      </c>
      <c r="S719" s="9">
        <v>1549</v>
      </c>
      <c r="T719" s="9">
        <v>853</v>
      </c>
      <c r="U719" s="9">
        <v>324</v>
      </c>
      <c r="V719" s="9">
        <v>534</v>
      </c>
      <c r="W719" s="9">
        <f t="shared" si="715"/>
        <v>853</v>
      </c>
      <c r="X719" s="9">
        <f t="shared" ref="X719:Y719" si="728">IF(W719&lt;&gt;T719,W719,IF(_xlfn.IFNA(VLOOKUP(T719,$M$2:$N$13,2,FALSE),U719)=0,"xxx",_xlfn.IFNA(VLOOKUP(T719,$M$2:$N$13,2,FALSE),U719)))</f>
        <v>324</v>
      </c>
      <c r="Y719" s="9">
        <f t="shared" si="728"/>
        <v>534</v>
      </c>
    </row>
    <row r="720" spans="3:25" x14ac:dyDescent="0.2">
      <c r="C720">
        <v>719</v>
      </c>
      <c r="D720" t="s">
        <v>3161</v>
      </c>
      <c r="E720">
        <v>719</v>
      </c>
      <c r="S720" s="9">
        <v>1550</v>
      </c>
      <c r="T720" s="9">
        <v>853</v>
      </c>
      <c r="U720" s="9">
        <v>324</v>
      </c>
      <c r="V720" s="9">
        <v>534</v>
      </c>
      <c r="W720" s="9">
        <f t="shared" si="715"/>
        <v>853</v>
      </c>
      <c r="X720" s="9">
        <f t="shared" ref="X720:Y720" si="729">IF(W720&lt;&gt;T720,W720,IF(_xlfn.IFNA(VLOOKUP(T720,$M$2:$N$13,2,FALSE),U720)=0,"xxx",_xlfn.IFNA(VLOOKUP(T720,$M$2:$N$13,2,FALSE),U720)))</f>
        <v>324</v>
      </c>
      <c r="Y720" s="9">
        <f t="shared" si="729"/>
        <v>534</v>
      </c>
    </row>
    <row r="721" spans="3:25" x14ac:dyDescent="0.2">
      <c r="C721">
        <v>720</v>
      </c>
      <c r="D721" t="s">
        <v>3162</v>
      </c>
      <c r="E721">
        <v>720</v>
      </c>
      <c r="S721" s="9">
        <v>1551</v>
      </c>
      <c r="T721" s="9">
        <v>853</v>
      </c>
      <c r="U721" s="9"/>
      <c r="V721" s="9"/>
      <c r="W721" s="9">
        <f t="shared" si="715"/>
        <v>853</v>
      </c>
      <c r="X721" s="9" t="str">
        <f t="shared" ref="X721:Y721" si="730">IF(W721&lt;&gt;T721,W721,IF(_xlfn.IFNA(VLOOKUP(T721,$M$2:$N$13,2,FALSE),U721)=0,"xxx",_xlfn.IFNA(VLOOKUP(T721,$M$2:$N$13,2,FALSE),U721)))</f>
        <v>xxx</v>
      </c>
      <c r="Y721" s="9" t="str">
        <f t="shared" si="730"/>
        <v>xxx</v>
      </c>
    </row>
    <row r="722" spans="3:25" x14ac:dyDescent="0.2">
      <c r="C722">
        <v>721</v>
      </c>
      <c r="D722" t="s">
        <v>3163</v>
      </c>
      <c r="E722">
        <v>721</v>
      </c>
      <c r="S722" s="9">
        <v>1552</v>
      </c>
      <c r="T722" s="9">
        <v>853</v>
      </c>
      <c r="U722" s="9"/>
      <c r="V722" s="9"/>
      <c r="W722" s="9">
        <f t="shared" si="715"/>
        <v>853</v>
      </c>
      <c r="X722" s="9" t="str">
        <f t="shared" ref="X722:Y722" si="731">IF(W722&lt;&gt;T722,W722,IF(_xlfn.IFNA(VLOOKUP(T722,$M$2:$N$13,2,FALSE),U722)=0,"xxx",_xlfn.IFNA(VLOOKUP(T722,$M$2:$N$13,2,FALSE),U722)))</f>
        <v>xxx</v>
      </c>
      <c r="Y722" s="9" t="str">
        <f t="shared" si="731"/>
        <v>xxx</v>
      </c>
    </row>
    <row r="723" spans="3:25" x14ac:dyDescent="0.2">
      <c r="C723">
        <v>722</v>
      </c>
      <c r="D723" t="s">
        <v>3164</v>
      </c>
      <c r="E723">
        <v>722</v>
      </c>
      <c r="S723" s="9">
        <v>1553</v>
      </c>
      <c r="T723" s="9">
        <v>853</v>
      </c>
      <c r="U723" s="9"/>
      <c r="V723" s="9"/>
      <c r="W723" s="9">
        <f t="shared" si="715"/>
        <v>853</v>
      </c>
      <c r="X723" s="9" t="str">
        <f t="shared" ref="X723:Y723" si="732">IF(W723&lt;&gt;T723,W723,IF(_xlfn.IFNA(VLOOKUP(T723,$M$2:$N$13,2,FALSE),U723)=0,"xxx",_xlfn.IFNA(VLOOKUP(T723,$M$2:$N$13,2,FALSE),U723)))</f>
        <v>xxx</v>
      </c>
      <c r="Y723" s="9" t="str">
        <f t="shared" si="732"/>
        <v>xxx</v>
      </c>
    </row>
    <row r="724" spans="3:25" x14ac:dyDescent="0.2">
      <c r="C724">
        <v>723</v>
      </c>
      <c r="D724" t="s">
        <v>3165</v>
      </c>
      <c r="E724">
        <v>723</v>
      </c>
      <c r="S724" s="9">
        <v>1554</v>
      </c>
      <c r="T724" s="9">
        <v>853</v>
      </c>
      <c r="U724" s="9"/>
      <c r="V724" s="9"/>
      <c r="W724" s="9">
        <f t="shared" si="715"/>
        <v>853</v>
      </c>
      <c r="X724" s="9" t="str">
        <f t="shared" ref="X724:Y724" si="733">IF(W724&lt;&gt;T724,W724,IF(_xlfn.IFNA(VLOOKUP(T724,$M$2:$N$13,2,FALSE),U724)=0,"xxx",_xlfn.IFNA(VLOOKUP(T724,$M$2:$N$13,2,FALSE),U724)))</f>
        <v>xxx</v>
      </c>
      <c r="Y724" s="9" t="str">
        <f t="shared" si="733"/>
        <v>xxx</v>
      </c>
    </row>
    <row r="725" spans="3:25" x14ac:dyDescent="0.2">
      <c r="C725">
        <v>724</v>
      </c>
      <c r="D725" t="s">
        <v>3166</v>
      </c>
      <c r="E725">
        <v>724</v>
      </c>
      <c r="S725" s="9">
        <v>1555</v>
      </c>
      <c r="T725" s="9">
        <v>853</v>
      </c>
      <c r="U725" s="9"/>
      <c r="V725" s="9"/>
      <c r="W725" s="9">
        <f t="shared" si="715"/>
        <v>853</v>
      </c>
      <c r="X725" s="9" t="str">
        <f t="shared" ref="X725:Y725" si="734">IF(W725&lt;&gt;T725,W725,IF(_xlfn.IFNA(VLOOKUP(T725,$M$2:$N$13,2,FALSE),U725)=0,"xxx",_xlfn.IFNA(VLOOKUP(T725,$M$2:$N$13,2,FALSE),U725)))</f>
        <v>xxx</v>
      </c>
      <c r="Y725" s="9" t="str">
        <f t="shared" si="734"/>
        <v>xxx</v>
      </c>
    </row>
    <row r="726" spans="3:25" x14ac:dyDescent="0.2">
      <c r="C726">
        <v>725</v>
      </c>
      <c r="D726" t="s">
        <v>3167</v>
      </c>
      <c r="E726">
        <v>725</v>
      </c>
      <c r="S726" s="9">
        <v>1556</v>
      </c>
      <c r="T726" s="9">
        <v>853</v>
      </c>
      <c r="U726" s="9"/>
      <c r="V726" s="9"/>
      <c r="W726" s="9">
        <f t="shared" si="715"/>
        <v>853</v>
      </c>
      <c r="X726" s="9" t="str">
        <f t="shared" ref="X726:Y726" si="735">IF(W726&lt;&gt;T726,W726,IF(_xlfn.IFNA(VLOOKUP(T726,$M$2:$N$13,2,FALSE),U726)=0,"xxx",_xlfn.IFNA(VLOOKUP(T726,$M$2:$N$13,2,FALSE),U726)))</f>
        <v>xxx</v>
      </c>
      <c r="Y726" s="9" t="str">
        <f t="shared" si="735"/>
        <v>xxx</v>
      </c>
    </row>
    <row r="727" spans="3:25" x14ac:dyDescent="0.2">
      <c r="C727">
        <v>726</v>
      </c>
      <c r="D727" t="s">
        <v>3168</v>
      </c>
      <c r="E727">
        <v>726</v>
      </c>
      <c r="S727" s="9">
        <v>1557</v>
      </c>
      <c r="T727" s="9">
        <v>853</v>
      </c>
      <c r="U727" s="9">
        <v>282</v>
      </c>
      <c r="V727" s="9">
        <v>534</v>
      </c>
      <c r="W727" s="9">
        <f t="shared" si="715"/>
        <v>853</v>
      </c>
      <c r="X727" s="9">
        <f t="shared" ref="X727:Y727" si="736">IF(W727&lt;&gt;T727,W727,IF(_xlfn.IFNA(VLOOKUP(T727,$M$2:$N$13,2,FALSE),U727)=0,"xxx",_xlfn.IFNA(VLOOKUP(T727,$M$2:$N$13,2,FALSE),U727)))</f>
        <v>282</v>
      </c>
      <c r="Y727" s="9">
        <f t="shared" si="736"/>
        <v>534</v>
      </c>
    </row>
    <row r="728" spans="3:25" x14ac:dyDescent="0.2">
      <c r="C728">
        <v>727</v>
      </c>
      <c r="D728" t="s">
        <v>3169</v>
      </c>
      <c r="E728">
        <v>727</v>
      </c>
      <c r="S728" s="9">
        <v>1558</v>
      </c>
      <c r="T728" s="9">
        <v>853</v>
      </c>
      <c r="U728" s="9">
        <v>282</v>
      </c>
      <c r="V728" s="9">
        <v>534</v>
      </c>
      <c r="W728" s="9">
        <f t="shared" si="715"/>
        <v>853</v>
      </c>
      <c r="X728" s="9">
        <f t="shared" ref="X728:Y728" si="737">IF(W728&lt;&gt;T728,W728,IF(_xlfn.IFNA(VLOOKUP(T728,$M$2:$N$13,2,FALSE),U728)=0,"xxx",_xlfn.IFNA(VLOOKUP(T728,$M$2:$N$13,2,FALSE),U728)))</f>
        <v>282</v>
      </c>
      <c r="Y728" s="9">
        <f t="shared" si="737"/>
        <v>534</v>
      </c>
    </row>
    <row r="729" spans="3:25" x14ac:dyDescent="0.2">
      <c r="C729">
        <v>728</v>
      </c>
      <c r="D729" t="s">
        <v>3170</v>
      </c>
      <c r="E729">
        <v>728</v>
      </c>
      <c r="S729" s="9">
        <v>1559</v>
      </c>
      <c r="T729" s="9">
        <v>853</v>
      </c>
      <c r="U729" s="9"/>
      <c r="V729" s="9"/>
      <c r="W729" s="9">
        <f t="shared" si="715"/>
        <v>853</v>
      </c>
      <c r="X729" s="9" t="str">
        <f t="shared" ref="X729:Y729" si="738">IF(W729&lt;&gt;T729,W729,IF(_xlfn.IFNA(VLOOKUP(T729,$M$2:$N$13,2,FALSE),U729)=0,"xxx",_xlfn.IFNA(VLOOKUP(T729,$M$2:$N$13,2,FALSE),U729)))</f>
        <v>xxx</v>
      </c>
      <c r="Y729" s="9" t="str">
        <f t="shared" si="738"/>
        <v>xxx</v>
      </c>
    </row>
    <row r="730" spans="3:25" x14ac:dyDescent="0.2">
      <c r="C730">
        <v>729</v>
      </c>
      <c r="D730" t="s">
        <v>3171</v>
      </c>
      <c r="E730">
        <v>729</v>
      </c>
      <c r="S730" s="9">
        <v>1560</v>
      </c>
      <c r="T730" s="9">
        <v>853</v>
      </c>
      <c r="U730" s="9"/>
      <c r="V730" s="9"/>
      <c r="W730" s="9">
        <f t="shared" si="715"/>
        <v>853</v>
      </c>
      <c r="X730" s="9" t="str">
        <f t="shared" ref="X730:Y730" si="739">IF(W730&lt;&gt;T730,W730,IF(_xlfn.IFNA(VLOOKUP(T730,$M$2:$N$13,2,FALSE),U730)=0,"xxx",_xlfn.IFNA(VLOOKUP(T730,$M$2:$N$13,2,FALSE),U730)))</f>
        <v>xxx</v>
      </c>
      <c r="Y730" s="9" t="str">
        <f t="shared" si="739"/>
        <v>xxx</v>
      </c>
    </row>
    <row r="731" spans="3:25" x14ac:dyDescent="0.2">
      <c r="C731">
        <v>730</v>
      </c>
      <c r="D731" t="s">
        <v>3172</v>
      </c>
      <c r="E731">
        <v>730</v>
      </c>
      <c r="S731" s="9">
        <v>1561</v>
      </c>
      <c r="T731" s="9">
        <v>853</v>
      </c>
      <c r="U731" s="9"/>
      <c r="V731" s="9"/>
      <c r="W731" s="9">
        <f t="shared" si="715"/>
        <v>853</v>
      </c>
      <c r="X731" s="9" t="str">
        <f t="shared" ref="X731:Y731" si="740">IF(W731&lt;&gt;T731,W731,IF(_xlfn.IFNA(VLOOKUP(T731,$M$2:$N$13,2,FALSE),U731)=0,"xxx",_xlfn.IFNA(VLOOKUP(T731,$M$2:$N$13,2,FALSE),U731)))</f>
        <v>xxx</v>
      </c>
      <c r="Y731" s="9" t="str">
        <f t="shared" si="740"/>
        <v>xxx</v>
      </c>
    </row>
    <row r="732" spans="3:25" x14ac:dyDescent="0.2">
      <c r="C732">
        <v>731</v>
      </c>
      <c r="D732" t="s">
        <v>3173</v>
      </c>
      <c r="E732">
        <v>731</v>
      </c>
      <c r="S732" s="9">
        <v>1562</v>
      </c>
      <c r="T732" s="9">
        <v>853</v>
      </c>
      <c r="U732" s="9"/>
      <c r="V732" s="9"/>
      <c r="W732" s="9">
        <f t="shared" si="715"/>
        <v>853</v>
      </c>
      <c r="X732" s="9" t="str">
        <f t="shared" ref="X732:Y732" si="741">IF(W732&lt;&gt;T732,W732,IF(_xlfn.IFNA(VLOOKUP(T732,$M$2:$N$13,2,FALSE),U732)=0,"xxx",_xlfn.IFNA(VLOOKUP(T732,$M$2:$N$13,2,FALSE),U732)))</f>
        <v>xxx</v>
      </c>
      <c r="Y732" s="9" t="str">
        <f t="shared" si="741"/>
        <v>xxx</v>
      </c>
    </row>
    <row r="733" spans="3:25" x14ac:dyDescent="0.2">
      <c r="C733">
        <v>732</v>
      </c>
      <c r="D733" t="s">
        <v>3174</v>
      </c>
      <c r="E733">
        <v>732</v>
      </c>
      <c r="S733" s="9">
        <v>1563</v>
      </c>
      <c r="T733" s="9">
        <v>853</v>
      </c>
      <c r="U733" s="9"/>
      <c r="V733" s="9"/>
      <c r="W733" s="9">
        <f t="shared" si="715"/>
        <v>853</v>
      </c>
      <c r="X733" s="9" t="str">
        <f t="shared" ref="X733:Y733" si="742">IF(W733&lt;&gt;T733,W733,IF(_xlfn.IFNA(VLOOKUP(T733,$M$2:$N$13,2,FALSE),U733)=0,"xxx",_xlfn.IFNA(VLOOKUP(T733,$M$2:$N$13,2,FALSE),U733)))</f>
        <v>xxx</v>
      </c>
      <c r="Y733" s="9" t="str">
        <f t="shared" si="742"/>
        <v>xxx</v>
      </c>
    </row>
    <row r="734" spans="3:25" x14ac:dyDescent="0.2">
      <c r="C734">
        <v>733</v>
      </c>
      <c r="D734" t="s">
        <v>3175</v>
      </c>
      <c r="E734">
        <v>733</v>
      </c>
      <c r="S734" s="9">
        <v>1564</v>
      </c>
      <c r="T734" s="9">
        <v>853</v>
      </c>
      <c r="U734" s="9"/>
      <c r="V734" s="9"/>
      <c r="W734" s="9">
        <f t="shared" si="715"/>
        <v>853</v>
      </c>
      <c r="X734" s="9" t="str">
        <f t="shared" ref="X734:Y734" si="743">IF(W734&lt;&gt;T734,W734,IF(_xlfn.IFNA(VLOOKUP(T734,$M$2:$N$13,2,FALSE),U734)=0,"xxx",_xlfn.IFNA(VLOOKUP(T734,$M$2:$N$13,2,FALSE),U734)))</f>
        <v>xxx</v>
      </c>
      <c r="Y734" s="9" t="str">
        <f t="shared" si="743"/>
        <v>xxx</v>
      </c>
    </row>
    <row r="735" spans="3:25" x14ac:dyDescent="0.2">
      <c r="C735">
        <v>734</v>
      </c>
      <c r="D735" t="s">
        <v>3176</v>
      </c>
      <c r="E735">
        <v>734</v>
      </c>
      <c r="S735" s="9">
        <v>1565</v>
      </c>
      <c r="T735" s="9">
        <v>853</v>
      </c>
      <c r="U735" s="9"/>
      <c r="V735" s="9"/>
      <c r="W735" s="9">
        <f t="shared" si="715"/>
        <v>853</v>
      </c>
      <c r="X735" s="9" t="str">
        <f t="shared" ref="X735:Y735" si="744">IF(W735&lt;&gt;T735,W735,IF(_xlfn.IFNA(VLOOKUP(T735,$M$2:$N$13,2,FALSE),U735)=0,"xxx",_xlfn.IFNA(VLOOKUP(T735,$M$2:$N$13,2,FALSE),U735)))</f>
        <v>xxx</v>
      </c>
      <c r="Y735" s="9" t="str">
        <f t="shared" si="744"/>
        <v>xxx</v>
      </c>
    </row>
    <row r="736" spans="3:25" x14ac:dyDescent="0.2">
      <c r="C736">
        <v>735</v>
      </c>
      <c r="D736" t="s">
        <v>3177</v>
      </c>
      <c r="E736">
        <v>735</v>
      </c>
      <c r="S736" s="9">
        <v>1566</v>
      </c>
      <c r="T736" s="9">
        <v>853</v>
      </c>
      <c r="U736" s="9"/>
      <c r="V736" s="9"/>
      <c r="W736" s="9">
        <f t="shared" si="715"/>
        <v>853</v>
      </c>
      <c r="X736" s="9" t="str">
        <f t="shared" ref="X736:Y736" si="745">IF(W736&lt;&gt;T736,W736,IF(_xlfn.IFNA(VLOOKUP(T736,$M$2:$N$13,2,FALSE),U736)=0,"xxx",_xlfn.IFNA(VLOOKUP(T736,$M$2:$N$13,2,FALSE),U736)))</f>
        <v>xxx</v>
      </c>
      <c r="Y736" s="9" t="str">
        <f t="shared" si="745"/>
        <v>xxx</v>
      </c>
    </row>
    <row r="737" spans="3:25" x14ac:dyDescent="0.2">
      <c r="C737">
        <v>736</v>
      </c>
      <c r="D737" t="s">
        <v>3178</v>
      </c>
      <c r="E737">
        <v>736</v>
      </c>
      <c r="S737" s="9">
        <v>1567</v>
      </c>
      <c r="T737" s="9">
        <v>853</v>
      </c>
      <c r="U737" s="9"/>
      <c r="V737" s="9"/>
      <c r="W737" s="9">
        <f t="shared" si="715"/>
        <v>853</v>
      </c>
      <c r="X737" s="9" t="str">
        <f t="shared" ref="X737:Y737" si="746">IF(W737&lt;&gt;T737,W737,IF(_xlfn.IFNA(VLOOKUP(T737,$M$2:$N$13,2,FALSE),U737)=0,"xxx",_xlfn.IFNA(VLOOKUP(T737,$M$2:$N$13,2,FALSE),U737)))</f>
        <v>xxx</v>
      </c>
      <c r="Y737" s="9" t="str">
        <f t="shared" si="746"/>
        <v>xxx</v>
      </c>
    </row>
    <row r="738" spans="3:25" x14ac:dyDescent="0.2">
      <c r="C738">
        <v>737</v>
      </c>
      <c r="D738" t="s">
        <v>3179</v>
      </c>
      <c r="E738">
        <v>737</v>
      </c>
      <c r="S738" s="9">
        <v>1568</v>
      </c>
      <c r="T738" s="9">
        <v>853</v>
      </c>
      <c r="U738" s="9"/>
      <c r="V738" s="9"/>
      <c r="W738" s="9">
        <f t="shared" si="715"/>
        <v>853</v>
      </c>
      <c r="X738" s="9" t="str">
        <f t="shared" ref="X738:Y738" si="747">IF(W738&lt;&gt;T738,W738,IF(_xlfn.IFNA(VLOOKUP(T738,$M$2:$N$13,2,FALSE),U738)=0,"xxx",_xlfn.IFNA(VLOOKUP(T738,$M$2:$N$13,2,FALSE),U738)))</f>
        <v>xxx</v>
      </c>
      <c r="Y738" s="9" t="str">
        <f t="shared" si="747"/>
        <v>xxx</v>
      </c>
    </row>
    <row r="739" spans="3:25" x14ac:dyDescent="0.2">
      <c r="C739">
        <v>738</v>
      </c>
      <c r="D739" t="s">
        <v>3180</v>
      </c>
      <c r="E739">
        <v>738</v>
      </c>
      <c r="S739" s="9">
        <v>1569</v>
      </c>
      <c r="T739" s="9">
        <v>853</v>
      </c>
      <c r="U739" s="9"/>
      <c r="V739" s="9"/>
      <c r="W739" s="9">
        <f t="shared" si="715"/>
        <v>853</v>
      </c>
      <c r="X739" s="9" t="str">
        <f t="shared" ref="X739:Y739" si="748">IF(W739&lt;&gt;T739,W739,IF(_xlfn.IFNA(VLOOKUP(T739,$M$2:$N$13,2,FALSE),U739)=0,"xxx",_xlfn.IFNA(VLOOKUP(T739,$M$2:$N$13,2,FALSE),U739)))</f>
        <v>xxx</v>
      </c>
      <c r="Y739" s="9" t="str">
        <f t="shared" si="748"/>
        <v>xxx</v>
      </c>
    </row>
    <row r="740" spans="3:25" x14ac:dyDescent="0.2">
      <c r="C740">
        <v>739</v>
      </c>
      <c r="D740" t="s">
        <v>3181</v>
      </c>
      <c r="E740">
        <v>739</v>
      </c>
      <c r="S740" s="9">
        <v>1570</v>
      </c>
      <c r="T740" s="9">
        <v>853</v>
      </c>
      <c r="U740" s="9"/>
      <c r="V740" s="9"/>
      <c r="W740" s="9">
        <f t="shared" si="715"/>
        <v>853</v>
      </c>
      <c r="X740" s="9" t="str">
        <f t="shared" ref="X740:Y740" si="749">IF(W740&lt;&gt;T740,W740,IF(_xlfn.IFNA(VLOOKUP(T740,$M$2:$N$13,2,FALSE),U740)=0,"xxx",_xlfn.IFNA(VLOOKUP(T740,$M$2:$N$13,2,FALSE),U740)))</f>
        <v>xxx</v>
      </c>
      <c r="Y740" s="9" t="str">
        <f t="shared" si="749"/>
        <v>xxx</v>
      </c>
    </row>
    <row r="741" spans="3:25" x14ac:dyDescent="0.2">
      <c r="C741">
        <v>740</v>
      </c>
      <c r="D741" t="s">
        <v>3182</v>
      </c>
      <c r="E741">
        <v>740</v>
      </c>
      <c r="S741" s="9">
        <v>1571</v>
      </c>
      <c r="T741" s="9">
        <v>853</v>
      </c>
      <c r="U741" s="9">
        <v>283</v>
      </c>
      <c r="V741" s="9">
        <v>535</v>
      </c>
      <c r="W741" s="9">
        <f t="shared" si="715"/>
        <v>853</v>
      </c>
      <c r="X741" s="9">
        <f t="shared" ref="X741:Y741" si="750">IF(W741&lt;&gt;T741,W741,IF(_xlfn.IFNA(VLOOKUP(T741,$M$2:$N$13,2,FALSE),U741)=0,"xxx",_xlfn.IFNA(VLOOKUP(T741,$M$2:$N$13,2,FALSE),U741)))</f>
        <v>283</v>
      </c>
      <c r="Y741" s="9">
        <f t="shared" si="750"/>
        <v>535</v>
      </c>
    </row>
    <row r="742" spans="3:25" x14ac:dyDescent="0.2">
      <c r="C742">
        <v>741</v>
      </c>
      <c r="D742" t="s">
        <v>3183</v>
      </c>
      <c r="E742">
        <v>741</v>
      </c>
      <c r="S742" s="9">
        <v>1572</v>
      </c>
      <c r="T742" s="9">
        <v>853</v>
      </c>
      <c r="U742" s="9">
        <v>283</v>
      </c>
      <c r="V742" s="9">
        <v>535</v>
      </c>
      <c r="W742" s="9">
        <f t="shared" si="715"/>
        <v>853</v>
      </c>
      <c r="X742" s="9">
        <f t="shared" ref="X742:Y742" si="751">IF(W742&lt;&gt;T742,W742,IF(_xlfn.IFNA(VLOOKUP(T742,$M$2:$N$13,2,FALSE),U742)=0,"xxx",_xlfn.IFNA(VLOOKUP(T742,$M$2:$N$13,2,FALSE),U742)))</f>
        <v>283</v>
      </c>
      <c r="Y742" s="9">
        <f t="shared" si="751"/>
        <v>535</v>
      </c>
    </row>
    <row r="743" spans="3:25" x14ac:dyDescent="0.2">
      <c r="C743">
        <v>742</v>
      </c>
      <c r="D743" t="s">
        <v>3184</v>
      </c>
      <c r="E743">
        <v>742</v>
      </c>
      <c r="S743" s="9">
        <v>1573</v>
      </c>
      <c r="T743" s="9">
        <v>853</v>
      </c>
      <c r="U743" s="9">
        <v>283</v>
      </c>
      <c r="V743" s="9">
        <v>535</v>
      </c>
      <c r="W743" s="9">
        <f t="shared" si="715"/>
        <v>853</v>
      </c>
      <c r="X743" s="9">
        <f t="shared" ref="X743:Y743" si="752">IF(W743&lt;&gt;T743,W743,IF(_xlfn.IFNA(VLOOKUP(T743,$M$2:$N$13,2,FALSE),U743)=0,"xxx",_xlfn.IFNA(VLOOKUP(T743,$M$2:$N$13,2,FALSE),U743)))</f>
        <v>283</v>
      </c>
      <c r="Y743" s="9">
        <f t="shared" si="752"/>
        <v>535</v>
      </c>
    </row>
    <row r="744" spans="3:25" x14ac:dyDescent="0.2">
      <c r="C744">
        <v>743</v>
      </c>
      <c r="D744" t="s">
        <v>3185</v>
      </c>
      <c r="E744">
        <v>743</v>
      </c>
      <c r="S744" s="9">
        <v>1574</v>
      </c>
      <c r="T744" s="9">
        <v>853</v>
      </c>
      <c r="U744" s="9"/>
      <c r="V744" s="9"/>
      <c r="W744" s="9">
        <f t="shared" si="715"/>
        <v>853</v>
      </c>
      <c r="X744" s="9" t="str">
        <f t="shared" ref="X744:Y744" si="753">IF(W744&lt;&gt;T744,W744,IF(_xlfn.IFNA(VLOOKUP(T744,$M$2:$N$13,2,FALSE),U744)=0,"xxx",_xlfn.IFNA(VLOOKUP(T744,$M$2:$N$13,2,FALSE),U744)))</f>
        <v>xxx</v>
      </c>
      <c r="Y744" s="9" t="str">
        <f t="shared" si="753"/>
        <v>xxx</v>
      </c>
    </row>
    <row r="745" spans="3:25" x14ac:dyDescent="0.2">
      <c r="C745">
        <v>744</v>
      </c>
      <c r="D745" t="s">
        <v>3186</v>
      </c>
      <c r="E745">
        <v>744</v>
      </c>
      <c r="S745" s="9">
        <v>1575</v>
      </c>
      <c r="T745" s="9">
        <v>853</v>
      </c>
      <c r="U745" s="9">
        <v>281</v>
      </c>
      <c r="V745" s="9">
        <v>533</v>
      </c>
      <c r="W745" s="9">
        <f t="shared" si="715"/>
        <v>853</v>
      </c>
      <c r="X745" s="9">
        <f t="shared" ref="X745:Y745" si="754">IF(W745&lt;&gt;T745,W745,IF(_xlfn.IFNA(VLOOKUP(T745,$M$2:$N$13,2,FALSE),U745)=0,"xxx",_xlfn.IFNA(VLOOKUP(T745,$M$2:$N$13,2,FALSE),U745)))</f>
        <v>281</v>
      </c>
      <c r="Y745" s="9">
        <f t="shared" si="754"/>
        <v>533</v>
      </c>
    </row>
    <row r="746" spans="3:25" x14ac:dyDescent="0.2">
      <c r="C746">
        <v>745</v>
      </c>
      <c r="D746" t="s">
        <v>3187</v>
      </c>
      <c r="E746">
        <v>745</v>
      </c>
      <c r="S746" s="9">
        <v>1576</v>
      </c>
      <c r="T746" s="9">
        <v>853</v>
      </c>
      <c r="U746" s="9">
        <v>281</v>
      </c>
      <c r="V746" s="9">
        <v>533</v>
      </c>
      <c r="W746" s="9">
        <f t="shared" si="715"/>
        <v>853</v>
      </c>
      <c r="X746" s="9">
        <f t="shared" ref="X746:Y746" si="755">IF(W746&lt;&gt;T746,W746,IF(_xlfn.IFNA(VLOOKUP(T746,$M$2:$N$13,2,FALSE),U746)=0,"xxx",_xlfn.IFNA(VLOOKUP(T746,$M$2:$N$13,2,FALSE),U746)))</f>
        <v>281</v>
      </c>
      <c r="Y746" s="9">
        <f t="shared" si="755"/>
        <v>533</v>
      </c>
    </row>
    <row r="747" spans="3:25" x14ac:dyDescent="0.2">
      <c r="C747">
        <v>746</v>
      </c>
      <c r="D747" t="s">
        <v>3188</v>
      </c>
      <c r="E747">
        <v>746</v>
      </c>
      <c r="S747" s="9">
        <v>1577</v>
      </c>
      <c r="T747" s="9">
        <v>853</v>
      </c>
      <c r="U747" s="9">
        <v>282</v>
      </c>
      <c r="V747" s="9">
        <v>534</v>
      </c>
      <c r="W747" s="9">
        <f t="shared" si="715"/>
        <v>853</v>
      </c>
      <c r="X747" s="9">
        <f t="shared" ref="X747:Y747" si="756">IF(W747&lt;&gt;T747,W747,IF(_xlfn.IFNA(VLOOKUP(T747,$M$2:$N$13,2,FALSE),U747)=0,"xxx",_xlfn.IFNA(VLOOKUP(T747,$M$2:$N$13,2,FALSE),U747)))</f>
        <v>282</v>
      </c>
      <c r="Y747" s="9">
        <f t="shared" si="756"/>
        <v>534</v>
      </c>
    </row>
    <row r="748" spans="3:25" x14ac:dyDescent="0.2">
      <c r="C748">
        <v>747</v>
      </c>
      <c r="D748" t="s">
        <v>3189</v>
      </c>
      <c r="E748">
        <v>747</v>
      </c>
      <c r="S748" s="9">
        <v>1578</v>
      </c>
      <c r="T748" s="9">
        <v>853</v>
      </c>
      <c r="U748" s="9">
        <v>282</v>
      </c>
      <c r="V748" s="9">
        <v>534</v>
      </c>
      <c r="W748" s="9">
        <f t="shared" si="715"/>
        <v>853</v>
      </c>
      <c r="X748" s="9">
        <f t="shared" ref="X748:Y748" si="757">IF(W748&lt;&gt;T748,W748,IF(_xlfn.IFNA(VLOOKUP(T748,$M$2:$N$13,2,FALSE),U748)=0,"xxx",_xlfn.IFNA(VLOOKUP(T748,$M$2:$N$13,2,FALSE),U748)))</f>
        <v>282</v>
      </c>
      <c r="Y748" s="9">
        <f t="shared" si="757"/>
        <v>534</v>
      </c>
    </row>
    <row r="749" spans="3:25" x14ac:dyDescent="0.2">
      <c r="C749">
        <v>748</v>
      </c>
      <c r="D749" t="s">
        <v>3190</v>
      </c>
      <c r="E749">
        <v>748</v>
      </c>
      <c r="S749" s="9">
        <v>1579</v>
      </c>
      <c r="T749" s="9">
        <v>853</v>
      </c>
      <c r="U749" s="9">
        <v>283</v>
      </c>
      <c r="V749" s="9">
        <v>535</v>
      </c>
      <c r="W749" s="9">
        <f t="shared" si="715"/>
        <v>853</v>
      </c>
      <c r="X749" s="9">
        <f t="shared" ref="X749:Y749" si="758">IF(W749&lt;&gt;T749,W749,IF(_xlfn.IFNA(VLOOKUP(T749,$M$2:$N$13,2,FALSE),U749)=0,"xxx",_xlfn.IFNA(VLOOKUP(T749,$M$2:$N$13,2,FALSE),U749)))</f>
        <v>283</v>
      </c>
      <c r="Y749" s="9">
        <f t="shared" si="758"/>
        <v>535</v>
      </c>
    </row>
    <row r="750" spans="3:25" x14ac:dyDescent="0.2">
      <c r="C750">
        <v>749</v>
      </c>
      <c r="D750" t="s">
        <v>3191</v>
      </c>
      <c r="E750">
        <v>749</v>
      </c>
      <c r="S750" s="9">
        <v>1580</v>
      </c>
      <c r="T750" s="9">
        <v>853</v>
      </c>
      <c r="U750" s="9">
        <v>281</v>
      </c>
      <c r="V750" s="9">
        <v>533</v>
      </c>
      <c r="W750" s="9">
        <f t="shared" si="715"/>
        <v>853</v>
      </c>
      <c r="X750" s="9">
        <f t="shared" ref="X750:Y750" si="759">IF(W750&lt;&gt;T750,W750,IF(_xlfn.IFNA(VLOOKUP(T750,$M$2:$N$13,2,FALSE),U750)=0,"xxx",_xlfn.IFNA(VLOOKUP(T750,$M$2:$N$13,2,FALSE),U750)))</f>
        <v>281</v>
      </c>
      <c r="Y750" s="9">
        <f t="shared" si="759"/>
        <v>533</v>
      </c>
    </row>
    <row r="751" spans="3:25" x14ac:dyDescent="0.2">
      <c r="C751">
        <v>750</v>
      </c>
      <c r="D751" t="s">
        <v>3192</v>
      </c>
      <c r="E751">
        <v>750</v>
      </c>
      <c r="S751" s="9">
        <v>1581</v>
      </c>
      <c r="T751" s="9">
        <v>853</v>
      </c>
      <c r="U751" s="9">
        <v>281</v>
      </c>
      <c r="V751" s="9">
        <v>533</v>
      </c>
      <c r="W751" s="9">
        <f t="shared" si="715"/>
        <v>853</v>
      </c>
      <c r="X751" s="9">
        <f t="shared" ref="X751:Y751" si="760">IF(W751&lt;&gt;T751,W751,IF(_xlfn.IFNA(VLOOKUP(T751,$M$2:$N$13,2,FALSE),U751)=0,"xxx",_xlfn.IFNA(VLOOKUP(T751,$M$2:$N$13,2,FALSE),U751)))</f>
        <v>281</v>
      </c>
      <c r="Y751" s="9">
        <f t="shared" si="760"/>
        <v>533</v>
      </c>
    </row>
    <row r="752" spans="3:25" x14ac:dyDescent="0.2">
      <c r="C752">
        <v>751</v>
      </c>
      <c r="D752" t="s">
        <v>3193</v>
      </c>
      <c r="E752">
        <v>751</v>
      </c>
      <c r="S752" s="9">
        <v>1582</v>
      </c>
      <c r="T752" s="9">
        <v>853</v>
      </c>
      <c r="U752" s="9">
        <v>282</v>
      </c>
      <c r="V752" s="9">
        <v>534</v>
      </c>
      <c r="W752" s="9">
        <f t="shared" si="715"/>
        <v>853</v>
      </c>
      <c r="X752" s="9">
        <f t="shared" ref="X752:Y752" si="761">IF(W752&lt;&gt;T752,W752,IF(_xlfn.IFNA(VLOOKUP(T752,$M$2:$N$13,2,FALSE),U752)=0,"xxx",_xlfn.IFNA(VLOOKUP(T752,$M$2:$N$13,2,FALSE),U752)))</f>
        <v>282</v>
      </c>
      <c r="Y752" s="9">
        <f t="shared" si="761"/>
        <v>534</v>
      </c>
    </row>
    <row r="753" spans="3:25" x14ac:dyDescent="0.2">
      <c r="C753">
        <v>752</v>
      </c>
      <c r="D753" t="s">
        <v>3194</v>
      </c>
      <c r="E753">
        <v>752</v>
      </c>
      <c r="S753" s="9">
        <v>1583</v>
      </c>
      <c r="T753" s="9">
        <v>853</v>
      </c>
      <c r="U753" s="9">
        <v>282</v>
      </c>
      <c r="V753" s="9">
        <v>534</v>
      </c>
      <c r="W753" s="9">
        <f t="shared" si="715"/>
        <v>853</v>
      </c>
      <c r="X753" s="9">
        <f t="shared" ref="X753:Y753" si="762">IF(W753&lt;&gt;T753,W753,IF(_xlfn.IFNA(VLOOKUP(T753,$M$2:$N$13,2,FALSE),U753)=0,"xxx",_xlfn.IFNA(VLOOKUP(T753,$M$2:$N$13,2,FALSE),U753)))</f>
        <v>282</v>
      </c>
      <c r="Y753" s="9">
        <f t="shared" si="762"/>
        <v>534</v>
      </c>
    </row>
    <row r="754" spans="3:25" x14ac:dyDescent="0.2">
      <c r="C754">
        <v>753</v>
      </c>
      <c r="D754" t="s">
        <v>3195</v>
      </c>
      <c r="E754">
        <v>753</v>
      </c>
      <c r="S754" s="9">
        <v>1584</v>
      </c>
      <c r="T754" s="9">
        <v>853</v>
      </c>
      <c r="U754" s="9">
        <v>283</v>
      </c>
      <c r="V754" s="9">
        <v>535</v>
      </c>
      <c r="W754" s="9">
        <f t="shared" si="715"/>
        <v>853</v>
      </c>
      <c r="X754" s="9">
        <f t="shared" ref="X754:Y754" si="763">IF(W754&lt;&gt;T754,W754,IF(_xlfn.IFNA(VLOOKUP(T754,$M$2:$N$13,2,FALSE),U754)=0,"xxx",_xlfn.IFNA(VLOOKUP(T754,$M$2:$N$13,2,FALSE),U754)))</f>
        <v>283</v>
      </c>
      <c r="Y754" s="9">
        <f t="shared" si="763"/>
        <v>535</v>
      </c>
    </row>
    <row r="755" spans="3:25" x14ac:dyDescent="0.2">
      <c r="C755">
        <v>754</v>
      </c>
      <c r="D755" t="s">
        <v>3196</v>
      </c>
      <c r="E755">
        <v>754</v>
      </c>
      <c r="S755" s="9">
        <v>1585</v>
      </c>
      <c r="T755" s="9">
        <v>853</v>
      </c>
      <c r="U755" s="9">
        <v>281</v>
      </c>
      <c r="V755" s="9">
        <v>533</v>
      </c>
      <c r="W755" s="9">
        <f t="shared" si="715"/>
        <v>853</v>
      </c>
      <c r="X755" s="9">
        <f t="shared" ref="X755:Y755" si="764">IF(W755&lt;&gt;T755,W755,IF(_xlfn.IFNA(VLOOKUP(T755,$M$2:$N$13,2,FALSE),U755)=0,"xxx",_xlfn.IFNA(VLOOKUP(T755,$M$2:$N$13,2,FALSE),U755)))</f>
        <v>281</v>
      </c>
      <c r="Y755" s="9">
        <f t="shared" si="764"/>
        <v>533</v>
      </c>
    </row>
    <row r="756" spans="3:25" x14ac:dyDescent="0.2">
      <c r="C756">
        <v>755</v>
      </c>
      <c r="D756" t="s">
        <v>3197</v>
      </c>
      <c r="E756">
        <v>755</v>
      </c>
      <c r="S756" s="9">
        <v>1586</v>
      </c>
      <c r="T756" s="9">
        <v>853</v>
      </c>
      <c r="U756" s="9">
        <v>281</v>
      </c>
      <c r="V756" s="9">
        <v>533</v>
      </c>
      <c r="W756" s="9">
        <f t="shared" si="715"/>
        <v>853</v>
      </c>
      <c r="X756" s="9">
        <f t="shared" ref="X756:Y756" si="765">IF(W756&lt;&gt;T756,W756,IF(_xlfn.IFNA(VLOOKUP(T756,$M$2:$N$13,2,FALSE),U756)=0,"xxx",_xlfn.IFNA(VLOOKUP(T756,$M$2:$N$13,2,FALSE),U756)))</f>
        <v>281</v>
      </c>
      <c r="Y756" s="9">
        <f t="shared" si="765"/>
        <v>533</v>
      </c>
    </row>
    <row r="757" spans="3:25" x14ac:dyDescent="0.2">
      <c r="C757">
        <v>756</v>
      </c>
      <c r="D757" t="s">
        <v>3198</v>
      </c>
      <c r="E757">
        <v>756</v>
      </c>
      <c r="S757" s="9">
        <v>1587</v>
      </c>
      <c r="T757" s="9">
        <v>853</v>
      </c>
      <c r="U757" s="9">
        <v>282</v>
      </c>
      <c r="V757" s="9">
        <v>534</v>
      </c>
      <c r="W757" s="9">
        <f t="shared" si="715"/>
        <v>853</v>
      </c>
      <c r="X757" s="9">
        <f t="shared" ref="X757:Y757" si="766">IF(W757&lt;&gt;T757,W757,IF(_xlfn.IFNA(VLOOKUP(T757,$M$2:$N$13,2,FALSE),U757)=0,"xxx",_xlfn.IFNA(VLOOKUP(T757,$M$2:$N$13,2,FALSE),U757)))</f>
        <v>282</v>
      </c>
      <c r="Y757" s="9">
        <f t="shared" si="766"/>
        <v>534</v>
      </c>
    </row>
    <row r="758" spans="3:25" x14ac:dyDescent="0.2">
      <c r="C758">
        <v>757</v>
      </c>
      <c r="D758" t="s">
        <v>3199</v>
      </c>
      <c r="E758">
        <v>757</v>
      </c>
      <c r="S758" s="9">
        <v>1588</v>
      </c>
      <c r="T758" s="9">
        <v>853</v>
      </c>
      <c r="U758" s="9">
        <v>282</v>
      </c>
      <c r="V758" s="9">
        <v>534</v>
      </c>
      <c r="W758" s="9">
        <f t="shared" si="715"/>
        <v>853</v>
      </c>
      <c r="X758" s="9">
        <f t="shared" ref="X758:Y758" si="767">IF(W758&lt;&gt;T758,W758,IF(_xlfn.IFNA(VLOOKUP(T758,$M$2:$N$13,2,FALSE),U758)=0,"xxx",_xlfn.IFNA(VLOOKUP(T758,$M$2:$N$13,2,FALSE),U758)))</f>
        <v>282</v>
      </c>
      <c r="Y758" s="9">
        <f t="shared" si="767"/>
        <v>534</v>
      </c>
    </row>
    <row r="759" spans="3:25" x14ac:dyDescent="0.2">
      <c r="C759">
        <v>758</v>
      </c>
      <c r="D759" t="s">
        <v>3200</v>
      </c>
      <c r="E759">
        <v>758</v>
      </c>
      <c r="S759" s="9">
        <v>1589</v>
      </c>
      <c r="T759" s="9">
        <v>853</v>
      </c>
      <c r="U759" s="9">
        <v>283</v>
      </c>
      <c r="V759" s="9">
        <v>535</v>
      </c>
      <c r="W759" s="9">
        <f t="shared" si="715"/>
        <v>853</v>
      </c>
      <c r="X759" s="9">
        <f t="shared" ref="X759:Y759" si="768">IF(W759&lt;&gt;T759,W759,IF(_xlfn.IFNA(VLOOKUP(T759,$M$2:$N$13,2,FALSE),U759)=0,"xxx",_xlfn.IFNA(VLOOKUP(T759,$M$2:$N$13,2,FALSE),U759)))</f>
        <v>283</v>
      </c>
      <c r="Y759" s="9">
        <f t="shared" si="768"/>
        <v>535</v>
      </c>
    </row>
    <row r="760" spans="3:25" x14ac:dyDescent="0.2">
      <c r="C760">
        <v>759</v>
      </c>
      <c r="D760" t="s">
        <v>3201</v>
      </c>
      <c r="E760">
        <v>759</v>
      </c>
      <c r="S760" s="9">
        <v>1590</v>
      </c>
      <c r="T760" s="9">
        <v>853</v>
      </c>
      <c r="U760" s="9">
        <v>281</v>
      </c>
      <c r="V760" s="9">
        <v>533</v>
      </c>
      <c r="W760" s="9">
        <f t="shared" si="715"/>
        <v>853</v>
      </c>
      <c r="X760" s="9">
        <f t="shared" ref="X760:Y760" si="769">IF(W760&lt;&gt;T760,W760,IF(_xlfn.IFNA(VLOOKUP(T760,$M$2:$N$13,2,FALSE),U760)=0,"xxx",_xlfn.IFNA(VLOOKUP(T760,$M$2:$N$13,2,FALSE),U760)))</f>
        <v>281</v>
      </c>
      <c r="Y760" s="9">
        <f t="shared" si="769"/>
        <v>533</v>
      </c>
    </row>
    <row r="761" spans="3:25" x14ac:dyDescent="0.2">
      <c r="C761">
        <v>760</v>
      </c>
      <c r="D761" t="s">
        <v>3202</v>
      </c>
      <c r="E761">
        <v>760</v>
      </c>
      <c r="S761" s="9">
        <v>1591</v>
      </c>
      <c r="T761" s="9">
        <v>853</v>
      </c>
      <c r="U761" s="9">
        <v>281</v>
      </c>
      <c r="V761" s="9">
        <v>533</v>
      </c>
      <c r="W761" s="9">
        <f t="shared" si="715"/>
        <v>853</v>
      </c>
      <c r="X761" s="9">
        <f t="shared" ref="X761:Y761" si="770">IF(W761&lt;&gt;T761,W761,IF(_xlfn.IFNA(VLOOKUP(T761,$M$2:$N$13,2,FALSE),U761)=0,"xxx",_xlfn.IFNA(VLOOKUP(T761,$M$2:$N$13,2,FALSE),U761)))</f>
        <v>281</v>
      </c>
      <c r="Y761" s="9">
        <f t="shared" si="770"/>
        <v>533</v>
      </c>
    </row>
    <row r="762" spans="3:25" x14ac:dyDescent="0.2">
      <c r="C762">
        <v>761</v>
      </c>
      <c r="D762" t="s">
        <v>3203</v>
      </c>
      <c r="E762">
        <v>761</v>
      </c>
      <c r="S762" s="9">
        <v>1592</v>
      </c>
      <c r="T762" s="9">
        <v>853</v>
      </c>
      <c r="U762" s="9">
        <v>282</v>
      </c>
      <c r="V762" s="9">
        <v>534</v>
      </c>
      <c r="W762" s="9">
        <f t="shared" si="715"/>
        <v>853</v>
      </c>
      <c r="X762" s="9">
        <f t="shared" ref="X762:Y762" si="771">IF(W762&lt;&gt;T762,W762,IF(_xlfn.IFNA(VLOOKUP(T762,$M$2:$N$13,2,FALSE),U762)=0,"xxx",_xlfn.IFNA(VLOOKUP(T762,$M$2:$N$13,2,FALSE),U762)))</f>
        <v>282</v>
      </c>
      <c r="Y762" s="9">
        <f t="shared" si="771"/>
        <v>534</v>
      </c>
    </row>
    <row r="763" spans="3:25" x14ac:dyDescent="0.2">
      <c r="C763">
        <v>762</v>
      </c>
      <c r="D763" t="s">
        <v>3204</v>
      </c>
      <c r="E763">
        <v>762</v>
      </c>
      <c r="S763" s="9">
        <v>1593</v>
      </c>
      <c r="T763" s="9">
        <v>853</v>
      </c>
      <c r="U763" s="9">
        <v>282</v>
      </c>
      <c r="V763" s="9">
        <v>534</v>
      </c>
      <c r="W763" s="9">
        <f t="shared" si="715"/>
        <v>853</v>
      </c>
      <c r="X763" s="9">
        <f t="shared" ref="X763:Y763" si="772">IF(W763&lt;&gt;T763,W763,IF(_xlfn.IFNA(VLOOKUP(T763,$M$2:$N$13,2,FALSE),U763)=0,"xxx",_xlfn.IFNA(VLOOKUP(T763,$M$2:$N$13,2,FALSE),U763)))</f>
        <v>282</v>
      </c>
      <c r="Y763" s="9">
        <f t="shared" si="772"/>
        <v>534</v>
      </c>
    </row>
    <row r="764" spans="3:25" x14ac:dyDescent="0.2">
      <c r="C764">
        <v>763</v>
      </c>
      <c r="D764" t="s">
        <v>3205</v>
      </c>
      <c r="E764">
        <v>763</v>
      </c>
      <c r="S764" s="9">
        <v>1594</v>
      </c>
      <c r="T764" s="9">
        <v>853</v>
      </c>
      <c r="U764" s="9">
        <v>281</v>
      </c>
      <c r="V764" s="9">
        <v>533</v>
      </c>
      <c r="W764" s="9">
        <f t="shared" si="715"/>
        <v>853</v>
      </c>
      <c r="X764" s="9">
        <f t="shared" ref="X764:Y764" si="773">IF(W764&lt;&gt;T764,W764,IF(_xlfn.IFNA(VLOOKUP(T764,$M$2:$N$13,2,FALSE),U764)=0,"xxx",_xlfn.IFNA(VLOOKUP(T764,$M$2:$N$13,2,FALSE),U764)))</f>
        <v>281</v>
      </c>
      <c r="Y764" s="9">
        <f t="shared" si="773"/>
        <v>533</v>
      </c>
    </row>
    <row r="765" spans="3:25" x14ac:dyDescent="0.2">
      <c r="C765">
        <v>764</v>
      </c>
      <c r="D765" t="s">
        <v>3206</v>
      </c>
      <c r="E765">
        <v>764</v>
      </c>
      <c r="S765" s="9">
        <v>1595</v>
      </c>
      <c r="T765" s="9">
        <v>853</v>
      </c>
      <c r="U765" s="9">
        <v>281</v>
      </c>
      <c r="V765" s="9">
        <v>533</v>
      </c>
      <c r="W765" s="9">
        <f t="shared" si="715"/>
        <v>853</v>
      </c>
      <c r="X765" s="9">
        <f t="shared" ref="X765:Y765" si="774">IF(W765&lt;&gt;T765,W765,IF(_xlfn.IFNA(VLOOKUP(T765,$M$2:$N$13,2,FALSE),U765)=0,"xxx",_xlfn.IFNA(VLOOKUP(T765,$M$2:$N$13,2,FALSE),U765)))</f>
        <v>281</v>
      </c>
      <c r="Y765" s="9">
        <f t="shared" si="774"/>
        <v>533</v>
      </c>
    </row>
    <row r="766" spans="3:25" x14ac:dyDescent="0.2">
      <c r="C766">
        <v>765</v>
      </c>
      <c r="D766" t="s">
        <v>3207</v>
      </c>
      <c r="E766">
        <v>765</v>
      </c>
      <c r="S766" s="9">
        <v>1596</v>
      </c>
      <c r="T766" s="9">
        <v>853</v>
      </c>
      <c r="U766" s="9">
        <v>282</v>
      </c>
      <c r="V766" s="9">
        <v>534</v>
      </c>
      <c r="W766" s="9">
        <f t="shared" si="715"/>
        <v>853</v>
      </c>
      <c r="X766" s="9">
        <f t="shared" ref="X766:Y766" si="775">IF(W766&lt;&gt;T766,W766,IF(_xlfn.IFNA(VLOOKUP(T766,$M$2:$N$13,2,FALSE),U766)=0,"xxx",_xlfn.IFNA(VLOOKUP(T766,$M$2:$N$13,2,FALSE),U766)))</f>
        <v>282</v>
      </c>
      <c r="Y766" s="9">
        <f t="shared" si="775"/>
        <v>534</v>
      </c>
    </row>
    <row r="767" spans="3:25" x14ac:dyDescent="0.2">
      <c r="C767">
        <v>766</v>
      </c>
      <c r="D767" t="s">
        <v>3208</v>
      </c>
      <c r="E767">
        <v>766</v>
      </c>
      <c r="S767" s="9">
        <v>1597</v>
      </c>
      <c r="T767" s="9">
        <v>853</v>
      </c>
      <c r="U767" s="9">
        <v>282</v>
      </c>
      <c r="V767" s="9">
        <v>534</v>
      </c>
      <c r="W767" s="9">
        <f t="shared" si="715"/>
        <v>853</v>
      </c>
      <c r="X767" s="9">
        <f t="shared" ref="X767:Y767" si="776">IF(W767&lt;&gt;T767,W767,IF(_xlfn.IFNA(VLOOKUP(T767,$M$2:$N$13,2,FALSE),U767)=0,"xxx",_xlfn.IFNA(VLOOKUP(T767,$M$2:$N$13,2,FALSE),U767)))</f>
        <v>282</v>
      </c>
      <c r="Y767" s="9">
        <f t="shared" si="776"/>
        <v>534</v>
      </c>
    </row>
    <row r="768" spans="3:25" x14ac:dyDescent="0.2">
      <c r="C768">
        <v>767</v>
      </c>
      <c r="D768" t="s">
        <v>3209</v>
      </c>
      <c r="E768">
        <v>767</v>
      </c>
      <c r="S768" s="9">
        <v>1598</v>
      </c>
      <c r="T768" s="9">
        <v>853</v>
      </c>
      <c r="U768" s="9">
        <v>283</v>
      </c>
      <c r="V768" s="9">
        <v>535</v>
      </c>
      <c r="W768" s="9">
        <f t="shared" si="715"/>
        <v>853</v>
      </c>
      <c r="X768" s="9">
        <f t="shared" ref="X768:Y768" si="777">IF(W768&lt;&gt;T768,W768,IF(_xlfn.IFNA(VLOOKUP(T768,$M$2:$N$13,2,FALSE),U768)=0,"xxx",_xlfn.IFNA(VLOOKUP(T768,$M$2:$N$13,2,FALSE),U768)))</f>
        <v>283</v>
      </c>
      <c r="Y768" s="9">
        <f t="shared" si="777"/>
        <v>535</v>
      </c>
    </row>
    <row r="769" spans="3:25" x14ac:dyDescent="0.2">
      <c r="C769">
        <v>768</v>
      </c>
      <c r="D769" t="s">
        <v>3210</v>
      </c>
      <c r="E769">
        <v>768</v>
      </c>
      <c r="S769" s="9">
        <v>1599</v>
      </c>
      <c r="T769" s="9">
        <v>853</v>
      </c>
      <c r="U769" s="9">
        <v>281</v>
      </c>
      <c r="V769" s="9">
        <v>533</v>
      </c>
      <c r="W769" s="9">
        <f t="shared" si="715"/>
        <v>853</v>
      </c>
      <c r="X769" s="9">
        <f t="shared" ref="X769:Y769" si="778">IF(W769&lt;&gt;T769,W769,IF(_xlfn.IFNA(VLOOKUP(T769,$M$2:$N$13,2,FALSE),U769)=0,"xxx",_xlfn.IFNA(VLOOKUP(T769,$M$2:$N$13,2,FALSE),U769)))</f>
        <v>281</v>
      </c>
      <c r="Y769" s="9">
        <f t="shared" si="778"/>
        <v>533</v>
      </c>
    </row>
    <row r="770" spans="3:25" x14ac:dyDescent="0.2">
      <c r="C770">
        <v>769</v>
      </c>
      <c r="D770" t="s">
        <v>3211</v>
      </c>
      <c r="E770">
        <v>769</v>
      </c>
      <c r="S770" s="9">
        <v>1600</v>
      </c>
      <c r="T770" s="9">
        <v>853</v>
      </c>
      <c r="U770" s="9">
        <v>281</v>
      </c>
      <c r="V770" s="9">
        <v>533</v>
      </c>
      <c r="W770" s="9">
        <f t="shared" si="715"/>
        <v>853</v>
      </c>
      <c r="X770" s="9">
        <f t="shared" ref="X770:Y770" si="779">IF(W770&lt;&gt;T770,W770,IF(_xlfn.IFNA(VLOOKUP(T770,$M$2:$N$13,2,FALSE),U770)=0,"xxx",_xlfn.IFNA(VLOOKUP(T770,$M$2:$N$13,2,FALSE),U770)))</f>
        <v>281</v>
      </c>
      <c r="Y770" s="9">
        <f t="shared" si="779"/>
        <v>533</v>
      </c>
    </row>
    <row r="771" spans="3:25" x14ac:dyDescent="0.2">
      <c r="C771">
        <v>770</v>
      </c>
      <c r="D771" t="s">
        <v>3212</v>
      </c>
      <c r="E771">
        <v>770</v>
      </c>
      <c r="S771" s="9">
        <v>1601</v>
      </c>
      <c r="T771" s="9">
        <v>853</v>
      </c>
      <c r="U771" s="9">
        <v>282</v>
      </c>
      <c r="V771" s="9">
        <v>534</v>
      </c>
      <c r="W771" s="9">
        <f t="shared" ref="W771:W834" si="780">IF(_xlfn.IFNA(VLOOKUP(S771,$M$2:$N$13,2,FALSE),T771)=0,"xxx",_xlfn.IFNA(VLOOKUP(S771,$M$2:$N$13,2,FALSE),T771))</f>
        <v>853</v>
      </c>
      <c r="X771" s="9">
        <f t="shared" ref="X771:Y771" si="781">IF(W771&lt;&gt;T771,W771,IF(_xlfn.IFNA(VLOOKUP(T771,$M$2:$N$13,2,FALSE),U771)=0,"xxx",_xlfn.IFNA(VLOOKUP(T771,$M$2:$N$13,2,FALSE),U771)))</f>
        <v>282</v>
      </c>
      <c r="Y771" s="9">
        <f t="shared" si="781"/>
        <v>534</v>
      </c>
    </row>
    <row r="772" spans="3:25" x14ac:dyDescent="0.2">
      <c r="C772">
        <v>771</v>
      </c>
      <c r="D772" t="s">
        <v>3213</v>
      </c>
      <c r="E772">
        <v>771</v>
      </c>
      <c r="S772" s="9">
        <v>1602</v>
      </c>
      <c r="T772" s="9">
        <v>853</v>
      </c>
      <c r="U772" s="9">
        <v>282</v>
      </c>
      <c r="V772" s="9">
        <v>534</v>
      </c>
      <c r="W772" s="9">
        <f t="shared" si="780"/>
        <v>853</v>
      </c>
      <c r="X772" s="9">
        <f t="shared" ref="X772:Y772" si="782">IF(W772&lt;&gt;T772,W772,IF(_xlfn.IFNA(VLOOKUP(T772,$M$2:$N$13,2,FALSE),U772)=0,"xxx",_xlfn.IFNA(VLOOKUP(T772,$M$2:$N$13,2,FALSE),U772)))</f>
        <v>282</v>
      </c>
      <c r="Y772" s="9">
        <f t="shared" si="782"/>
        <v>534</v>
      </c>
    </row>
    <row r="773" spans="3:25" x14ac:dyDescent="0.2">
      <c r="C773">
        <v>772</v>
      </c>
      <c r="D773" t="s">
        <v>3214</v>
      </c>
      <c r="E773">
        <v>772</v>
      </c>
      <c r="S773" s="9">
        <v>1603</v>
      </c>
      <c r="T773" s="9">
        <v>853</v>
      </c>
      <c r="U773" s="9">
        <v>283</v>
      </c>
      <c r="V773" s="9">
        <v>535</v>
      </c>
      <c r="W773" s="9">
        <f t="shared" si="780"/>
        <v>853</v>
      </c>
      <c r="X773" s="9">
        <f t="shared" ref="X773:Y773" si="783">IF(W773&lt;&gt;T773,W773,IF(_xlfn.IFNA(VLOOKUP(T773,$M$2:$N$13,2,FALSE),U773)=0,"xxx",_xlfn.IFNA(VLOOKUP(T773,$M$2:$N$13,2,FALSE),U773)))</f>
        <v>283</v>
      </c>
      <c r="Y773" s="9">
        <f t="shared" si="783"/>
        <v>535</v>
      </c>
    </row>
    <row r="774" spans="3:25" x14ac:dyDescent="0.2">
      <c r="C774">
        <v>773</v>
      </c>
      <c r="D774" t="s">
        <v>3215</v>
      </c>
      <c r="E774">
        <v>773</v>
      </c>
      <c r="S774" s="9">
        <v>1604</v>
      </c>
      <c r="T774" s="9">
        <v>853</v>
      </c>
      <c r="U774" s="9">
        <v>281</v>
      </c>
      <c r="V774" s="9">
        <v>533</v>
      </c>
      <c r="W774" s="9">
        <f t="shared" si="780"/>
        <v>853</v>
      </c>
      <c r="X774" s="9">
        <f t="shared" ref="X774:Y774" si="784">IF(W774&lt;&gt;T774,W774,IF(_xlfn.IFNA(VLOOKUP(T774,$M$2:$N$13,2,FALSE),U774)=0,"xxx",_xlfn.IFNA(VLOOKUP(T774,$M$2:$N$13,2,FALSE),U774)))</f>
        <v>281</v>
      </c>
      <c r="Y774" s="9">
        <f t="shared" si="784"/>
        <v>533</v>
      </c>
    </row>
    <row r="775" spans="3:25" x14ac:dyDescent="0.2">
      <c r="C775">
        <v>774</v>
      </c>
      <c r="D775" t="s">
        <v>3216</v>
      </c>
      <c r="E775">
        <v>774</v>
      </c>
      <c r="S775" s="9">
        <v>1605</v>
      </c>
      <c r="T775" s="9">
        <v>853</v>
      </c>
      <c r="U775" s="9">
        <v>649</v>
      </c>
      <c r="V775" s="9">
        <v>522</v>
      </c>
      <c r="W775" s="9">
        <f t="shared" si="780"/>
        <v>853</v>
      </c>
      <c r="X775" s="9">
        <f t="shared" ref="X775:Y775" si="785">IF(W775&lt;&gt;T775,W775,IF(_xlfn.IFNA(VLOOKUP(T775,$M$2:$N$13,2,FALSE),U775)=0,"xxx",_xlfn.IFNA(VLOOKUP(T775,$M$2:$N$13,2,FALSE),U775)))</f>
        <v>649</v>
      </c>
      <c r="Y775" s="9">
        <f t="shared" si="785"/>
        <v>522</v>
      </c>
    </row>
    <row r="776" spans="3:25" x14ac:dyDescent="0.2">
      <c r="C776">
        <v>775</v>
      </c>
      <c r="D776" t="s">
        <v>3217</v>
      </c>
      <c r="E776">
        <v>775</v>
      </c>
      <c r="S776" s="9">
        <v>1606</v>
      </c>
      <c r="T776" s="9">
        <v>853</v>
      </c>
      <c r="U776" s="9">
        <v>649</v>
      </c>
      <c r="V776" s="9">
        <v>522</v>
      </c>
      <c r="W776" s="9">
        <f t="shared" si="780"/>
        <v>853</v>
      </c>
      <c r="X776" s="9">
        <f t="shared" ref="X776:Y776" si="786">IF(W776&lt;&gt;T776,W776,IF(_xlfn.IFNA(VLOOKUP(T776,$M$2:$N$13,2,FALSE),U776)=0,"xxx",_xlfn.IFNA(VLOOKUP(T776,$M$2:$N$13,2,FALSE),U776)))</f>
        <v>649</v>
      </c>
      <c r="Y776" s="9">
        <f t="shared" si="786"/>
        <v>522</v>
      </c>
    </row>
    <row r="777" spans="3:25" x14ac:dyDescent="0.2">
      <c r="C777">
        <v>776</v>
      </c>
      <c r="D777" t="s">
        <v>3218</v>
      </c>
      <c r="E777">
        <v>776</v>
      </c>
      <c r="S777" s="9">
        <v>1607</v>
      </c>
      <c r="T777" s="9">
        <v>853</v>
      </c>
      <c r="U777" s="9">
        <v>649</v>
      </c>
      <c r="V777" s="9">
        <v>522</v>
      </c>
      <c r="W777" s="9">
        <f t="shared" si="780"/>
        <v>853</v>
      </c>
      <c r="X777" s="9">
        <f t="shared" ref="X777:Y777" si="787">IF(W777&lt;&gt;T777,W777,IF(_xlfn.IFNA(VLOOKUP(T777,$M$2:$N$13,2,FALSE),U777)=0,"xxx",_xlfn.IFNA(VLOOKUP(T777,$M$2:$N$13,2,FALSE),U777)))</f>
        <v>649</v>
      </c>
      <c r="Y777" s="9">
        <f t="shared" si="787"/>
        <v>522</v>
      </c>
    </row>
    <row r="778" spans="3:25" x14ac:dyDescent="0.2">
      <c r="C778">
        <v>777</v>
      </c>
      <c r="D778" t="s">
        <v>3219</v>
      </c>
      <c r="E778">
        <v>777</v>
      </c>
      <c r="S778" s="9">
        <v>1608</v>
      </c>
      <c r="T778" s="9">
        <v>853</v>
      </c>
      <c r="U778" s="9">
        <v>664</v>
      </c>
      <c r="V778" s="9">
        <v>525</v>
      </c>
      <c r="W778" s="9">
        <f t="shared" si="780"/>
        <v>853</v>
      </c>
      <c r="X778" s="9">
        <f t="shared" ref="X778:Y778" si="788">IF(W778&lt;&gt;T778,W778,IF(_xlfn.IFNA(VLOOKUP(T778,$M$2:$N$13,2,FALSE),U778)=0,"xxx",_xlfn.IFNA(VLOOKUP(T778,$M$2:$N$13,2,FALSE),U778)))</f>
        <v>664</v>
      </c>
      <c r="Y778" s="9">
        <f t="shared" si="788"/>
        <v>525</v>
      </c>
    </row>
    <row r="779" spans="3:25" x14ac:dyDescent="0.2">
      <c r="C779">
        <v>778</v>
      </c>
      <c r="D779" t="s">
        <v>3220</v>
      </c>
      <c r="E779">
        <v>778</v>
      </c>
      <c r="S779" s="9">
        <v>1609</v>
      </c>
      <c r="T779" s="9">
        <v>853</v>
      </c>
      <c r="U779" s="9">
        <v>281</v>
      </c>
      <c r="V779" s="9">
        <v>533</v>
      </c>
      <c r="W779" s="9">
        <f t="shared" si="780"/>
        <v>853</v>
      </c>
      <c r="X779" s="9">
        <f t="shared" ref="X779:Y779" si="789">IF(W779&lt;&gt;T779,W779,IF(_xlfn.IFNA(VLOOKUP(T779,$M$2:$N$13,2,FALSE),U779)=0,"xxx",_xlfn.IFNA(VLOOKUP(T779,$M$2:$N$13,2,FALSE),U779)))</f>
        <v>281</v>
      </c>
      <c r="Y779" s="9">
        <f t="shared" si="789"/>
        <v>533</v>
      </c>
    </row>
    <row r="780" spans="3:25" x14ac:dyDescent="0.2">
      <c r="C780">
        <v>779</v>
      </c>
      <c r="D780" t="s">
        <v>3221</v>
      </c>
      <c r="E780">
        <v>779</v>
      </c>
      <c r="S780" s="9">
        <v>1610</v>
      </c>
      <c r="T780" s="9">
        <v>853</v>
      </c>
      <c r="U780" s="9">
        <v>281</v>
      </c>
      <c r="V780" s="9">
        <v>533</v>
      </c>
      <c r="W780" s="9">
        <f t="shared" si="780"/>
        <v>853</v>
      </c>
      <c r="X780" s="9">
        <f t="shared" ref="X780:Y780" si="790">IF(W780&lt;&gt;T780,W780,IF(_xlfn.IFNA(VLOOKUP(T780,$M$2:$N$13,2,FALSE),U780)=0,"xxx",_xlfn.IFNA(VLOOKUP(T780,$M$2:$N$13,2,FALSE),U780)))</f>
        <v>281</v>
      </c>
      <c r="Y780" s="9">
        <f t="shared" si="790"/>
        <v>533</v>
      </c>
    </row>
    <row r="781" spans="3:25" x14ac:dyDescent="0.2">
      <c r="C781">
        <v>780</v>
      </c>
      <c r="D781" t="s">
        <v>3222</v>
      </c>
      <c r="E781">
        <v>780</v>
      </c>
      <c r="S781" s="9">
        <v>1611</v>
      </c>
      <c r="T781" s="9">
        <v>853</v>
      </c>
      <c r="U781" s="9">
        <v>281</v>
      </c>
      <c r="V781" s="9">
        <v>533</v>
      </c>
      <c r="W781" s="9">
        <f t="shared" si="780"/>
        <v>853</v>
      </c>
      <c r="X781" s="9">
        <f t="shared" ref="X781:Y781" si="791">IF(W781&lt;&gt;T781,W781,IF(_xlfn.IFNA(VLOOKUP(T781,$M$2:$N$13,2,FALSE),U781)=0,"xxx",_xlfn.IFNA(VLOOKUP(T781,$M$2:$N$13,2,FALSE),U781)))</f>
        <v>281</v>
      </c>
      <c r="Y781" s="9">
        <f t="shared" si="791"/>
        <v>533</v>
      </c>
    </row>
    <row r="782" spans="3:25" x14ac:dyDescent="0.2">
      <c r="C782">
        <v>781</v>
      </c>
      <c r="D782" t="s">
        <v>3223</v>
      </c>
      <c r="E782">
        <v>781</v>
      </c>
      <c r="S782" s="9">
        <v>1612</v>
      </c>
      <c r="T782" s="9">
        <v>853</v>
      </c>
      <c r="U782" s="9">
        <v>281</v>
      </c>
      <c r="V782" s="9">
        <v>533</v>
      </c>
      <c r="W782" s="9">
        <f t="shared" si="780"/>
        <v>853</v>
      </c>
      <c r="X782" s="9">
        <f t="shared" ref="X782:Y782" si="792">IF(W782&lt;&gt;T782,W782,IF(_xlfn.IFNA(VLOOKUP(T782,$M$2:$N$13,2,FALSE),U782)=0,"xxx",_xlfn.IFNA(VLOOKUP(T782,$M$2:$N$13,2,FALSE),U782)))</f>
        <v>281</v>
      </c>
      <c r="Y782" s="9">
        <f t="shared" si="792"/>
        <v>533</v>
      </c>
    </row>
    <row r="783" spans="3:25" x14ac:dyDescent="0.2">
      <c r="C783">
        <v>782</v>
      </c>
      <c r="D783" t="s">
        <v>3224</v>
      </c>
      <c r="E783">
        <v>782</v>
      </c>
      <c r="S783" s="9">
        <v>1613</v>
      </c>
      <c r="T783" s="9">
        <v>853</v>
      </c>
      <c r="U783" s="9">
        <v>281</v>
      </c>
      <c r="V783" s="9">
        <v>533</v>
      </c>
      <c r="W783" s="9">
        <f t="shared" si="780"/>
        <v>853</v>
      </c>
      <c r="X783" s="9">
        <f t="shared" ref="X783:Y783" si="793">IF(W783&lt;&gt;T783,W783,IF(_xlfn.IFNA(VLOOKUP(T783,$M$2:$N$13,2,FALSE),U783)=0,"xxx",_xlfn.IFNA(VLOOKUP(T783,$M$2:$N$13,2,FALSE),U783)))</f>
        <v>281</v>
      </c>
      <c r="Y783" s="9">
        <f t="shared" si="793"/>
        <v>533</v>
      </c>
    </row>
    <row r="784" spans="3:25" x14ac:dyDescent="0.2">
      <c r="C784">
        <v>783</v>
      </c>
      <c r="D784" t="s">
        <v>3225</v>
      </c>
      <c r="E784">
        <v>783</v>
      </c>
      <c r="S784" s="9">
        <v>1614</v>
      </c>
      <c r="T784" s="9">
        <v>853</v>
      </c>
      <c r="U784" s="9">
        <v>281</v>
      </c>
      <c r="V784" s="9">
        <v>533</v>
      </c>
      <c r="W784" s="9">
        <f t="shared" si="780"/>
        <v>853</v>
      </c>
      <c r="X784" s="9">
        <f t="shared" ref="X784:Y784" si="794">IF(W784&lt;&gt;T784,W784,IF(_xlfn.IFNA(VLOOKUP(T784,$M$2:$N$13,2,FALSE),U784)=0,"xxx",_xlfn.IFNA(VLOOKUP(T784,$M$2:$N$13,2,FALSE),U784)))</f>
        <v>281</v>
      </c>
      <c r="Y784" s="9">
        <f t="shared" si="794"/>
        <v>533</v>
      </c>
    </row>
    <row r="785" spans="3:25" x14ac:dyDescent="0.2">
      <c r="C785">
        <v>784</v>
      </c>
      <c r="D785" t="s">
        <v>3226</v>
      </c>
      <c r="E785">
        <v>784</v>
      </c>
      <c r="S785" s="9">
        <v>1615</v>
      </c>
      <c r="T785" s="9">
        <v>853</v>
      </c>
      <c r="U785" s="9">
        <v>281</v>
      </c>
      <c r="V785" s="9">
        <v>533</v>
      </c>
      <c r="W785" s="9">
        <f t="shared" si="780"/>
        <v>853</v>
      </c>
      <c r="X785" s="9">
        <f t="shared" ref="X785:Y785" si="795">IF(W785&lt;&gt;T785,W785,IF(_xlfn.IFNA(VLOOKUP(T785,$M$2:$N$13,2,FALSE),U785)=0,"xxx",_xlfn.IFNA(VLOOKUP(T785,$M$2:$N$13,2,FALSE),U785)))</f>
        <v>281</v>
      </c>
      <c r="Y785" s="9">
        <f t="shared" si="795"/>
        <v>533</v>
      </c>
    </row>
    <row r="786" spans="3:25" x14ac:dyDescent="0.2">
      <c r="C786">
        <v>785</v>
      </c>
      <c r="D786" t="s">
        <v>3227</v>
      </c>
      <c r="E786">
        <v>785</v>
      </c>
      <c r="S786" s="9">
        <v>1616</v>
      </c>
      <c r="T786" s="9">
        <v>853</v>
      </c>
      <c r="U786" s="9">
        <v>281</v>
      </c>
      <c r="V786" s="9">
        <v>533</v>
      </c>
      <c r="W786" s="9">
        <f t="shared" si="780"/>
        <v>853</v>
      </c>
      <c r="X786" s="9">
        <f t="shared" ref="X786:Y786" si="796">IF(W786&lt;&gt;T786,W786,IF(_xlfn.IFNA(VLOOKUP(T786,$M$2:$N$13,2,FALSE),U786)=0,"xxx",_xlfn.IFNA(VLOOKUP(T786,$M$2:$N$13,2,FALSE),U786)))</f>
        <v>281</v>
      </c>
      <c r="Y786" s="9">
        <f t="shared" si="796"/>
        <v>533</v>
      </c>
    </row>
    <row r="787" spans="3:25" x14ac:dyDescent="0.2">
      <c r="C787">
        <v>786</v>
      </c>
      <c r="D787" t="s">
        <v>3228</v>
      </c>
      <c r="E787">
        <v>786</v>
      </c>
      <c r="S787" s="9">
        <v>1617</v>
      </c>
      <c r="T787" s="9">
        <v>853</v>
      </c>
      <c r="U787" s="9">
        <v>281</v>
      </c>
      <c r="V787" s="9">
        <v>533</v>
      </c>
      <c r="W787" s="9">
        <f t="shared" si="780"/>
        <v>853</v>
      </c>
      <c r="X787" s="9">
        <f t="shared" ref="X787:Y787" si="797">IF(W787&lt;&gt;T787,W787,IF(_xlfn.IFNA(VLOOKUP(T787,$M$2:$N$13,2,FALSE),U787)=0,"xxx",_xlfn.IFNA(VLOOKUP(T787,$M$2:$N$13,2,FALSE),U787)))</f>
        <v>281</v>
      </c>
      <c r="Y787" s="9">
        <f t="shared" si="797"/>
        <v>533</v>
      </c>
    </row>
    <row r="788" spans="3:25" x14ac:dyDescent="0.2">
      <c r="C788">
        <v>787</v>
      </c>
      <c r="D788" t="s">
        <v>3229</v>
      </c>
      <c r="E788">
        <v>787</v>
      </c>
      <c r="S788" s="9">
        <v>1618</v>
      </c>
      <c r="T788" s="9">
        <v>853</v>
      </c>
      <c r="U788" s="9">
        <v>281</v>
      </c>
      <c r="V788" s="9">
        <v>533</v>
      </c>
      <c r="W788" s="9">
        <f t="shared" si="780"/>
        <v>853</v>
      </c>
      <c r="X788" s="9">
        <f t="shared" ref="X788:Y788" si="798">IF(W788&lt;&gt;T788,W788,IF(_xlfn.IFNA(VLOOKUP(T788,$M$2:$N$13,2,FALSE),U788)=0,"xxx",_xlfn.IFNA(VLOOKUP(T788,$M$2:$N$13,2,FALSE),U788)))</f>
        <v>281</v>
      </c>
      <c r="Y788" s="9">
        <f t="shared" si="798"/>
        <v>533</v>
      </c>
    </row>
    <row r="789" spans="3:25" x14ac:dyDescent="0.2">
      <c r="C789">
        <v>788</v>
      </c>
      <c r="D789" t="s">
        <v>3230</v>
      </c>
      <c r="E789">
        <v>788</v>
      </c>
      <c r="S789" s="9">
        <v>1619</v>
      </c>
      <c r="T789" s="9">
        <v>853</v>
      </c>
      <c r="U789" s="9">
        <v>281</v>
      </c>
      <c r="V789" s="9">
        <v>533</v>
      </c>
      <c r="W789" s="9">
        <f t="shared" si="780"/>
        <v>853</v>
      </c>
      <c r="X789" s="9">
        <f t="shared" ref="X789:Y789" si="799">IF(W789&lt;&gt;T789,W789,IF(_xlfn.IFNA(VLOOKUP(T789,$M$2:$N$13,2,FALSE),U789)=0,"xxx",_xlfn.IFNA(VLOOKUP(T789,$M$2:$N$13,2,FALSE),U789)))</f>
        <v>281</v>
      </c>
      <c r="Y789" s="9">
        <f t="shared" si="799"/>
        <v>533</v>
      </c>
    </row>
    <row r="790" spans="3:25" x14ac:dyDescent="0.2">
      <c r="C790">
        <v>789</v>
      </c>
      <c r="D790" t="s">
        <v>3231</v>
      </c>
      <c r="E790">
        <v>789</v>
      </c>
      <c r="S790" s="9">
        <v>1620</v>
      </c>
      <c r="T790" s="9">
        <v>853</v>
      </c>
      <c r="U790" s="9">
        <v>323</v>
      </c>
      <c r="V790" s="9">
        <v>533</v>
      </c>
      <c r="W790" s="9">
        <f t="shared" si="780"/>
        <v>853</v>
      </c>
      <c r="X790" s="9">
        <f t="shared" ref="X790:Y790" si="800">IF(W790&lt;&gt;T790,W790,IF(_xlfn.IFNA(VLOOKUP(T790,$M$2:$N$13,2,FALSE),U790)=0,"xxx",_xlfn.IFNA(VLOOKUP(T790,$M$2:$N$13,2,FALSE),U790)))</f>
        <v>323</v>
      </c>
      <c r="Y790" s="9">
        <f t="shared" si="800"/>
        <v>533</v>
      </c>
    </row>
    <row r="791" spans="3:25" x14ac:dyDescent="0.2">
      <c r="C791">
        <v>790</v>
      </c>
      <c r="D791" t="s">
        <v>3232</v>
      </c>
      <c r="E791">
        <v>790</v>
      </c>
      <c r="S791" s="9">
        <v>1621</v>
      </c>
      <c r="T791" s="9">
        <v>853</v>
      </c>
      <c r="U791" s="9">
        <v>323</v>
      </c>
      <c r="V791" s="9">
        <v>533</v>
      </c>
      <c r="W791" s="9">
        <f t="shared" si="780"/>
        <v>853</v>
      </c>
      <c r="X791" s="9">
        <f t="shared" ref="X791:Y791" si="801">IF(W791&lt;&gt;T791,W791,IF(_xlfn.IFNA(VLOOKUP(T791,$M$2:$N$13,2,FALSE),U791)=0,"xxx",_xlfn.IFNA(VLOOKUP(T791,$M$2:$N$13,2,FALSE),U791)))</f>
        <v>323</v>
      </c>
      <c r="Y791" s="9">
        <f t="shared" si="801"/>
        <v>533</v>
      </c>
    </row>
    <row r="792" spans="3:25" x14ac:dyDescent="0.2">
      <c r="C792">
        <v>791</v>
      </c>
      <c r="D792" t="s">
        <v>3233</v>
      </c>
      <c r="E792">
        <v>791</v>
      </c>
      <c r="S792" s="9">
        <v>1622</v>
      </c>
      <c r="T792" s="9">
        <v>853</v>
      </c>
      <c r="U792" s="9">
        <v>323</v>
      </c>
      <c r="V792" s="9">
        <v>533</v>
      </c>
      <c r="W792" s="9">
        <f t="shared" si="780"/>
        <v>853</v>
      </c>
      <c r="X792" s="9">
        <f t="shared" ref="X792:Y792" si="802">IF(W792&lt;&gt;T792,W792,IF(_xlfn.IFNA(VLOOKUP(T792,$M$2:$N$13,2,FALSE),U792)=0,"xxx",_xlfn.IFNA(VLOOKUP(T792,$M$2:$N$13,2,FALSE),U792)))</f>
        <v>323</v>
      </c>
      <c r="Y792" s="9">
        <f t="shared" si="802"/>
        <v>533</v>
      </c>
    </row>
    <row r="793" spans="3:25" x14ac:dyDescent="0.2">
      <c r="C793">
        <v>792</v>
      </c>
      <c r="D793" t="s">
        <v>3234</v>
      </c>
      <c r="E793">
        <v>792</v>
      </c>
      <c r="S793" s="9">
        <v>1623</v>
      </c>
      <c r="T793" s="9">
        <v>853</v>
      </c>
      <c r="U793" s="9">
        <v>323</v>
      </c>
      <c r="V793" s="9">
        <v>533</v>
      </c>
      <c r="W793" s="9">
        <f t="shared" si="780"/>
        <v>853</v>
      </c>
      <c r="X793" s="9">
        <f t="shared" ref="X793:Y793" si="803">IF(W793&lt;&gt;T793,W793,IF(_xlfn.IFNA(VLOOKUP(T793,$M$2:$N$13,2,FALSE),U793)=0,"xxx",_xlfn.IFNA(VLOOKUP(T793,$M$2:$N$13,2,FALSE),U793)))</f>
        <v>323</v>
      </c>
      <c r="Y793" s="9">
        <f t="shared" si="803"/>
        <v>533</v>
      </c>
    </row>
    <row r="794" spans="3:25" x14ac:dyDescent="0.2">
      <c r="C794">
        <v>793</v>
      </c>
      <c r="D794" t="s">
        <v>3235</v>
      </c>
      <c r="E794">
        <v>793</v>
      </c>
      <c r="S794" s="9">
        <v>1624</v>
      </c>
      <c r="T794" s="9">
        <v>853</v>
      </c>
      <c r="U794" s="9">
        <v>323</v>
      </c>
      <c r="V794" s="9">
        <v>533</v>
      </c>
      <c r="W794" s="9">
        <f t="shared" si="780"/>
        <v>853</v>
      </c>
      <c r="X794" s="9">
        <f t="shared" ref="X794:Y794" si="804">IF(W794&lt;&gt;T794,W794,IF(_xlfn.IFNA(VLOOKUP(T794,$M$2:$N$13,2,FALSE),U794)=0,"xxx",_xlfn.IFNA(VLOOKUP(T794,$M$2:$N$13,2,FALSE),U794)))</f>
        <v>323</v>
      </c>
      <c r="Y794" s="9">
        <f t="shared" si="804"/>
        <v>533</v>
      </c>
    </row>
    <row r="795" spans="3:25" x14ac:dyDescent="0.2">
      <c r="C795">
        <v>794</v>
      </c>
      <c r="D795" t="s">
        <v>3236</v>
      </c>
      <c r="E795">
        <v>794</v>
      </c>
      <c r="S795" s="9">
        <v>1625</v>
      </c>
      <c r="T795" s="9">
        <v>853</v>
      </c>
      <c r="U795" s="9">
        <v>316</v>
      </c>
      <c r="V795" s="9">
        <v>526</v>
      </c>
      <c r="W795" s="9">
        <f t="shared" si="780"/>
        <v>853</v>
      </c>
      <c r="X795" s="9">
        <f t="shared" ref="X795:Y795" si="805">IF(W795&lt;&gt;T795,W795,IF(_xlfn.IFNA(VLOOKUP(T795,$M$2:$N$13,2,FALSE),U795)=0,"xxx",_xlfn.IFNA(VLOOKUP(T795,$M$2:$N$13,2,FALSE),U795)))</f>
        <v>316</v>
      </c>
      <c r="Y795" s="9">
        <f t="shared" si="805"/>
        <v>526</v>
      </c>
    </row>
    <row r="796" spans="3:25" x14ac:dyDescent="0.2">
      <c r="C796">
        <v>795</v>
      </c>
      <c r="D796" t="s">
        <v>3237</v>
      </c>
      <c r="E796">
        <v>795</v>
      </c>
      <c r="S796" s="9">
        <v>1626</v>
      </c>
      <c r="T796" s="9">
        <v>853</v>
      </c>
      <c r="U796" s="9">
        <v>316</v>
      </c>
      <c r="V796" s="9">
        <v>526</v>
      </c>
      <c r="W796" s="9">
        <f t="shared" si="780"/>
        <v>853</v>
      </c>
      <c r="X796" s="9">
        <f t="shared" ref="X796:Y796" si="806">IF(W796&lt;&gt;T796,W796,IF(_xlfn.IFNA(VLOOKUP(T796,$M$2:$N$13,2,FALSE),U796)=0,"xxx",_xlfn.IFNA(VLOOKUP(T796,$M$2:$N$13,2,FALSE),U796)))</f>
        <v>316</v>
      </c>
      <c r="Y796" s="9">
        <f t="shared" si="806"/>
        <v>526</v>
      </c>
    </row>
    <row r="797" spans="3:25" x14ac:dyDescent="0.2">
      <c r="C797">
        <v>796</v>
      </c>
      <c r="D797" t="s">
        <v>3238</v>
      </c>
      <c r="E797">
        <v>796</v>
      </c>
      <c r="S797" s="9">
        <v>1627</v>
      </c>
      <c r="T797" s="9">
        <v>853</v>
      </c>
      <c r="U797" s="9">
        <v>281</v>
      </c>
      <c r="V797" s="9">
        <v>533</v>
      </c>
      <c r="W797" s="9">
        <f t="shared" si="780"/>
        <v>853</v>
      </c>
      <c r="X797" s="9">
        <f t="shared" ref="X797:Y797" si="807">IF(W797&lt;&gt;T797,W797,IF(_xlfn.IFNA(VLOOKUP(T797,$M$2:$N$13,2,FALSE),U797)=0,"xxx",_xlfn.IFNA(VLOOKUP(T797,$M$2:$N$13,2,FALSE),U797)))</f>
        <v>281</v>
      </c>
      <c r="Y797" s="9">
        <f t="shared" si="807"/>
        <v>533</v>
      </c>
    </row>
    <row r="798" spans="3:25" x14ac:dyDescent="0.2">
      <c r="C798">
        <v>797</v>
      </c>
      <c r="D798" t="s">
        <v>3239</v>
      </c>
      <c r="E798">
        <v>797</v>
      </c>
      <c r="S798" s="9">
        <v>1628</v>
      </c>
      <c r="T798" s="9">
        <v>853</v>
      </c>
      <c r="U798" s="9">
        <v>281</v>
      </c>
      <c r="V798" s="9">
        <v>533</v>
      </c>
      <c r="W798" s="9">
        <f t="shared" si="780"/>
        <v>853</v>
      </c>
      <c r="X798" s="9">
        <f t="shared" ref="X798:Y798" si="808">IF(W798&lt;&gt;T798,W798,IF(_xlfn.IFNA(VLOOKUP(T798,$M$2:$N$13,2,FALSE),U798)=0,"xxx",_xlfn.IFNA(VLOOKUP(T798,$M$2:$N$13,2,FALSE),U798)))</f>
        <v>281</v>
      </c>
      <c r="Y798" s="9">
        <f t="shared" si="808"/>
        <v>533</v>
      </c>
    </row>
    <row r="799" spans="3:25" x14ac:dyDescent="0.2">
      <c r="C799">
        <v>798</v>
      </c>
      <c r="D799" t="s">
        <v>3240</v>
      </c>
      <c r="E799">
        <v>798</v>
      </c>
      <c r="S799" s="9">
        <v>1629</v>
      </c>
      <c r="T799" s="9">
        <v>853</v>
      </c>
      <c r="U799" s="9">
        <v>281</v>
      </c>
      <c r="V799" s="9">
        <v>533</v>
      </c>
      <c r="W799" s="9">
        <f t="shared" si="780"/>
        <v>853</v>
      </c>
      <c r="X799" s="9">
        <f t="shared" ref="X799:Y799" si="809">IF(W799&lt;&gt;T799,W799,IF(_xlfn.IFNA(VLOOKUP(T799,$M$2:$N$13,2,FALSE),U799)=0,"xxx",_xlfn.IFNA(VLOOKUP(T799,$M$2:$N$13,2,FALSE),U799)))</f>
        <v>281</v>
      </c>
      <c r="Y799" s="9">
        <f t="shared" si="809"/>
        <v>533</v>
      </c>
    </row>
    <row r="800" spans="3:25" x14ac:dyDescent="0.2">
      <c r="C800">
        <v>799</v>
      </c>
      <c r="D800" t="s">
        <v>3241</v>
      </c>
      <c r="E800">
        <v>799</v>
      </c>
      <c r="S800" s="9">
        <v>1630</v>
      </c>
      <c r="T800" s="9">
        <v>853</v>
      </c>
      <c r="U800" s="9">
        <v>281</v>
      </c>
      <c r="V800" s="9">
        <v>533</v>
      </c>
      <c r="W800" s="9">
        <f t="shared" si="780"/>
        <v>853</v>
      </c>
      <c r="X800" s="9">
        <f t="shared" ref="X800:Y800" si="810">IF(W800&lt;&gt;T800,W800,IF(_xlfn.IFNA(VLOOKUP(T800,$M$2:$N$13,2,FALSE),U800)=0,"xxx",_xlfn.IFNA(VLOOKUP(T800,$M$2:$N$13,2,FALSE),U800)))</f>
        <v>281</v>
      </c>
      <c r="Y800" s="9">
        <f t="shared" si="810"/>
        <v>533</v>
      </c>
    </row>
    <row r="801" spans="3:25" x14ac:dyDescent="0.2">
      <c r="C801">
        <v>800</v>
      </c>
      <c r="D801" t="s">
        <v>3242</v>
      </c>
      <c r="E801">
        <v>800</v>
      </c>
      <c r="I801" s="58" t="s">
        <v>3243</v>
      </c>
      <c r="J801" s="58" t="s">
        <v>3244</v>
      </c>
      <c r="K801" s="58" t="s">
        <v>3245</v>
      </c>
      <c r="L801" s="59" t="s">
        <v>3246</v>
      </c>
      <c r="M801" s="59" t="s">
        <v>3247</v>
      </c>
      <c r="N801" s="59" t="s">
        <v>3248</v>
      </c>
      <c r="O801" s="59" t="s">
        <v>3249</v>
      </c>
      <c r="P801" s="60" t="s">
        <v>3250</v>
      </c>
      <c r="Q801" s="60" t="s">
        <v>3251</v>
      </c>
      <c r="R801" s="60" t="s">
        <v>3252</v>
      </c>
      <c r="S801" s="60">
        <v>1631</v>
      </c>
      <c r="T801" s="9">
        <v>853</v>
      </c>
      <c r="U801" s="9">
        <v>397</v>
      </c>
      <c r="V801" s="9">
        <v>533</v>
      </c>
      <c r="W801" s="9">
        <f t="shared" si="780"/>
        <v>853</v>
      </c>
      <c r="X801" s="9">
        <f t="shared" ref="X801:Y801" si="811">IF(W801&lt;&gt;T801,W801,IF(_xlfn.IFNA(VLOOKUP(T801,$M$2:$N$13,2,FALSE),U801)=0,"xxx",_xlfn.IFNA(VLOOKUP(T801,$M$2:$N$13,2,FALSE),U801)))</f>
        <v>397</v>
      </c>
      <c r="Y801" s="9">
        <f t="shared" si="811"/>
        <v>533</v>
      </c>
    </row>
    <row r="802" spans="3:25" x14ac:dyDescent="0.2">
      <c r="C802">
        <v>801</v>
      </c>
      <c r="D802" t="s">
        <v>3253</v>
      </c>
      <c r="E802">
        <v>801</v>
      </c>
      <c r="S802" s="9">
        <v>1632</v>
      </c>
      <c r="T802" s="9">
        <v>853</v>
      </c>
      <c r="U802" s="9">
        <v>397</v>
      </c>
      <c r="V802" s="9">
        <v>533</v>
      </c>
      <c r="W802" s="9">
        <f t="shared" si="780"/>
        <v>853</v>
      </c>
      <c r="X802" s="9">
        <f t="shared" ref="X802:Y802" si="812">IF(W802&lt;&gt;T802,W802,IF(_xlfn.IFNA(VLOOKUP(T802,$M$2:$N$13,2,FALSE),U802)=0,"xxx",_xlfn.IFNA(VLOOKUP(T802,$M$2:$N$13,2,FALSE),U802)))</f>
        <v>397</v>
      </c>
      <c r="Y802" s="9">
        <f t="shared" si="812"/>
        <v>533</v>
      </c>
    </row>
    <row r="803" spans="3:25" x14ac:dyDescent="0.2">
      <c r="C803">
        <v>802</v>
      </c>
      <c r="D803" t="s">
        <v>3254</v>
      </c>
      <c r="E803">
        <v>802</v>
      </c>
      <c r="I803" s="58" t="s">
        <v>3255</v>
      </c>
      <c r="J803" s="55">
        <v>0</v>
      </c>
      <c r="K803" s="1" t="str">
        <f>VLOOKUP(I803,$I$818:$J$1163,2,FALSE)</f>
        <v>damageresist</v>
      </c>
      <c r="S803" s="9">
        <v>1633</v>
      </c>
      <c r="T803" s="9">
        <v>853</v>
      </c>
      <c r="U803" s="9">
        <v>397</v>
      </c>
      <c r="V803" s="9">
        <v>533</v>
      </c>
      <c r="W803" s="9">
        <f t="shared" si="780"/>
        <v>853</v>
      </c>
      <c r="X803" s="9">
        <f t="shared" ref="X803:Y803" si="813">IF(W803&lt;&gt;T803,W803,IF(_xlfn.IFNA(VLOOKUP(T803,$M$2:$N$13,2,FALSE),U803)=0,"xxx",_xlfn.IFNA(VLOOKUP(T803,$M$2:$N$13,2,FALSE),U803)))</f>
        <v>397</v>
      </c>
      <c r="Y803" s="9">
        <f t="shared" si="813"/>
        <v>533</v>
      </c>
    </row>
    <row r="804" spans="3:25" x14ac:dyDescent="0.2">
      <c r="C804">
        <v>803</v>
      </c>
      <c r="D804" t="s">
        <v>3256</v>
      </c>
      <c r="E804">
        <v>803</v>
      </c>
      <c r="I804" s="58" t="s">
        <v>3257</v>
      </c>
      <c r="J804" s="55">
        <v>0</v>
      </c>
      <c r="K804" s="1" t="str">
        <f t="shared" ref="K804:K813" si="814">VLOOKUP(I804,$I$818:$J$1163,2,FALSE)</f>
        <v>magicresist</v>
      </c>
      <c r="S804" s="9">
        <v>1634</v>
      </c>
      <c r="T804" s="9">
        <v>853</v>
      </c>
      <c r="U804" s="9">
        <v>281</v>
      </c>
      <c r="V804" s="9">
        <v>533</v>
      </c>
      <c r="W804" s="9">
        <f t="shared" si="780"/>
        <v>853</v>
      </c>
      <c r="X804" s="9">
        <f t="shared" ref="X804:Y804" si="815">IF(W804&lt;&gt;T804,W804,IF(_xlfn.IFNA(VLOOKUP(T804,$M$2:$N$13,2,FALSE),U804)=0,"xxx",_xlfn.IFNA(VLOOKUP(T804,$M$2:$N$13,2,FALSE),U804)))</f>
        <v>281</v>
      </c>
      <c r="Y804" s="9">
        <f t="shared" si="815"/>
        <v>533</v>
      </c>
    </row>
    <row r="805" spans="3:25" x14ac:dyDescent="0.2">
      <c r="C805">
        <v>804</v>
      </c>
      <c r="D805" t="s">
        <v>3258</v>
      </c>
      <c r="E805">
        <v>804</v>
      </c>
      <c r="I805" s="58" t="s">
        <v>332</v>
      </c>
      <c r="J805" s="55">
        <v>80</v>
      </c>
      <c r="K805" s="1" t="str">
        <f t="shared" si="814"/>
        <v>fireresist</v>
      </c>
      <c r="S805" s="9">
        <v>1635</v>
      </c>
      <c r="T805" s="9">
        <v>853</v>
      </c>
      <c r="U805" s="9">
        <v>281</v>
      </c>
      <c r="V805" s="9">
        <v>533</v>
      </c>
      <c r="W805" s="9">
        <f t="shared" si="780"/>
        <v>853</v>
      </c>
      <c r="X805" s="9">
        <f t="shared" ref="X805:Y805" si="816">IF(W805&lt;&gt;T805,W805,IF(_xlfn.IFNA(VLOOKUP(T805,$M$2:$N$13,2,FALSE),U805)=0,"xxx",_xlfn.IFNA(VLOOKUP(T805,$M$2:$N$13,2,FALSE),U805)))</f>
        <v>281</v>
      </c>
      <c r="Y805" s="9">
        <f t="shared" si="816"/>
        <v>533</v>
      </c>
    </row>
    <row r="806" spans="3:25" x14ac:dyDescent="0.2">
      <c r="C806">
        <v>805</v>
      </c>
      <c r="D806" t="s">
        <v>3259</v>
      </c>
      <c r="E806">
        <v>805</v>
      </c>
      <c r="I806" s="59" t="s">
        <v>3260</v>
      </c>
      <c r="J806" s="55">
        <v>20</v>
      </c>
      <c r="K806" s="1" t="str">
        <f t="shared" si="814"/>
        <v>lightresist</v>
      </c>
      <c r="S806" s="9">
        <v>1636</v>
      </c>
      <c r="T806" s="9">
        <v>853</v>
      </c>
      <c r="U806" s="9">
        <v>323</v>
      </c>
      <c r="V806" s="9">
        <v>533</v>
      </c>
      <c r="W806" s="9">
        <f t="shared" si="780"/>
        <v>853</v>
      </c>
      <c r="X806" s="9">
        <f t="shared" ref="X806:Y806" si="817">IF(W806&lt;&gt;T806,W806,IF(_xlfn.IFNA(VLOOKUP(T806,$M$2:$N$13,2,FALSE),U806)=0,"xxx",_xlfn.IFNA(VLOOKUP(T806,$M$2:$N$13,2,FALSE),U806)))</f>
        <v>323</v>
      </c>
      <c r="Y806" s="9">
        <f t="shared" si="817"/>
        <v>533</v>
      </c>
    </row>
    <row r="807" spans="3:25" x14ac:dyDescent="0.2">
      <c r="C807">
        <v>806</v>
      </c>
      <c r="D807" t="s">
        <v>3261</v>
      </c>
      <c r="E807">
        <v>806</v>
      </c>
      <c r="I807" s="59" t="s">
        <v>468</v>
      </c>
      <c r="J807" s="55">
        <v>20</v>
      </c>
      <c r="K807" s="1" t="str">
        <f t="shared" si="814"/>
        <v>coldresist</v>
      </c>
      <c r="S807" s="9">
        <v>1637</v>
      </c>
      <c r="T807" s="9">
        <v>853</v>
      </c>
      <c r="U807" s="9">
        <v>323</v>
      </c>
      <c r="V807" s="9">
        <v>533</v>
      </c>
      <c r="W807" s="9">
        <f t="shared" si="780"/>
        <v>853</v>
      </c>
      <c r="X807" s="9">
        <f t="shared" ref="X807:Y807" si="818">IF(W807&lt;&gt;T807,W807,IF(_xlfn.IFNA(VLOOKUP(T807,$M$2:$N$13,2,FALSE),U807)=0,"xxx",_xlfn.IFNA(VLOOKUP(T807,$M$2:$N$13,2,FALSE),U807)))</f>
        <v>323</v>
      </c>
      <c r="Y807" s="9">
        <f t="shared" si="818"/>
        <v>533</v>
      </c>
    </row>
    <row r="808" spans="3:25" x14ac:dyDescent="0.2">
      <c r="C808">
        <v>807</v>
      </c>
      <c r="D808" t="s">
        <v>3262</v>
      </c>
      <c r="E808">
        <v>807</v>
      </c>
      <c r="I808" s="59" t="s">
        <v>3263</v>
      </c>
      <c r="J808" s="55">
        <v>40</v>
      </c>
      <c r="K808" s="1" t="str">
        <f t="shared" si="814"/>
        <v>poisonresist</v>
      </c>
      <c r="S808" s="9">
        <v>1638</v>
      </c>
      <c r="T808" s="9">
        <v>853</v>
      </c>
      <c r="U808" s="9">
        <v>323</v>
      </c>
      <c r="V808" s="9">
        <v>533</v>
      </c>
      <c r="W808" s="9">
        <f t="shared" si="780"/>
        <v>853</v>
      </c>
      <c r="X808" s="9">
        <f t="shared" ref="X808:Y808" si="819">IF(W808&lt;&gt;T808,W808,IF(_xlfn.IFNA(VLOOKUP(T808,$M$2:$N$13,2,FALSE),U808)=0,"xxx",_xlfn.IFNA(VLOOKUP(T808,$M$2:$N$13,2,FALSE),U808)))</f>
        <v>323</v>
      </c>
      <c r="Y808" s="9">
        <f t="shared" si="819"/>
        <v>533</v>
      </c>
    </row>
    <row r="809" spans="3:25" x14ac:dyDescent="0.2">
      <c r="C809">
        <v>808</v>
      </c>
      <c r="D809" t="s">
        <v>3264</v>
      </c>
      <c r="E809">
        <v>808</v>
      </c>
      <c r="I809" s="59" t="s">
        <v>3265</v>
      </c>
      <c r="J809" s="55">
        <v>24</v>
      </c>
      <c r="K809" s="1" t="str">
        <f t="shared" si="814"/>
        <v>toblock</v>
      </c>
      <c r="S809" s="9">
        <v>1639</v>
      </c>
      <c r="T809" s="9">
        <v>853</v>
      </c>
      <c r="U809" s="9">
        <v>406</v>
      </c>
      <c r="V809" s="9">
        <v>533</v>
      </c>
      <c r="W809" s="9">
        <f t="shared" si="780"/>
        <v>853</v>
      </c>
      <c r="X809" s="9">
        <f t="shared" ref="X809:Y809" si="820">IF(W809&lt;&gt;T809,W809,IF(_xlfn.IFNA(VLOOKUP(T809,$M$2:$N$13,2,FALSE),U809)=0,"xxx",_xlfn.IFNA(VLOOKUP(T809,$M$2:$N$13,2,FALSE),U809)))</f>
        <v>406</v>
      </c>
      <c r="Y809" s="9">
        <f t="shared" si="820"/>
        <v>533</v>
      </c>
    </row>
    <row r="810" spans="3:25" x14ac:dyDescent="0.2">
      <c r="C810">
        <v>809</v>
      </c>
      <c r="D810" t="s">
        <v>3266</v>
      </c>
      <c r="E810">
        <v>809</v>
      </c>
      <c r="I810" s="59" t="s">
        <v>3267</v>
      </c>
      <c r="J810" s="55">
        <v>107</v>
      </c>
      <c r="K810" s="1" t="str">
        <f t="shared" si="814"/>
        <v>armorclass</v>
      </c>
      <c r="S810" s="9">
        <v>1640</v>
      </c>
      <c r="T810" s="9">
        <v>853</v>
      </c>
      <c r="U810" s="9">
        <v>406</v>
      </c>
      <c r="V810" s="9">
        <v>533</v>
      </c>
      <c r="W810" s="9">
        <f t="shared" si="780"/>
        <v>853</v>
      </c>
      <c r="X810" s="9">
        <f t="shared" ref="X810:Y810" si="821">IF(W810&lt;&gt;T810,W810,IF(_xlfn.IFNA(VLOOKUP(T810,$M$2:$N$13,2,FALSE),U810)=0,"xxx",_xlfn.IFNA(VLOOKUP(T810,$M$2:$N$13,2,FALSE),U810)))</f>
        <v>406</v>
      </c>
      <c r="Y810" s="9">
        <f t="shared" si="821"/>
        <v>533</v>
      </c>
    </row>
    <row r="811" spans="3:25" x14ac:dyDescent="0.2">
      <c r="C811">
        <v>810</v>
      </c>
      <c r="D811" t="s">
        <v>3268</v>
      </c>
      <c r="E811">
        <v>810</v>
      </c>
      <c r="I811" s="59" t="s">
        <v>3269</v>
      </c>
      <c r="J811" s="55">
        <v>69</v>
      </c>
      <c r="K811" s="1" t="str">
        <f t="shared" si="814"/>
        <v>mindamage</v>
      </c>
      <c r="S811" s="9">
        <v>1641</v>
      </c>
      <c r="T811" s="9">
        <v>853</v>
      </c>
      <c r="U811" s="9">
        <v>406</v>
      </c>
      <c r="V811" s="9">
        <v>533</v>
      </c>
      <c r="W811" s="9">
        <f t="shared" si="780"/>
        <v>853</v>
      </c>
      <c r="X811" s="9">
        <f t="shared" ref="X811:Y811" si="822">IF(W811&lt;&gt;T811,W811,IF(_xlfn.IFNA(VLOOKUP(T811,$M$2:$N$13,2,FALSE),U811)=0,"xxx",_xlfn.IFNA(VLOOKUP(T811,$M$2:$N$13,2,FALSE),U811)))</f>
        <v>406</v>
      </c>
      <c r="Y811" s="9">
        <f t="shared" si="822"/>
        <v>533</v>
      </c>
    </row>
    <row r="812" spans="3:25" x14ac:dyDescent="0.2">
      <c r="C812">
        <v>811</v>
      </c>
      <c r="D812" t="s">
        <v>3270</v>
      </c>
      <c r="E812">
        <v>811</v>
      </c>
      <c r="I812" s="59" t="s">
        <v>3271</v>
      </c>
      <c r="J812" s="55">
        <v>151</v>
      </c>
      <c r="K812" s="1" t="str">
        <f t="shared" si="814"/>
        <v>maxdamage</v>
      </c>
      <c r="S812" s="9">
        <v>1642</v>
      </c>
      <c r="T812" s="9">
        <v>853</v>
      </c>
      <c r="U812" s="9">
        <v>281</v>
      </c>
      <c r="V812" s="9">
        <v>533</v>
      </c>
      <c r="W812" s="9">
        <f t="shared" si="780"/>
        <v>853</v>
      </c>
      <c r="X812" s="9">
        <f t="shared" ref="X812:Y812" si="823">IF(W812&lt;&gt;T812,W812,IF(_xlfn.IFNA(VLOOKUP(T812,$M$2:$N$13,2,FALSE),U812)=0,"xxx",_xlfn.IFNA(VLOOKUP(T812,$M$2:$N$13,2,FALSE),U812)))</f>
        <v>281</v>
      </c>
      <c r="Y812" s="9">
        <f t="shared" si="823"/>
        <v>533</v>
      </c>
    </row>
    <row r="813" spans="3:25" x14ac:dyDescent="0.2">
      <c r="C813">
        <v>812</v>
      </c>
      <c r="D813" t="s">
        <v>3272</v>
      </c>
      <c r="E813">
        <v>812</v>
      </c>
      <c r="I813" s="59" t="s">
        <v>3273</v>
      </c>
      <c r="J813" s="55">
        <v>92</v>
      </c>
      <c r="K813" s="1" t="str">
        <f t="shared" si="814"/>
        <v>tohit</v>
      </c>
      <c r="S813" s="9">
        <v>1643</v>
      </c>
      <c r="T813" s="9">
        <v>853</v>
      </c>
      <c r="U813" s="9">
        <v>281</v>
      </c>
      <c r="V813" s="9">
        <v>533</v>
      </c>
      <c r="W813" s="9">
        <f t="shared" si="780"/>
        <v>853</v>
      </c>
      <c r="X813" s="9">
        <f t="shared" ref="X813:Y813" si="824">IF(W813&lt;&gt;T813,W813,IF(_xlfn.IFNA(VLOOKUP(T813,$M$2:$N$13,2,FALSE),U813)=0,"xxx",_xlfn.IFNA(VLOOKUP(T813,$M$2:$N$13,2,FALSE),U813)))</f>
        <v>281</v>
      </c>
      <c r="Y813" s="9">
        <f t="shared" si="824"/>
        <v>533</v>
      </c>
    </row>
    <row r="814" spans="3:25" x14ac:dyDescent="0.2">
      <c r="C814">
        <v>813</v>
      </c>
      <c r="D814" t="s">
        <v>3274</v>
      </c>
      <c r="E814">
        <v>813</v>
      </c>
      <c r="S814" s="9">
        <v>1644</v>
      </c>
      <c r="T814" s="9">
        <v>853</v>
      </c>
      <c r="U814" s="9">
        <v>281</v>
      </c>
      <c r="V814" s="9">
        <v>533</v>
      </c>
      <c r="W814" s="9">
        <f t="shared" si="780"/>
        <v>853</v>
      </c>
      <c r="X814" s="9">
        <f t="shared" ref="X814:Y814" si="825">IF(W814&lt;&gt;T814,W814,IF(_xlfn.IFNA(VLOOKUP(T814,$M$2:$N$13,2,FALSE),U814)=0,"xxx",_xlfn.IFNA(VLOOKUP(T814,$M$2:$N$13,2,FALSE),U814)))</f>
        <v>281</v>
      </c>
      <c r="Y814" s="9">
        <f t="shared" si="825"/>
        <v>533</v>
      </c>
    </row>
    <row r="815" spans="3:25" x14ac:dyDescent="0.2">
      <c r="C815">
        <v>814</v>
      </c>
      <c r="D815" t="s">
        <v>3275</v>
      </c>
      <c r="E815">
        <v>814</v>
      </c>
      <c r="S815" s="9">
        <v>1645</v>
      </c>
      <c r="T815" s="9">
        <v>853</v>
      </c>
      <c r="U815" s="9">
        <v>323</v>
      </c>
      <c r="V815" s="9">
        <v>533</v>
      </c>
      <c r="W815" s="9">
        <f t="shared" si="780"/>
        <v>853</v>
      </c>
      <c r="X815" s="9">
        <f t="shared" ref="X815:Y815" si="826">IF(W815&lt;&gt;T815,W815,IF(_xlfn.IFNA(VLOOKUP(T815,$M$2:$N$13,2,FALSE),U815)=0,"xxx",_xlfn.IFNA(VLOOKUP(T815,$M$2:$N$13,2,FALSE),U815)))</f>
        <v>323</v>
      </c>
      <c r="Y815" s="9">
        <f t="shared" si="826"/>
        <v>533</v>
      </c>
    </row>
    <row r="816" spans="3:25" x14ac:dyDescent="0.2">
      <c r="C816">
        <v>815</v>
      </c>
      <c r="D816" t="s">
        <v>3276</v>
      </c>
      <c r="E816">
        <v>815</v>
      </c>
      <c r="S816" s="9">
        <v>1646</v>
      </c>
      <c r="T816" s="9">
        <v>853</v>
      </c>
      <c r="U816" s="9">
        <v>323</v>
      </c>
      <c r="V816" s="9">
        <v>533</v>
      </c>
      <c r="W816" s="9">
        <f t="shared" si="780"/>
        <v>853</v>
      </c>
      <c r="X816" s="9">
        <f t="shared" ref="X816:Y816" si="827">IF(W816&lt;&gt;T816,W816,IF(_xlfn.IFNA(VLOOKUP(T816,$M$2:$N$13,2,FALSE),U816)=0,"xxx",_xlfn.IFNA(VLOOKUP(T816,$M$2:$N$13,2,FALSE),U816)))</f>
        <v>323</v>
      </c>
      <c r="Y816" s="9">
        <f t="shared" si="827"/>
        <v>533</v>
      </c>
    </row>
    <row r="817" spans="3:25" x14ac:dyDescent="0.2">
      <c r="C817">
        <v>816</v>
      </c>
      <c r="D817" t="s">
        <v>3277</v>
      </c>
      <c r="E817">
        <v>816</v>
      </c>
      <c r="S817" s="9">
        <v>1647</v>
      </c>
      <c r="T817" s="9">
        <v>853</v>
      </c>
      <c r="U817" s="9">
        <v>323</v>
      </c>
      <c r="V817" s="9">
        <v>533</v>
      </c>
      <c r="W817" s="9">
        <f t="shared" si="780"/>
        <v>853</v>
      </c>
      <c r="X817" s="9">
        <f t="shared" ref="X817:Y817" si="828">IF(W817&lt;&gt;T817,W817,IF(_xlfn.IFNA(VLOOKUP(T817,$M$2:$N$13,2,FALSE),U817)=0,"xxx",_xlfn.IFNA(VLOOKUP(T817,$M$2:$N$13,2,FALSE),U817)))</f>
        <v>323</v>
      </c>
      <c r="Y817" s="9">
        <f t="shared" si="828"/>
        <v>533</v>
      </c>
    </row>
    <row r="818" spans="3:25" x14ac:dyDescent="0.2">
      <c r="C818">
        <v>817</v>
      </c>
      <c r="D818" t="s">
        <v>3278</v>
      </c>
      <c r="E818">
        <v>817</v>
      </c>
      <c r="I818" s="55" t="s">
        <v>246</v>
      </c>
      <c r="J818" s="55" t="s">
        <v>3279</v>
      </c>
      <c r="S818" s="9">
        <v>1648</v>
      </c>
      <c r="T818" s="9">
        <v>853</v>
      </c>
      <c r="U818" s="9">
        <v>273</v>
      </c>
      <c r="V818" s="9">
        <v>525</v>
      </c>
      <c r="W818" s="9">
        <f t="shared" si="780"/>
        <v>853</v>
      </c>
      <c r="X818" s="9">
        <f t="shared" ref="X818:Y818" si="829">IF(W818&lt;&gt;T818,W818,IF(_xlfn.IFNA(VLOOKUP(T818,$M$2:$N$13,2,FALSE),U818)=0,"xxx",_xlfn.IFNA(VLOOKUP(T818,$M$2:$N$13,2,FALSE),U818)))</f>
        <v>273</v>
      </c>
      <c r="Y818" s="9">
        <f t="shared" si="829"/>
        <v>525</v>
      </c>
    </row>
    <row r="819" spans="3:25" x14ac:dyDescent="0.2">
      <c r="C819">
        <v>818</v>
      </c>
      <c r="D819" t="s">
        <v>3280</v>
      </c>
      <c r="E819">
        <v>818</v>
      </c>
      <c r="I819" s="55" t="s">
        <v>623</v>
      </c>
      <c r="J819" s="55" t="s">
        <v>3281</v>
      </c>
      <c r="S819" s="9">
        <v>1649</v>
      </c>
      <c r="T819" s="9">
        <v>853</v>
      </c>
      <c r="U819" s="9">
        <v>273</v>
      </c>
      <c r="V819" s="9">
        <v>525</v>
      </c>
      <c r="W819" s="9">
        <f t="shared" si="780"/>
        <v>853</v>
      </c>
      <c r="X819" s="9">
        <f t="shared" ref="X819:Y819" si="830">IF(W819&lt;&gt;T819,W819,IF(_xlfn.IFNA(VLOOKUP(T819,$M$2:$N$13,2,FALSE),U819)=0,"xxx",_xlfn.IFNA(VLOOKUP(T819,$M$2:$N$13,2,FALSE),U819)))</f>
        <v>273</v>
      </c>
      <c r="Y819" s="9">
        <f t="shared" si="830"/>
        <v>525</v>
      </c>
    </row>
    <row r="820" spans="3:25" x14ac:dyDescent="0.2">
      <c r="C820">
        <v>819</v>
      </c>
      <c r="D820" t="s">
        <v>3282</v>
      </c>
      <c r="E820">
        <v>819</v>
      </c>
      <c r="I820" s="55" t="s">
        <v>3283</v>
      </c>
      <c r="J820" s="55" t="s">
        <v>3284</v>
      </c>
      <c r="S820" s="9">
        <v>1650</v>
      </c>
      <c r="T820" s="9">
        <v>853</v>
      </c>
      <c r="U820" s="9">
        <v>278</v>
      </c>
      <c r="V820" s="9">
        <v>530</v>
      </c>
      <c r="W820" s="9">
        <f t="shared" si="780"/>
        <v>853</v>
      </c>
      <c r="X820" s="9">
        <f t="shared" ref="X820:Y820" si="831">IF(W820&lt;&gt;T820,W820,IF(_xlfn.IFNA(VLOOKUP(T820,$M$2:$N$13,2,FALSE),U820)=0,"xxx",_xlfn.IFNA(VLOOKUP(T820,$M$2:$N$13,2,FALSE),U820)))</f>
        <v>278</v>
      </c>
      <c r="Y820" s="9">
        <f t="shared" si="831"/>
        <v>530</v>
      </c>
    </row>
    <row r="821" spans="3:25" x14ac:dyDescent="0.2">
      <c r="C821">
        <v>820</v>
      </c>
      <c r="D821" t="s">
        <v>3285</v>
      </c>
      <c r="E821">
        <v>820</v>
      </c>
      <c r="I821" s="55" t="s">
        <v>3286</v>
      </c>
      <c r="J821" s="55" t="s">
        <v>3287</v>
      </c>
      <c r="S821" s="9">
        <v>1651</v>
      </c>
      <c r="T821" s="9">
        <v>853</v>
      </c>
      <c r="U821" s="9">
        <v>278</v>
      </c>
      <c r="V821" s="9">
        <v>530</v>
      </c>
      <c r="W821" s="9">
        <f t="shared" si="780"/>
        <v>853</v>
      </c>
      <c r="X821" s="9">
        <f t="shared" ref="X821:Y821" si="832">IF(W821&lt;&gt;T821,W821,IF(_xlfn.IFNA(VLOOKUP(T821,$M$2:$N$13,2,FALSE),U821)=0,"xxx",_xlfn.IFNA(VLOOKUP(T821,$M$2:$N$13,2,FALSE),U821)))</f>
        <v>278</v>
      </c>
      <c r="Y821" s="9">
        <f t="shared" si="832"/>
        <v>530</v>
      </c>
    </row>
    <row r="822" spans="3:25" x14ac:dyDescent="0.2">
      <c r="C822">
        <v>821</v>
      </c>
      <c r="D822" t="s">
        <v>3288</v>
      </c>
      <c r="E822">
        <v>821</v>
      </c>
      <c r="J822" s="55" t="s">
        <v>3289</v>
      </c>
      <c r="S822" s="9">
        <v>1652</v>
      </c>
      <c r="T822" s="9">
        <v>853</v>
      </c>
      <c r="U822" s="9">
        <v>283</v>
      </c>
      <c r="V822" s="9">
        <v>535</v>
      </c>
      <c r="W822" s="9">
        <f t="shared" si="780"/>
        <v>853</v>
      </c>
      <c r="X822" s="9">
        <f t="shared" ref="X822:Y822" si="833">IF(W822&lt;&gt;T822,W822,IF(_xlfn.IFNA(VLOOKUP(T822,$M$2:$N$13,2,FALSE),U822)=0,"xxx",_xlfn.IFNA(VLOOKUP(T822,$M$2:$N$13,2,FALSE),U822)))</f>
        <v>283</v>
      </c>
      <c r="Y822" s="9">
        <f t="shared" si="833"/>
        <v>535</v>
      </c>
    </row>
    <row r="823" spans="3:25" x14ac:dyDescent="0.2">
      <c r="C823">
        <v>822</v>
      </c>
      <c r="D823" t="s">
        <v>3290</v>
      </c>
      <c r="E823">
        <v>822</v>
      </c>
      <c r="J823" s="55" t="s">
        <v>3291</v>
      </c>
      <c r="S823" s="9">
        <v>1653</v>
      </c>
      <c r="T823" s="9">
        <v>853</v>
      </c>
      <c r="U823" s="9">
        <v>282</v>
      </c>
      <c r="V823" s="9">
        <v>534</v>
      </c>
      <c r="W823" s="9">
        <f t="shared" si="780"/>
        <v>853</v>
      </c>
      <c r="X823" s="9">
        <f t="shared" ref="X823:Y823" si="834">IF(W823&lt;&gt;T823,W823,IF(_xlfn.IFNA(VLOOKUP(T823,$M$2:$N$13,2,FALSE),U823)=0,"xxx",_xlfn.IFNA(VLOOKUP(T823,$M$2:$N$13,2,FALSE),U823)))</f>
        <v>282</v>
      </c>
      <c r="Y823" s="9">
        <f t="shared" si="834"/>
        <v>534</v>
      </c>
    </row>
    <row r="824" spans="3:25" x14ac:dyDescent="0.2">
      <c r="C824">
        <v>823</v>
      </c>
      <c r="D824" t="s">
        <v>3292</v>
      </c>
      <c r="E824">
        <v>823</v>
      </c>
      <c r="I824" s="55" t="s">
        <v>3293</v>
      </c>
      <c r="J824" s="55" t="s">
        <v>3294</v>
      </c>
      <c r="S824" s="9">
        <v>1654</v>
      </c>
      <c r="T824" s="9">
        <v>853</v>
      </c>
      <c r="U824" s="9">
        <v>277</v>
      </c>
      <c r="V824" s="9">
        <v>529</v>
      </c>
      <c r="W824" s="9">
        <f t="shared" si="780"/>
        <v>853</v>
      </c>
      <c r="X824" s="9">
        <f t="shared" ref="X824:Y824" si="835">IF(W824&lt;&gt;T824,W824,IF(_xlfn.IFNA(VLOOKUP(T824,$M$2:$N$13,2,FALSE),U824)=0,"xxx",_xlfn.IFNA(VLOOKUP(T824,$M$2:$N$13,2,FALSE),U824)))</f>
        <v>277</v>
      </c>
      <c r="Y824" s="9">
        <f t="shared" si="835"/>
        <v>529</v>
      </c>
    </row>
    <row r="825" spans="3:25" x14ac:dyDescent="0.2">
      <c r="C825">
        <v>824</v>
      </c>
      <c r="D825" t="s">
        <v>3295</v>
      </c>
      <c r="E825">
        <v>824</v>
      </c>
      <c r="I825" s="55" t="s">
        <v>3296</v>
      </c>
      <c r="J825" s="55" t="s">
        <v>3297</v>
      </c>
      <c r="S825" s="9">
        <v>1655</v>
      </c>
      <c r="T825" s="9">
        <v>853</v>
      </c>
      <c r="U825" s="9">
        <v>277</v>
      </c>
      <c r="V825" s="9">
        <v>529</v>
      </c>
      <c r="W825" s="9">
        <f t="shared" si="780"/>
        <v>853</v>
      </c>
      <c r="X825" s="9">
        <f t="shared" ref="X825:Y825" si="836">IF(W825&lt;&gt;T825,W825,IF(_xlfn.IFNA(VLOOKUP(T825,$M$2:$N$13,2,FALSE),U825)=0,"xxx",_xlfn.IFNA(VLOOKUP(T825,$M$2:$N$13,2,FALSE),U825)))</f>
        <v>277</v>
      </c>
      <c r="Y825" s="9">
        <f t="shared" si="836"/>
        <v>529</v>
      </c>
    </row>
    <row r="826" spans="3:25" x14ac:dyDescent="0.2">
      <c r="C826">
        <v>825</v>
      </c>
      <c r="D826" t="s">
        <v>3298</v>
      </c>
      <c r="E826">
        <v>825</v>
      </c>
      <c r="I826" s="55" t="s">
        <v>3299</v>
      </c>
      <c r="J826" s="55" t="s">
        <v>3300</v>
      </c>
      <c r="S826" s="9">
        <v>1656</v>
      </c>
      <c r="T826" s="9">
        <v>853</v>
      </c>
      <c r="U826" s="9">
        <v>277</v>
      </c>
      <c r="V826" s="9">
        <v>529</v>
      </c>
      <c r="W826" s="9">
        <f t="shared" si="780"/>
        <v>853</v>
      </c>
      <c r="X826" s="9">
        <f t="shared" ref="X826:Y826" si="837">IF(W826&lt;&gt;T826,W826,IF(_xlfn.IFNA(VLOOKUP(T826,$M$2:$N$13,2,FALSE),U826)=0,"xxx",_xlfn.IFNA(VLOOKUP(T826,$M$2:$N$13,2,FALSE),U826)))</f>
        <v>277</v>
      </c>
      <c r="Y826" s="9">
        <f t="shared" si="837"/>
        <v>529</v>
      </c>
    </row>
    <row r="827" spans="3:25" x14ac:dyDescent="0.2">
      <c r="C827">
        <v>826</v>
      </c>
      <c r="D827" t="s">
        <v>3301</v>
      </c>
      <c r="E827">
        <v>826</v>
      </c>
      <c r="I827" s="55" t="s">
        <v>3302</v>
      </c>
      <c r="J827" s="55" t="s">
        <v>3303</v>
      </c>
      <c r="S827" s="9">
        <v>1657</v>
      </c>
      <c r="T827" s="9">
        <v>853</v>
      </c>
      <c r="U827" s="9">
        <v>277</v>
      </c>
      <c r="V827" s="9">
        <v>529</v>
      </c>
      <c r="W827" s="9">
        <f t="shared" si="780"/>
        <v>853</v>
      </c>
      <c r="X827" s="9">
        <f t="shared" ref="X827:Y827" si="838">IF(W827&lt;&gt;T827,W827,IF(_xlfn.IFNA(VLOOKUP(T827,$M$2:$N$13,2,FALSE),U827)=0,"xxx",_xlfn.IFNA(VLOOKUP(T827,$M$2:$N$13,2,FALSE),U827)))</f>
        <v>277</v>
      </c>
      <c r="Y827" s="9">
        <f t="shared" si="838"/>
        <v>529</v>
      </c>
    </row>
    <row r="828" spans="3:25" x14ac:dyDescent="0.2">
      <c r="C828">
        <v>827</v>
      </c>
      <c r="D828" t="s">
        <v>3304</v>
      </c>
      <c r="E828">
        <v>827</v>
      </c>
      <c r="I828" s="55" t="s">
        <v>3305</v>
      </c>
      <c r="J828" s="55" t="s">
        <v>3306</v>
      </c>
      <c r="S828" s="9">
        <v>1658</v>
      </c>
      <c r="T828" s="9">
        <v>853</v>
      </c>
      <c r="U828" s="9">
        <v>277</v>
      </c>
      <c r="V828" s="9">
        <v>529</v>
      </c>
      <c r="W828" s="9">
        <f t="shared" si="780"/>
        <v>853</v>
      </c>
      <c r="X828" s="9">
        <f t="shared" ref="X828:Y828" si="839">IF(W828&lt;&gt;T828,W828,IF(_xlfn.IFNA(VLOOKUP(T828,$M$2:$N$13,2,FALSE),U828)=0,"xxx",_xlfn.IFNA(VLOOKUP(T828,$M$2:$N$13,2,FALSE),U828)))</f>
        <v>277</v>
      </c>
      <c r="Y828" s="9">
        <f t="shared" si="839"/>
        <v>529</v>
      </c>
    </row>
    <row r="829" spans="3:25" x14ac:dyDescent="0.2">
      <c r="C829">
        <v>828</v>
      </c>
      <c r="D829" t="s">
        <v>3307</v>
      </c>
      <c r="E829">
        <v>828</v>
      </c>
      <c r="I829" s="55" t="s">
        <v>3308</v>
      </c>
      <c r="J829" s="55" t="s">
        <v>3309</v>
      </c>
      <c r="S829" s="9">
        <v>1659</v>
      </c>
      <c r="T829" s="9">
        <v>853</v>
      </c>
      <c r="U829" s="9">
        <v>277</v>
      </c>
      <c r="V829" s="9">
        <v>529</v>
      </c>
      <c r="W829" s="9">
        <f t="shared" si="780"/>
        <v>853</v>
      </c>
      <c r="X829" s="9">
        <f t="shared" ref="X829:Y829" si="840">IF(W829&lt;&gt;T829,W829,IF(_xlfn.IFNA(VLOOKUP(T829,$M$2:$N$13,2,FALSE),U829)=0,"xxx",_xlfn.IFNA(VLOOKUP(T829,$M$2:$N$13,2,FALSE),U829)))</f>
        <v>277</v>
      </c>
      <c r="Y829" s="9">
        <f t="shared" si="840"/>
        <v>529</v>
      </c>
    </row>
    <row r="830" spans="3:25" x14ac:dyDescent="0.2">
      <c r="C830">
        <v>829</v>
      </c>
      <c r="D830" t="s">
        <v>3310</v>
      </c>
      <c r="E830">
        <v>829</v>
      </c>
      <c r="J830" s="55" t="s">
        <v>3311</v>
      </c>
      <c r="S830" s="9">
        <v>1660</v>
      </c>
      <c r="T830" s="9">
        <v>853</v>
      </c>
      <c r="U830" s="9">
        <v>277</v>
      </c>
      <c r="V830" s="9">
        <v>529</v>
      </c>
      <c r="W830" s="9">
        <f t="shared" si="780"/>
        <v>853</v>
      </c>
      <c r="X830" s="9">
        <f t="shared" ref="X830:Y830" si="841">IF(W830&lt;&gt;T830,W830,IF(_xlfn.IFNA(VLOOKUP(T830,$M$2:$N$13,2,FALSE),U830)=0,"xxx",_xlfn.IFNA(VLOOKUP(T830,$M$2:$N$13,2,FALSE),U830)))</f>
        <v>277</v>
      </c>
      <c r="Y830" s="9">
        <f t="shared" si="841"/>
        <v>529</v>
      </c>
    </row>
    <row r="831" spans="3:25" x14ac:dyDescent="0.2">
      <c r="C831">
        <v>830</v>
      </c>
      <c r="D831" t="s">
        <v>3312</v>
      </c>
      <c r="E831">
        <v>830</v>
      </c>
      <c r="J831" s="55" t="s">
        <v>3313</v>
      </c>
      <c r="S831" s="9">
        <v>1661</v>
      </c>
      <c r="T831" s="9">
        <v>853</v>
      </c>
      <c r="U831" s="9">
        <v>277</v>
      </c>
      <c r="V831" s="9">
        <v>529</v>
      </c>
      <c r="W831" s="9">
        <f t="shared" si="780"/>
        <v>853</v>
      </c>
      <c r="X831" s="9">
        <f t="shared" ref="X831:Y831" si="842">IF(W831&lt;&gt;T831,W831,IF(_xlfn.IFNA(VLOOKUP(T831,$M$2:$N$13,2,FALSE),U831)=0,"xxx",_xlfn.IFNA(VLOOKUP(T831,$M$2:$N$13,2,FALSE),U831)))</f>
        <v>277</v>
      </c>
      <c r="Y831" s="9">
        <f t="shared" si="842"/>
        <v>529</v>
      </c>
    </row>
    <row r="832" spans="3:25" x14ac:dyDescent="0.2">
      <c r="C832">
        <v>831</v>
      </c>
      <c r="D832" t="s">
        <v>3314</v>
      </c>
      <c r="E832">
        <v>831</v>
      </c>
      <c r="J832" s="55" t="s">
        <v>3315</v>
      </c>
      <c r="S832" s="9">
        <v>1662</v>
      </c>
      <c r="T832" s="9">
        <v>853</v>
      </c>
      <c r="U832" s="9">
        <v>319</v>
      </c>
      <c r="V832" s="9">
        <v>529</v>
      </c>
      <c r="W832" s="9">
        <f t="shared" si="780"/>
        <v>853</v>
      </c>
      <c r="X832" s="9">
        <f t="shared" ref="X832:Y832" si="843">IF(W832&lt;&gt;T832,W832,IF(_xlfn.IFNA(VLOOKUP(T832,$M$2:$N$13,2,FALSE),U832)=0,"xxx",_xlfn.IFNA(VLOOKUP(T832,$M$2:$N$13,2,FALSE),U832)))</f>
        <v>319</v>
      </c>
      <c r="Y832" s="9">
        <f t="shared" si="843"/>
        <v>529</v>
      </c>
    </row>
    <row r="833" spans="3:25" x14ac:dyDescent="0.2">
      <c r="C833">
        <v>832</v>
      </c>
      <c r="D833" t="s">
        <v>3316</v>
      </c>
      <c r="E833">
        <v>832</v>
      </c>
      <c r="J833" s="55" t="s">
        <v>3317</v>
      </c>
      <c r="S833" s="9">
        <v>1663</v>
      </c>
      <c r="T833" s="9">
        <v>853</v>
      </c>
      <c r="U833" s="9">
        <v>319</v>
      </c>
      <c r="V833" s="9">
        <v>529</v>
      </c>
      <c r="W833" s="9">
        <f t="shared" si="780"/>
        <v>853</v>
      </c>
      <c r="X833" s="9">
        <f t="shared" ref="X833:Y833" si="844">IF(W833&lt;&gt;T833,W833,IF(_xlfn.IFNA(VLOOKUP(T833,$M$2:$N$13,2,FALSE),U833)=0,"xxx",_xlfn.IFNA(VLOOKUP(T833,$M$2:$N$13,2,FALSE),U833)))</f>
        <v>319</v>
      </c>
      <c r="Y833" s="9">
        <f t="shared" si="844"/>
        <v>529</v>
      </c>
    </row>
    <row r="834" spans="3:25" x14ac:dyDescent="0.2">
      <c r="C834">
        <v>833</v>
      </c>
      <c r="D834" t="s">
        <v>3318</v>
      </c>
      <c r="E834">
        <v>833</v>
      </c>
      <c r="I834" s="55" t="s">
        <v>3319</v>
      </c>
      <c r="J834" s="55" t="s">
        <v>3320</v>
      </c>
      <c r="S834" s="9">
        <v>1664</v>
      </c>
      <c r="T834" s="9">
        <v>853</v>
      </c>
      <c r="U834" s="9">
        <v>319</v>
      </c>
      <c r="V834" s="9">
        <v>529</v>
      </c>
      <c r="W834" s="9">
        <f t="shared" si="780"/>
        <v>853</v>
      </c>
      <c r="X834" s="9">
        <f t="shared" ref="X834:Y834" si="845">IF(W834&lt;&gt;T834,W834,IF(_xlfn.IFNA(VLOOKUP(T834,$M$2:$N$13,2,FALSE),U834)=0,"xxx",_xlfn.IFNA(VLOOKUP(T834,$M$2:$N$13,2,FALSE),U834)))</f>
        <v>319</v>
      </c>
      <c r="Y834" s="9">
        <f t="shared" si="845"/>
        <v>529</v>
      </c>
    </row>
    <row r="835" spans="3:25" x14ac:dyDescent="0.2">
      <c r="C835">
        <v>834</v>
      </c>
      <c r="D835" t="s">
        <v>3321</v>
      </c>
      <c r="E835">
        <v>834</v>
      </c>
      <c r="J835" s="55" t="s">
        <v>3322</v>
      </c>
      <c r="S835" s="9">
        <v>1665</v>
      </c>
      <c r="T835" s="9">
        <v>853</v>
      </c>
      <c r="U835" s="9">
        <v>277</v>
      </c>
      <c r="V835" s="9">
        <v>529</v>
      </c>
      <c r="W835" s="9">
        <f t="shared" ref="W835:W898" si="846">IF(_xlfn.IFNA(VLOOKUP(S835,$M$2:$N$13,2,FALSE),T835)=0,"xxx",_xlfn.IFNA(VLOOKUP(S835,$M$2:$N$13,2,FALSE),T835))</f>
        <v>853</v>
      </c>
      <c r="X835" s="9">
        <f t="shared" ref="X835:Y835" si="847">IF(W835&lt;&gt;T835,W835,IF(_xlfn.IFNA(VLOOKUP(T835,$M$2:$N$13,2,FALSE),U835)=0,"xxx",_xlfn.IFNA(VLOOKUP(T835,$M$2:$N$13,2,FALSE),U835)))</f>
        <v>277</v>
      </c>
      <c r="Y835" s="9">
        <f t="shared" si="847"/>
        <v>529</v>
      </c>
    </row>
    <row r="836" spans="3:25" x14ac:dyDescent="0.2">
      <c r="C836">
        <v>835</v>
      </c>
      <c r="D836" t="s">
        <v>3323</v>
      </c>
      <c r="E836">
        <v>835</v>
      </c>
      <c r="J836" s="55" t="s">
        <v>3324</v>
      </c>
      <c r="S836" s="9">
        <v>1666</v>
      </c>
      <c r="T836" s="9">
        <v>853</v>
      </c>
      <c r="U836" s="9">
        <v>277</v>
      </c>
      <c r="V836" s="9">
        <v>529</v>
      </c>
      <c r="W836" s="9">
        <f t="shared" si="846"/>
        <v>853</v>
      </c>
      <c r="X836" s="9">
        <f t="shared" ref="X836:Y836" si="848">IF(W836&lt;&gt;T836,W836,IF(_xlfn.IFNA(VLOOKUP(T836,$M$2:$N$13,2,FALSE),U836)=0,"xxx",_xlfn.IFNA(VLOOKUP(T836,$M$2:$N$13,2,FALSE),U836)))</f>
        <v>277</v>
      </c>
      <c r="Y836" s="9">
        <f t="shared" si="848"/>
        <v>529</v>
      </c>
    </row>
    <row r="837" spans="3:25" x14ac:dyDescent="0.2">
      <c r="C837">
        <v>836</v>
      </c>
      <c r="D837" t="s">
        <v>3325</v>
      </c>
      <c r="E837">
        <v>836</v>
      </c>
      <c r="I837" s="55" t="s">
        <v>3273</v>
      </c>
      <c r="J837" s="55" t="s">
        <v>3326</v>
      </c>
      <c r="S837" s="9">
        <v>1667</v>
      </c>
      <c r="T837" s="9">
        <v>853</v>
      </c>
      <c r="U837" s="9">
        <v>324</v>
      </c>
      <c r="V837" s="9">
        <v>534</v>
      </c>
      <c r="W837" s="9">
        <f t="shared" si="846"/>
        <v>853</v>
      </c>
      <c r="X837" s="9">
        <f t="shared" ref="X837:Y837" si="849">IF(W837&lt;&gt;T837,W837,IF(_xlfn.IFNA(VLOOKUP(T837,$M$2:$N$13,2,FALSE),U837)=0,"xxx",_xlfn.IFNA(VLOOKUP(T837,$M$2:$N$13,2,FALSE),U837)))</f>
        <v>324</v>
      </c>
      <c r="Y837" s="9">
        <f t="shared" si="849"/>
        <v>534</v>
      </c>
    </row>
    <row r="838" spans="3:25" x14ac:dyDescent="0.2">
      <c r="C838">
        <v>837</v>
      </c>
      <c r="D838" t="s">
        <v>3327</v>
      </c>
      <c r="E838">
        <v>837</v>
      </c>
      <c r="I838" s="55" t="s">
        <v>3265</v>
      </c>
      <c r="J838" s="55" t="s">
        <v>3328</v>
      </c>
      <c r="S838" s="9">
        <v>1668</v>
      </c>
      <c r="T838" s="9">
        <v>853</v>
      </c>
      <c r="U838" s="9">
        <v>324</v>
      </c>
      <c r="V838" s="9">
        <v>534</v>
      </c>
      <c r="W838" s="9">
        <f t="shared" si="846"/>
        <v>853</v>
      </c>
      <c r="X838" s="9">
        <f t="shared" ref="X838:Y838" si="850">IF(W838&lt;&gt;T838,W838,IF(_xlfn.IFNA(VLOOKUP(T838,$M$2:$N$13,2,FALSE),U838)=0,"xxx",_xlfn.IFNA(VLOOKUP(T838,$M$2:$N$13,2,FALSE),U838)))</f>
        <v>324</v>
      </c>
      <c r="Y838" s="9">
        <f t="shared" si="850"/>
        <v>534</v>
      </c>
    </row>
    <row r="839" spans="3:25" x14ac:dyDescent="0.2">
      <c r="C839">
        <v>838</v>
      </c>
      <c r="D839" t="s">
        <v>3329</v>
      </c>
      <c r="E839">
        <v>838</v>
      </c>
      <c r="I839" s="55" t="s">
        <v>3269</v>
      </c>
      <c r="J839" s="55" t="s">
        <v>3330</v>
      </c>
      <c r="S839" s="9">
        <v>1669</v>
      </c>
      <c r="T839" s="9">
        <v>853</v>
      </c>
      <c r="U839" s="9">
        <v>324</v>
      </c>
      <c r="V839" s="9">
        <v>534</v>
      </c>
      <c r="W839" s="9">
        <f t="shared" si="846"/>
        <v>853</v>
      </c>
      <c r="X839" s="9">
        <f t="shared" ref="X839:Y839" si="851">IF(W839&lt;&gt;T839,W839,IF(_xlfn.IFNA(VLOOKUP(T839,$M$2:$N$13,2,FALSE),U839)=0,"xxx",_xlfn.IFNA(VLOOKUP(T839,$M$2:$N$13,2,FALSE),U839)))</f>
        <v>324</v>
      </c>
      <c r="Y839" s="9">
        <f t="shared" si="851"/>
        <v>534</v>
      </c>
    </row>
    <row r="840" spans="3:25" x14ac:dyDescent="0.2">
      <c r="C840">
        <v>839</v>
      </c>
      <c r="D840" t="s">
        <v>3331</v>
      </c>
      <c r="E840">
        <v>839</v>
      </c>
      <c r="I840" s="55" t="s">
        <v>3271</v>
      </c>
      <c r="J840" s="55" t="s">
        <v>3332</v>
      </c>
      <c r="S840" s="9">
        <v>1670</v>
      </c>
      <c r="T840" s="9">
        <v>853</v>
      </c>
      <c r="U840" s="9">
        <v>324</v>
      </c>
      <c r="V840" s="9">
        <v>534</v>
      </c>
      <c r="W840" s="9">
        <f t="shared" si="846"/>
        <v>853</v>
      </c>
      <c r="X840" s="9">
        <f t="shared" ref="X840:Y840" si="852">IF(W840&lt;&gt;T840,W840,IF(_xlfn.IFNA(VLOOKUP(T840,$M$2:$N$13,2,FALSE),U840)=0,"xxx",_xlfn.IFNA(VLOOKUP(T840,$M$2:$N$13,2,FALSE),U840)))</f>
        <v>324</v>
      </c>
      <c r="Y840" s="9">
        <f t="shared" si="852"/>
        <v>534</v>
      </c>
    </row>
    <row r="841" spans="3:25" x14ac:dyDescent="0.2">
      <c r="C841">
        <v>840</v>
      </c>
      <c r="D841" t="s">
        <v>3333</v>
      </c>
      <c r="E841">
        <v>840</v>
      </c>
      <c r="J841" s="55" t="s">
        <v>3334</v>
      </c>
      <c r="S841" s="9">
        <v>1671</v>
      </c>
      <c r="T841" s="9">
        <v>853</v>
      </c>
      <c r="U841" s="9">
        <v>277</v>
      </c>
      <c r="V841" s="9">
        <v>529</v>
      </c>
      <c r="W841" s="9">
        <f t="shared" si="846"/>
        <v>853</v>
      </c>
      <c r="X841" s="9">
        <f t="shared" ref="X841:Y841" si="853">IF(W841&lt;&gt;T841,W841,IF(_xlfn.IFNA(VLOOKUP(T841,$M$2:$N$13,2,FALSE),U841)=0,"xxx",_xlfn.IFNA(VLOOKUP(T841,$M$2:$N$13,2,FALSE),U841)))</f>
        <v>277</v>
      </c>
      <c r="Y841" s="9">
        <f t="shared" si="853"/>
        <v>529</v>
      </c>
    </row>
    <row r="842" spans="3:25" x14ac:dyDescent="0.2">
      <c r="C842">
        <v>841</v>
      </c>
      <c r="D842" t="s">
        <v>3335</v>
      </c>
      <c r="E842">
        <v>841</v>
      </c>
      <c r="J842" s="55" t="s">
        <v>3336</v>
      </c>
      <c r="S842" s="9">
        <v>1672</v>
      </c>
      <c r="T842" s="9">
        <v>853</v>
      </c>
      <c r="U842" s="9">
        <v>277</v>
      </c>
      <c r="V842" s="9">
        <v>529</v>
      </c>
      <c r="W842" s="9">
        <f t="shared" si="846"/>
        <v>853</v>
      </c>
      <c r="X842" s="9">
        <f t="shared" ref="X842:Y842" si="854">IF(W842&lt;&gt;T842,W842,IF(_xlfn.IFNA(VLOOKUP(T842,$M$2:$N$13,2,FALSE),U842)=0,"xxx",_xlfn.IFNA(VLOOKUP(T842,$M$2:$N$13,2,FALSE),U842)))</f>
        <v>277</v>
      </c>
      <c r="Y842" s="9">
        <f t="shared" si="854"/>
        <v>529</v>
      </c>
    </row>
    <row r="843" spans="3:25" x14ac:dyDescent="0.2">
      <c r="C843">
        <v>842</v>
      </c>
      <c r="D843" t="s">
        <v>3337</v>
      </c>
      <c r="E843">
        <v>842</v>
      </c>
      <c r="J843" s="55" t="s">
        <v>3338</v>
      </c>
      <c r="S843" s="9">
        <v>1673</v>
      </c>
      <c r="T843" s="9">
        <v>853</v>
      </c>
      <c r="U843" s="9">
        <v>319</v>
      </c>
      <c r="V843" s="9">
        <v>529</v>
      </c>
      <c r="W843" s="9">
        <f t="shared" si="846"/>
        <v>853</v>
      </c>
      <c r="X843" s="9">
        <f t="shared" ref="X843:Y843" si="855">IF(W843&lt;&gt;T843,W843,IF(_xlfn.IFNA(VLOOKUP(T843,$M$2:$N$13,2,FALSE),U843)=0,"xxx",_xlfn.IFNA(VLOOKUP(T843,$M$2:$N$13,2,FALSE),U843)))</f>
        <v>319</v>
      </c>
      <c r="Y843" s="9">
        <f t="shared" si="855"/>
        <v>529</v>
      </c>
    </row>
    <row r="844" spans="3:25" x14ac:dyDescent="0.2">
      <c r="C844">
        <v>843</v>
      </c>
      <c r="D844" t="s">
        <v>3339</v>
      </c>
      <c r="E844">
        <v>843</v>
      </c>
      <c r="J844" s="55" t="s">
        <v>3340</v>
      </c>
      <c r="S844" s="9">
        <v>1674</v>
      </c>
      <c r="T844" s="9">
        <v>853</v>
      </c>
      <c r="U844" s="9">
        <v>319</v>
      </c>
      <c r="V844" s="9">
        <v>529</v>
      </c>
      <c r="W844" s="9">
        <f t="shared" si="846"/>
        <v>853</v>
      </c>
      <c r="X844" s="9">
        <f t="shared" ref="X844:Y844" si="856">IF(W844&lt;&gt;T844,W844,IF(_xlfn.IFNA(VLOOKUP(T844,$M$2:$N$13,2,FALSE),U844)=0,"xxx",_xlfn.IFNA(VLOOKUP(T844,$M$2:$N$13,2,FALSE),U844)))</f>
        <v>319</v>
      </c>
      <c r="Y844" s="9">
        <f t="shared" si="856"/>
        <v>529</v>
      </c>
    </row>
    <row r="845" spans="3:25" x14ac:dyDescent="0.2">
      <c r="C845">
        <v>844</v>
      </c>
      <c r="D845" t="s">
        <v>3341</v>
      </c>
      <c r="E845">
        <v>844</v>
      </c>
      <c r="I845" s="55" t="s">
        <v>3342</v>
      </c>
      <c r="J845" s="55" t="s">
        <v>3343</v>
      </c>
      <c r="S845" s="9">
        <v>1675</v>
      </c>
      <c r="T845" s="9">
        <v>853</v>
      </c>
      <c r="U845" s="9">
        <v>322</v>
      </c>
      <c r="V845" s="9">
        <v>532</v>
      </c>
      <c r="W845" s="9">
        <f t="shared" si="846"/>
        <v>853</v>
      </c>
      <c r="X845" s="9">
        <f t="shared" ref="X845:Y845" si="857">IF(W845&lt;&gt;T845,W845,IF(_xlfn.IFNA(VLOOKUP(T845,$M$2:$N$13,2,FALSE),U845)=0,"xxx",_xlfn.IFNA(VLOOKUP(T845,$M$2:$N$13,2,FALSE),U845)))</f>
        <v>322</v>
      </c>
      <c r="Y845" s="9">
        <f t="shared" si="857"/>
        <v>532</v>
      </c>
    </row>
    <row r="846" spans="3:25" x14ac:dyDescent="0.2">
      <c r="C846">
        <v>845</v>
      </c>
      <c r="D846" t="s">
        <v>3344</v>
      </c>
      <c r="E846">
        <v>845</v>
      </c>
      <c r="J846" s="55" t="s">
        <v>3345</v>
      </c>
      <c r="S846" s="9">
        <v>1676</v>
      </c>
      <c r="T846" s="9">
        <v>853</v>
      </c>
      <c r="U846" s="9">
        <v>322</v>
      </c>
      <c r="V846" s="9">
        <v>532</v>
      </c>
      <c r="W846" s="9">
        <f t="shared" si="846"/>
        <v>853</v>
      </c>
      <c r="X846" s="9">
        <f t="shared" ref="X846:Y846" si="858">IF(W846&lt;&gt;T846,W846,IF(_xlfn.IFNA(VLOOKUP(T846,$M$2:$N$13,2,FALSE),U846)=0,"xxx",_xlfn.IFNA(VLOOKUP(T846,$M$2:$N$13,2,FALSE),U846)))</f>
        <v>322</v>
      </c>
      <c r="Y846" s="9">
        <f t="shared" si="858"/>
        <v>532</v>
      </c>
    </row>
    <row r="847" spans="3:25" x14ac:dyDescent="0.2">
      <c r="C847">
        <v>846</v>
      </c>
      <c r="D847" t="s">
        <v>3346</v>
      </c>
      <c r="E847">
        <v>846</v>
      </c>
      <c r="J847" s="55" t="s">
        <v>3347</v>
      </c>
      <c r="S847" s="9">
        <v>1677</v>
      </c>
      <c r="T847" s="9">
        <v>853</v>
      </c>
      <c r="U847" s="9">
        <v>321</v>
      </c>
      <c r="V847" s="9">
        <v>531</v>
      </c>
      <c r="W847" s="9">
        <f t="shared" si="846"/>
        <v>853</v>
      </c>
      <c r="X847" s="9">
        <f t="shared" ref="X847:Y847" si="859">IF(W847&lt;&gt;T847,W847,IF(_xlfn.IFNA(VLOOKUP(T847,$M$2:$N$13,2,FALSE),U847)=0,"xxx",_xlfn.IFNA(VLOOKUP(T847,$M$2:$N$13,2,FALSE),U847)))</f>
        <v>321</v>
      </c>
      <c r="Y847" s="9">
        <f t="shared" si="859"/>
        <v>531</v>
      </c>
    </row>
    <row r="848" spans="3:25" x14ac:dyDescent="0.2">
      <c r="C848">
        <v>847</v>
      </c>
      <c r="D848" t="s">
        <v>3348</v>
      </c>
      <c r="E848">
        <v>847</v>
      </c>
      <c r="J848" s="55" t="s">
        <v>3349</v>
      </c>
      <c r="S848" s="9">
        <v>1678</v>
      </c>
      <c r="T848" s="9">
        <v>853</v>
      </c>
      <c r="U848" s="9">
        <v>321</v>
      </c>
      <c r="V848" s="9">
        <v>531</v>
      </c>
      <c r="W848" s="9">
        <f t="shared" si="846"/>
        <v>853</v>
      </c>
      <c r="X848" s="9">
        <f t="shared" ref="X848:Y848" si="860">IF(W848&lt;&gt;T848,W848,IF(_xlfn.IFNA(VLOOKUP(T848,$M$2:$N$13,2,FALSE),U848)=0,"xxx",_xlfn.IFNA(VLOOKUP(T848,$M$2:$N$13,2,FALSE),U848)))</f>
        <v>321</v>
      </c>
      <c r="Y848" s="9">
        <f t="shared" si="860"/>
        <v>531</v>
      </c>
    </row>
    <row r="849" spans="3:25" x14ac:dyDescent="0.2">
      <c r="C849">
        <v>848</v>
      </c>
      <c r="D849" t="s">
        <v>3350</v>
      </c>
      <c r="E849">
        <v>848</v>
      </c>
      <c r="I849" s="55" t="s">
        <v>3267</v>
      </c>
      <c r="J849" s="55" t="s">
        <v>3351</v>
      </c>
      <c r="S849" s="9">
        <v>1679</v>
      </c>
      <c r="T849" s="9">
        <v>853</v>
      </c>
      <c r="U849" s="9">
        <v>279</v>
      </c>
      <c r="V849" s="9">
        <v>531</v>
      </c>
      <c r="W849" s="9">
        <f t="shared" si="846"/>
        <v>853</v>
      </c>
      <c r="X849" s="9">
        <f t="shared" ref="X849:Y849" si="861">IF(W849&lt;&gt;T849,W849,IF(_xlfn.IFNA(VLOOKUP(T849,$M$2:$N$13,2,FALSE),U849)=0,"xxx",_xlfn.IFNA(VLOOKUP(T849,$M$2:$N$13,2,FALSE),U849)))</f>
        <v>279</v>
      </c>
      <c r="Y849" s="9">
        <f t="shared" si="861"/>
        <v>531</v>
      </c>
    </row>
    <row r="850" spans="3:25" x14ac:dyDescent="0.2">
      <c r="C850">
        <v>849</v>
      </c>
      <c r="D850" t="s">
        <v>3352</v>
      </c>
      <c r="E850">
        <v>849</v>
      </c>
      <c r="J850" s="55" t="s">
        <v>3353</v>
      </c>
      <c r="S850" s="9">
        <v>1680</v>
      </c>
      <c r="T850" s="9">
        <v>853</v>
      </c>
      <c r="U850" s="9"/>
      <c r="V850" s="9"/>
      <c r="W850" s="9">
        <f t="shared" si="846"/>
        <v>853</v>
      </c>
      <c r="X850" s="9" t="str">
        <f t="shared" ref="X850:Y850" si="862">IF(W850&lt;&gt;T850,W850,IF(_xlfn.IFNA(VLOOKUP(T850,$M$2:$N$13,2,FALSE),U850)=0,"xxx",_xlfn.IFNA(VLOOKUP(T850,$M$2:$N$13,2,FALSE),U850)))</f>
        <v>xxx</v>
      </c>
      <c r="Y850" s="9" t="str">
        <f t="shared" si="862"/>
        <v>xxx</v>
      </c>
    </row>
    <row r="851" spans="3:25" x14ac:dyDescent="0.2">
      <c r="C851">
        <v>850</v>
      </c>
      <c r="D851" t="s">
        <v>3354</v>
      </c>
      <c r="E851">
        <v>850</v>
      </c>
      <c r="J851" s="55" t="s">
        <v>3355</v>
      </c>
      <c r="S851" s="9">
        <v>1681</v>
      </c>
      <c r="T851" s="9">
        <v>853</v>
      </c>
      <c r="U851" s="9"/>
      <c r="V851" s="9"/>
      <c r="W851" s="9">
        <f t="shared" si="846"/>
        <v>853</v>
      </c>
      <c r="X851" s="9" t="str">
        <f t="shared" ref="X851:Y851" si="863">IF(W851&lt;&gt;T851,W851,IF(_xlfn.IFNA(VLOOKUP(T851,$M$2:$N$13,2,FALSE),U851)=0,"xxx",_xlfn.IFNA(VLOOKUP(T851,$M$2:$N$13,2,FALSE),U851)))</f>
        <v>xxx</v>
      </c>
      <c r="Y851" s="9" t="str">
        <f t="shared" si="863"/>
        <v>xxx</v>
      </c>
    </row>
    <row r="852" spans="3:25" x14ac:dyDescent="0.2">
      <c r="C852">
        <v>851</v>
      </c>
      <c r="D852" t="s">
        <v>3356</v>
      </c>
      <c r="E852">
        <v>851</v>
      </c>
      <c r="I852" s="55" t="s">
        <v>3357</v>
      </c>
      <c r="J852" s="55" t="s">
        <v>3358</v>
      </c>
      <c r="S852" s="9">
        <v>1682</v>
      </c>
      <c r="T852" s="9">
        <v>853</v>
      </c>
      <c r="U852" s="9">
        <v>282</v>
      </c>
      <c r="V852" s="9">
        <v>534</v>
      </c>
      <c r="W852" s="9">
        <f t="shared" si="846"/>
        <v>853</v>
      </c>
      <c r="X852" s="9">
        <f t="shared" ref="X852:Y852" si="864">IF(W852&lt;&gt;T852,W852,IF(_xlfn.IFNA(VLOOKUP(T852,$M$2:$N$13,2,FALSE),U852)=0,"xxx",_xlfn.IFNA(VLOOKUP(T852,$M$2:$N$13,2,FALSE),U852)))</f>
        <v>282</v>
      </c>
      <c r="Y852" s="9">
        <f t="shared" si="864"/>
        <v>534</v>
      </c>
    </row>
    <row r="853" spans="3:25" x14ac:dyDescent="0.2">
      <c r="C853">
        <v>852</v>
      </c>
      <c r="D853" t="s">
        <v>3359</v>
      </c>
      <c r="E853">
        <v>852</v>
      </c>
      <c r="I853" s="55" t="s">
        <v>3360</v>
      </c>
      <c r="J853" s="55" t="s">
        <v>3361</v>
      </c>
      <c r="S853" s="9">
        <v>1683</v>
      </c>
      <c r="T853" s="9">
        <v>853</v>
      </c>
      <c r="U853" s="9">
        <v>282</v>
      </c>
      <c r="V853" s="9">
        <v>534</v>
      </c>
      <c r="W853" s="9">
        <f t="shared" si="846"/>
        <v>853</v>
      </c>
      <c r="X853" s="9">
        <f t="shared" ref="X853:Y853" si="865">IF(W853&lt;&gt;T853,W853,IF(_xlfn.IFNA(VLOOKUP(T853,$M$2:$N$13,2,FALSE),U853)=0,"xxx",_xlfn.IFNA(VLOOKUP(T853,$M$2:$N$13,2,FALSE),U853)))</f>
        <v>282</v>
      </c>
      <c r="Y853" s="9">
        <f t="shared" si="865"/>
        <v>534</v>
      </c>
    </row>
    <row r="854" spans="3:25" x14ac:dyDescent="0.2">
      <c r="I854" s="55" t="s">
        <v>3255</v>
      </c>
      <c r="J854" s="55" t="s">
        <v>3362</v>
      </c>
      <c r="S854" s="9">
        <v>1684</v>
      </c>
      <c r="T854" s="9">
        <v>853</v>
      </c>
      <c r="U854" s="9">
        <v>282</v>
      </c>
      <c r="V854" s="9">
        <v>534</v>
      </c>
      <c r="W854" s="9">
        <f t="shared" si="846"/>
        <v>853</v>
      </c>
      <c r="X854" s="9">
        <f t="shared" ref="X854:Y854" si="866">IF(W854&lt;&gt;T854,W854,IF(_xlfn.IFNA(VLOOKUP(T854,$M$2:$N$13,2,FALSE),U854)=0,"xxx",_xlfn.IFNA(VLOOKUP(T854,$M$2:$N$13,2,FALSE),U854)))</f>
        <v>282</v>
      </c>
      <c r="Y854" s="9">
        <f t="shared" si="866"/>
        <v>534</v>
      </c>
    </row>
    <row r="855" spans="3:25" x14ac:dyDescent="0.2">
      <c r="I855" s="55" t="s">
        <v>3257</v>
      </c>
      <c r="J855" s="55" t="s">
        <v>3363</v>
      </c>
      <c r="S855" s="9">
        <v>1685</v>
      </c>
      <c r="T855" s="9">
        <v>853</v>
      </c>
      <c r="U855" s="9">
        <v>277</v>
      </c>
      <c r="V855" s="9">
        <v>529</v>
      </c>
      <c r="W855" s="9">
        <f t="shared" si="846"/>
        <v>853</v>
      </c>
      <c r="X855" s="9">
        <f t="shared" ref="X855:Y855" si="867">IF(W855&lt;&gt;T855,W855,IF(_xlfn.IFNA(VLOOKUP(T855,$M$2:$N$13,2,FALSE),U855)=0,"xxx",_xlfn.IFNA(VLOOKUP(T855,$M$2:$N$13,2,FALSE),U855)))</f>
        <v>277</v>
      </c>
      <c r="Y855" s="9">
        <f t="shared" si="867"/>
        <v>529</v>
      </c>
    </row>
    <row r="856" spans="3:25" x14ac:dyDescent="0.2">
      <c r="I856" s="55" t="s">
        <v>498</v>
      </c>
      <c r="J856" s="55" t="s">
        <v>3364</v>
      </c>
      <c r="S856" s="9">
        <v>1686</v>
      </c>
      <c r="T856" s="9">
        <v>853</v>
      </c>
      <c r="U856" s="9">
        <v>280</v>
      </c>
      <c r="V856" s="9">
        <v>532</v>
      </c>
      <c r="W856" s="9">
        <f t="shared" si="846"/>
        <v>853</v>
      </c>
      <c r="X856" s="9">
        <f t="shared" ref="X856:Y856" si="868">IF(W856&lt;&gt;T856,W856,IF(_xlfn.IFNA(VLOOKUP(T856,$M$2:$N$13,2,FALSE),U856)=0,"xxx",_xlfn.IFNA(VLOOKUP(T856,$M$2:$N$13,2,FALSE),U856)))</f>
        <v>280</v>
      </c>
      <c r="Y856" s="9">
        <f t="shared" si="868"/>
        <v>532</v>
      </c>
    </row>
    <row r="857" spans="3:25" x14ac:dyDescent="0.2">
      <c r="I857" s="55" t="s">
        <v>332</v>
      </c>
      <c r="J857" s="55" t="s">
        <v>3365</v>
      </c>
      <c r="S857" s="9">
        <v>1687</v>
      </c>
      <c r="T857" s="9">
        <v>853</v>
      </c>
      <c r="U857" s="9">
        <v>280</v>
      </c>
      <c r="V857" s="9">
        <v>532</v>
      </c>
      <c r="W857" s="9">
        <f t="shared" si="846"/>
        <v>853</v>
      </c>
      <c r="X857" s="9">
        <f t="shared" ref="X857:Y857" si="869">IF(W857&lt;&gt;T857,W857,IF(_xlfn.IFNA(VLOOKUP(T857,$M$2:$N$13,2,FALSE),U857)=0,"xxx",_xlfn.IFNA(VLOOKUP(T857,$M$2:$N$13,2,FALSE),U857)))</f>
        <v>280</v>
      </c>
      <c r="Y857" s="9">
        <f t="shared" si="869"/>
        <v>532</v>
      </c>
    </row>
    <row r="858" spans="3:25" x14ac:dyDescent="0.2">
      <c r="I858" s="55" t="s">
        <v>3366</v>
      </c>
      <c r="J858" s="55" t="s">
        <v>3367</v>
      </c>
      <c r="S858" s="9">
        <v>1688</v>
      </c>
      <c r="T858" s="9">
        <v>853</v>
      </c>
      <c r="U858" s="9">
        <v>325</v>
      </c>
      <c r="V858" s="9">
        <v>535</v>
      </c>
      <c r="W858" s="9">
        <f t="shared" si="846"/>
        <v>853</v>
      </c>
      <c r="X858" s="9">
        <f t="shared" ref="X858:Y858" si="870">IF(W858&lt;&gt;T858,W858,IF(_xlfn.IFNA(VLOOKUP(T858,$M$2:$N$13,2,FALSE),U858)=0,"xxx",_xlfn.IFNA(VLOOKUP(T858,$M$2:$N$13,2,FALSE),U858)))</f>
        <v>325</v>
      </c>
      <c r="Y858" s="9">
        <f t="shared" si="870"/>
        <v>535</v>
      </c>
    </row>
    <row r="859" spans="3:25" x14ac:dyDescent="0.2">
      <c r="I859" s="55" t="s">
        <v>3260</v>
      </c>
      <c r="J859" s="55" t="s">
        <v>3368</v>
      </c>
      <c r="S859" s="9">
        <v>1689</v>
      </c>
      <c r="T859" s="9">
        <v>853</v>
      </c>
      <c r="U859" s="9">
        <v>325</v>
      </c>
      <c r="V859" s="9">
        <v>535</v>
      </c>
      <c r="W859" s="9">
        <f t="shared" si="846"/>
        <v>853</v>
      </c>
      <c r="X859" s="9">
        <f t="shared" ref="X859:Y859" si="871">IF(W859&lt;&gt;T859,W859,IF(_xlfn.IFNA(VLOOKUP(T859,$M$2:$N$13,2,FALSE),U859)=0,"xxx",_xlfn.IFNA(VLOOKUP(T859,$M$2:$N$13,2,FALSE),U859)))</f>
        <v>325</v>
      </c>
      <c r="Y859" s="9">
        <f t="shared" si="871"/>
        <v>535</v>
      </c>
    </row>
    <row r="860" spans="3:25" x14ac:dyDescent="0.2">
      <c r="I860" s="55" t="s">
        <v>3369</v>
      </c>
      <c r="J860" s="55" t="s">
        <v>3370</v>
      </c>
      <c r="S860" s="9">
        <v>1690</v>
      </c>
      <c r="T860" s="9">
        <v>853</v>
      </c>
      <c r="U860" s="9">
        <v>277</v>
      </c>
      <c r="V860" s="9">
        <v>529</v>
      </c>
      <c r="W860" s="9">
        <f t="shared" si="846"/>
        <v>853</v>
      </c>
      <c r="X860" s="9">
        <f t="shared" ref="X860:Y860" si="872">IF(W860&lt;&gt;T860,W860,IF(_xlfn.IFNA(VLOOKUP(T860,$M$2:$N$13,2,FALSE),U860)=0,"xxx",_xlfn.IFNA(VLOOKUP(T860,$M$2:$N$13,2,FALSE),U860)))</f>
        <v>277</v>
      </c>
      <c r="Y860" s="9">
        <f t="shared" si="872"/>
        <v>529</v>
      </c>
    </row>
    <row r="861" spans="3:25" x14ac:dyDescent="0.2">
      <c r="I861" s="55" t="s">
        <v>468</v>
      </c>
      <c r="J861" s="55" t="s">
        <v>3371</v>
      </c>
      <c r="S861" s="9">
        <v>1691</v>
      </c>
      <c r="T861" s="9">
        <v>853</v>
      </c>
      <c r="U861" s="9">
        <v>277</v>
      </c>
      <c r="V861" s="9">
        <v>529</v>
      </c>
      <c r="W861" s="9">
        <f t="shared" si="846"/>
        <v>853</v>
      </c>
      <c r="X861" s="9">
        <f t="shared" ref="X861:Y861" si="873">IF(W861&lt;&gt;T861,W861,IF(_xlfn.IFNA(VLOOKUP(T861,$M$2:$N$13,2,FALSE),U861)=0,"xxx",_xlfn.IFNA(VLOOKUP(T861,$M$2:$N$13,2,FALSE),U861)))</f>
        <v>277</v>
      </c>
      <c r="Y861" s="9">
        <f t="shared" si="873"/>
        <v>529</v>
      </c>
    </row>
    <row r="862" spans="3:25" x14ac:dyDescent="0.2">
      <c r="I862" s="55" t="s">
        <v>3372</v>
      </c>
      <c r="J862" s="55" t="s">
        <v>3373</v>
      </c>
      <c r="S862" s="9">
        <v>1692</v>
      </c>
      <c r="T862" s="9">
        <v>853</v>
      </c>
      <c r="U862" s="9">
        <v>406</v>
      </c>
      <c r="V862" s="9">
        <v>532</v>
      </c>
      <c r="W862" s="9">
        <f t="shared" si="846"/>
        <v>853</v>
      </c>
      <c r="X862" s="9">
        <f t="shared" ref="X862:Y862" si="874">IF(W862&lt;&gt;T862,W862,IF(_xlfn.IFNA(VLOOKUP(T862,$M$2:$N$13,2,FALSE),U862)=0,"xxx",_xlfn.IFNA(VLOOKUP(T862,$M$2:$N$13,2,FALSE),U862)))</f>
        <v>406</v>
      </c>
      <c r="Y862" s="9">
        <f t="shared" si="874"/>
        <v>532</v>
      </c>
    </row>
    <row r="863" spans="3:25" x14ac:dyDescent="0.2">
      <c r="I863" s="55" t="s">
        <v>3263</v>
      </c>
      <c r="J863" s="55" t="s">
        <v>3374</v>
      </c>
      <c r="S863" s="9">
        <v>1693</v>
      </c>
      <c r="T863" s="9">
        <v>853</v>
      </c>
      <c r="U863" s="9">
        <v>406</v>
      </c>
      <c r="V863" s="9">
        <v>532</v>
      </c>
      <c r="W863" s="9">
        <f t="shared" si="846"/>
        <v>853</v>
      </c>
      <c r="X863" s="9">
        <f t="shared" ref="X863:Y863" si="875">IF(W863&lt;&gt;T863,W863,IF(_xlfn.IFNA(VLOOKUP(T863,$M$2:$N$13,2,FALSE),U863)=0,"xxx",_xlfn.IFNA(VLOOKUP(T863,$M$2:$N$13,2,FALSE),U863)))</f>
        <v>406</v>
      </c>
      <c r="Y863" s="9">
        <f t="shared" si="875"/>
        <v>532</v>
      </c>
    </row>
    <row r="864" spans="3:25" x14ac:dyDescent="0.2">
      <c r="I864" s="55" t="s">
        <v>3375</v>
      </c>
      <c r="J864" s="55" t="s">
        <v>3376</v>
      </c>
      <c r="S864" s="9">
        <v>1694</v>
      </c>
      <c r="T864" s="9">
        <v>853</v>
      </c>
      <c r="U864" s="9">
        <v>280</v>
      </c>
      <c r="V864" s="9">
        <v>532</v>
      </c>
      <c r="W864" s="9">
        <f t="shared" si="846"/>
        <v>853</v>
      </c>
      <c r="X864" s="9">
        <f t="shared" ref="X864:Y864" si="876">IF(W864&lt;&gt;T864,W864,IF(_xlfn.IFNA(VLOOKUP(T864,$M$2:$N$13,2,FALSE),U864)=0,"xxx",_xlfn.IFNA(VLOOKUP(T864,$M$2:$N$13,2,FALSE),U864)))</f>
        <v>280</v>
      </c>
      <c r="Y864" s="9">
        <f t="shared" si="876"/>
        <v>532</v>
      </c>
    </row>
    <row r="865" spans="9:25" x14ac:dyDescent="0.2">
      <c r="J865" s="55" t="s">
        <v>3377</v>
      </c>
      <c r="S865" s="9">
        <v>1695</v>
      </c>
      <c r="T865" s="9">
        <v>853</v>
      </c>
      <c r="U865" s="9">
        <v>320</v>
      </c>
      <c r="V865" s="9">
        <v>530</v>
      </c>
      <c r="W865" s="9">
        <f t="shared" si="846"/>
        <v>853</v>
      </c>
      <c r="X865" s="9">
        <f t="shared" ref="X865:Y865" si="877">IF(W865&lt;&gt;T865,W865,IF(_xlfn.IFNA(VLOOKUP(T865,$M$2:$N$13,2,FALSE),U865)=0,"xxx",_xlfn.IFNA(VLOOKUP(T865,$M$2:$N$13,2,FALSE),U865)))</f>
        <v>320</v>
      </c>
      <c r="Y865" s="9">
        <f t="shared" si="877"/>
        <v>530</v>
      </c>
    </row>
    <row r="866" spans="9:25" x14ac:dyDescent="0.2">
      <c r="I866" s="55" t="s">
        <v>3378</v>
      </c>
      <c r="J866" s="55" t="s">
        <v>3379</v>
      </c>
      <c r="S866" s="9">
        <v>1696</v>
      </c>
      <c r="T866" s="9">
        <v>853</v>
      </c>
      <c r="U866" s="9">
        <v>320</v>
      </c>
      <c r="V866" s="9">
        <v>530</v>
      </c>
      <c r="W866" s="9">
        <f t="shared" si="846"/>
        <v>853</v>
      </c>
      <c r="X866" s="9">
        <f t="shared" ref="X866:Y866" si="878">IF(W866&lt;&gt;T866,W866,IF(_xlfn.IFNA(VLOOKUP(T866,$M$2:$N$13,2,FALSE),U866)=0,"xxx",_xlfn.IFNA(VLOOKUP(T866,$M$2:$N$13,2,FALSE),U866)))</f>
        <v>320</v>
      </c>
      <c r="Y866" s="9">
        <f t="shared" si="878"/>
        <v>530</v>
      </c>
    </row>
    <row r="867" spans="9:25" x14ac:dyDescent="0.2">
      <c r="I867" s="55" t="s">
        <v>3380</v>
      </c>
      <c r="J867" s="55" t="s">
        <v>3381</v>
      </c>
      <c r="S867" s="9">
        <v>1697</v>
      </c>
      <c r="T867" s="9">
        <v>853</v>
      </c>
      <c r="U867" s="9">
        <v>320</v>
      </c>
      <c r="V867" s="9">
        <v>530</v>
      </c>
      <c r="W867" s="9">
        <f t="shared" si="846"/>
        <v>853</v>
      </c>
      <c r="X867" s="9">
        <f t="shared" ref="X867:Y867" si="879">IF(W867&lt;&gt;T867,W867,IF(_xlfn.IFNA(VLOOKUP(T867,$M$2:$N$13,2,FALSE),U867)=0,"xxx",_xlfn.IFNA(VLOOKUP(T867,$M$2:$N$13,2,FALSE),U867)))</f>
        <v>320</v>
      </c>
      <c r="Y867" s="9">
        <f t="shared" si="879"/>
        <v>530</v>
      </c>
    </row>
    <row r="868" spans="9:25" x14ac:dyDescent="0.2">
      <c r="I868" s="55" t="s">
        <v>325</v>
      </c>
      <c r="J868" s="55" t="s">
        <v>3382</v>
      </c>
      <c r="S868" s="9">
        <v>1698</v>
      </c>
      <c r="T868" s="9">
        <v>853</v>
      </c>
      <c r="U868" s="9">
        <v>283</v>
      </c>
      <c r="V868" s="9">
        <v>535</v>
      </c>
      <c r="W868" s="9">
        <f t="shared" si="846"/>
        <v>853</v>
      </c>
      <c r="X868" s="9">
        <f t="shared" ref="X868:Y868" si="880">IF(W868&lt;&gt;T868,W868,IF(_xlfn.IFNA(VLOOKUP(T868,$M$2:$N$13,2,FALSE),U868)=0,"xxx",_xlfn.IFNA(VLOOKUP(T868,$M$2:$N$13,2,FALSE),U868)))</f>
        <v>283</v>
      </c>
      <c r="Y868" s="9">
        <f t="shared" si="880"/>
        <v>535</v>
      </c>
    </row>
    <row r="869" spans="9:25" x14ac:dyDescent="0.2">
      <c r="I869" s="55" t="s">
        <v>535</v>
      </c>
      <c r="J869" s="55" t="s">
        <v>3383</v>
      </c>
      <c r="S869" s="9">
        <v>1699</v>
      </c>
      <c r="T869" s="9">
        <v>853</v>
      </c>
      <c r="U869" s="9">
        <v>279</v>
      </c>
      <c r="V869" s="9">
        <v>531</v>
      </c>
      <c r="W869" s="9">
        <f t="shared" si="846"/>
        <v>853</v>
      </c>
      <c r="X869" s="9">
        <f t="shared" ref="X869:Y869" si="881">IF(W869&lt;&gt;T869,W869,IF(_xlfn.IFNA(VLOOKUP(T869,$M$2:$N$13,2,FALSE),U869)=0,"xxx",_xlfn.IFNA(VLOOKUP(T869,$M$2:$N$13,2,FALSE),U869)))</f>
        <v>279</v>
      </c>
      <c r="Y869" s="9">
        <f t="shared" si="881"/>
        <v>531</v>
      </c>
    </row>
    <row r="870" spans="9:25" x14ac:dyDescent="0.2">
      <c r="J870" s="55" t="s">
        <v>3384</v>
      </c>
      <c r="S870" s="9">
        <v>1700</v>
      </c>
      <c r="T870" s="9">
        <v>853</v>
      </c>
      <c r="U870" s="9">
        <v>279</v>
      </c>
      <c r="V870" s="9">
        <v>531</v>
      </c>
      <c r="W870" s="9">
        <f t="shared" si="846"/>
        <v>853</v>
      </c>
      <c r="X870" s="9">
        <f t="shared" ref="X870:Y870" si="882">IF(W870&lt;&gt;T870,W870,IF(_xlfn.IFNA(VLOOKUP(T870,$M$2:$N$13,2,FALSE),U870)=0,"xxx",_xlfn.IFNA(VLOOKUP(T870,$M$2:$N$13,2,FALSE),U870)))</f>
        <v>279</v>
      </c>
      <c r="Y870" s="9">
        <f t="shared" si="882"/>
        <v>531</v>
      </c>
    </row>
    <row r="871" spans="9:25" x14ac:dyDescent="0.2">
      <c r="J871" s="55" t="s">
        <v>3385</v>
      </c>
      <c r="S871" s="9">
        <v>1701</v>
      </c>
      <c r="T871" s="9">
        <v>853</v>
      </c>
      <c r="U871" s="9">
        <v>280</v>
      </c>
      <c r="V871" s="9">
        <v>532</v>
      </c>
      <c r="W871" s="9">
        <f t="shared" si="846"/>
        <v>853</v>
      </c>
      <c r="X871" s="9">
        <f t="shared" ref="X871:Y871" si="883">IF(W871&lt;&gt;T871,W871,IF(_xlfn.IFNA(VLOOKUP(T871,$M$2:$N$13,2,FALSE),U871)=0,"xxx",_xlfn.IFNA(VLOOKUP(T871,$M$2:$N$13,2,FALSE),U871)))</f>
        <v>280</v>
      </c>
      <c r="Y871" s="9">
        <f t="shared" si="883"/>
        <v>532</v>
      </c>
    </row>
    <row r="872" spans="9:25" x14ac:dyDescent="0.2">
      <c r="I872" s="55" t="s">
        <v>3386</v>
      </c>
      <c r="J872" s="55" t="s">
        <v>3387</v>
      </c>
      <c r="S872" s="9">
        <v>1702</v>
      </c>
      <c r="T872" s="9">
        <v>853</v>
      </c>
      <c r="U872" s="9">
        <v>280</v>
      </c>
      <c r="V872" s="9">
        <v>532</v>
      </c>
      <c r="W872" s="9">
        <f t="shared" si="846"/>
        <v>853</v>
      </c>
      <c r="X872" s="9">
        <f t="shared" ref="X872:Y872" si="884">IF(W872&lt;&gt;T872,W872,IF(_xlfn.IFNA(VLOOKUP(T872,$M$2:$N$13,2,FALSE),U872)=0,"xxx",_xlfn.IFNA(VLOOKUP(T872,$M$2:$N$13,2,FALSE),U872)))</f>
        <v>280</v>
      </c>
      <c r="Y872" s="9">
        <f t="shared" si="884"/>
        <v>532</v>
      </c>
    </row>
    <row r="873" spans="9:25" x14ac:dyDescent="0.2">
      <c r="I873" s="55" t="s">
        <v>3388</v>
      </c>
      <c r="J873" s="55" t="s">
        <v>3389</v>
      </c>
      <c r="S873" s="9">
        <v>1703</v>
      </c>
      <c r="T873" s="9">
        <v>853</v>
      </c>
      <c r="U873" s="9">
        <v>278</v>
      </c>
      <c r="V873" s="9">
        <v>530</v>
      </c>
      <c r="W873" s="9">
        <f t="shared" si="846"/>
        <v>853</v>
      </c>
      <c r="X873" s="9">
        <f t="shared" ref="X873:Y873" si="885">IF(W873&lt;&gt;T873,W873,IF(_xlfn.IFNA(VLOOKUP(T873,$M$2:$N$13,2,FALSE),U873)=0,"xxx",_xlfn.IFNA(VLOOKUP(T873,$M$2:$N$13,2,FALSE),U873)))</f>
        <v>278</v>
      </c>
      <c r="Y873" s="9">
        <f t="shared" si="885"/>
        <v>530</v>
      </c>
    </row>
    <row r="874" spans="9:25" x14ac:dyDescent="0.2">
      <c r="J874" s="55" t="s">
        <v>3390</v>
      </c>
      <c r="S874" s="9">
        <v>1704</v>
      </c>
      <c r="T874" s="9">
        <v>853</v>
      </c>
      <c r="U874" s="9"/>
      <c r="V874" s="9"/>
      <c r="W874" s="9">
        <f t="shared" si="846"/>
        <v>853</v>
      </c>
      <c r="X874" s="9" t="str">
        <f t="shared" ref="X874:Y874" si="886">IF(W874&lt;&gt;T874,W874,IF(_xlfn.IFNA(VLOOKUP(T874,$M$2:$N$13,2,FALSE),U874)=0,"xxx",_xlfn.IFNA(VLOOKUP(T874,$M$2:$N$13,2,FALSE),U874)))</f>
        <v>xxx</v>
      </c>
      <c r="Y874" s="9" t="str">
        <f t="shared" si="886"/>
        <v>xxx</v>
      </c>
    </row>
    <row r="875" spans="9:25" x14ac:dyDescent="0.2">
      <c r="I875" s="55" t="s">
        <v>3391</v>
      </c>
      <c r="J875" s="55" t="s">
        <v>3392</v>
      </c>
      <c r="S875" s="9">
        <v>1705</v>
      </c>
      <c r="T875" s="9">
        <v>853</v>
      </c>
      <c r="U875" s="9"/>
      <c r="V875" s="9"/>
      <c r="W875" s="9">
        <f t="shared" si="846"/>
        <v>853</v>
      </c>
      <c r="X875" s="9" t="str">
        <f t="shared" ref="X875:Y875" si="887">IF(W875&lt;&gt;T875,W875,IF(_xlfn.IFNA(VLOOKUP(T875,$M$2:$N$13,2,FALSE),U875)=0,"xxx",_xlfn.IFNA(VLOOKUP(T875,$M$2:$N$13,2,FALSE),U875)))</f>
        <v>xxx</v>
      </c>
      <c r="Y875" s="9" t="str">
        <f t="shared" si="887"/>
        <v>xxx</v>
      </c>
    </row>
    <row r="876" spans="9:25" x14ac:dyDescent="0.2">
      <c r="I876" s="55" t="s">
        <v>417</v>
      </c>
      <c r="J876" s="55" t="s">
        <v>3393</v>
      </c>
      <c r="S876" s="9">
        <v>1706</v>
      </c>
      <c r="T876" s="9">
        <v>853</v>
      </c>
      <c r="U876" s="9"/>
      <c r="V876" s="9"/>
      <c r="W876" s="9">
        <f t="shared" si="846"/>
        <v>853</v>
      </c>
      <c r="X876" s="9" t="str">
        <f t="shared" ref="X876:Y876" si="888">IF(W876&lt;&gt;T876,W876,IF(_xlfn.IFNA(VLOOKUP(T876,$M$2:$N$13,2,FALSE),U876)=0,"xxx",_xlfn.IFNA(VLOOKUP(T876,$M$2:$N$13,2,FALSE),U876)))</f>
        <v>xxx</v>
      </c>
      <c r="Y876" s="9" t="str">
        <f t="shared" si="888"/>
        <v>xxx</v>
      </c>
    </row>
    <row r="877" spans="9:25" x14ac:dyDescent="0.2">
      <c r="I877" s="55" t="s">
        <v>3394</v>
      </c>
      <c r="J877" s="55" t="s">
        <v>3395</v>
      </c>
      <c r="S877" s="9">
        <v>1707</v>
      </c>
      <c r="T877" s="9">
        <v>853</v>
      </c>
      <c r="U877" s="9"/>
      <c r="V877" s="9"/>
      <c r="W877" s="9">
        <f t="shared" si="846"/>
        <v>853</v>
      </c>
      <c r="X877" s="9" t="str">
        <f t="shared" ref="X877:Y877" si="889">IF(W877&lt;&gt;T877,W877,IF(_xlfn.IFNA(VLOOKUP(T877,$M$2:$N$13,2,FALSE),U877)=0,"xxx",_xlfn.IFNA(VLOOKUP(T877,$M$2:$N$13,2,FALSE),U877)))</f>
        <v>xxx</v>
      </c>
      <c r="Y877" s="9" t="str">
        <f t="shared" si="889"/>
        <v>xxx</v>
      </c>
    </row>
    <row r="878" spans="9:25" x14ac:dyDescent="0.2">
      <c r="I878" s="55" t="s">
        <v>3396</v>
      </c>
      <c r="J878" s="55" t="s">
        <v>3397</v>
      </c>
      <c r="S878" s="9">
        <v>1708</v>
      </c>
      <c r="T878" s="9">
        <v>853</v>
      </c>
      <c r="U878" s="9"/>
      <c r="V878" s="9"/>
      <c r="W878" s="9">
        <f t="shared" si="846"/>
        <v>853</v>
      </c>
      <c r="X878" s="9" t="str">
        <f t="shared" ref="X878:Y878" si="890">IF(W878&lt;&gt;T878,W878,IF(_xlfn.IFNA(VLOOKUP(T878,$M$2:$N$13,2,FALSE),U878)=0,"xxx",_xlfn.IFNA(VLOOKUP(T878,$M$2:$N$13,2,FALSE),U878)))</f>
        <v>xxx</v>
      </c>
      <c r="Y878" s="9" t="str">
        <f t="shared" si="890"/>
        <v>xxx</v>
      </c>
    </row>
    <row r="879" spans="9:25" x14ac:dyDescent="0.2">
      <c r="J879" s="55" t="s">
        <v>3398</v>
      </c>
      <c r="S879" s="9">
        <v>1709</v>
      </c>
      <c r="T879" s="9">
        <v>853</v>
      </c>
      <c r="U879" s="9"/>
      <c r="V879" s="9"/>
      <c r="W879" s="9">
        <f t="shared" si="846"/>
        <v>853</v>
      </c>
      <c r="X879" s="9" t="str">
        <f t="shared" ref="X879:Y879" si="891">IF(W879&lt;&gt;T879,W879,IF(_xlfn.IFNA(VLOOKUP(T879,$M$2:$N$13,2,FALSE),U879)=0,"xxx",_xlfn.IFNA(VLOOKUP(T879,$M$2:$N$13,2,FALSE),U879)))</f>
        <v>xxx</v>
      </c>
      <c r="Y879" s="9" t="str">
        <f t="shared" si="891"/>
        <v>xxx</v>
      </c>
    </row>
    <row r="880" spans="9:25" x14ac:dyDescent="0.2">
      <c r="I880" s="55" t="s">
        <v>3399</v>
      </c>
      <c r="J880" s="55" t="s">
        <v>3400</v>
      </c>
      <c r="S880" s="9">
        <v>1710</v>
      </c>
      <c r="T880" s="9">
        <v>853</v>
      </c>
      <c r="U880" s="9"/>
      <c r="V880" s="9"/>
      <c r="W880" s="9">
        <f t="shared" si="846"/>
        <v>853</v>
      </c>
      <c r="X880" s="9" t="str">
        <f t="shared" ref="X880:Y880" si="892">IF(W880&lt;&gt;T880,W880,IF(_xlfn.IFNA(VLOOKUP(T880,$M$2:$N$13,2,FALSE),U880)=0,"xxx",_xlfn.IFNA(VLOOKUP(T880,$M$2:$N$13,2,FALSE),U880)))</f>
        <v>xxx</v>
      </c>
      <c r="Y880" s="9" t="str">
        <f t="shared" si="892"/>
        <v>xxx</v>
      </c>
    </row>
    <row r="881" spans="9:25" x14ac:dyDescent="0.2">
      <c r="J881" s="55" t="s">
        <v>3401</v>
      </c>
      <c r="S881" s="9">
        <v>1711</v>
      </c>
      <c r="T881" s="9">
        <v>853</v>
      </c>
      <c r="U881" s="9"/>
      <c r="V881" s="9"/>
      <c r="W881" s="9">
        <f t="shared" si="846"/>
        <v>853</v>
      </c>
      <c r="X881" s="9" t="str">
        <f t="shared" ref="X881:Y881" si="893">IF(W881&lt;&gt;T881,W881,IF(_xlfn.IFNA(VLOOKUP(T881,$M$2:$N$13,2,FALSE),U881)=0,"xxx",_xlfn.IFNA(VLOOKUP(T881,$M$2:$N$13,2,FALSE),U881)))</f>
        <v>xxx</v>
      </c>
      <c r="Y881" s="9" t="str">
        <f t="shared" si="893"/>
        <v>xxx</v>
      </c>
    </row>
    <row r="882" spans="9:25" x14ac:dyDescent="0.2">
      <c r="J882" s="55" t="s">
        <v>3402</v>
      </c>
      <c r="S882" s="9">
        <v>1712</v>
      </c>
      <c r="T882" s="9">
        <v>853</v>
      </c>
      <c r="U882" s="9">
        <v>280</v>
      </c>
      <c r="V882" s="9">
        <v>532</v>
      </c>
      <c r="W882" s="9">
        <f t="shared" si="846"/>
        <v>853</v>
      </c>
      <c r="X882" s="9">
        <f t="shared" ref="X882:Y882" si="894">IF(W882&lt;&gt;T882,W882,IF(_xlfn.IFNA(VLOOKUP(T882,$M$2:$N$13,2,FALSE),U882)=0,"xxx",_xlfn.IFNA(VLOOKUP(T882,$M$2:$N$13,2,FALSE),U882)))</f>
        <v>280</v>
      </c>
      <c r="Y882" s="9">
        <f t="shared" si="894"/>
        <v>532</v>
      </c>
    </row>
    <row r="883" spans="9:25" x14ac:dyDescent="0.2">
      <c r="J883" s="55" t="s">
        <v>3403</v>
      </c>
      <c r="S883" s="9">
        <v>1713</v>
      </c>
      <c r="T883" s="9">
        <v>853</v>
      </c>
      <c r="U883" s="9">
        <v>280</v>
      </c>
      <c r="V883" s="9">
        <v>532</v>
      </c>
      <c r="W883" s="9">
        <f t="shared" si="846"/>
        <v>853</v>
      </c>
      <c r="X883" s="9">
        <f t="shared" ref="X883:Y883" si="895">IF(W883&lt;&gt;T883,W883,IF(_xlfn.IFNA(VLOOKUP(T883,$M$2:$N$13,2,FALSE),U883)=0,"xxx",_xlfn.IFNA(VLOOKUP(T883,$M$2:$N$13,2,FALSE),U883)))</f>
        <v>280</v>
      </c>
      <c r="Y883" s="9">
        <f t="shared" si="895"/>
        <v>532</v>
      </c>
    </row>
    <row r="884" spans="9:25" x14ac:dyDescent="0.2">
      <c r="J884" s="55" t="s">
        <v>3404</v>
      </c>
      <c r="S884" s="9">
        <v>1714</v>
      </c>
      <c r="T884" s="9">
        <v>853</v>
      </c>
      <c r="U884" s="9">
        <v>325</v>
      </c>
      <c r="V884" s="9">
        <v>535</v>
      </c>
      <c r="W884" s="9">
        <f t="shared" si="846"/>
        <v>853</v>
      </c>
      <c r="X884" s="9">
        <f t="shared" ref="X884:Y884" si="896">IF(W884&lt;&gt;T884,W884,IF(_xlfn.IFNA(VLOOKUP(T884,$M$2:$N$13,2,FALSE),U884)=0,"xxx",_xlfn.IFNA(VLOOKUP(T884,$M$2:$N$13,2,FALSE),U884)))</f>
        <v>325</v>
      </c>
      <c r="Y884" s="9">
        <f t="shared" si="896"/>
        <v>535</v>
      </c>
    </row>
    <row r="885" spans="9:25" x14ac:dyDescent="0.2">
      <c r="I885" s="55" t="s">
        <v>3405</v>
      </c>
      <c r="J885" s="55" t="s">
        <v>3406</v>
      </c>
      <c r="S885" s="9">
        <v>1715</v>
      </c>
      <c r="T885" s="9">
        <v>853</v>
      </c>
      <c r="U885" s="9">
        <v>665</v>
      </c>
      <c r="V885" s="9">
        <v>529</v>
      </c>
      <c r="W885" s="9">
        <f t="shared" si="846"/>
        <v>853</v>
      </c>
      <c r="X885" s="9">
        <f t="shared" ref="X885:Y885" si="897">IF(W885&lt;&gt;T885,W885,IF(_xlfn.IFNA(VLOOKUP(T885,$M$2:$N$13,2,FALSE),U885)=0,"xxx",_xlfn.IFNA(VLOOKUP(T885,$M$2:$N$13,2,FALSE),U885)))</f>
        <v>665</v>
      </c>
      <c r="Y885" s="9">
        <f t="shared" si="897"/>
        <v>529</v>
      </c>
    </row>
    <row r="886" spans="9:25" x14ac:dyDescent="0.2">
      <c r="I886" s="55" t="s">
        <v>3407</v>
      </c>
      <c r="J886" s="55" t="s">
        <v>3408</v>
      </c>
      <c r="S886" s="9">
        <v>1716</v>
      </c>
      <c r="T886" s="9">
        <v>853</v>
      </c>
      <c r="U886" s="9">
        <v>279</v>
      </c>
      <c r="V886" s="9">
        <v>531</v>
      </c>
      <c r="W886" s="9">
        <f t="shared" si="846"/>
        <v>853</v>
      </c>
      <c r="X886" s="9">
        <f t="shared" ref="X886:Y886" si="898">IF(W886&lt;&gt;T886,W886,IF(_xlfn.IFNA(VLOOKUP(T886,$M$2:$N$13,2,FALSE),U886)=0,"xxx",_xlfn.IFNA(VLOOKUP(T886,$M$2:$N$13,2,FALSE),U886)))</f>
        <v>279</v>
      </c>
      <c r="Y886" s="9">
        <f t="shared" si="898"/>
        <v>531</v>
      </c>
    </row>
    <row r="887" spans="9:25" x14ac:dyDescent="0.2">
      <c r="J887" s="55" t="s">
        <v>3409</v>
      </c>
      <c r="S887" s="9">
        <v>1717</v>
      </c>
      <c r="T887" s="9">
        <v>853</v>
      </c>
      <c r="U887" s="9">
        <v>277</v>
      </c>
      <c r="V887" s="9">
        <v>529</v>
      </c>
      <c r="W887" s="9">
        <f t="shared" si="846"/>
        <v>853</v>
      </c>
      <c r="X887" s="9">
        <f t="shared" ref="X887:Y887" si="899">IF(W887&lt;&gt;T887,W887,IF(_xlfn.IFNA(VLOOKUP(T887,$M$2:$N$13,2,FALSE),U887)=0,"xxx",_xlfn.IFNA(VLOOKUP(T887,$M$2:$N$13,2,FALSE),U887)))</f>
        <v>277</v>
      </c>
      <c r="Y887" s="9">
        <f t="shared" si="899"/>
        <v>529</v>
      </c>
    </row>
    <row r="888" spans="9:25" x14ac:dyDescent="0.2">
      <c r="J888" s="55" t="s">
        <v>3410</v>
      </c>
      <c r="S888" s="9">
        <v>1718</v>
      </c>
      <c r="T888" s="9">
        <v>853</v>
      </c>
      <c r="U888" s="9">
        <v>277</v>
      </c>
      <c r="V888" s="9">
        <v>529</v>
      </c>
      <c r="W888" s="9">
        <f t="shared" si="846"/>
        <v>853</v>
      </c>
      <c r="X888" s="9">
        <f t="shared" ref="X888:Y888" si="900">IF(W888&lt;&gt;T888,W888,IF(_xlfn.IFNA(VLOOKUP(T888,$M$2:$N$13,2,FALSE),U888)=0,"xxx",_xlfn.IFNA(VLOOKUP(T888,$M$2:$N$13,2,FALSE),U888)))</f>
        <v>277</v>
      </c>
      <c r="Y888" s="9">
        <f t="shared" si="900"/>
        <v>529</v>
      </c>
    </row>
    <row r="889" spans="9:25" x14ac:dyDescent="0.2">
      <c r="J889" s="55" t="s">
        <v>3411</v>
      </c>
      <c r="S889" s="9">
        <v>1719</v>
      </c>
      <c r="T889" s="9">
        <v>853</v>
      </c>
      <c r="U889" s="9">
        <v>281</v>
      </c>
      <c r="V889" s="9">
        <v>533</v>
      </c>
      <c r="W889" s="9">
        <f t="shared" si="846"/>
        <v>853</v>
      </c>
      <c r="X889" s="9">
        <f t="shared" ref="X889:Y889" si="901">IF(W889&lt;&gt;T889,W889,IF(_xlfn.IFNA(VLOOKUP(T889,$M$2:$N$13,2,FALSE),U889)=0,"xxx",_xlfn.IFNA(VLOOKUP(T889,$M$2:$N$13,2,FALSE),U889)))</f>
        <v>281</v>
      </c>
      <c r="Y889" s="9">
        <f t="shared" si="901"/>
        <v>533</v>
      </c>
    </row>
    <row r="890" spans="9:25" x14ac:dyDescent="0.2">
      <c r="J890" s="55" t="s">
        <v>3412</v>
      </c>
      <c r="S890" s="9">
        <v>1720</v>
      </c>
      <c r="T890" s="9">
        <v>853</v>
      </c>
      <c r="U890" s="9">
        <v>323</v>
      </c>
      <c r="V890" s="9">
        <v>533</v>
      </c>
      <c r="W890" s="9">
        <f t="shared" si="846"/>
        <v>853</v>
      </c>
      <c r="X890" s="9">
        <f t="shared" ref="X890:Y890" si="902">IF(W890&lt;&gt;T890,W890,IF(_xlfn.IFNA(VLOOKUP(T890,$M$2:$N$13,2,FALSE),U890)=0,"xxx",_xlfn.IFNA(VLOOKUP(T890,$M$2:$N$13,2,FALSE),U890)))</f>
        <v>323</v>
      </c>
      <c r="Y890" s="9">
        <f t="shared" si="902"/>
        <v>533</v>
      </c>
    </row>
    <row r="891" spans="9:25" x14ac:dyDescent="0.2">
      <c r="J891" s="55" t="s">
        <v>3413</v>
      </c>
      <c r="S891" s="9">
        <v>1721</v>
      </c>
      <c r="T891" s="9">
        <v>853</v>
      </c>
      <c r="U891" s="9">
        <v>277</v>
      </c>
      <c r="V891" s="9">
        <v>529</v>
      </c>
      <c r="W891" s="9">
        <f t="shared" si="846"/>
        <v>853</v>
      </c>
      <c r="X891" s="9">
        <f t="shared" ref="X891:Y891" si="903">IF(W891&lt;&gt;T891,W891,IF(_xlfn.IFNA(VLOOKUP(T891,$M$2:$N$13,2,FALSE),U891)=0,"xxx",_xlfn.IFNA(VLOOKUP(T891,$M$2:$N$13,2,FALSE),U891)))</f>
        <v>277</v>
      </c>
      <c r="Y891" s="9">
        <f t="shared" si="903"/>
        <v>529</v>
      </c>
    </row>
    <row r="892" spans="9:25" x14ac:dyDescent="0.2">
      <c r="I892" s="55" t="s">
        <v>3414</v>
      </c>
      <c r="J892" s="55" t="s">
        <v>3415</v>
      </c>
      <c r="S892" s="9">
        <v>1722</v>
      </c>
      <c r="T892" s="9">
        <v>853</v>
      </c>
      <c r="U892" s="9">
        <v>281</v>
      </c>
      <c r="V892" s="9">
        <v>533</v>
      </c>
      <c r="W892" s="9">
        <f t="shared" si="846"/>
        <v>853</v>
      </c>
      <c r="X892" s="9">
        <f t="shared" ref="X892:Y892" si="904">IF(W892&lt;&gt;T892,W892,IF(_xlfn.IFNA(VLOOKUP(T892,$M$2:$N$13,2,FALSE),U892)=0,"xxx",_xlfn.IFNA(VLOOKUP(T892,$M$2:$N$13,2,FALSE),U892)))</f>
        <v>281</v>
      </c>
      <c r="Y892" s="9">
        <f t="shared" si="904"/>
        <v>533</v>
      </c>
    </row>
    <row r="893" spans="9:25" x14ac:dyDescent="0.2">
      <c r="J893" s="55" t="s">
        <v>3416</v>
      </c>
      <c r="S893" s="9">
        <v>1723</v>
      </c>
      <c r="T893" s="9">
        <v>853</v>
      </c>
      <c r="U893" s="9">
        <v>281</v>
      </c>
      <c r="V893" s="9">
        <v>533</v>
      </c>
      <c r="W893" s="9">
        <f t="shared" si="846"/>
        <v>853</v>
      </c>
      <c r="X893" s="9">
        <f t="shared" ref="X893:Y893" si="905">IF(W893&lt;&gt;T893,W893,IF(_xlfn.IFNA(VLOOKUP(T893,$M$2:$N$13,2,FALSE),U893)=0,"xxx",_xlfn.IFNA(VLOOKUP(T893,$M$2:$N$13,2,FALSE),U893)))</f>
        <v>281</v>
      </c>
      <c r="Y893" s="9">
        <f t="shared" si="905"/>
        <v>533</v>
      </c>
    </row>
    <row r="894" spans="9:25" x14ac:dyDescent="0.2">
      <c r="I894" s="55" t="s">
        <v>3417</v>
      </c>
      <c r="J894" s="55" t="s">
        <v>3418</v>
      </c>
      <c r="S894" s="9">
        <v>1724</v>
      </c>
      <c r="T894" s="9">
        <v>853</v>
      </c>
      <c r="U894" s="9">
        <v>283</v>
      </c>
      <c r="V894" s="9">
        <v>535</v>
      </c>
      <c r="W894" s="9">
        <f t="shared" si="846"/>
        <v>853</v>
      </c>
      <c r="X894" s="9">
        <f t="shared" ref="X894:Y894" si="906">IF(W894&lt;&gt;T894,W894,IF(_xlfn.IFNA(VLOOKUP(T894,$M$2:$N$13,2,FALSE),U894)=0,"xxx",_xlfn.IFNA(VLOOKUP(T894,$M$2:$N$13,2,FALSE),U894)))</f>
        <v>283</v>
      </c>
      <c r="Y894" s="9">
        <f t="shared" si="906"/>
        <v>535</v>
      </c>
    </row>
    <row r="895" spans="9:25" x14ac:dyDescent="0.2">
      <c r="J895" s="55" t="s">
        <v>3419</v>
      </c>
      <c r="S895" s="9">
        <v>1725</v>
      </c>
      <c r="T895" s="9">
        <v>853</v>
      </c>
      <c r="U895" s="9">
        <v>273</v>
      </c>
      <c r="V895" s="9">
        <v>525</v>
      </c>
      <c r="W895" s="9">
        <f t="shared" si="846"/>
        <v>853</v>
      </c>
      <c r="X895" s="9">
        <f t="shared" ref="X895:Y895" si="907">IF(W895&lt;&gt;T895,W895,IF(_xlfn.IFNA(VLOOKUP(T895,$M$2:$N$13,2,FALSE),U895)=0,"xxx",_xlfn.IFNA(VLOOKUP(T895,$M$2:$N$13,2,FALSE),U895)))</f>
        <v>273</v>
      </c>
      <c r="Y895" s="9">
        <f t="shared" si="907"/>
        <v>525</v>
      </c>
    </row>
    <row r="896" spans="9:25" x14ac:dyDescent="0.2">
      <c r="J896" s="55" t="s">
        <v>3420</v>
      </c>
      <c r="S896" s="9">
        <v>1726</v>
      </c>
      <c r="T896" s="9">
        <v>853</v>
      </c>
      <c r="U896" s="9">
        <v>283</v>
      </c>
      <c r="V896" s="9">
        <v>535</v>
      </c>
      <c r="W896" s="9">
        <f t="shared" si="846"/>
        <v>853</v>
      </c>
      <c r="X896" s="9">
        <f t="shared" ref="X896:Y896" si="908">IF(W896&lt;&gt;T896,W896,IF(_xlfn.IFNA(VLOOKUP(T896,$M$2:$N$13,2,FALSE),U896)=0,"xxx",_xlfn.IFNA(VLOOKUP(T896,$M$2:$N$13,2,FALSE),U896)))</f>
        <v>283</v>
      </c>
      <c r="Y896" s="9">
        <f t="shared" si="908"/>
        <v>535</v>
      </c>
    </row>
    <row r="897" spans="9:25" x14ac:dyDescent="0.2">
      <c r="J897" s="55" t="s">
        <v>3421</v>
      </c>
      <c r="S897" s="9">
        <v>1727</v>
      </c>
      <c r="T897" s="9">
        <v>853</v>
      </c>
      <c r="U897" s="9"/>
      <c r="V897" s="9"/>
      <c r="W897" s="9">
        <f t="shared" si="846"/>
        <v>853</v>
      </c>
      <c r="X897" s="9" t="str">
        <f t="shared" ref="X897:Y897" si="909">IF(W897&lt;&gt;T897,W897,IF(_xlfn.IFNA(VLOOKUP(T897,$M$2:$N$13,2,FALSE),U897)=0,"xxx",_xlfn.IFNA(VLOOKUP(T897,$M$2:$N$13,2,FALSE),U897)))</f>
        <v>xxx</v>
      </c>
      <c r="Y897" s="9" t="str">
        <f t="shared" si="909"/>
        <v>xxx</v>
      </c>
    </row>
    <row r="898" spans="9:25" x14ac:dyDescent="0.2">
      <c r="J898" s="55" t="s">
        <v>3422</v>
      </c>
      <c r="S898" s="9">
        <v>1728</v>
      </c>
      <c r="T898" s="9">
        <v>853</v>
      </c>
      <c r="U898" s="9"/>
      <c r="V898" s="9"/>
      <c r="W898" s="9">
        <f t="shared" si="846"/>
        <v>853</v>
      </c>
      <c r="X898" s="9" t="str">
        <f t="shared" ref="X898:Y898" si="910">IF(W898&lt;&gt;T898,W898,IF(_xlfn.IFNA(VLOOKUP(T898,$M$2:$N$13,2,FALSE),U898)=0,"xxx",_xlfn.IFNA(VLOOKUP(T898,$M$2:$N$13,2,FALSE),U898)))</f>
        <v>xxx</v>
      </c>
      <c r="Y898" s="9" t="str">
        <f t="shared" si="910"/>
        <v>xxx</v>
      </c>
    </row>
    <row r="899" spans="9:25" x14ac:dyDescent="0.2">
      <c r="J899" s="55" t="s">
        <v>3423</v>
      </c>
      <c r="S899" s="9">
        <v>1729</v>
      </c>
      <c r="T899" s="9">
        <v>853</v>
      </c>
      <c r="U899" s="9"/>
      <c r="V899" s="9"/>
      <c r="W899" s="9">
        <f t="shared" ref="W899:W908" si="911">IF(_xlfn.IFNA(VLOOKUP(S899,$M$2:$N$13,2,FALSE),T899)=0,"xxx",_xlfn.IFNA(VLOOKUP(S899,$M$2:$N$13,2,FALSE),T899))</f>
        <v>853</v>
      </c>
      <c r="X899" s="9" t="str">
        <f t="shared" ref="X899:Y899" si="912">IF(W899&lt;&gt;T899,W899,IF(_xlfn.IFNA(VLOOKUP(T899,$M$2:$N$13,2,FALSE),U899)=0,"xxx",_xlfn.IFNA(VLOOKUP(T899,$M$2:$N$13,2,FALSE),U899)))</f>
        <v>xxx</v>
      </c>
      <c r="Y899" s="9" t="str">
        <f t="shared" si="912"/>
        <v>xxx</v>
      </c>
    </row>
    <row r="900" spans="9:25" x14ac:dyDescent="0.2">
      <c r="J900" s="55" t="s">
        <v>3424</v>
      </c>
      <c r="S900" s="9">
        <v>1730</v>
      </c>
      <c r="T900" s="9">
        <v>853</v>
      </c>
      <c r="U900" s="9"/>
      <c r="V900" s="9"/>
      <c r="W900" s="9">
        <f t="shared" si="911"/>
        <v>853</v>
      </c>
      <c r="X900" s="9" t="str">
        <f t="shared" ref="X900:Y900" si="913">IF(W900&lt;&gt;T900,W900,IF(_xlfn.IFNA(VLOOKUP(T900,$M$2:$N$13,2,FALSE),U900)=0,"xxx",_xlfn.IFNA(VLOOKUP(T900,$M$2:$N$13,2,FALSE),U900)))</f>
        <v>xxx</v>
      </c>
      <c r="Y900" s="9" t="str">
        <f t="shared" si="913"/>
        <v>xxx</v>
      </c>
    </row>
    <row r="901" spans="9:25" x14ac:dyDescent="0.2">
      <c r="J901" s="55" t="s">
        <v>3425</v>
      </c>
      <c r="S901" s="9">
        <v>1731</v>
      </c>
      <c r="T901" s="9">
        <v>853</v>
      </c>
      <c r="U901" s="9"/>
      <c r="V901" s="9"/>
      <c r="W901" s="9">
        <f t="shared" si="911"/>
        <v>853</v>
      </c>
      <c r="X901" s="9" t="str">
        <f t="shared" ref="X901:Y901" si="914">IF(W901&lt;&gt;T901,W901,IF(_xlfn.IFNA(VLOOKUP(T901,$M$2:$N$13,2,FALSE),U901)=0,"xxx",_xlfn.IFNA(VLOOKUP(T901,$M$2:$N$13,2,FALSE),U901)))</f>
        <v>xxx</v>
      </c>
      <c r="Y901" s="9" t="str">
        <f t="shared" si="914"/>
        <v>xxx</v>
      </c>
    </row>
    <row r="902" spans="9:25" x14ac:dyDescent="0.2">
      <c r="J902" s="55" t="s">
        <v>3426</v>
      </c>
      <c r="S902" s="9">
        <v>1732</v>
      </c>
      <c r="T902" s="9">
        <v>853</v>
      </c>
      <c r="U902" s="9"/>
      <c r="V902" s="9"/>
      <c r="W902" s="9">
        <f t="shared" si="911"/>
        <v>853</v>
      </c>
      <c r="X902" s="9" t="str">
        <f t="shared" ref="X902:Y902" si="915">IF(W902&lt;&gt;T902,W902,IF(_xlfn.IFNA(VLOOKUP(T902,$M$2:$N$13,2,FALSE),U902)=0,"xxx",_xlfn.IFNA(VLOOKUP(T902,$M$2:$N$13,2,FALSE),U902)))</f>
        <v>xxx</v>
      </c>
      <c r="Y902" s="9" t="str">
        <f t="shared" si="915"/>
        <v>xxx</v>
      </c>
    </row>
    <row r="903" spans="9:25" x14ac:dyDescent="0.2">
      <c r="J903" s="55" t="s">
        <v>3427</v>
      </c>
      <c r="S903" s="9">
        <v>1733</v>
      </c>
      <c r="T903" s="9">
        <v>853</v>
      </c>
      <c r="U903" s="9"/>
      <c r="V903" s="9"/>
      <c r="W903" s="9">
        <f t="shared" si="911"/>
        <v>853</v>
      </c>
      <c r="X903" s="9" t="str">
        <f t="shared" ref="X903:Y903" si="916">IF(W903&lt;&gt;T903,W903,IF(_xlfn.IFNA(VLOOKUP(T903,$M$2:$N$13,2,FALSE),U903)=0,"xxx",_xlfn.IFNA(VLOOKUP(T903,$M$2:$N$13,2,FALSE),U903)))</f>
        <v>xxx</v>
      </c>
      <c r="Y903" s="9" t="str">
        <f t="shared" si="916"/>
        <v>xxx</v>
      </c>
    </row>
    <row r="904" spans="9:25" x14ac:dyDescent="0.2">
      <c r="J904" s="55" t="s">
        <v>3428</v>
      </c>
      <c r="S904" s="9">
        <v>1734</v>
      </c>
      <c r="T904" s="9">
        <v>853</v>
      </c>
      <c r="U904" s="9"/>
      <c r="V904" s="9"/>
      <c r="W904" s="9">
        <f t="shared" si="911"/>
        <v>853</v>
      </c>
      <c r="X904" s="9" t="str">
        <f t="shared" ref="X904:Y904" si="917">IF(W904&lt;&gt;T904,W904,IF(_xlfn.IFNA(VLOOKUP(T904,$M$2:$N$13,2,FALSE),U904)=0,"xxx",_xlfn.IFNA(VLOOKUP(T904,$M$2:$N$13,2,FALSE),U904)))</f>
        <v>xxx</v>
      </c>
      <c r="Y904" s="9" t="str">
        <f t="shared" si="917"/>
        <v>xxx</v>
      </c>
    </row>
    <row r="905" spans="9:25" x14ac:dyDescent="0.2">
      <c r="J905" s="55" t="s">
        <v>3429</v>
      </c>
      <c r="S905" s="9">
        <v>1735</v>
      </c>
      <c r="T905" s="9">
        <v>853</v>
      </c>
      <c r="U905" s="9">
        <v>709</v>
      </c>
      <c r="V905" s="9">
        <v>532</v>
      </c>
      <c r="W905" s="9">
        <f t="shared" si="911"/>
        <v>853</v>
      </c>
      <c r="X905" s="9">
        <f t="shared" ref="X905:Y905" si="918">IF(W905&lt;&gt;T905,W905,IF(_xlfn.IFNA(VLOOKUP(T905,$M$2:$N$13,2,FALSE),U905)=0,"xxx",_xlfn.IFNA(VLOOKUP(T905,$M$2:$N$13,2,FALSE),U905)))</f>
        <v>709</v>
      </c>
      <c r="Y905" s="9">
        <f t="shared" si="918"/>
        <v>532</v>
      </c>
    </row>
    <row r="906" spans="9:25" x14ac:dyDescent="0.2">
      <c r="J906" s="55" t="s">
        <v>3430</v>
      </c>
      <c r="S906" s="9">
        <v>1736</v>
      </c>
      <c r="T906" s="9">
        <v>853</v>
      </c>
      <c r="U906" s="9">
        <v>274</v>
      </c>
      <c r="V906" s="9">
        <v>526</v>
      </c>
      <c r="W906" s="9">
        <f t="shared" si="911"/>
        <v>853</v>
      </c>
      <c r="X906" s="9">
        <f t="shared" ref="X906:Y906" si="919">IF(W906&lt;&gt;T906,W906,IF(_xlfn.IFNA(VLOOKUP(T906,$M$2:$N$13,2,FALSE),U906)=0,"xxx",_xlfn.IFNA(VLOOKUP(T906,$M$2:$N$13,2,FALSE),U906)))</f>
        <v>274</v>
      </c>
      <c r="Y906" s="9">
        <f t="shared" si="919"/>
        <v>526</v>
      </c>
    </row>
    <row r="907" spans="9:25" x14ac:dyDescent="0.2">
      <c r="I907" s="55" t="s">
        <v>3431</v>
      </c>
      <c r="J907" s="55" t="s">
        <v>3432</v>
      </c>
      <c r="S907" s="9">
        <v>1737</v>
      </c>
      <c r="T907" s="9">
        <v>853</v>
      </c>
      <c r="U907" s="9"/>
      <c r="V907" s="9"/>
      <c r="W907" s="9">
        <f t="shared" si="911"/>
        <v>853</v>
      </c>
      <c r="X907" s="9" t="str">
        <f t="shared" ref="X907:Y907" si="920">IF(W907&lt;&gt;T907,W907,IF(_xlfn.IFNA(VLOOKUP(T907,$M$2:$N$13,2,FALSE),U907)=0,"xxx",_xlfn.IFNA(VLOOKUP(T907,$M$2:$N$13,2,FALSE),U907)))</f>
        <v>xxx</v>
      </c>
      <c r="Y907" s="9" t="str">
        <f t="shared" si="920"/>
        <v>xxx</v>
      </c>
    </row>
    <row r="908" spans="9:25" x14ac:dyDescent="0.2">
      <c r="J908" s="55" t="s">
        <v>3433</v>
      </c>
      <c r="S908" s="9">
        <v>1738</v>
      </c>
      <c r="T908" s="9">
        <v>853</v>
      </c>
      <c r="U908" s="9"/>
      <c r="V908" s="9"/>
      <c r="W908" s="9">
        <f t="shared" si="911"/>
        <v>853</v>
      </c>
      <c r="X908" s="9" t="str">
        <f t="shared" ref="X908:Y908" si="921">IF(W908&lt;&gt;T908,W908,IF(_xlfn.IFNA(VLOOKUP(T908,$M$2:$N$13,2,FALSE),U908)=0,"xxx",_xlfn.IFNA(VLOOKUP(T908,$M$2:$N$13,2,FALSE),U908)))</f>
        <v>xxx</v>
      </c>
      <c r="Y908" s="9" t="str">
        <f t="shared" si="921"/>
        <v>xxx</v>
      </c>
    </row>
    <row r="909" spans="9:25" x14ac:dyDescent="0.2">
      <c r="J909" s="55" t="s">
        <v>3434</v>
      </c>
    </row>
    <row r="910" spans="9:25" x14ac:dyDescent="0.2">
      <c r="J910" s="55" t="s">
        <v>3435</v>
      </c>
    </row>
    <row r="911" spans="9:25" x14ac:dyDescent="0.2">
      <c r="I911" s="55" t="s">
        <v>3436</v>
      </c>
      <c r="J911" s="55" t="s">
        <v>3437</v>
      </c>
    </row>
    <row r="912" spans="9:25" x14ac:dyDescent="0.2">
      <c r="J912" s="55" t="s">
        <v>3438</v>
      </c>
    </row>
    <row r="913" spans="9:10" x14ac:dyDescent="0.2">
      <c r="J913" s="55" t="s">
        <v>3439</v>
      </c>
    </row>
    <row r="914" spans="9:10" x14ac:dyDescent="0.2">
      <c r="J914" s="55" t="s">
        <v>3440</v>
      </c>
    </row>
    <row r="915" spans="9:10" x14ac:dyDescent="0.2">
      <c r="J915" s="55" t="s">
        <v>3441</v>
      </c>
    </row>
    <row r="916" spans="9:10" x14ac:dyDescent="0.2">
      <c r="J916" s="55" t="s">
        <v>3442</v>
      </c>
    </row>
    <row r="917" spans="9:10" x14ac:dyDescent="0.2">
      <c r="I917" s="55" t="s">
        <v>3443</v>
      </c>
      <c r="J917" s="55" t="s">
        <v>3444</v>
      </c>
    </row>
    <row r="918" spans="9:10" x14ac:dyDescent="0.2">
      <c r="J918" s="55" t="s">
        <v>3445</v>
      </c>
    </row>
    <row r="919" spans="9:10" x14ac:dyDescent="0.2">
      <c r="J919" s="55" t="s">
        <v>3446</v>
      </c>
    </row>
    <row r="920" spans="9:10" x14ac:dyDescent="0.2">
      <c r="I920" s="55" t="s">
        <v>3447</v>
      </c>
      <c r="J920" s="55" t="s">
        <v>3448</v>
      </c>
    </row>
    <row r="921" spans="9:10" x14ac:dyDescent="0.2">
      <c r="J921" s="55" t="s">
        <v>3449</v>
      </c>
    </row>
    <row r="922" spans="9:10" x14ac:dyDescent="0.2">
      <c r="J922" s="55" t="s">
        <v>3450</v>
      </c>
    </row>
    <row r="923" spans="9:10" x14ac:dyDescent="0.2">
      <c r="I923" s="55" t="s">
        <v>3451</v>
      </c>
      <c r="J923" s="55" t="s">
        <v>3452</v>
      </c>
    </row>
    <row r="924" spans="9:10" x14ac:dyDescent="0.2">
      <c r="J924" s="55" t="s">
        <v>3453</v>
      </c>
    </row>
    <row r="925" spans="9:10" x14ac:dyDescent="0.2">
      <c r="J925" s="55" t="s">
        <v>3454</v>
      </c>
    </row>
    <row r="926" spans="9:10" x14ac:dyDescent="0.2">
      <c r="J926" s="55" t="s">
        <v>3455</v>
      </c>
    </row>
    <row r="927" spans="9:10" x14ac:dyDescent="0.2">
      <c r="J927" s="55" t="s">
        <v>3456</v>
      </c>
    </row>
    <row r="928" spans="9:10" x14ac:dyDescent="0.2">
      <c r="I928" s="55" t="s">
        <v>3457</v>
      </c>
      <c r="J928" s="55" t="s">
        <v>3458</v>
      </c>
    </row>
    <row r="929" spans="9:10" x14ac:dyDescent="0.2">
      <c r="J929" s="55" t="s">
        <v>3459</v>
      </c>
    </row>
    <row r="930" spans="9:10" x14ac:dyDescent="0.2">
      <c r="J930" s="55" t="s">
        <v>3460</v>
      </c>
    </row>
    <row r="931" spans="9:10" x14ac:dyDescent="0.2">
      <c r="J931" s="55" t="s">
        <v>3461</v>
      </c>
    </row>
    <row r="932" spans="9:10" x14ac:dyDescent="0.2">
      <c r="J932" s="55" t="s">
        <v>3462</v>
      </c>
    </row>
    <row r="933" spans="9:10" x14ac:dyDescent="0.2">
      <c r="J933" s="55" t="s">
        <v>3463</v>
      </c>
    </row>
    <row r="934" spans="9:10" x14ac:dyDescent="0.2">
      <c r="J934" s="55" t="s">
        <v>3464</v>
      </c>
    </row>
    <row r="935" spans="9:10" x14ac:dyDescent="0.2">
      <c r="J935" s="55" t="s">
        <v>3465</v>
      </c>
    </row>
    <row r="936" spans="9:10" x14ac:dyDescent="0.2">
      <c r="I936" s="55" t="s">
        <v>3466</v>
      </c>
      <c r="J936" s="55" t="s">
        <v>3467</v>
      </c>
    </row>
    <row r="937" spans="9:10" x14ac:dyDescent="0.2">
      <c r="I937" s="55" t="s">
        <v>3468</v>
      </c>
      <c r="J937" s="55" t="s">
        <v>3469</v>
      </c>
    </row>
    <row r="938" spans="9:10" x14ac:dyDescent="0.2">
      <c r="J938" s="55" t="s">
        <v>3470</v>
      </c>
    </row>
    <row r="939" spans="9:10" x14ac:dyDescent="0.2">
      <c r="J939" s="55" t="s">
        <v>3471</v>
      </c>
    </row>
    <row r="940" spans="9:10" x14ac:dyDescent="0.2">
      <c r="J940" s="55" t="s">
        <v>3472</v>
      </c>
    </row>
    <row r="941" spans="9:10" x14ac:dyDescent="0.2">
      <c r="J941" s="55" t="s">
        <v>3473</v>
      </c>
    </row>
    <row r="942" spans="9:10" x14ac:dyDescent="0.2">
      <c r="J942" s="55" t="s">
        <v>3474</v>
      </c>
    </row>
    <row r="943" spans="9:10" x14ac:dyDescent="0.2">
      <c r="J943" s="55" t="s">
        <v>3475</v>
      </c>
    </row>
    <row r="944" spans="9:10" x14ac:dyDescent="0.2">
      <c r="J944" s="55" t="s">
        <v>3476</v>
      </c>
    </row>
    <row r="945" spans="9:10" x14ac:dyDescent="0.2">
      <c r="I945" s="55" t="s">
        <v>3477</v>
      </c>
      <c r="J945" s="55" t="s">
        <v>3478</v>
      </c>
    </row>
    <row r="946" spans="9:10" x14ac:dyDescent="0.2">
      <c r="J946" s="55" t="s">
        <v>3479</v>
      </c>
    </row>
    <row r="947" spans="9:10" x14ac:dyDescent="0.2">
      <c r="J947" s="55" t="s">
        <v>3480</v>
      </c>
    </row>
    <row r="948" spans="9:10" x14ac:dyDescent="0.2">
      <c r="J948" s="55" t="s">
        <v>3481</v>
      </c>
    </row>
    <row r="949" spans="9:10" x14ac:dyDescent="0.2">
      <c r="J949" s="55" t="s">
        <v>3482</v>
      </c>
    </row>
    <row r="950" spans="9:10" x14ac:dyDescent="0.2">
      <c r="J950" s="55" t="s">
        <v>3483</v>
      </c>
    </row>
    <row r="951" spans="9:10" x14ac:dyDescent="0.2">
      <c r="J951" s="55" t="s">
        <v>3484</v>
      </c>
    </row>
    <row r="952" spans="9:10" x14ac:dyDescent="0.2">
      <c r="I952" s="55" t="s">
        <v>3485</v>
      </c>
      <c r="J952" s="55" t="s">
        <v>3486</v>
      </c>
    </row>
    <row r="953" spans="9:10" x14ac:dyDescent="0.2">
      <c r="I953" s="55" t="s">
        <v>3487</v>
      </c>
      <c r="J953" s="55" t="s">
        <v>3488</v>
      </c>
    </row>
    <row r="954" spans="9:10" x14ac:dyDescent="0.2">
      <c r="I954" s="55" t="s">
        <v>3489</v>
      </c>
      <c r="J954" s="55" t="s">
        <v>3490</v>
      </c>
    </row>
    <row r="955" spans="9:10" x14ac:dyDescent="0.2">
      <c r="J955" s="55" t="s">
        <v>3491</v>
      </c>
    </row>
    <row r="956" spans="9:10" x14ac:dyDescent="0.2">
      <c r="J956" s="55" t="s">
        <v>3492</v>
      </c>
    </row>
    <row r="957" spans="9:10" x14ac:dyDescent="0.2">
      <c r="J957" s="55" t="s">
        <v>3493</v>
      </c>
    </row>
    <row r="958" spans="9:10" x14ac:dyDescent="0.2">
      <c r="J958" s="55" t="s">
        <v>3494</v>
      </c>
    </row>
    <row r="959" spans="9:10" x14ac:dyDescent="0.2">
      <c r="I959" s="55" t="s">
        <v>3495</v>
      </c>
      <c r="J959" s="55" t="s">
        <v>3496</v>
      </c>
    </row>
    <row r="960" spans="9:10" x14ac:dyDescent="0.2">
      <c r="I960" s="55" t="s">
        <v>3497</v>
      </c>
      <c r="J960" s="55" t="s">
        <v>3498</v>
      </c>
    </row>
    <row r="961" spans="9:10" x14ac:dyDescent="0.2">
      <c r="I961" s="55" t="s">
        <v>3499</v>
      </c>
      <c r="J961" s="55" t="s">
        <v>3500</v>
      </c>
    </row>
    <row r="962" spans="9:10" x14ac:dyDescent="0.2">
      <c r="I962" s="55" t="s">
        <v>3501</v>
      </c>
      <c r="J962" s="55" t="s">
        <v>3502</v>
      </c>
    </row>
    <row r="963" spans="9:10" x14ac:dyDescent="0.2">
      <c r="I963" s="55" t="s">
        <v>3503</v>
      </c>
      <c r="J963" s="55" t="s">
        <v>3504</v>
      </c>
    </row>
    <row r="964" spans="9:10" x14ac:dyDescent="0.2">
      <c r="I964" s="55" t="s">
        <v>3505</v>
      </c>
      <c r="J964" s="55" t="s">
        <v>3506</v>
      </c>
    </row>
    <row r="965" spans="9:10" x14ac:dyDescent="0.2">
      <c r="I965" s="55" t="s">
        <v>3507</v>
      </c>
      <c r="J965" s="55" t="s">
        <v>3508</v>
      </c>
    </row>
    <row r="966" spans="9:10" x14ac:dyDescent="0.2">
      <c r="I966" s="55" t="s">
        <v>3509</v>
      </c>
      <c r="J966" s="55" t="s">
        <v>3510</v>
      </c>
    </row>
    <row r="967" spans="9:10" x14ac:dyDescent="0.2">
      <c r="I967" s="55" t="s">
        <v>3511</v>
      </c>
      <c r="J967" s="55" t="s">
        <v>3512</v>
      </c>
    </row>
    <row r="968" spans="9:10" x14ac:dyDescent="0.2">
      <c r="J968" s="55" t="s">
        <v>3513</v>
      </c>
    </row>
    <row r="969" spans="9:10" x14ac:dyDescent="0.2">
      <c r="J969" s="55" t="s">
        <v>3514</v>
      </c>
    </row>
    <row r="970" spans="9:10" x14ac:dyDescent="0.2">
      <c r="J970" s="55" t="s">
        <v>3515</v>
      </c>
    </row>
    <row r="971" spans="9:10" x14ac:dyDescent="0.2">
      <c r="I971" s="55" t="s">
        <v>3516</v>
      </c>
      <c r="J971" s="55" t="s">
        <v>3517</v>
      </c>
    </row>
    <row r="972" spans="9:10" x14ac:dyDescent="0.2">
      <c r="J972" s="55" t="s">
        <v>3518</v>
      </c>
    </row>
    <row r="973" spans="9:10" x14ac:dyDescent="0.2">
      <c r="J973" s="55" t="s">
        <v>3519</v>
      </c>
    </row>
    <row r="974" spans="9:10" x14ac:dyDescent="0.2">
      <c r="J974" s="55" t="s">
        <v>3520</v>
      </c>
    </row>
    <row r="975" spans="9:10" x14ac:dyDescent="0.2">
      <c r="J975" s="55" t="s">
        <v>3521</v>
      </c>
    </row>
    <row r="976" spans="9:10" x14ac:dyDescent="0.2">
      <c r="J976" s="55" t="s">
        <v>3522</v>
      </c>
    </row>
    <row r="977" spans="10:10" x14ac:dyDescent="0.2">
      <c r="J977" s="55" t="s">
        <v>3523</v>
      </c>
    </row>
    <row r="978" spans="10:10" x14ac:dyDescent="0.2">
      <c r="J978" s="55" t="s">
        <v>3524</v>
      </c>
    </row>
    <row r="979" spans="10:10" x14ac:dyDescent="0.2">
      <c r="J979" s="55" t="s">
        <v>3525</v>
      </c>
    </row>
    <row r="980" spans="10:10" x14ac:dyDescent="0.2">
      <c r="J980" s="55" t="s">
        <v>3526</v>
      </c>
    </row>
    <row r="981" spans="10:10" x14ac:dyDescent="0.2">
      <c r="J981" s="55" t="s">
        <v>3527</v>
      </c>
    </row>
    <row r="982" spans="10:10" x14ac:dyDescent="0.2">
      <c r="J982" s="55" t="s">
        <v>3528</v>
      </c>
    </row>
    <row r="983" spans="10:10" x14ac:dyDescent="0.2">
      <c r="J983" s="55" t="s">
        <v>3529</v>
      </c>
    </row>
    <row r="984" spans="10:10" x14ac:dyDescent="0.2">
      <c r="J984" s="55" t="s">
        <v>3530</v>
      </c>
    </row>
    <row r="985" spans="10:10" x14ac:dyDescent="0.2">
      <c r="J985" s="55" t="s">
        <v>3531</v>
      </c>
    </row>
    <row r="986" spans="10:10" x14ac:dyDescent="0.2">
      <c r="J986" s="55" t="s">
        <v>3532</v>
      </c>
    </row>
    <row r="987" spans="10:10" x14ac:dyDescent="0.2">
      <c r="J987" s="55" t="s">
        <v>3533</v>
      </c>
    </row>
    <row r="988" spans="10:10" x14ac:dyDescent="0.2">
      <c r="J988" s="55" t="s">
        <v>3534</v>
      </c>
    </row>
    <row r="989" spans="10:10" x14ac:dyDescent="0.2">
      <c r="J989" s="55" t="s">
        <v>3535</v>
      </c>
    </row>
    <row r="990" spans="10:10" x14ac:dyDescent="0.2">
      <c r="J990" s="55" t="s">
        <v>3536</v>
      </c>
    </row>
    <row r="991" spans="10:10" x14ac:dyDescent="0.2">
      <c r="J991" s="55" t="s">
        <v>3537</v>
      </c>
    </row>
    <row r="992" spans="10:10" x14ac:dyDescent="0.2">
      <c r="J992" s="55" t="s">
        <v>3538</v>
      </c>
    </row>
    <row r="993" spans="10:10" x14ac:dyDescent="0.2">
      <c r="J993" s="55" t="s">
        <v>3539</v>
      </c>
    </row>
    <row r="994" spans="10:10" x14ac:dyDescent="0.2">
      <c r="J994" s="55" t="s">
        <v>3540</v>
      </c>
    </row>
    <row r="995" spans="10:10" x14ac:dyDescent="0.2">
      <c r="J995" s="55" t="s">
        <v>3541</v>
      </c>
    </row>
    <row r="996" spans="10:10" x14ac:dyDescent="0.2">
      <c r="J996" s="55" t="s">
        <v>3542</v>
      </c>
    </row>
    <row r="997" spans="10:10" x14ac:dyDescent="0.2">
      <c r="J997" s="55" t="s">
        <v>3543</v>
      </c>
    </row>
    <row r="998" spans="10:10" x14ac:dyDescent="0.2">
      <c r="J998" s="55" t="s">
        <v>3544</v>
      </c>
    </row>
    <row r="999" spans="10:10" x14ac:dyDescent="0.2">
      <c r="J999" s="55" t="s">
        <v>3545</v>
      </c>
    </row>
    <row r="1000" spans="10:10" x14ac:dyDescent="0.2">
      <c r="J1000" s="55" t="s">
        <v>3546</v>
      </c>
    </row>
    <row r="1001" spans="10:10" x14ac:dyDescent="0.2">
      <c r="J1001" s="55" t="s">
        <v>3547</v>
      </c>
    </row>
    <row r="1002" spans="10:10" x14ac:dyDescent="0.2">
      <c r="J1002" s="55" t="s">
        <v>3548</v>
      </c>
    </row>
    <row r="1003" spans="10:10" x14ac:dyDescent="0.2">
      <c r="J1003" s="55" t="s">
        <v>3549</v>
      </c>
    </row>
    <row r="1004" spans="10:10" x14ac:dyDescent="0.2">
      <c r="J1004" s="55" t="s">
        <v>3550</v>
      </c>
    </row>
    <row r="1005" spans="10:10" x14ac:dyDescent="0.2">
      <c r="J1005" s="55" t="s">
        <v>3551</v>
      </c>
    </row>
    <row r="1006" spans="10:10" x14ac:dyDescent="0.2">
      <c r="J1006" s="55" t="s">
        <v>3552</v>
      </c>
    </row>
    <row r="1007" spans="10:10" x14ac:dyDescent="0.2">
      <c r="J1007" s="55" t="s">
        <v>3553</v>
      </c>
    </row>
    <row r="1008" spans="10:10" x14ac:dyDescent="0.2">
      <c r="J1008" s="55" t="s">
        <v>3554</v>
      </c>
    </row>
    <row r="1009" spans="10:10" x14ac:dyDescent="0.2">
      <c r="J1009" s="55" t="s">
        <v>3555</v>
      </c>
    </row>
    <row r="1010" spans="10:10" x14ac:dyDescent="0.2">
      <c r="J1010" s="55" t="s">
        <v>3556</v>
      </c>
    </row>
    <row r="1011" spans="10:10" x14ac:dyDescent="0.2">
      <c r="J1011" s="55" t="s">
        <v>3557</v>
      </c>
    </row>
    <row r="1012" spans="10:10" x14ac:dyDescent="0.2">
      <c r="J1012" s="55" t="s">
        <v>3558</v>
      </c>
    </row>
    <row r="1013" spans="10:10" x14ac:dyDescent="0.2">
      <c r="J1013" s="55" t="s">
        <v>3559</v>
      </c>
    </row>
    <row r="1014" spans="10:10" x14ac:dyDescent="0.2">
      <c r="J1014" s="55" t="s">
        <v>3560</v>
      </c>
    </row>
    <row r="1015" spans="10:10" x14ac:dyDescent="0.2">
      <c r="J1015" s="55" t="s">
        <v>3561</v>
      </c>
    </row>
    <row r="1016" spans="10:10" x14ac:dyDescent="0.2">
      <c r="J1016" s="55" t="s">
        <v>3562</v>
      </c>
    </row>
    <row r="1017" spans="10:10" x14ac:dyDescent="0.2">
      <c r="J1017" s="55" t="s">
        <v>3563</v>
      </c>
    </row>
    <row r="1018" spans="10:10" x14ac:dyDescent="0.2">
      <c r="J1018" s="55" t="s">
        <v>3564</v>
      </c>
    </row>
    <row r="1019" spans="10:10" x14ac:dyDescent="0.2">
      <c r="J1019" s="55" t="s">
        <v>3565</v>
      </c>
    </row>
    <row r="1020" spans="10:10" x14ac:dyDescent="0.2">
      <c r="J1020" s="55" t="s">
        <v>3566</v>
      </c>
    </row>
    <row r="1021" spans="10:10" x14ac:dyDescent="0.2">
      <c r="J1021" s="55" t="s">
        <v>3567</v>
      </c>
    </row>
    <row r="1022" spans="10:10" x14ac:dyDescent="0.2">
      <c r="J1022" s="55" t="s">
        <v>3568</v>
      </c>
    </row>
    <row r="1023" spans="10:10" x14ac:dyDescent="0.2">
      <c r="J1023" s="55" t="s">
        <v>3569</v>
      </c>
    </row>
    <row r="1024" spans="10:10" x14ac:dyDescent="0.2">
      <c r="J1024" s="55" t="s">
        <v>3570</v>
      </c>
    </row>
    <row r="1025" spans="10:10" x14ac:dyDescent="0.2">
      <c r="J1025" s="55" t="s">
        <v>3571</v>
      </c>
    </row>
    <row r="1026" spans="10:10" x14ac:dyDescent="0.2">
      <c r="J1026" s="55" t="s">
        <v>3572</v>
      </c>
    </row>
    <row r="1027" spans="10:10" x14ac:dyDescent="0.2">
      <c r="J1027" s="55" t="s">
        <v>3573</v>
      </c>
    </row>
    <row r="1028" spans="10:10" x14ac:dyDescent="0.2">
      <c r="J1028" s="55" t="s">
        <v>3574</v>
      </c>
    </row>
    <row r="1029" spans="10:10" x14ac:dyDescent="0.2">
      <c r="J1029" s="55" t="s">
        <v>3575</v>
      </c>
    </row>
    <row r="1030" spans="10:10" x14ac:dyDescent="0.2">
      <c r="J1030" s="55" t="s">
        <v>3576</v>
      </c>
    </row>
    <row r="1031" spans="10:10" x14ac:dyDescent="0.2">
      <c r="J1031" s="55" t="s">
        <v>3577</v>
      </c>
    </row>
    <row r="1032" spans="10:10" x14ac:dyDescent="0.2">
      <c r="J1032" s="55" t="s">
        <v>3578</v>
      </c>
    </row>
    <row r="1033" spans="10:10" x14ac:dyDescent="0.2">
      <c r="J1033" s="55" t="s">
        <v>3579</v>
      </c>
    </row>
    <row r="1034" spans="10:10" x14ac:dyDescent="0.2">
      <c r="J1034" s="55" t="s">
        <v>3580</v>
      </c>
    </row>
    <row r="1035" spans="10:10" x14ac:dyDescent="0.2">
      <c r="J1035" s="55" t="s">
        <v>3581</v>
      </c>
    </row>
    <row r="1036" spans="10:10" x14ac:dyDescent="0.2">
      <c r="J1036" s="55" t="s">
        <v>3582</v>
      </c>
    </row>
    <row r="1037" spans="10:10" x14ac:dyDescent="0.2">
      <c r="J1037" s="55" t="s">
        <v>3583</v>
      </c>
    </row>
    <row r="1038" spans="10:10" x14ac:dyDescent="0.2">
      <c r="J1038" s="55" t="s">
        <v>3584</v>
      </c>
    </row>
    <row r="1039" spans="10:10" x14ac:dyDescent="0.2">
      <c r="J1039" s="55" t="s">
        <v>3585</v>
      </c>
    </row>
    <row r="1040" spans="10:10" x14ac:dyDescent="0.2">
      <c r="J1040" s="55" t="s">
        <v>3586</v>
      </c>
    </row>
    <row r="1041" spans="10:10" x14ac:dyDescent="0.2">
      <c r="J1041" s="55" t="s">
        <v>3587</v>
      </c>
    </row>
    <row r="1042" spans="10:10" x14ac:dyDescent="0.2">
      <c r="J1042" s="55" t="s">
        <v>3588</v>
      </c>
    </row>
    <row r="1043" spans="10:10" x14ac:dyDescent="0.2">
      <c r="J1043" s="55" t="s">
        <v>3589</v>
      </c>
    </row>
    <row r="1044" spans="10:10" x14ac:dyDescent="0.2">
      <c r="J1044" s="55" t="s">
        <v>3590</v>
      </c>
    </row>
    <row r="1045" spans="10:10" x14ac:dyDescent="0.2">
      <c r="J1045" s="55" t="s">
        <v>3591</v>
      </c>
    </row>
    <row r="1046" spans="10:10" x14ac:dyDescent="0.2">
      <c r="J1046" s="55" t="s">
        <v>3592</v>
      </c>
    </row>
    <row r="1047" spans="10:10" x14ac:dyDescent="0.2">
      <c r="J1047" s="55" t="s">
        <v>3593</v>
      </c>
    </row>
    <row r="1048" spans="10:10" x14ac:dyDescent="0.2">
      <c r="J1048" s="55" t="s">
        <v>3594</v>
      </c>
    </row>
    <row r="1049" spans="10:10" x14ac:dyDescent="0.2">
      <c r="J1049" s="55" t="s">
        <v>3595</v>
      </c>
    </row>
    <row r="1050" spans="10:10" x14ac:dyDescent="0.2">
      <c r="J1050" s="55" t="s">
        <v>3596</v>
      </c>
    </row>
    <row r="1051" spans="10:10" x14ac:dyDescent="0.2">
      <c r="J1051" s="55" t="s">
        <v>3597</v>
      </c>
    </row>
    <row r="1052" spans="10:10" x14ac:dyDescent="0.2">
      <c r="J1052" s="55" t="s">
        <v>3598</v>
      </c>
    </row>
    <row r="1053" spans="10:10" x14ac:dyDescent="0.2">
      <c r="J1053" s="55" t="s">
        <v>3599</v>
      </c>
    </row>
    <row r="1054" spans="10:10" x14ac:dyDescent="0.2">
      <c r="J1054" s="55" t="s">
        <v>3600</v>
      </c>
    </row>
    <row r="1055" spans="10:10" x14ac:dyDescent="0.2">
      <c r="J1055" s="55" t="s">
        <v>3601</v>
      </c>
    </row>
    <row r="1056" spans="10:10" x14ac:dyDescent="0.2">
      <c r="J1056" s="55" t="s">
        <v>3602</v>
      </c>
    </row>
    <row r="1057" spans="10:10" x14ac:dyDescent="0.2">
      <c r="J1057" s="55" t="s">
        <v>3603</v>
      </c>
    </row>
    <row r="1058" spans="10:10" x14ac:dyDescent="0.2">
      <c r="J1058" s="55" t="s">
        <v>3604</v>
      </c>
    </row>
    <row r="1059" spans="10:10" x14ac:dyDescent="0.2">
      <c r="J1059" s="55" t="s">
        <v>3605</v>
      </c>
    </row>
    <row r="1060" spans="10:10" x14ac:dyDescent="0.2">
      <c r="J1060" s="55" t="s">
        <v>3606</v>
      </c>
    </row>
    <row r="1061" spans="10:10" x14ac:dyDescent="0.2">
      <c r="J1061" s="55" t="s">
        <v>3607</v>
      </c>
    </row>
    <row r="1062" spans="10:10" x14ac:dyDescent="0.2">
      <c r="J1062" s="55" t="s">
        <v>3608</v>
      </c>
    </row>
    <row r="1063" spans="10:10" x14ac:dyDescent="0.2">
      <c r="J1063" s="55" t="s">
        <v>3609</v>
      </c>
    </row>
    <row r="1064" spans="10:10" x14ac:dyDescent="0.2">
      <c r="J1064" s="55" t="s">
        <v>3610</v>
      </c>
    </row>
    <row r="1065" spans="10:10" x14ac:dyDescent="0.2">
      <c r="J1065" s="55" t="s">
        <v>3611</v>
      </c>
    </row>
    <row r="1066" spans="10:10" x14ac:dyDescent="0.2">
      <c r="J1066" s="55" t="s">
        <v>3612</v>
      </c>
    </row>
    <row r="1067" spans="10:10" x14ac:dyDescent="0.2">
      <c r="J1067" s="55" t="s">
        <v>3613</v>
      </c>
    </row>
    <row r="1068" spans="10:10" x14ac:dyDescent="0.2">
      <c r="J1068" s="55" t="s">
        <v>3614</v>
      </c>
    </row>
    <row r="1069" spans="10:10" x14ac:dyDescent="0.2">
      <c r="J1069" s="55" t="s">
        <v>3615</v>
      </c>
    </row>
    <row r="1070" spans="10:10" x14ac:dyDescent="0.2">
      <c r="J1070" s="55" t="s">
        <v>3616</v>
      </c>
    </row>
    <row r="1071" spans="10:10" x14ac:dyDescent="0.2">
      <c r="J1071" s="55" t="s">
        <v>3617</v>
      </c>
    </row>
    <row r="1072" spans="10:10" x14ac:dyDescent="0.2">
      <c r="J1072" s="55" t="s">
        <v>3618</v>
      </c>
    </row>
    <row r="1073" spans="10:10" x14ac:dyDescent="0.2">
      <c r="J1073" s="55" t="s">
        <v>3619</v>
      </c>
    </row>
    <row r="1074" spans="10:10" x14ac:dyDescent="0.2">
      <c r="J1074" s="55" t="s">
        <v>3620</v>
      </c>
    </row>
    <row r="1075" spans="10:10" x14ac:dyDescent="0.2">
      <c r="J1075" s="55" t="s">
        <v>3621</v>
      </c>
    </row>
    <row r="1076" spans="10:10" x14ac:dyDescent="0.2">
      <c r="J1076" s="55" t="s">
        <v>3622</v>
      </c>
    </row>
    <row r="1077" spans="10:10" x14ac:dyDescent="0.2">
      <c r="J1077" s="55" t="s">
        <v>3623</v>
      </c>
    </row>
    <row r="1078" spans="10:10" x14ac:dyDescent="0.2">
      <c r="J1078" s="55" t="s">
        <v>3624</v>
      </c>
    </row>
    <row r="1079" spans="10:10" x14ac:dyDescent="0.2">
      <c r="J1079" s="55" t="s">
        <v>3625</v>
      </c>
    </row>
    <row r="1080" spans="10:10" x14ac:dyDescent="0.2">
      <c r="J1080" s="55" t="s">
        <v>3626</v>
      </c>
    </row>
    <row r="1081" spans="10:10" x14ac:dyDescent="0.2">
      <c r="J1081" s="55" t="s">
        <v>3627</v>
      </c>
    </row>
    <row r="1082" spans="10:10" x14ac:dyDescent="0.2">
      <c r="J1082" s="55" t="s">
        <v>3628</v>
      </c>
    </row>
    <row r="1083" spans="10:10" x14ac:dyDescent="0.2">
      <c r="J1083" s="55" t="s">
        <v>3629</v>
      </c>
    </row>
    <row r="1084" spans="10:10" x14ac:dyDescent="0.2">
      <c r="J1084" s="55" t="s">
        <v>3630</v>
      </c>
    </row>
    <row r="1085" spans="10:10" x14ac:dyDescent="0.2">
      <c r="J1085" s="55" t="s">
        <v>3631</v>
      </c>
    </row>
    <row r="1086" spans="10:10" x14ac:dyDescent="0.2">
      <c r="J1086" s="55" t="s">
        <v>3632</v>
      </c>
    </row>
    <row r="1087" spans="10:10" x14ac:dyDescent="0.2">
      <c r="J1087" s="55" t="s">
        <v>3633</v>
      </c>
    </row>
    <row r="1088" spans="10:10" x14ac:dyDescent="0.2">
      <c r="J1088" s="55" t="s">
        <v>3634</v>
      </c>
    </row>
    <row r="1089" spans="10:10" x14ac:dyDescent="0.2">
      <c r="J1089" s="55" t="s">
        <v>3635</v>
      </c>
    </row>
    <row r="1090" spans="10:10" x14ac:dyDescent="0.2">
      <c r="J1090" s="55" t="s">
        <v>3636</v>
      </c>
    </row>
    <row r="1091" spans="10:10" x14ac:dyDescent="0.2">
      <c r="J1091" s="55" t="s">
        <v>3637</v>
      </c>
    </row>
    <row r="1092" spans="10:10" x14ac:dyDescent="0.2">
      <c r="J1092" s="55" t="s">
        <v>3638</v>
      </c>
    </row>
    <row r="1093" spans="10:10" x14ac:dyDescent="0.2">
      <c r="J1093" s="55" t="s">
        <v>3639</v>
      </c>
    </row>
    <row r="1094" spans="10:10" x14ac:dyDescent="0.2">
      <c r="J1094" s="55" t="s">
        <v>3640</v>
      </c>
    </row>
    <row r="1095" spans="10:10" x14ac:dyDescent="0.2">
      <c r="J1095" s="55" t="s">
        <v>3641</v>
      </c>
    </row>
    <row r="1096" spans="10:10" x14ac:dyDescent="0.2">
      <c r="J1096" s="55" t="s">
        <v>3642</v>
      </c>
    </row>
    <row r="1097" spans="10:10" x14ac:dyDescent="0.2">
      <c r="J1097" s="55" t="s">
        <v>3643</v>
      </c>
    </row>
    <row r="1098" spans="10:10" x14ac:dyDescent="0.2">
      <c r="J1098" s="55" t="s">
        <v>3644</v>
      </c>
    </row>
    <row r="1099" spans="10:10" x14ac:dyDescent="0.2">
      <c r="J1099" s="55" t="s">
        <v>3645</v>
      </c>
    </row>
    <row r="1100" spans="10:10" x14ac:dyDescent="0.2">
      <c r="J1100" s="55" t="s">
        <v>3646</v>
      </c>
    </row>
    <row r="1101" spans="10:10" x14ac:dyDescent="0.2">
      <c r="J1101" s="55" t="s">
        <v>3647</v>
      </c>
    </row>
    <row r="1102" spans="10:10" x14ac:dyDescent="0.2">
      <c r="J1102" s="55" t="s">
        <v>3648</v>
      </c>
    </row>
    <row r="1103" spans="10:10" x14ac:dyDescent="0.2">
      <c r="J1103" s="55" t="s">
        <v>3649</v>
      </c>
    </row>
    <row r="1104" spans="10:10" x14ac:dyDescent="0.2">
      <c r="J1104" s="55" t="s">
        <v>3650</v>
      </c>
    </row>
    <row r="1105" spans="10:10" x14ac:dyDescent="0.2">
      <c r="J1105" s="55" t="s">
        <v>3651</v>
      </c>
    </row>
    <row r="1106" spans="10:10" x14ac:dyDescent="0.2">
      <c r="J1106" s="55" t="s">
        <v>3652</v>
      </c>
    </row>
    <row r="1107" spans="10:10" x14ac:dyDescent="0.2">
      <c r="J1107" s="55" t="s">
        <v>3653</v>
      </c>
    </row>
    <row r="1108" spans="10:10" x14ac:dyDescent="0.2">
      <c r="J1108" s="55" t="s">
        <v>3654</v>
      </c>
    </row>
    <row r="1109" spans="10:10" x14ac:dyDescent="0.2">
      <c r="J1109" s="55" t="s">
        <v>3655</v>
      </c>
    </row>
    <row r="1110" spans="10:10" x14ac:dyDescent="0.2">
      <c r="J1110" s="55" t="s">
        <v>3656</v>
      </c>
    </row>
    <row r="1111" spans="10:10" x14ac:dyDescent="0.2">
      <c r="J1111" s="55" t="s">
        <v>3657</v>
      </c>
    </row>
    <row r="1112" spans="10:10" x14ac:dyDescent="0.2">
      <c r="J1112" s="55" t="s">
        <v>3658</v>
      </c>
    </row>
    <row r="1113" spans="10:10" x14ac:dyDescent="0.2">
      <c r="J1113" s="55" t="s">
        <v>3659</v>
      </c>
    </row>
    <row r="1114" spans="10:10" x14ac:dyDescent="0.2">
      <c r="J1114" s="55" t="s">
        <v>3660</v>
      </c>
    </row>
    <row r="1115" spans="10:10" x14ac:dyDescent="0.2">
      <c r="J1115" s="55" t="s">
        <v>3661</v>
      </c>
    </row>
    <row r="1116" spans="10:10" x14ac:dyDescent="0.2">
      <c r="J1116" s="55" t="s">
        <v>3662</v>
      </c>
    </row>
    <row r="1117" spans="10:10" x14ac:dyDescent="0.2">
      <c r="J1117" s="55" t="s">
        <v>3663</v>
      </c>
    </row>
    <row r="1118" spans="10:10" x14ac:dyDescent="0.2">
      <c r="J1118" s="55" t="s">
        <v>3664</v>
      </c>
    </row>
    <row r="1119" spans="10:10" x14ac:dyDescent="0.2">
      <c r="J1119" s="55" t="s">
        <v>3665</v>
      </c>
    </row>
    <row r="1120" spans="10:10" x14ac:dyDescent="0.2">
      <c r="J1120" s="55" t="s">
        <v>3666</v>
      </c>
    </row>
    <row r="1121" spans="9:10" x14ac:dyDescent="0.2">
      <c r="J1121" s="55" t="s">
        <v>3667</v>
      </c>
    </row>
    <row r="1122" spans="9:10" x14ac:dyDescent="0.2">
      <c r="J1122" s="55" t="s">
        <v>3668</v>
      </c>
    </row>
    <row r="1123" spans="9:10" x14ac:dyDescent="0.2">
      <c r="J1123" s="55" t="s">
        <v>3669</v>
      </c>
    </row>
    <row r="1124" spans="9:10" x14ac:dyDescent="0.2">
      <c r="J1124" s="55" t="s">
        <v>3670</v>
      </c>
    </row>
    <row r="1125" spans="9:10" x14ac:dyDescent="0.2">
      <c r="J1125" s="55" t="s">
        <v>3671</v>
      </c>
    </row>
    <row r="1126" spans="9:10" x14ac:dyDescent="0.2">
      <c r="J1126" s="55" t="s">
        <v>3672</v>
      </c>
    </row>
    <row r="1127" spans="9:10" x14ac:dyDescent="0.2">
      <c r="J1127" s="55" t="s">
        <v>3673</v>
      </c>
    </row>
    <row r="1128" spans="9:10" x14ac:dyDescent="0.2">
      <c r="J1128" s="55" t="s">
        <v>3674</v>
      </c>
    </row>
    <row r="1129" spans="9:10" x14ac:dyDescent="0.2">
      <c r="J1129" s="55" t="s">
        <v>3675</v>
      </c>
    </row>
    <row r="1130" spans="9:10" x14ac:dyDescent="0.2">
      <c r="J1130" s="55" t="s">
        <v>3676</v>
      </c>
    </row>
    <row r="1131" spans="9:10" x14ac:dyDescent="0.2">
      <c r="J1131" s="55" t="s">
        <v>3677</v>
      </c>
    </row>
    <row r="1132" spans="9:10" x14ac:dyDescent="0.2">
      <c r="J1132" s="55" t="s">
        <v>3678</v>
      </c>
    </row>
    <row r="1133" spans="9:10" x14ac:dyDescent="0.2">
      <c r="J1133" s="55" t="s">
        <v>3679</v>
      </c>
    </row>
    <row r="1134" spans="9:10" x14ac:dyDescent="0.2">
      <c r="J1134" s="55" t="s">
        <v>3680</v>
      </c>
    </row>
    <row r="1135" spans="9:10" x14ac:dyDescent="0.2">
      <c r="I1135" s="55" t="s">
        <v>3681</v>
      </c>
      <c r="J1135" s="55" t="s">
        <v>3682</v>
      </c>
    </row>
    <row r="1136" spans="9:10" x14ac:dyDescent="0.2">
      <c r="I1136" s="55" t="s">
        <v>3683</v>
      </c>
      <c r="J1136" s="55" t="s">
        <v>3684</v>
      </c>
    </row>
    <row r="1137" spans="9:10" x14ac:dyDescent="0.2">
      <c r="I1137" s="55" t="s">
        <v>3685</v>
      </c>
      <c r="J1137" s="55" t="s">
        <v>3686</v>
      </c>
    </row>
    <row r="1138" spans="9:10" x14ac:dyDescent="0.2">
      <c r="I1138" s="55" t="s">
        <v>3687</v>
      </c>
      <c r="J1138" s="55" t="s">
        <v>3688</v>
      </c>
    </row>
    <row r="1139" spans="9:10" x14ac:dyDescent="0.2">
      <c r="J1139" s="55" t="s">
        <v>3689</v>
      </c>
    </row>
    <row r="1140" spans="9:10" x14ac:dyDescent="0.2">
      <c r="J1140" s="55" t="s">
        <v>3690</v>
      </c>
    </row>
    <row r="1141" spans="9:10" x14ac:dyDescent="0.2">
      <c r="J1141" s="55" t="s">
        <v>3691</v>
      </c>
    </row>
    <row r="1142" spans="9:10" x14ac:dyDescent="0.2">
      <c r="I1142" s="55" t="s">
        <v>3692</v>
      </c>
      <c r="J1142" s="55" t="s">
        <v>3693</v>
      </c>
    </row>
    <row r="1143" spans="9:10" x14ac:dyDescent="0.2">
      <c r="J1143" s="55" t="s">
        <v>3694</v>
      </c>
    </row>
    <row r="1144" spans="9:10" x14ac:dyDescent="0.2">
      <c r="J1144" s="55" t="s">
        <v>3695</v>
      </c>
    </row>
    <row r="1145" spans="9:10" x14ac:dyDescent="0.2">
      <c r="I1145" s="55" t="s">
        <v>3696</v>
      </c>
      <c r="J1145" s="55" t="s">
        <v>3697</v>
      </c>
    </row>
    <row r="1146" spans="9:10" x14ac:dyDescent="0.2">
      <c r="J1146" s="55" t="s">
        <v>3698</v>
      </c>
    </row>
    <row r="1147" spans="9:10" x14ac:dyDescent="0.2">
      <c r="J1147" s="55" t="s">
        <v>3699</v>
      </c>
    </row>
    <row r="1148" spans="9:10" x14ac:dyDescent="0.2">
      <c r="J1148" s="55" t="s">
        <v>3700</v>
      </c>
    </row>
    <row r="1149" spans="9:10" x14ac:dyDescent="0.2">
      <c r="J1149" s="55" t="s">
        <v>3701</v>
      </c>
    </row>
    <row r="1150" spans="9:10" x14ac:dyDescent="0.2">
      <c r="J1150" s="55" t="s">
        <v>3702</v>
      </c>
    </row>
    <row r="1151" spans="9:10" x14ac:dyDescent="0.2">
      <c r="J1151" s="55" t="s">
        <v>3703</v>
      </c>
    </row>
    <row r="1152" spans="9:10" x14ac:dyDescent="0.2">
      <c r="J1152" s="55" t="s">
        <v>3704</v>
      </c>
    </row>
    <row r="1153" spans="9:10" x14ac:dyDescent="0.2">
      <c r="J1153" s="55" t="s">
        <v>3705</v>
      </c>
    </row>
    <row r="1154" spans="9:10" x14ac:dyDescent="0.2">
      <c r="J1154" s="55" t="s">
        <v>3706</v>
      </c>
    </row>
    <row r="1155" spans="9:10" x14ac:dyDescent="0.2">
      <c r="J1155" s="55" t="s">
        <v>3707</v>
      </c>
    </row>
    <row r="1156" spans="9:10" x14ac:dyDescent="0.2">
      <c r="J1156" s="55" t="s">
        <v>3708</v>
      </c>
    </row>
    <row r="1157" spans="9:10" x14ac:dyDescent="0.2">
      <c r="J1157" s="55" t="s">
        <v>3709</v>
      </c>
    </row>
    <row r="1158" spans="9:10" x14ac:dyDescent="0.2">
      <c r="J1158" s="55" t="s">
        <v>3710</v>
      </c>
    </row>
    <row r="1159" spans="9:10" x14ac:dyDescent="0.2">
      <c r="J1159" s="55" t="s">
        <v>3711</v>
      </c>
    </row>
    <row r="1160" spans="9:10" x14ac:dyDescent="0.2">
      <c r="J1160" s="55" t="s">
        <v>3712</v>
      </c>
    </row>
    <row r="1161" spans="9:10" x14ac:dyDescent="0.2">
      <c r="I1161" s="55" t="s">
        <v>3399</v>
      </c>
      <c r="J1161" s="55" t="s">
        <v>3713</v>
      </c>
    </row>
    <row r="1162" spans="9:10" x14ac:dyDescent="0.2">
      <c r="J1162" s="55" t="s">
        <v>3714</v>
      </c>
    </row>
    <row r="1163" spans="9:10" x14ac:dyDescent="0.2">
      <c r="J1163" s="55" t="s">
        <v>3715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Q310"/>
  <sheetViews>
    <sheetView showGridLines="0" topLeftCell="P1" workbookViewId="0">
      <selection activeCell="AD18" sqref="AD18"/>
    </sheetView>
  </sheetViews>
  <sheetFormatPr defaultColWidth="9" defaultRowHeight="14.25" x14ac:dyDescent="0.2"/>
  <cols>
    <col min="7" max="7" width="9" style="9"/>
    <col min="8" max="8" width="9" style="10"/>
    <col min="9" max="9" width="9" style="9"/>
    <col min="10" max="10" width="18.625" style="9" customWidth="1"/>
    <col min="11" max="11" width="7.75" customWidth="1"/>
    <col min="12" max="21" width="6.625" style="9" customWidth="1"/>
    <col min="22" max="22" width="12.125" style="9" customWidth="1"/>
    <col min="23" max="23" width="9" style="11"/>
    <col min="25" max="25" width="4.125" style="9" customWidth="1"/>
    <col min="26" max="31" width="12.625" style="9" customWidth="1"/>
    <col min="32" max="34" width="9" style="9"/>
    <col min="37" max="65" width="9" style="9" hidden="1" customWidth="1"/>
    <col min="66" max="66" width="5.875" style="9" hidden="1" customWidth="1"/>
    <col min="67" max="68" width="5.875" style="9" customWidth="1"/>
    <col min="69" max="69" width="9" style="9"/>
    <col min="70" max="70" width="9" hidden="1" customWidth="1"/>
    <col min="71" max="71" width="24.25" style="9" hidden="1" customWidth="1"/>
    <col min="72" max="72" width="7" style="9" hidden="1" customWidth="1"/>
    <col min="73" max="73" width="9" style="9" hidden="1" customWidth="1"/>
    <col min="74" max="74" width="4.625" style="9" hidden="1" customWidth="1"/>
    <col min="75" max="80" width="6.625" hidden="1" customWidth="1"/>
    <col min="84" max="84" width="18.625" hidden="1" customWidth="1"/>
    <col min="85" max="86" width="9" hidden="1" customWidth="1"/>
    <col min="87" max="89" width="6.625" hidden="1" customWidth="1"/>
    <col min="93" max="93" width="8.625" style="9" hidden="1" customWidth="1"/>
    <col min="94" max="99" width="9" style="9" hidden="1" customWidth="1"/>
    <col min="103" max="104" width="9" hidden="1" customWidth="1"/>
    <col min="105" max="105" width="8.625" style="9" hidden="1" customWidth="1"/>
    <col min="106" max="106" width="4.625" style="12" hidden="1" customWidth="1"/>
    <col min="107" max="110" width="10.625" style="9" hidden="1" customWidth="1"/>
    <col min="111" max="112" width="12.625" style="9" hidden="1" customWidth="1"/>
    <col min="113" max="115" width="9" hidden="1" customWidth="1"/>
    <col min="116" max="119" width="9" style="9" hidden="1" customWidth="1"/>
    <col min="120" max="120" width="9" hidden="1" customWidth="1"/>
  </cols>
  <sheetData>
    <row r="1" spans="2:121" x14ac:dyDescent="0.2">
      <c r="B1" s="303" t="s">
        <v>3716</v>
      </c>
      <c r="C1" s="303"/>
      <c r="D1" s="303"/>
      <c r="E1" s="303"/>
      <c r="F1" s="303"/>
      <c r="G1" s="303"/>
      <c r="J1" s="303" t="s">
        <v>3717</v>
      </c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Y1" s="303" t="s">
        <v>3718</v>
      </c>
      <c r="Z1" s="303"/>
      <c r="AA1" s="303"/>
      <c r="AB1" s="303"/>
      <c r="AC1" s="303"/>
      <c r="AD1" s="303"/>
      <c r="AE1" s="303"/>
      <c r="AF1" s="303"/>
      <c r="AG1" s="303"/>
      <c r="AH1" s="303"/>
      <c r="AJ1" s="304" t="s">
        <v>3719</v>
      </c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Q1" s="304" t="s">
        <v>3720</v>
      </c>
      <c r="BR1" s="304"/>
      <c r="BS1" s="304"/>
      <c r="BT1" s="304"/>
      <c r="BU1" s="304"/>
      <c r="BV1" s="304"/>
      <c r="BW1" s="304"/>
      <c r="BX1" s="304"/>
      <c r="BY1" s="304"/>
      <c r="BZ1" s="304"/>
      <c r="CA1" s="304"/>
      <c r="CB1" s="304"/>
      <c r="CC1" s="304"/>
      <c r="CE1" s="304" t="s">
        <v>3721</v>
      </c>
      <c r="CF1" s="304"/>
      <c r="CG1" s="304"/>
      <c r="CH1" s="304"/>
      <c r="CI1" s="304"/>
      <c r="CJ1" s="304"/>
      <c r="CK1" s="304"/>
      <c r="CL1" s="304"/>
      <c r="CN1" s="304" t="s">
        <v>3722</v>
      </c>
      <c r="CO1" s="304"/>
      <c r="CP1" s="304"/>
      <c r="CQ1" s="304"/>
      <c r="CR1" s="304"/>
      <c r="CS1" s="304"/>
      <c r="CT1" s="304"/>
      <c r="CU1" s="304"/>
      <c r="CV1" s="304"/>
      <c r="CX1" s="304" t="s">
        <v>3723</v>
      </c>
      <c r="CY1" s="304"/>
      <c r="CZ1" s="304"/>
      <c r="DA1" s="304"/>
      <c r="DB1" s="304"/>
      <c r="DC1" s="304"/>
      <c r="DD1" s="304"/>
      <c r="DE1" s="304"/>
      <c r="DF1" s="304"/>
      <c r="DG1" s="304"/>
      <c r="DH1" s="304"/>
      <c r="DI1" s="304"/>
      <c r="DJ1" s="304"/>
      <c r="DK1" s="304"/>
      <c r="DL1" s="304"/>
      <c r="DM1" s="304"/>
      <c r="DN1" s="304"/>
      <c r="DO1" s="304"/>
      <c r="DP1" s="304"/>
      <c r="DQ1" s="304"/>
    </row>
    <row r="3" spans="2:121" x14ac:dyDescent="0.2">
      <c r="J3" s="317" t="s">
        <v>3724</v>
      </c>
      <c r="L3" s="306" t="s">
        <v>3725</v>
      </c>
      <c r="M3" s="307"/>
      <c r="N3" s="306" t="s">
        <v>3726</v>
      </c>
      <c r="O3" s="307"/>
      <c r="P3" s="306" t="s">
        <v>3727</v>
      </c>
      <c r="Q3" s="307"/>
      <c r="R3" s="306" t="s">
        <v>3728</v>
      </c>
      <c r="S3" s="307"/>
      <c r="T3" s="306" t="s">
        <v>3729</v>
      </c>
      <c r="U3" s="307"/>
      <c r="Y3" s="37" t="s">
        <v>3730</v>
      </c>
      <c r="Z3" s="38"/>
      <c r="AA3" s="38"/>
      <c r="BR3" s="1"/>
      <c r="BW3" s="306" t="s">
        <v>3731</v>
      </c>
      <c r="BX3" s="307"/>
      <c r="BY3" s="306" t="s">
        <v>3732</v>
      </c>
      <c r="BZ3" s="307"/>
      <c r="CA3" s="306" t="s">
        <v>3733</v>
      </c>
      <c r="CB3" s="307"/>
      <c r="CI3" s="308" t="s">
        <v>3734</v>
      </c>
      <c r="CJ3" s="308"/>
      <c r="CK3" s="308"/>
      <c r="CO3" s="48" t="s">
        <v>14</v>
      </c>
      <c r="CP3" s="309" t="s">
        <v>3735</v>
      </c>
      <c r="CQ3" s="309"/>
      <c r="CR3" s="309"/>
      <c r="CS3" s="310" t="s">
        <v>3736</v>
      </c>
      <c r="CT3" s="311"/>
      <c r="CU3" s="312"/>
      <c r="DC3" s="313" t="s">
        <v>3737</v>
      </c>
      <c r="DD3" s="313"/>
      <c r="DE3" s="313" t="s">
        <v>3738</v>
      </c>
      <c r="DF3" s="313"/>
      <c r="DL3" s="308" t="s">
        <v>3739</v>
      </c>
      <c r="DM3" s="308"/>
    </row>
    <row r="4" spans="2:121" x14ac:dyDescent="0.2">
      <c r="J4" s="318"/>
      <c r="K4" s="21" t="s">
        <v>3734</v>
      </c>
      <c r="L4" s="31" t="s">
        <v>3740</v>
      </c>
      <c r="M4" s="32" t="s">
        <v>3741</v>
      </c>
      <c r="N4" s="31" t="s">
        <v>3740</v>
      </c>
      <c r="O4" s="32" t="s">
        <v>3741</v>
      </c>
      <c r="P4" s="31" t="s">
        <v>3740</v>
      </c>
      <c r="Q4" s="32" t="s">
        <v>3741</v>
      </c>
      <c r="R4" s="31" t="s">
        <v>3740</v>
      </c>
      <c r="S4" s="32" t="s">
        <v>3741</v>
      </c>
      <c r="T4" s="31" t="s">
        <v>3740</v>
      </c>
      <c r="U4" s="32" t="s">
        <v>3741</v>
      </c>
      <c r="V4" s="35" t="s">
        <v>3742</v>
      </c>
      <c r="Y4" s="39" t="s">
        <v>3743</v>
      </c>
      <c r="Z4" s="39" t="s">
        <v>3744</v>
      </c>
      <c r="AA4" s="39" t="s">
        <v>3745</v>
      </c>
      <c r="AB4" s="39" t="s">
        <v>3746</v>
      </c>
      <c r="AC4" s="40" t="s">
        <v>3747</v>
      </c>
      <c r="AD4" s="40" t="s">
        <v>3748</v>
      </c>
      <c r="AE4" s="39" t="s">
        <v>3749</v>
      </c>
      <c r="AF4" s="39" t="s">
        <v>3750</v>
      </c>
      <c r="AG4" s="39" t="s">
        <v>3751</v>
      </c>
      <c r="AH4" s="40" t="s">
        <v>3752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S4" s="42" t="s">
        <v>3753</v>
      </c>
      <c r="BT4" s="42" t="s">
        <v>3754</v>
      </c>
      <c r="BU4" s="44" t="s">
        <v>3755</v>
      </c>
      <c r="BV4" s="42" t="s">
        <v>3756</v>
      </c>
      <c r="BW4" s="45" t="s">
        <v>3757</v>
      </c>
      <c r="BX4" s="46" t="s">
        <v>3758</v>
      </c>
      <c r="BY4" s="45" t="s">
        <v>3757</v>
      </c>
      <c r="BZ4" s="46" t="s">
        <v>3758</v>
      </c>
      <c r="CA4" s="45" t="s">
        <v>3757</v>
      </c>
      <c r="CB4" s="46" t="s">
        <v>3758</v>
      </c>
      <c r="CG4" s="21" t="s">
        <v>3759</v>
      </c>
      <c r="CH4" s="1" t="s">
        <v>3721</v>
      </c>
      <c r="CI4" s="21" t="s">
        <v>3731</v>
      </c>
      <c r="CJ4" s="21" t="s">
        <v>3732</v>
      </c>
      <c r="CK4" s="21" t="s">
        <v>3733</v>
      </c>
      <c r="CO4" s="49" t="s">
        <v>137</v>
      </c>
      <c r="CP4" s="49" t="s">
        <v>696</v>
      </c>
      <c r="CQ4" s="49" t="s">
        <v>3760</v>
      </c>
      <c r="CR4" s="49" t="s">
        <v>3761</v>
      </c>
      <c r="CS4" s="51" t="s">
        <v>3762</v>
      </c>
      <c r="CT4" s="51" t="s">
        <v>3763</v>
      </c>
      <c r="CU4" s="51" t="s">
        <v>3764</v>
      </c>
      <c r="CZ4" s="49" t="s">
        <v>3765</v>
      </c>
      <c r="DA4" s="53" t="s">
        <v>3766</v>
      </c>
      <c r="DB4" s="53" t="s">
        <v>3767</v>
      </c>
      <c r="DC4" s="49" t="s">
        <v>3768</v>
      </c>
      <c r="DD4" s="49" t="s">
        <v>3769</v>
      </c>
      <c r="DE4" s="49" t="s">
        <v>3768</v>
      </c>
      <c r="DF4" s="49" t="s">
        <v>3769</v>
      </c>
      <c r="DG4" s="49" t="s">
        <v>3770</v>
      </c>
      <c r="DH4" s="49" t="s">
        <v>3771</v>
      </c>
      <c r="DL4" s="21" t="s">
        <v>3772</v>
      </c>
      <c r="DM4" s="21" t="s">
        <v>3773</v>
      </c>
      <c r="DN4" s="21" t="s">
        <v>3774</v>
      </c>
      <c r="DO4" s="21" t="s">
        <v>3775</v>
      </c>
      <c r="DP4" s="21" t="s">
        <v>3776</v>
      </c>
    </row>
    <row r="5" spans="2:121" ht="16.5" x14ac:dyDescent="0.35">
      <c r="B5" s="13" t="s">
        <v>3777</v>
      </c>
      <c r="C5" s="14" t="s">
        <v>3778</v>
      </c>
      <c r="D5" s="13" t="s">
        <v>3779</v>
      </c>
      <c r="J5" s="33" t="s">
        <v>3780</v>
      </c>
      <c r="K5" s="9">
        <v>1</v>
      </c>
      <c r="L5" s="34">
        <v>10101</v>
      </c>
      <c r="M5" s="34">
        <v>25</v>
      </c>
      <c r="N5" s="34">
        <v>11301</v>
      </c>
      <c r="O5" s="34">
        <v>20</v>
      </c>
      <c r="P5" s="34">
        <v>12002</v>
      </c>
      <c r="Q5" s="34">
        <v>22</v>
      </c>
      <c r="R5" s="34"/>
      <c r="S5" s="34"/>
      <c r="T5" s="34"/>
      <c r="U5" s="34"/>
      <c r="V5" s="36" t="e">
        <f t="shared" ref="V5:V38" si="0">AP5*M5+AV5*O5+BB5*Q5+BH5*S5+BN5*U5</f>
        <v>#N/A</v>
      </c>
      <c r="Y5" s="34">
        <v>1</v>
      </c>
      <c r="Z5" s="34">
        <f>ROUND(VLOOKUP(Y5,刀数数据支持!$L:$Q,3,0)*(1+((Y5-1)*2+25)*0.01*(1+AB5/100)),2)</f>
        <v>8.61</v>
      </c>
      <c r="AA5" s="34">
        <f>ROUND(VLOOKUP(Y5,刀数数据支持!$L:$Q,6,0)*(1+((Y5-1)*5+25)*0.01)*(1+AB5/100),2)</f>
        <v>13.61</v>
      </c>
      <c r="AB5" s="34">
        <f>VLOOKUP(Y5,刀数数据支持!$S:$T,2,0)</f>
        <v>10</v>
      </c>
      <c r="AC5" s="34">
        <f>ROUND(刀数数据支持!AY3*(1-刀数数据支持!BA3/100),1)</f>
        <v>9</v>
      </c>
      <c r="AD5" s="34" t="str">
        <f>刀数数据支持!AZ3</f>
        <v>火球术Lv1</v>
      </c>
      <c r="AE5" s="34">
        <f t="shared" ref="AE5:AE36" si="1">ROUND(113.58*VLOOKUP(Y5,$CO:$CR,2,0)/100,2)</f>
        <v>7.95</v>
      </c>
      <c r="AF5" s="34">
        <f t="shared" ref="AF5:AF36" si="2">ROUNDUP(AE5/Z5,2)</f>
        <v>0.93</v>
      </c>
      <c r="AG5" s="34">
        <f>ROUNDUP(AE5/AA5,2)</f>
        <v>0.59</v>
      </c>
      <c r="AH5" s="34">
        <f>ROUND(AE5/AC5,2)</f>
        <v>0.88</v>
      </c>
      <c r="AK5" s="41">
        <f>IF(M5,L5,0)</f>
        <v>10101</v>
      </c>
      <c r="AL5" s="17">
        <f>K5</f>
        <v>1</v>
      </c>
      <c r="AM5" s="28" t="e">
        <f t="shared" ref="AM5:AM38" si="3">IF(AL5&gt;119,VLOOKUP(INT(VLOOKUP(AL5,$CG:$CK,3,0)),$CO:$CU,2,0)/100*VLOOKUP(AK5,$BT:$CB,4,0),VLOOKUP(AL5,$CO:$CR,2,0)/100*VLOOKUP(AK5,$BT:$CB,4,0))</f>
        <v>#N/A</v>
      </c>
      <c r="AN5" s="29" t="e">
        <f t="shared" ref="AN5:AN38" si="4">1-MIN(MAX(IF(AL5&gt;119,2*($D$8/($D$8+VLOOKUP($B$17,$BT:$CB,5,0))*($B$6/($B$6+VLOOKUP($C$17,$CG:$CK,3,0)))),2*($D$8/($D$8+VLOOKUP($B$17,$BT:$CB,5,0))*($B$6/($B$6+$C$17)))),0.05),0.95)</f>
        <v>#N/A</v>
      </c>
      <c r="AO5" s="30" t="e">
        <f t="shared" ref="AO5:AO38" si="5">ROUNDUP(AM5*(1+AN5)*(1+IF(VLOOKUP($B$17,$BT:$BV,3,0)="",0,INT(VLOOKUP($B$17,$BT:$BV,3,0)/100)))/(($E$12+$F$12)/2),0)</f>
        <v>#N/A</v>
      </c>
      <c r="AP5" s="9" t="e">
        <f>IF(AK5,AO5*$E$8,0)</f>
        <v>#N/A</v>
      </c>
      <c r="AQ5" s="27">
        <f>IF(O5,N5,0)</f>
        <v>11301</v>
      </c>
      <c r="AR5" s="17">
        <f>K5</f>
        <v>1</v>
      </c>
      <c r="AS5" s="28" t="e">
        <f t="shared" ref="AS5:AS38" si="6">IF(AR5&gt;119,VLOOKUP(INT(VLOOKUP(AR5,$CG:$CK,3,0)),$CO:$CU,2,0)/100*VLOOKUP(AQ5,$BT:$CB,4,0),VLOOKUP(AR5,$CO:$CR,2,0)/100*VLOOKUP(AQ5,$BT:$CB,4,0))</f>
        <v>#N/A</v>
      </c>
      <c r="AT5" s="29" t="e">
        <f t="shared" ref="AT5:AT38" si="7">1-MIN(MAX(IF(AR5&gt;119,2*($D$8/($D$8+VLOOKUP($B$17,$BT:$CB,5,0))*($B$6/($B$6+VLOOKUP($C$17,$CG:$CK,3,0)))),2*($D$8/($D$8+VLOOKUP($B$17,$BT:$CB,5,0))*($B$6/($B$6+$C$17)))),0.05),0.95)</f>
        <v>#N/A</v>
      </c>
      <c r="AU5" s="30" t="e">
        <f t="shared" ref="AU5:AU38" si="8">ROUNDUP(AS5*(1+AT5)*(1+IF(VLOOKUP($B$17,$BT:$BV,3,0)="",0,INT(VLOOKUP($B$17,$BT:$BV,3,0)/100)))/(($E$12+$F$12)/2),0)</f>
        <v>#N/A</v>
      </c>
      <c r="AV5" s="9" t="e">
        <f>IF(AQ5,AU5*$E$8,0)</f>
        <v>#N/A</v>
      </c>
      <c r="AW5" s="27">
        <f>IF(Q5,P5,0)</f>
        <v>12002</v>
      </c>
      <c r="AX5" s="17">
        <f>K5</f>
        <v>1</v>
      </c>
      <c r="AY5" s="28" t="e">
        <f t="shared" ref="AY5:AY38" si="9">IF(AX5&gt;119,VLOOKUP(INT(VLOOKUP(AX5,$CG:$CK,3,0)),$CO:$CU,2,0)/100*VLOOKUP(AW5,$BT:$CB,4,0),VLOOKUP(AX5,$CO:$CR,2,0)/100*VLOOKUP(AW5,$BT:$CB,4,0))</f>
        <v>#N/A</v>
      </c>
      <c r="AZ5" s="29" t="e">
        <f t="shared" ref="AZ5:AZ38" si="10">1-MIN(MAX(IF(AX5&gt;119,2*($D$8/($D$8+VLOOKUP($B$17,$BT:$CB,5,0))*($B$6/($B$6+VLOOKUP($C$17,$CG:$CK,3,0)))),2*($D$8/($D$8+VLOOKUP($B$17,$BT:$CB,5,0))*($B$6/($B$6+$C$17)))),0.05),0.95)</f>
        <v>#N/A</v>
      </c>
      <c r="BA5" s="30" t="e">
        <f t="shared" ref="BA5:BA38" si="11">ROUNDUP(AY5*(1+AZ5)*(1+IF(VLOOKUP($B$17,$BT:$BV,3,0)="",0,INT(VLOOKUP($B$17,$BT:$BV,3,0)/100)))/(($E$12+$F$12)/2),0)</f>
        <v>#N/A</v>
      </c>
      <c r="BB5" s="9" t="e">
        <f>IF(AW5,BA5*$E$8,0)</f>
        <v>#N/A</v>
      </c>
      <c r="BC5" s="27">
        <f>IF(S5,R5,0)</f>
        <v>0</v>
      </c>
      <c r="BD5" s="17">
        <f>K5</f>
        <v>1</v>
      </c>
      <c r="BE5" s="28" t="e">
        <f t="shared" ref="BE5:BE38" si="12">IF(BD5&gt;119,VLOOKUP(INT(VLOOKUP(BD5,$CG:$CK,3,0)),$CO:$CU,2,0)/100*VLOOKUP(BC5,$BT:$CB,4,0),VLOOKUP(BD5,$CO:$CR,2,0)/100*VLOOKUP(BC5,$BT:$CB,4,0))</f>
        <v>#N/A</v>
      </c>
      <c r="BF5" s="29" t="e">
        <f t="shared" ref="BF5:BF38" si="13">1-MIN(MAX(IF(BD5&gt;119,2*($D$8/($D$8+VLOOKUP($B$17,$BT:$CB,5,0))*($B$6/($B$6+VLOOKUP($C$17,$CG:$CK,3,0)))),2*($D$8/($D$8+VLOOKUP($B$17,$BT:$CB,5,0))*($B$6/($B$6+$C$17)))),0.05),0.95)</f>
        <v>#N/A</v>
      </c>
      <c r="BG5" s="30" t="e">
        <f t="shared" ref="BG5:BG38" si="14">ROUNDUP(BE5*(1+BF5)*(1+IF(VLOOKUP($B$17,$BT:$BV,3,0)="",0,INT(VLOOKUP($B$17,$BT:$BV,3,0)/100)))/(($E$12+$F$12)/2),0)</f>
        <v>#N/A</v>
      </c>
      <c r="BH5" s="9">
        <f>IF(BC5,BG5*$E$8,0)</f>
        <v>0</v>
      </c>
      <c r="BI5" s="27">
        <f>IF(U5,T5,0)</f>
        <v>0</v>
      </c>
      <c r="BJ5" s="17">
        <f>K5</f>
        <v>1</v>
      </c>
      <c r="BK5" s="28" t="e">
        <f t="shared" ref="BK5:BK38" si="15">IF(BJ5&gt;119,VLOOKUP(INT(VLOOKUP(BJ5,$CG:$CK,3,0)),$CO:$CU,2,0)/100*VLOOKUP(BI5,$BT:$CB,4,0),VLOOKUP(BJ5,$CO:$CR,2,0)/100*VLOOKUP(BI5,$BT:$CB,4,0))</f>
        <v>#N/A</v>
      </c>
      <c r="BL5" s="29" t="e">
        <f t="shared" ref="BL5:BL38" si="16">1-MIN(MAX(IF(BJ5&gt;119,2*($D$8/($D$8+VLOOKUP($B$17,$BT:$CB,5,0))*($B$6/($B$6+VLOOKUP($C$17,$CG:$CK,3,0)))),2*($D$8/($D$8+VLOOKUP($B$17,$BT:$CB,5,0))*($B$6/($B$6+$C$17)))),0.05),0.95)</f>
        <v>#N/A</v>
      </c>
      <c r="BM5" s="30" t="e">
        <f t="shared" ref="BM5:BM38" si="17">ROUNDUP(BK5*(1+BL5)*(1+IF(VLOOKUP($B$17,$BT:$BV,3,0)="",0,INT(VLOOKUP($B$17,$BT:$BV,3,0)/100)))/(($E$12+$F$12)/2),0)</f>
        <v>#N/A</v>
      </c>
      <c r="BN5" s="9">
        <f>IF(BI5,BM5*$E$8,0)</f>
        <v>0</v>
      </c>
      <c r="BR5" s="43" t="s">
        <v>3781</v>
      </c>
      <c r="BS5" s="34" t="e">
        <f>#REF!</f>
        <v>#REF!</v>
      </c>
      <c r="BT5" s="34" t="e">
        <f>#REF!</f>
        <v>#REF!</v>
      </c>
      <c r="BU5" s="34">
        <v>0</v>
      </c>
      <c r="BV5" s="34" t="e">
        <f>IF(VLOOKUP(BT5,#REF!,8,0)=0,"",VLOOKUP(BT5,#REF!,8,0))</f>
        <v>#REF!</v>
      </c>
      <c r="BW5" s="47" t="e">
        <f ca="1">IF(BU5=0,RANDBETWEEN(VLOOKUP(BT5,#REF!,13,0),VLOOKUP(BT5,#REF!,14,0)),RANDBETWEEN(VLOOKUP(BU5,$CO:$CR,2,0)/100*VLOOKUP(BT5,#REF!,13,0),VLOOKUP(BU5,$CO:$CR,2,0)/100*VLOOKUP(BT5,#REF!,14,0)))</f>
        <v>#REF!</v>
      </c>
      <c r="BX5" s="47" t="e">
        <f>VLOOKUP(BT5,#REF!,9,0)</f>
        <v>#REF!</v>
      </c>
      <c r="BY5" s="47" t="e">
        <f ca="1">IF(BU5=0,RANDBETWEEN(VLOOKUP(BT5,#REF!,26,0),VLOOKUP(BT5,#REF!,27,0)),RANDBETWEEN(VLOOKUP(BU5,$CO:$CR,3,0)/100*VLOOKUP(BT5,#REF!,26,0),VLOOKUP(BU5,$CO:$CR,3,0)/100*VLOOKUP(BT5,#REF!,27,0)))</f>
        <v>#REF!</v>
      </c>
      <c r="BZ5" s="47" t="e">
        <f>IF(VLOOKUP(BT5,#REF!,22,0)=0,"",VLOOKUP(BT5,#REF!,22,0))</f>
        <v>#REF!</v>
      </c>
      <c r="CA5" s="47" t="e">
        <f ca="1">IF(BU5=0,RANDBETWEEN(VLOOKUP(BT5,#REF!,39,0),VLOOKUP(BT5,#REF!,40,0)),RANDBETWEEN(VLOOKUP(BU5,$CO:$CR,4,0)/100*VLOOKUP(BT5,#REF!,39,0),VLOOKUP(BU5,$CO:$CR,4,0)/100*VLOOKUP(BT5,#REF!,40,0)))</f>
        <v>#REF!</v>
      </c>
      <c r="CB5" s="47" t="e">
        <f>IF(VLOOKUP(BT5,#REF!,35,0)=0,"",VLOOKUP(BT5,#REF!,35,0))</f>
        <v>#REF!</v>
      </c>
      <c r="CF5" s="33" t="s">
        <v>3780</v>
      </c>
      <c r="CG5" s="33">
        <v>10001</v>
      </c>
      <c r="CH5" t="s">
        <v>3782</v>
      </c>
      <c r="CI5" s="9" t="str">
        <f>LEFT(CH5,LEN(CH5)-6)</f>
        <v>1</v>
      </c>
      <c r="CJ5" s="9" t="str">
        <f t="shared" ref="CJ5:CJ38" si="18">LEFT(RIGHT(CH5,5),2)</f>
        <v>21</v>
      </c>
      <c r="CK5" s="9" t="str">
        <f t="shared" ref="CK5:CK38" si="19">RIGHT(CH5,2)</f>
        <v>41</v>
      </c>
      <c r="CO5" s="50">
        <v>0</v>
      </c>
      <c r="CP5" s="50">
        <v>1</v>
      </c>
      <c r="CQ5" s="50">
        <v>1</v>
      </c>
      <c r="CR5" s="50">
        <v>1</v>
      </c>
      <c r="CS5" s="52">
        <v>1</v>
      </c>
      <c r="CT5" s="52">
        <v>1</v>
      </c>
      <c r="CU5" s="52">
        <v>1</v>
      </c>
      <c r="CY5" t="str">
        <f t="shared" ref="CY5:CY68" si="20">IF(DC5=0,"双手",IF(DE5=0,"单","单/双手"))</f>
        <v>单</v>
      </c>
      <c r="CZ5" s="47">
        <v>20277</v>
      </c>
      <c r="DA5" s="34">
        <v>0</v>
      </c>
      <c r="DB5" s="54">
        <v>-10</v>
      </c>
      <c r="DC5" s="34">
        <v>2</v>
      </c>
      <c r="DD5" s="34">
        <v>5</v>
      </c>
      <c r="DE5" s="34"/>
      <c r="DF5" s="34"/>
      <c r="DG5" s="34">
        <v>100</v>
      </c>
      <c r="DH5" s="34"/>
      <c r="DI5" t="s">
        <v>3783</v>
      </c>
      <c r="DJ5" t="s">
        <v>3784</v>
      </c>
      <c r="DK5" t="s">
        <v>3785</v>
      </c>
      <c r="DL5" s="9">
        <f t="shared" ref="DL5:DL68" si="21">IF(DE5,DE5,DC5)</f>
        <v>2</v>
      </c>
      <c r="DM5" s="9">
        <f t="shared" ref="DM5:DM68" si="22">IF(DF5,DF5,DD5)</f>
        <v>5</v>
      </c>
      <c r="DP5">
        <f t="shared" ref="DP5:DP68" si="23">(DL5+DM5)/2*((100-DB5)/100)</f>
        <v>3.8500000000000005</v>
      </c>
    </row>
    <row r="6" spans="2:121" x14ac:dyDescent="0.2">
      <c r="B6" s="15">
        <v>62</v>
      </c>
      <c r="C6" s="16">
        <v>133</v>
      </c>
      <c r="D6" s="17">
        <v>166</v>
      </c>
      <c r="J6" s="33" t="s">
        <v>3786</v>
      </c>
      <c r="K6" s="9">
        <v>2</v>
      </c>
      <c r="L6" s="34">
        <v>10102</v>
      </c>
      <c r="M6" s="34">
        <v>26</v>
      </c>
      <c r="N6" s="34">
        <v>11302</v>
      </c>
      <c r="O6" s="34">
        <v>21</v>
      </c>
      <c r="P6" s="34">
        <v>12003</v>
      </c>
      <c r="Q6" s="34">
        <v>23</v>
      </c>
      <c r="R6" s="34"/>
      <c r="S6" s="34"/>
      <c r="T6" s="34"/>
      <c r="U6" s="34"/>
      <c r="V6" s="36" t="e">
        <f t="shared" si="0"/>
        <v>#N/A</v>
      </c>
      <c r="Y6" s="34">
        <v>2</v>
      </c>
      <c r="Z6" s="34">
        <f>ROUND(VLOOKUP(Y6,刀数数据支持!$L:$Q,3,0)*(1+((Y6-1)*2+25)*0.01*(1+AB6/100)),2)</f>
        <v>9.33</v>
      </c>
      <c r="AA6" s="34">
        <f>ROUND(VLOOKUP(Y6,刀数数据支持!$L:$Q,6,0)*(1+((Y6-1)*5+25)*0.01)*(1+AB6/100),2)</f>
        <v>16.02</v>
      </c>
      <c r="AB6" s="34">
        <f>VLOOKUP(Y6,刀数数据支持!$S:$T,2,0)</f>
        <v>12.75</v>
      </c>
      <c r="AC6" s="34">
        <f>ROUND(刀数数据支持!AY4*(1-刀数数据支持!BA4/100),1)</f>
        <v>11.8</v>
      </c>
      <c r="AD6" s="34" t="str">
        <f>刀数数据支持!AZ4</f>
        <v>火球术Lv2</v>
      </c>
      <c r="AE6" s="34">
        <f t="shared" si="1"/>
        <v>10.220000000000001</v>
      </c>
      <c r="AF6" s="34">
        <f t="shared" si="2"/>
        <v>1.1000000000000001</v>
      </c>
      <c r="AG6" s="34">
        <f t="shared" ref="AG6:AG69" si="24">ROUNDUP(AE6/AA6,2)</f>
        <v>0.64</v>
      </c>
      <c r="AH6" s="34">
        <f t="shared" ref="AH6:AH69" si="25">ROUND(AE6/AC6,2)</f>
        <v>0.87</v>
      </c>
      <c r="AK6" s="41">
        <f t="shared" ref="AK6:AK38" si="26">IF(M6,L6,0)</f>
        <v>10102</v>
      </c>
      <c r="AL6" s="17">
        <f t="shared" ref="AL6:AL38" si="27">K6</f>
        <v>2</v>
      </c>
      <c r="AM6" s="28" t="e">
        <f t="shared" si="3"/>
        <v>#N/A</v>
      </c>
      <c r="AN6" s="29" t="e">
        <f t="shared" si="4"/>
        <v>#N/A</v>
      </c>
      <c r="AO6" s="30" t="e">
        <f t="shared" si="5"/>
        <v>#N/A</v>
      </c>
      <c r="AP6" s="9" t="e">
        <f t="shared" ref="AP6:AP38" si="28">IF(AK6,AO6*$E$8,0)</f>
        <v>#N/A</v>
      </c>
      <c r="AQ6" s="27">
        <f t="shared" ref="AQ6:AQ38" si="29">IF(O6,N6,0)</f>
        <v>11302</v>
      </c>
      <c r="AR6" s="17">
        <f t="shared" ref="AR6:AR38" si="30">K6</f>
        <v>2</v>
      </c>
      <c r="AS6" s="28" t="e">
        <f t="shared" si="6"/>
        <v>#N/A</v>
      </c>
      <c r="AT6" s="29" t="e">
        <f t="shared" si="7"/>
        <v>#N/A</v>
      </c>
      <c r="AU6" s="30" t="e">
        <f t="shared" si="8"/>
        <v>#N/A</v>
      </c>
      <c r="AV6" s="9" t="e">
        <f t="shared" ref="AV6:AV38" si="31">IF(AQ6,AU6*$E$8,0)</f>
        <v>#N/A</v>
      </c>
      <c r="AW6" s="27">
        <f t="shared" ref="AW6:AW38" si="32">IF(Q6,P6,0)</f>
        <v>12003</v>
      </c>
      <c r="AX6" s="17">
        <f t="shared" ref="AX6:AX38" si="33">K6</f>
        <v>2</v>
      </c>
      <c r="AY6" s="28" t="e">
        <f t="shared" si="9"/>
        <v>#N/A</v>
      </c>
      <c r="AZ6" s="29" t="e">
        <f t="shared" si="10"/>
        <v>#N/A</v>
      </c>
      <c r="BA6" s="30" t="e">
        <f t="shared" si="11"/>
        <v>#N/A</v>
      </c>
      <c r="BB6" s="9" t="e">
        <f t="shared" ref="BB6:BB38" si="34">IF(AW6,BA6*$E$8,0)</f>
        <v>#N/A</v>
      </c>
      <c r="BC6" s="27">
        <f t="shared" ref="BC6:BC38" si="35">IF(S6,R6,0)</f>
        <v>0</v>
      </c>
      <c r="BD6" s="17">
        <f t="shared" ref="BD6:BD38" si="36">K6</f>
        <v>2</v>
      </c>
      <c r="BE6" s="28" t="e">
        <f t="shared" si="12"/>
        <v>#N/A</v>
      </c>
      <c r="BF6" s="29" t="e">
        <f t="shared" si="13"/>
        <v>#N/A</v>
      </c>
      <c r="BG6" s="30" t="e">
        <f t="shared" si="14"/>
        <v>#N/A</v>
      </c>
      <c r="BH6" s="9">
        <f t="shared" ref="BH6:BH38" si="37">IF(BC6,BG6*$E$8,0)</f>
        <v>0</v>
      </c>
      <c r="BI6" s="27">
        <f t="shared" ref="BI6:BI38" si="38">IF(U6,T6,0)</f>
        <v>0</v>
      </c>
      <c r="BJ6" s="17">
        <f t="shared" ref="BJ6:BJ38" si="39">K6</f>
        <v>2</v>
      </c>
      <c r="BK6" s="28" t="e">
        <f t="shared" si="15"/>
        <v>#N/A</v>
      </c>
      <c r="BL6" s="29" t="e">
        <f t="shared" si="16"/>
        <v>#N/A</v>
      </c>
      <c r="BM6" s="30" t="e">
        <f t="shared" si="17"/>
        <v>#N/A</v>
      </c>
      <c r="BN6" s="9">
        <f t="shared" ref="BN6:BN38" si="40">IF(BI6,BM6*$E$8,0)</f>
        <v>0</v>
      </c>
      <c r="BS6" s="34" t="e">
        <f>#REF!</f>
        <v>#REF!</v>
      </c>
      <c r="BT6" s="34" t="e">
        <f>#REF!</f>
        <v>#REF!</v>
      </c>
      <c r="BU6" s="34">
        <v>0</v>
      </c>
      <c r="BV6" s="34" t="e">
        <f>IF(VLOOKUP(BT6,#REF!,8,0)=0,"",VLOOKUP(BT6,#REF!,8,0))</f>
        <v>#REF!</v>
      </c>
      <c r="BW6" s="47" t="e">
        <f ca="1">IF(BU6=0,RANDBETWEEN(VLOOKUP(BT6,#REF!,13,0),VLOOKUP(BT6,#REF!,14,0)),RANDBETWEEN(VLOOKUP(BU6,$CO:$CR,2,0)/100*VLOOKUP(BT6,#REF!,13,0),VLOOKUP(BU6,$CO:$CR,2,0)/100*VLOOKUP(BT6,#REF!,14,0)))</f>
        <v>#REF!</v>
      </c>
      <c r="BX6" s="47" t="e">
        <f>VLOOKUP(BT6,#REF!,9,0)</f>
        <v>#REF!</v>
      </c>
      <c r="BY6" s="47" t="e">
        <f ca="1">IF(BU6=0,RANDBETWEEN(VLOOKUP(BT6,#REF!,26,0),VLOOKUP(BT6,#REF!,27,0)),RANDBETWEEN(VLOOKUP(BU6,$CO:$CR,3,0)/100*VLOOKUP(BT6,#REF!,26,0),VLOOKUP(BU6,$CO:$CR,3,0)/100*VLOOKUP(BT6,#REF!,27,0)))</f>
        <v>#REF!</v>
      </c>
      <c r="BZ6" s="47" t="e">
        <f>IF(VLOOKUP(BT6,#REF!,22,0)=0,"",VLOOKUP(BT6,#REF!,22,0))</f>
        <v>#REF!</v>
      </c>
      <c r="CA6" s="47" t="e">
        <f ca="1">IF(BU6=0,RANDBETWEEN(VLOOKUP(BT6,#REF!,39,0),VLOOKUP(BT6,#REF!,40,0)),RANDBETWEEN(VLOOKUP(BU6,$CO:$CR,4,0)/100*VLOOKUP(BT6,#REF!,39,0),VLOOKUP(BU6,$CO:$CR,4,0)/100*VLOOKUP(BT6,#REF!,40,0)))</f>
        <v>#REF!</v>
      </c>
      <c r="CB6" s="47" t="e">
        <f>IF(VLOOKUP(BT6,#REF!,35,0)=0,"",VLOOKUP(BT6,#REF!,35,0))</f>
        <v>#REF!</v>
      </c>
      <c r="CF6" s="33" t="s">
        <v>3786</v>
      </c>
      <c r="CG6" s="33">
        <v>10002</v>
      </c>
      <c r="CH6" t="s">
        <v>3787</v>
      </c>
      <c r="CI6" s="9" t="str">
        <f t="shared" ref="CI6:CI38" si="41">LEFT(CH6,LEN(CH6)-6)</f>
        <v>2</v>
      </c>
      <c r="CJ6" s="9" t="str">
        <f t="shared" si="18"/>
        <v>23</v>
      </c>
      <c r="CK6" s="9" t="str">
        <f t="shared" si="19"/>
        <v>43</v>
      </c>
      <c r="CO6" s="50">
        <v>1</v>
      </c>
      <c r="CP6" s="50">
        <v>7</v>
      </c>
      <c r="CQ6" s="50">
        <v>107</v>
      </c>
      <c r="CR6" s="50">
        <v>830</v>
      </c>
      <c r="CS6" s="52">
        <v>6</v>
      </c>
      <c r="CT6" s="52">
        <v>92</v>
      </c>
      <c r="CU6" s="52">
        <v>147</v>
      </c>
      <c r="CY6" t="str">
        <f t="shared" si="20"/>
        <v>单</v>
      </c>
      <c r="CZ6" s="47">
        <v>20278</v>
      </c>
      <c r="DA6" s="34">
        <v>0</v>
      </c>
      <c r="DB6" s="54">
        <v>-10</v>
      </c>
      <c r="DC6" s="34">
        <v>3</v>
      </c>
      <c r="DD6" s="34">
        <v>8</v>
      </c>
      <c r="DE6" s="34"/>
      <c r="DF6" s="34"/>
      <c r="DG6" s="34">
        <v>100</v>
      </c>
      <c r="DH6" s="34"/>
      <c r="DI6" t="s">
        <v>3783</v>
      </c>
      <c r="DJ6" t="s">
        <v>3788</v>
      </c>
      <c r="DK6" t="s">
        <v>3785</v>
      </c>
      <c r="DL6" s="9">
        <f t="shared" si="21"/>
        <v>3</v>
      </c>
      <c r="DM6" s="9">
        <f t="shared" si="22"/>
        <v>8</v>
      </c>
      <c r="DP6">
        <f t="shared" si="23"/>
        <v>6.0500000000000007</v>
      </c>
    </row>
    <row r="7" spans="2:121" x14ac:dyDescent="0.2">
      <c r="B7" s="13" t="s">
        <v>3789</v>
      </c>
      <c r="C7" s="13" t="s">
        <v>3790</v>
      </c>
      <c r="D7" s="18" t="s">
        <v>3791</v>
      </c>
      <c r="E7" s="18" t="s">
        <v>3792</v>
      </c>
      <c r="J7" s="33" t="s">
        <v>3793</v>
      </c>
      <c r="K7" s="9">
        <v>5</v>
      </c>
      <c r="L7" s="34">
        <v>10103</v>
      </c>
      <c r="M7" s="34">
        <v>17</v>
      </c>
      <c r="N7" s="34">
        <v>11303</v>
      </c>
      <c r="O7" s="34">
        <v>25</v>
      </c>
      <c r="P7" s="34">
        <v>12101</v>
      </c>
      <c r="Q7" s="34">
        <v>27</v>
      </c>
      <c r="R7" s="34"/>
      <c r="S7" s="34"/>
      <c r="T7" s="34"/>
      <c r="U7" s="34"/>
      <c r="V7" s="36" t="e">
        <f t="shared" si="0"/>
        <v>#N/A</v>
      </c>
      <c r="Y7" s="34">
        <v>3</v>
      </c>
      <c r="Z7" s="34">
        <f>ROUND(VLOOKUP(Y7,刀数数据支持!$L:$Q,3,0)*(1+((Y7-1)*2+25)*0.01*(1+AB7/100)),2)</f>
        <v>10.07</v>
      </c>
      <c r="AA7" s="34">
        <f>ROUND(VLOOKUP(Y7,刀数数据支持!$L:$Q,6,0)*(1+((Y7-1)*5+25)*0.01)*(1+AB7/100),2)</f>
        <v>18.63</v>
      </c>
      <c r="AB7" s="34">
        <f>VLOOKUP(Y7,刀数数据支持!$S:$T,2,0)</f>
        <v>15.5</v>
      </c>
      <c r="AC7" s="34">
        <f>ROUND(刀数数据支持!AY5*(1-刀数数据支持!BA5/100),1)</f>
        <v>14.6</v>
      </c>
      <c r="AD7" s="34" t="str">
        <f>刀数数据支持!AZ5</f>
        <v>火球术Lv3</v>
      </c>
      <c r="AE7" s="34">
        <f t="shared" si="1"/>
        <v>13.63</v>
      </c>
      <c r="AF7" s="34">
        <f t="shared" si="2"/>
        <v>1.36</v>
      </c>
      <c r="AG7" s="34">
        <f t="shared" si="24"/>
        <v>0.74</v>
      </c>
      <c r="AH7" s="34">
        <f t="shared" si="25"/>
        <v>0.93</v>
      </c>
      <c r="AK7" s="41">
        <f t="shared" si="26"/>
        <v>10103</v>
      </c>
      <c r="AL7" s="17">
        <f t="shared" si="27"/>
        <v>5</v>
      </c>
      <c r="AM7" s="28" t="e">
        <f t="shared" si="3"/>
        <v>#N/A</v>
      </c>
      <c r="AN7" s="29" t="e">
        <f t="shared" si="4"/>
        <v>#N/A</v>
      </c>
      <c r="AO7" s="30" t="e">
        <f t="shared" si="5"/>
        <v>#N/A</v>
      </c>
      <c r="AP7" s="9" t="e">
        <f t="shared" si="28"/>
        <v>#N/A</v>
      </c>
      <c r="AQ7" s="27">
        <f t="shared" si="29"/>
        <v>11303</v>
      </c>
      <c r="AR7" s="17">
        <f t="shared" si="30"/>
        <v>5</v>
      </c>
      <c r="AS7" s="28" t="e">
        <f t="shared" si="6"/>
        <v>#N/A</v>
      </c>
      <c r="AT7" s="29" t="e">
        <f t="shared" si="7"/>
        <v>#N/A</v>
      </c>
      <c r="AU7" s="30" t="e">
        <f t="shared" si="8"/>
        <v>#N/A</v>
      </c>
      <c r="AV7" s="9" t="e">
        <f t="shared" si="31"/>
        <v>#N/A</v>
      </c>
      <c r="AW7" s="27">
        <f t="shared" si="32"/>
        <v>12101</v>
      </c>
      <c r="AX7" s="17">
        <f t="shared" si="33"/>
        <v>5</v>
      </c>
      <c r="AY7" s="28" t="e">
        <f t="shared" si="9"/>
        <v>#N/A</v>
      </c>
      <c r="AZ7" s="29" t="e">
        <f t="shared" si="10"/>
        <v>#N/A</v>
      </c>
      <c r="BA7" s="30" t="e">
        <f t="shared" si="11"/>
        <v>#N/A</v>
      </c>
      <c r="BB7" s="9" t="e">
        <f t="shared" si="34"/>
        <v>#N/A</v>
      </c>
      <c r="BC7" s="27">
        <f t="shared" si="35"/>
        <v>0</v>
      </c>
      <c r="BD7" s="17">
        <f t="shared" si="36"/>
        <v>5</v>
      </c>
      <c r="BE7" s="28" t="e">
        <f t="shared" si="12"/>
        <v>#N/A</v>
      </c>
      <c r="BF7" s="29" t="e">
        <f t="shared" si="13"/>
        <v>#N/A</v>
      </c>
      <c r="BG7" s="30" t="e">
        <f t="shared" si="14"/>
        <v>#N/A</v>
      </c>
      <c r="BH7" s="9">
        <f t="shared" si="37"/>
        <v>0</v>
      </c>
      <c r="BI7" s="27">
        <f t="shared" si="38"/>
        <v>0</v>
      </c>
      <c r="BJ7" s="17">
        <f t="shared" si="39"/>
        <v>5</v>
      </c>
      <c r="BK7" s="28" t="e">
        <f t="shared" si="15"/>
        <v>#N/A</v>
      </c>
      <c r="BL7" s="29" t="e">
        <f t="shared" si="16"/>
        <v>#N/A</v>
      </c>
      <c r="BM7" s="30" t="e">
        <f t="shared" si="17"/>
        <v>#N/A</v>
      </c>
      <c r="BN7" s="9">
        <f t="shared" si="40"/>
        <v>0</v>
      </c>
      <c r="BS7" s="34" t="e">
        <f>#REF!</f>
        <v>#REF!</v>
      </c>
      <c r="BT7" s="34" t="e">
        <f>#REF!</f>
        <v>#REF!</v>
      </c>
      <c r="BU7" s="34">
        <v>0</v>
      </c>
      <c r="BV7" s="34" t="e">
        <f>IF(VLOOKUP(BT7,#REF!,8,0)=0,"",VLOOKUP(BT7,#REF!,8,0))</f>
        <v>#REF!</v>
      </c>
      <c r="BW7" s="47" t="e">
        <f ca="1">IF(BU7=0,RANDBETWEEN(VLOOKUP(BT7,#REF!,13,0),VLOOKUP(BT7,#REF!,14,0)),RANDBETWEEN(VLOOKUP(BU7,$CO:$CR,2,0)/100*VLOOKUP(BT7,#REF!,13,0),VLOOKUP(BU7,$CO:$CR,2,0)/100*VLOOKUP(BT7,#REF!,14,0)))</f>
        <v>#REF!</v>
      </c>
      <c r="BX7" s="47" t="e">
        <f>VLOOKUP(BT7,#REF!,9,0)</f>
        <v>#REF!</v>
      </c>
      <c r="BY7" s="47" t="e">
        <f ca="1">IF(BU7=0,RANDBETWEEN(VLOOKUP(BT7,#REF!,26,0),VLOOKUP(BT7,#REF!,27,0)),RANDBETWEEN(VLOOKUP(BU7,$CO:$CR,3,0)/100*VLOOKUP(BT7,#REF!,26,0),VLOOKUP(BU7,$CO:$CR,3,0)/100*VLOOKUP(BT7,#REF!,27,0)))</f>
        <v>#REF!</v>
      </c>
      <c r="BZ7" s="47" t="e">
        <f>IF(VLOOKUP(BT7,#REF!,22,0)=0,"",VLOOKUP(BT7,#REF!,22,0))</f>
        <v>#REF!</v>
      </c>
      <c r="CA7" s="47" t="e">
        <f ca="1">IF(BU7=0,RANDBETWEEN(VLOOKUP(BT7,#REF!,39,0),VLOOKUP(BT7,#REF!,40,0)),RANDBETWEEN(VLOOKUP(BU7,$CO:$CR,4,0)/100*VLOOKUP(BT7,#REF!,39,0),VLOOKUP(BU7,$CO:$CR,4,0)/100*VLOOKUP(BT7,#REF!,40,0)))</f>
        <v>#REF!</v>
      </c>
      <c r="CB7" s="47" t="e">
        <f>IF(VLOOKUP(BT7,#REF!,35,0)=0,"",VLOOKUP(BT7,#REF!,35,0))</f>
        <v>#REF!</v>
      </c>
      <c r="CF7" s="33" t="s">
        <v>3793</v>
      </c>
      <c r="CG7" s="33">
        <v>10003</v>
      </c>
      <c r="CH7" t="s">
        <v>3794</v>
      </c>
      <c r="CI7" s="9" t="str">
        <f t="shared" si="41"/>
        <v>5</v>
      </c>
      <c r="CJ7" s="9" t="str">
        <f t="shared" si="18"/>
        <v>25</v>
      </c>
      <c r="CK7" s="9" t="str">
        <f t="shared" si="19"/>
        <v>45</v>
      </c>
      <c r="CO7" s="50">
        <v>2</v>
      </c>
      <c r="CP7" s="50">
        <v>9</v>
      </c>
      <c r="CQ7" s="50">
        <v>113</v>
      </c>
      <c r="CR7" s="50">
        <v>852</v>
      </c>
      <c r="CS7" s="52">
        <v>12</v>
      </c>
      <c r="CT7" s="52">
        <v>102</v>
      </c>
      <c r="CU7" s="52">
        <v>162</v>
      </c>
      <c r="CY7" t="str">
        <f t="shared" si="20"/>
        <v>单</v>
      </c>
      <c r="CZ7" s="47">
        <v>20001</v>
      </c>
      <c r="DA7" s="34">
        <v>1</v>
      </c>
      <c r="DB7" s="54"/>
      <c r="DC7" s="34">
        <v>3</v>
      </c>
      <c r="DD7" s="34">
        <v>6</v>
      </c>
      <c r="DE7" s="34"/>
      <c r="DF7" s="34"/>
      <c r="DG7" s="34">
        <v>100</v>
      </c>
      <c r="DH7" s="34"/>
      <c r="DI7" t="s">
        <v>3783</v>
      </c>
      <c r="DJ7" t="s">
        <v>3795</v>
      </c>
      <c r="DK7" t="s">
        <v>3785</v>
      </c>
      <c r="DL7" s="9">
        <f t="shared" si="21"/>
        <v>3</v>
      </c>
      <c r="DM7" s="9">
        <f t="shared" si="22"/>
        <v>6</v>
      </c>
      <c r="DP7">
        <f t="shared" si="23"/>
        <v>4.5</v>
      </c>
    </row>
    <row r="8" spans="2:121" x14ac:dyDescent="0.2">
      <c r="B8" s="17">
        <v>0</v>
      </c>
      <c r="C8" s="17">
        <v>0</v>
      </c>
      <c r="D8" s="19">
        <f>MAX((D6-7)*5,0)</f>
        <v>795</v>
      </c>
      <c r="E8" s="20">
        <f>1/((100-E10)/100)</f>
        <v>1.1111111111111112</v>
      </c>
      <c r="J8" s="33" t="s">
        <v>3796</v>
      </c>
      <c r="K8" s="9">
        <v>5</v>
      </c>
      <c r="L8" s="34">
        <v>10201</v>
      </c>
      <c r="M8" s="34">
        <v>16</v>
      </c>
      <c r="N8" s="34">
        <v>11401</v>
      </c>
      <c r="O8" s="34">
        <v>24</v>
      </c>
      <c r="P8" s="34">
        <v>12102</v>
      </c>
      <c r="Q8" s="34">
        <v>29</v>
      </c>
      <c r="R8" s="34"/>
      <c r="S8" s="34"/>
      <c r="T8" s="34"/>
      <c r="U8" s="34"/>
      <c r="V8" s="36" t="e">
        <f t="shared" si="0"/>
        <v>#N/A</v>
      </c>
      <c r="Y8" s="34">
        <v>4</v>
      </c>
      <c r="Z8" s="34">
        <f>ROUND(VLOOKUP(Y8,刀数数据支持!$L:$Q,3,0)*(1+((Y8-1)*2+25)*0.01*(1+AB8/100)),2)</f>
        <v>10.85</v>
      </c>
      <c r="AA8" s="34">
        <f>ROUND(VLOOKUP(Y8,刀数数据支持!$L:$Q,6,0)*(1+((Y8-1)*5+25)*0.01)*(1+AB8/100),2)</f>
        <v>21.49</v>
      </c>
      <c r="AB8" s="34">
        <f>VLOOKUP(Y8,刀数数据支持!$S:$T,2,0)</f>
        <v>18.25</v>
      </c>
      <c r="AC8" s="34">
        <f>ROUND(刀数数据支持!AY6*(1-刀数数据支持!BA6/100),1)</f>
        <v>17.100000000000001</v>
      </c>
      <c r="AD8" s="34" t="str">
        <f>刀数数据支持!AZ6</f>
        <v>火球术Lv4</v>
      </c>
      <c r="AE8" s="34">
        <f t="shared" si="1"/>
        <v>17.04</v>
      </c>
      <c r="AF8" s="34">
        <f t="shared" si="2"/>
        <v>1.58</v>
      </c>
      <c r="AG8" s="34">
        <f t="shared" si="24"/>
        <v>0.8</v>
      </c>
      <c r="AH8" s="34">
        <f t="shared" si="25"/>
        <v>1</v>
      </c>
      <c r="AK8" s="41">
        <f t="shared" si="26"/>
        <v>10201</v>
      </c>
      <c r="AL8" s="17">
        <f t="shared" si="27"/>
        <v>5</v>
      </c>
      <c r="AM8" s="28" t="e">
        <f t="shared" si="3"/>
        <v>#N/A</v>
      </c>
      <c r="AN8" s="29" t="e">
        <f t="shared" si="4"/>
        <v>#N/A</v>
      </c>
      <c r="AO8" s="30" t="e">
        <f t="shared" si="5"/>
        <v>#N/A</v>
      </c>
      <c r="AP8" s="9" t="e">
        <f t="shared" si="28"/>
        <v>#N/A</v>
      </c>
      <c r="AQ8" s="27">
        <f t="shared" si="29"/>
        <v>11401</v>
      </c>
      <c r="AR8" s="17">
        <f t="shared" si="30"/>
        <v>5</v>
      </c>
      <c r="AS8" s="28" t="e">
        <f t="shared" si="6"/>
        <v>#N/A</v>
      </c>
      <c r="AT8" s="29" t="e">
        <f t="shared" si="7"/>
        <v>#N/A</v>
      </c>
      <c r="AU8" s="30" t="e">
        <f t="shared" si="8"/>
        <v>#N/A</v>
      </c>
      <c r="AV8" s="9" t="e">
        <f t="shared" si="31"/>
        <v>#N/A</v>
      </c>
      <c r="AW8" s="27">
        <f t="shared" si="32"/>
        <v>12102</v>
      </c>
      <c r="AX8" s="17">
        <f t="shared" si="33"/>
        <v>5</v>
      </c>
      <c r="AY8" s="28" t="e">
        <f t="shared" si="9"/>
        <v>#N/A</v>
      </c>
      <c r="AZ8" s="29" t="e">
        <f t="shared" si="10"/>
        <v>#N/A</v>
      </c>
      <c r="BA8" s="30" t="e">
        <f t="shared" si="11"/>
        <v>#N/A</v>
      </c>
      <c r="BB8" s="9" t="e">
        <f t="shared" si="34"/>
        <v>#N/A</v>
      </c>
      <c r="BC8" s="27">
        <f t="shared" si="35"/>
        <v>0</v>
      </c>
      <c r="BD8" s="17">
        <f t="shared" si="36"/>
        <v>5</v>
      </c>
      <c r="BE8" s="28" t="e">
        <f t="shared" si="12"/>
        <v>#N/A</v>
      </c>
      <c r="BF8" s="29" t="e">
        <f t="shared" si="13"/>
        <v>#N/A</v>
      </c>
      <c r="BG8" s="30" t="e">
        <f t="shared" si="14"/>
        <v>#N/A</v>
      </c>
      <c r="BH8" s="9">
        <f t="shared" si="37"/>
        <v>0</v>
      </c>
      <c r="BI8" s="27">
        <f t="shared" si="38"/>
        <v>0</v>
      </c>
      <c r="BJ8" s="17">
        <f t="shared" si="39"/>
        <v>5</v>
      </c>
      <c r="BK8" s="28" t="e">
        <f t="shared" si="15"/>
        <v>#N/A</v>
      </c>
      <c r="BL8" s="29" t="e">
        <f t="shared" si="16"/>
        <v>#N/A</v>
      </c>
      <c r="BM8" s="30" t="e">
        <f t="shared" si="17"/>
        <v>#N/A</v>
      </c>
      <c r="BN8" s="9">
        <f t="shared" si="40"/>
        <v>0</v>
      </c>
      <c r="BS8" s="34" t="e">
        <f>#REF!</f>
        <v>#REF!</v>
      </c>
      <c r="BT8" s="34" t="e">
        <f>#REF!</f>
        <v>#REF!</v>
      </c>
      <c r="BU8" s="34">
        <v>0</v>
      </c>
      <c r="BV8" s="34" t="e">
        <f>IF(VLOOKUP(BT8,#REF!,8,0)=0,"",VLOOKUP(BT8,#REF!,8,0))</f>
        <v>#REF!</v>
      </c>
      <c r="BW8" s="47" t="e">
        <f ca="1">IF(BU8=0,RANDBETWEEN(VLOOKUP(BT8,#REF!,13,0),VLOOKUP(BT8,#REF!,14,0)),RANDBETWEEN(VLOOKUP(BU8,$CO:$CR,2,0)/100*VLOOKUP(BT8,#REF!,13,0),VLOOKUP(BU8,$CO:$CR,2,0)/100*VLOOKUP(BT8,#REF!,14,0)))</f>
        <v>#REF!</v>
      </c>
      <c r="BX8" s="47" t="e">
        <f>VLOOKUP(BT8,#REF!,9,0)</f>
        <v>#REF!</v>
      </c>
      <c r="BY8" s="47" t="e">
        <f ca="1">IF(BU8=0,RANDBETWEEN(VLOOKUP(BT8,#REF!,26,0),VLOOKUP(BT8,#REF!,27,0)),RANDBETWEEN(VLOOKUP(BU8,$CO:$CR,3,0)/100*VLOOKUP(BT8,#REF!,26,0),VLOOKUP(BU8,$CO:$CR,3,0)/100*VLOOKUP(BT8,#REF!,27,0)))</f>
        <v>#REF!</v>
      </c>
      <c r="BZ8" s="47" t="e">
        <f>IF(VLOOKUP(BT8,#REF!,22,0)=0,"",VLOOKUP(BT8,#REF!,22,0))</f>
        <v>#REF!</v>
      </c>
      <c r="CA8" s="47" t="e">
        <f ca="1">IF(BU8=0,RANDBETWEEN(VLOOKUP(BT8,#REF!,39,0),VLOOKUP(BT8,#REF!,40,0)),RANDBETWEEN(VLOOKUP(BU8,$CO:$CR,4,0)/100*VLOOKUP(BT8,#REF!,39,0),VLOOKUP(BU8,$CO:$CR,4,0)/100*VLOOKUP(BT8,#REF!,40,0)))</f>
        <v>#REF!</v>
      </c>
      <c r="CB8" s="47" t="e">
        <f>IF(VLOOKUP(BT8,#REF!,35,0)=0,"",VLOOKUP(BT8,#REF!,35,0))</f>
        <v>#REF!</v>
      </c>
      <c r="CF8" s="33" t="s">
        <v>3796</v>
      </c>
      <c r="CG8" s="33">
        <v>10004</v>
      </c>
      <c r="CH8" t="s">
        <v>3797</v>
      </c>
      <c r="CI8" s="9" t="str">
        <f t="shared" si="41"/>
        <v>5</v>
      </c>
      <c r="CJ8" s="9" t="str">
        <f t="shared" si="18"/>
        <v>27</v>
      </c>
      <c r="CK8" s="9" t="str">
        <f t="shared" si="19"/>
        <v>47</v>
      </c>
      <c r="CO8" s="50">
        <v>3</v>
      </c>
      <c r="CP8" s="50">
        <v>12</v>
      </c>
      <c r="CQ8" s="50">
        <v>120</v>
      </c>
      <c r="CR8" s="50">
        <v>875</v>
      </c>
      <c r="CS8" s="52">
        <v>18</v>
      </c>
      <c r="CT8" s="52">
        <v>112</v>
      </c>
      <c r="CU8" s="52">
        <v>177</v>
      </c>
      <c r="CY8" t="str">
        <f t="shared" si="20"/>
        <v>单</v>
      </c>
      <c r="CZ8" s="47">
        <v>20002</v>
      </c>
      <c r="DA8" s="34">
        <v>1</v>
      </c>
      <c r="DB8" s="54">
        <v>10</v>
      </c>
      <c r="DC8" s="34">
        <v>4</v>
      </c>
      <c r="DD8" s="34">
        <v>11</v>
      </c>
      <c r="DE8" s="34"/>
      <c r="DF8" s="34"/>
      <c r="DG8" s="34">
        <v>100</v>
      </c>
      <c r="DH8" s="34"/>
      <c r="DI8" t="s">
        <v>3783</v>
      </c>
      <c r="DJ8" t="s">
        <v>3798</v>
      </c>
      <c r="DK8" t="s">
        <v>3785</v>
      </c>
      <c r="DL8" s="9">
        <f t="shared" si="21"/>
        <v>4</v>
      </c>
      <c r="DM8" s="9">
        <f t="shared" si="22"/>
        <v>11</v>
      </c>
      <c r="DN8" s="9">
        <v>32</v>
      </c>
      <c r="DP8">
        <f t="shared" si="23"/>
        <v>6.75</v>
      </c>
    </row>
    <row r="9" spans="2:121" x14ac:dyDescent="0.2">
      <c r="B9" s="13" t="s">
        <v>3799</v>
      </c>
      <c r="C9" s="18" t="s">
        <v>3800</v>
      </c>
      <c r="D9" s="18" t="s">
        <v>3801</v>
      </c>
      <c r="E9" s="18" t="s">
        <v>3802</v>
      </c>
      <c r="F9" s="18" t="s">
        <v>3803</v>
      </c>
      <c r="G9" s="21"/>
      <c r="H9" s="22"/>
      <c r="I9" s="21"/>
      <c r="J9" s="33" t="s">
        <v>3804</v>
      </c>
      <c r="K9" s="9">
        <v>7</v>
      </c>
      <c r="L9" s="25">
        <v>10202</v>
      </c>
      <c r="M9" s="34">
        <v>31</v>
      </c>
      <c r="N9" s="25">
        <v>11501</v>
      </c>
      <c r="O9" s="34">
        <v>25</v>
      </c>
      <c r="P9" s="25">
        <v>12201</v>
      </c>
      <c r="Q9" s="34">
        <v>17</v>
      </c>
      <c r="R9" s="25"/>
      <c r="S9" s="25"/>
      <c r="T9" s="25"/>
      <c r="U9" s="25"/>
      <c r="V9" s="36" t="e">
        <f t="shared" si="0"/>
        <v>#N/A</v>
      </c>
      <c r="Y9" s="34">
        <v>5</v>
      </c>
      <c r="Z9" s="34">
        <f>ROUND(VLOOKUP(Y9,刀数数据支持!$L:$Q,3,0)*(1+((Y9-1)*2+25)*0.01*(1+AB9/100)),2)</f>
        <v>11.66</v>
      </c>
      <c r="AA9" s="34">
        <f>ROUND(VLOOKUP(Y9,刀数数据支持!$L:$Q,6,0)*(1+((Y9-1)*5+25)*0.01)*(1+AB9/100),2)</f>
        <v>24.56</v>
      </c>
      <c r="AB9" s="34">
        <f>VLOOKUP(Y9,刀数数据支持!$S:$T,2,0)</f>
        <v>21</v>
      </c>
      <c r="AC9" s="34">
        <f>ROUND(刀数数据支持!AY7*(1-刀数数据支持!BA7/100),1)</f>
        <v>19.7</v>
      </c>
      <c r="AD9" s="34" t="str">
        <f>刀数数据支持!AZ7</f>
        <v>火球术Lv5</v>
      </c>
      <c r="AE9" s="34">
        <f t="shared" si="1"/>
        <v>19.309999999999999</v>
      </c>
      <c r="AF9" s="34">
        <f t="shared" si="2"/>
        <v>1.66</v>
      </c>
      <c r="AG9" s="34">
        <f t="shared" si="24"/>
        <v>0.79</v>
      </c>
      <c r="AH9" s="34">
        <f t="shared" si="25"/>
        <v>0.98</v>
      </c>
      <c r="AK9" s="41">
        <f t="shared" si="26"/>
        <v>10202</v>
      </c>
      <c r="AL9" s="17">
        <f t="shared" si="27"/>
        <v>7</v>
      </c>
      <c r="AM9" s="28" t="e">
        <f t="shared" si="3"/>
        <v>#N/A</v>
      </c>
      <c r="AN9" s="29" t="e">
        <f t="shared" si="4"/>
        <v>#N/A</v>
      </c>
      <c r="AO9" s="30" t="e">
        <f t="shared" si="5"/>
        <v>#N/A</v>
      </c>
      <c r="AP9" s="9" t="e">
        <f t="shared" si="28"/>
        <v>#N/A</v>
      </c>
      <c r="AQ9" s="27">
        <f t="shared" si="29"/>
        <v>11501</v>
      </c>
      <c r="AR9" s="17">
        <f t="shared" si="30"/>
        <v>7</v>
      </c>
      <c r="AS9" s="28" t="e">
        <f t="shared" si="6"/>
        <v>#N/A</v>
      </c>
      <c r="AT9" s="29" t="e">
        <f t="shared" si="7"/>
        <v>#N/A</v>
      </c>
      <c r="AU9" s="30" t="e">
        <f t="shared" si="8"/>
        <v>#N/A</v>
      </c>
      <c r="AV9" s="9" t="e">
        <f t="shared" si="31"/>
        <v>#N/A</v>
      </c>
      <c r="AW9" s="27">
        <f t="shared" si="32"/>
        <v>12201</v>
      </c>
      <c r="AX9" s="17">
        <f t="shared" si="33"/>
        <v>7</v>
      </c>
      <c r="AY9" s="28" t="e">
        <f t="shared" si="9"/>
        <v>#N/A</v>
      </c>
      <c r="AZ9" s="29" t="e">
        <f t="shared" si="10"/>
        <v>#N/A</v>
      </c>
      <c r="BA9" s="30" t="e">
        <f t="shared" si="11"/>
        <v>#N/A</v>
      </c>
      <c r="BB9" s="9" t="e">
        <f t="shared" si="34"/>
        <v>#N/A</v>
      </c>
      <c r="BC9" s="27">
        <f t="shared" si="35"/>
        <v>0</v>
      </c>
      <c r="BD9" s="17">
        <f t="shared" si="36"/>
        <v>7</v>
      </c>
      <c r="BE9" s="28" t="e">
        <f t="shared" si="12"/>
        <v>#N/A</v>
      </c>
      <c r="BF9" s="29" t="e">
        <f t="shared" si="13"/>
        <v>#N/A</v>
      </c>
      <c r="BG9" s="30" t="e">
        <f t="shared" si="14"/>
        <v>#N/A</v>
      </c>
      <c r="BH9" s="9">
        <f t="shared" si="37"/>
        <v>0</v>
      </c>
      <c r="BI9" s="27">
        <f t="shared" si="38"/>
        <v>0</v>
      </c>
      <c r="BJ9" s="17">
        <f t="shared" si="39"/>
        <v>7</v>
      </c>
      <c r="BK9" s="28" t="e">
        <f t="shared" si="15"/>
        <v>#N/A</v>
      </c>
      <c r="BL9" s="29" t="e">
        <f t="shared" si="16"/>
        <v>#N/A</v>
      </c>
      <c r="BM9" s="30" t="e">
        <f t="shared" si="17"/>
        <v>#N/A</v>
      </c>
      <c r="BN9" s="9">
        <f t="shared" si="40"/>
        <v>0</v>
      </c>
      <c r="BQ9" s="21"/>
      <c r="BS9" s="34" t="e">
        <f>#REF!</f>
        <v>#REF!</v>
      </c>
      <c r="BT9" s="34" t="e">
        <f>#REF!</f>
        <v>#REF!</v>
      </c>
      <c r="BU9" s="34">
        <v>0</v>
      </c>
      <c r="BV9" s="34" t="e">
        <f>IF(VLOOKUP(BT9,#REF!,8,0)=0,"",VLOOKUP(BT9,#REF!,8,0))</f>
        <v>#REF!</v>
      </c>
      <c r="BW9" s="47" t="e">
        <f ca="1">IF(BU9=0,RANDBETWEEN(VLOOKUP(BT9,#REF!,13,0),VLOOKUP(BT9,#REF!,14,0)),RANDBETWEEN(VLOOKUP(BU9,$CO:$CR,2,0)/100*VLOOKUP(BT9,#REF!,13,0),VLOOKUP(BU9,$CO:$CR,2,0)/100*VLOOKUP(BT9,#REF!,14,0)))</f>
        <v>#REF!</v>
      </c>
      <c r="BX9" s="47" t="e">
        <f>VLOOKUP(BT9,#REF!,9,0)</f>
        <v>#REF!</v>
      </c>
      <c r="BY9" s="47" t="e">
        <f ca="1">IF(BU9=0,RANDBETWEEN(VLOOKUP(BT9,#REF!,26,0),VLOOKUP(BT9,#REF!,27,0)),RANDBETWEEN(VLOOKUP(BU9,$CO:$CR,3,0)/100*VLOOKUP(BT9,#REF!,26,0),VLOOKUP(BU9,$CO:$CR,3,0)/100*VLOOKUP(BT9,#REF!,27,0)))</f>
        <v>#REF!</v>
      </c>
      <c r="BZ9" s="47" t="e">
        <f>IF(VLOOKUP(BT9,#REF!,22,0)=0,"",VLOOKUP(BT9,#REF!,22,0))</f>
        <v>#REF!</v>
      </c>
      <c r="CA9" s="47" t="e">
        <f ca="1">IF(BU9=0,RANDBETWEEN(VLOOKUP(BT9,#REF!,39,0),VLOOKUP(BT9,#REF!,40,0)),RANDBETWEEN(VLOOKUP(BU9,$CO:$CR,4,0)/100*VLOOKUP(BT9,#REF!,39,0),VLOOKUP(BU9,$CO:$CR,4,0)/100*VLOOKUP(BT9,#REF!,40,0)))</f>
        <v>#REF!</v>
      </c>
      <c r="CB9" s="47" t="e">
        <f>IF(VLOOKUP(BT9,#REF!,35,0)=0,"",VLOOKUP(BT9,#REF!,35,0))</f>
        <v>#REF!</v>
      </c>
      <c r="CF9" s="33" t="s">
        <v>3804</v>
      </c>
      <c r="CG9" s="33">
        <v>10005</v>
      </c>
      <c r="CH9" t="s">
        <v>3805</v>
      </c>
      <c r="CI9" s="9" t="str">
        <f t="shared" si="41"/>
        <v>7</v>
      </c>
      <c r="CJ9" s="9" t="str">
        <f t="shared" si="18"/>
        <v>29</v>
      </c>
      <c r="CK9" s="9" t="str">
        <f t="shared" si="19"/>
        <v>49</v>
      </c>
      <c r="CO9" s="50">
        <v>4</v>
      </c>
      <c r="CP9" s="50">
        <v>15</v>
      </c>
      <c r="CQ9" s="50">
        <v>125</v>
      </c>
      <c r="CR9" s="50">
        <v>897</v>
      </c>
      <c r="CS9" s="52">
        <v>24</v>
      </c>
      <c r="CT9" s="52">
        <v>122</v>
      </c>
      <c r="CU9" s="52">
        <v>192</v>
      </c>
      <c r="CY9" t="str">
        <f t="shared" si="20"/>
        <v>单</v>
      </c>
      <c r="CZ9" s="47">
        <v>20003</v>
      </c>
      <c r="DA9" s="34">
        <v>1</v>
      </c>
      <c r="DB9" s="54">
        <v>10</v>
      </c>
      <c r="DC9" s="34">
        <v>5</v>
      </c>
      <c r="DD9" s="34">
        <v>13</v>
      </c>
      <c r="DE9" s="34"/>
      <c r="DF9" s="34"/>
      <c r="DG9" s="34">
        <v>100</v>
      </c>
      <c r="DH9" s="34"/>
      <c r="DI9" t="s">
        <v>3783</v>
      </c>
      <c r="DJ9" t="s">
        <v>3806</v>
      </c>
      <c r="DK9" t="s">
        <v>3785</v>
      </c>
      <c r="DL9" s="9">
        <f t="shared" si="21"/>
        <v>5</v>
      </c>
      <c r="DM9" s="9">
        <f t="shared" si="22"/>
        <v>13</v>
      </c>
      <c r="DN9" s="9">
        <v>43</v>
      </c>
      <c r="DP9">
        <f t="shared" si="23"/>
        <v>8.1</v>
      </c>
    </row>
    <row r="10" spans="2:121" x14ac:dyDescent="0.2">
      <c r="B10" s="17">
        <v>20272</v>
      </c>
      <c r="C10" s="23">
        <f>INT(VLOOKUP(B10,$CZ:$DG,8,0))/10000</f>
        <v>0</v>
      </c>
      <c r="D10" s="23">
        <f>INT(VLOOKUP(B10,$CZ:$DO,9,0))/10000</f>
        <v>0.01</v>
      </c>
      <c r="E10" s="19">
        <f>VLOOKUP(B10,$CZ:$DG,3,0)-C8</f>
        <v>10</v>
      </c>
      <c r="F10" s="19" t="str">
        <f>IF(B6&gt;=INT(VLOOKUP(B10,$CZ:$DA,2,0)),IF(C6&gt;=INT(VLOOKUP(B10,$CZ:$DO,15,0)),IF(D6&gt;=INT(VLOOKUP(B10,$CZ:$DO,16,0)),VLOOKUP(B10,$CZ:$DN,11,0),"需求敏捷"&amp;VLOOKUP(B10,$CZ:$DO,16,0)),"需求力量"&amp;VLOOKUP(B10,$CZ:$DO,15,0)),"需求等级"&amp;VLOOKUP(B10,$CZ:$DA,2,0))</f>
        <v>需求等级63</v>
      </c>
      <c r="J10" s="33" t="s">
        <v>3807</v>
      </c>
      <c r="K10" s="9">
        <v>9</v>
      </c>
      <c r="L10" s="34">
        <v>10203</v>
      </c>
      <c r="M10" s="34">
        <v>29</v>
      </c>
      <c r="N10" s="34">
        <v>11601</v>
      </c>
      <c r="O10" s="34">
        <v>27</v>
      </c>
      <c r="P10" s="34">
        <v>12202</v>
      </c>
      <c r="Q10" s="34">
        <v>29</v>
      </c>
      <c r="R10" s="34"/>
      <c r="S10" s="34"/>
      <c r="T10" s="34"/>
      <c r="U10" s="34"/>
      <c r="V10" s="36" t="e">
        <f t="shared" si="0"/>
        <v>#N/A</v>
      </c>
      <c r="Y10" s="34">
        <v>6</v>
      </c>
      <c r="Z10" s="34">
        <f>ROUND(VLOOKUP(Y10,刀数数据支持!$L:$Q,3,0)*(1+((Y10-1)*2+25)*0.01*(1+AB10/100)),2)</f>
        <v>12.53</v>
      </c>
      <c r="AA10" s="34">
        <f>ROUND(VLOOKUP(Y10,刀数数据支持!$L:$Q,6,0)*(1+((Y10-1)*5+25)*0.01)*(1+AB10/100),2)</f>
        <v>28.27</v>
      </c>
      <c r="AB10" s="34">
        <f>VLOOKUP(Y10,刀数数据支持!$S:$T,2,0)</f>
        <v>24.33</v>
      </c>
      <c r="AC10" s="34">
        <f>ROUND(刀数数据支持!AY8*(1-刀数数据支持!BA8/100),1)</f>
        <v>72.900000000000006</v>
      </c>
      <c r="AD10" s="34" t="str">
        <f>刀数数据支持!AZ8</f>
        <v>炼狱之火Lv1</v>
      </c>
      <c r="AE10" s="34">
        <f t="shared" si="1"/>
        <v>22.72</v>
      </c>
      <c r="AF10" s="34">
        <f t="shared" si="2"/>
        <v>1.82</v>
      </c>
      <c r="AG10" s="34">
        <f t="shared" si="24"/>
        <v>0.81</v>
      </c>
      <c r="AH10" s="34">
        <f t="shared" si="25"/>
        <v>0.31</v>
      </c>
      <c r="AK10" s="41">
        <f t="shared" si="26"/>
        <v>10203</v>
      </c>
      <c r="AL10" s="17">
        <f t="shared" si="27"/>
        <v>9</v>
      </c>
      <c r="AM10" s="28" t="e">
        <f t="shared" si="3"/>
        <v>#N/A</v>
      </c>
      <c r="AN10" s="29" t="e">
        <f t="shared" si="4"/>
        <v>#N/A</v>
      </c>
      <c r="AO10" s="30" t="e">
        <f t="shared" si="5"/>
        <v>#N/A</v>
      </c>
      <c r="AP10" s="9" t="e">
        <f t="shared" si="28"/>
        <v>#N/A</v>
      </c>
      <c r="AQ10" s="27">
        <f t="shared" si="29"/>
        <v>11601</v>
      </c>
      <c r="AR10" s="17">
        <f t="shared" si="30"/>
        <v>9</v>
      </c>
      <c r="AS10" s="28" t="e">
        <f t="shared" si="6"/>
        <v>#N/A</v>
      </c>
      <c r="AT10" s="29" t="e">
        <f t="shared" si="7"/>
        <v>#N/A</v>
      </c>
      <c r="AU10" s="30" t="e">
        <f t="shared" si="8"/>
        <v>#N/A</v>
      </c>
      <c r="AV10" s="9" t="e">
        <f t="shared" si="31"/>
        <v>#N/A</v>
      </c>
      <c r="AW10" s="27">
        <f t="shared" si="32"/>
        <v>12202</v>
      </c>
      <c r="AX10" s="17">
        <f t="shared" si="33"/>
        <v>9</v>
      </c>
      <c r="AY10" s="28" t="e">
        <f t="shared" si="9"/>
        <v>#N/A</v>
      </c>
      <c r="AZ10" s="29" t="e">
        <f t="shared" si="10"/>
        <v>#N/A</v>
      </c>
      <c r="BA10" s="30" t="e">
        <f t="shared" si="11"/>
        <v>#N/A</v>
      </c>
      <c r="BB10" s="9" t="e">
        <f t="shared" si="34"/>
        <v>#N/A</v>
      </c>
      <c r="BC10" s="27">
        <f t="shared" si="35"/>
        <v>0</v>
      </c>
      <c r="BD10" s="17">
        <f t="shared" si="36"/>
        <v>9</v>
      </c>
      <c r="BE10" s="28" t="e">
        <f t="shared" si="12"/>
        <v>#N/A</v>
      </c>
      <c r="BF10" s="29" t="e">
        <f t="shared" si="13"/>
        <v>#N/A</v>
      </c>
      <c r="BG10" s="30" t="e">
        <f t="shared" si="14"/>
        <v>#N/A</v>
      </c>
      <c r="BH10" s="9">
        <f t="shared" si="37"/>
        <v>0</v>
      </c>
      <c r="BI10" s="27">
        <f t="shared" si="38"/>
        <v>0</v>
      </c>
      <c r="BJ10" s="17">
        <f t="shared" si="39"/>
        <v>9</v>
      </c>
      <c r="BK10" s="28" t="e">
        <f t="shared" si="15"/>
        <v>#N/A</v>
      </c>
      <c r="BL10" s="29" t="e">
        <f t="shared" si="16"/>
        <v>#N/A</v>
      </c>
      <c r="BM10" s="30" t="e">
        <f t="shared" si="17"/>
        <v>#N/A</v>
      </c>
      <c r="BN10" s="9">
        <f t="shared" si="40"/>
        <v>0</v>
      </c>
      <c r="BS10" s="34" t="e">
        <f>#REF!</f>
        <v>#REF!</v>
      </c>
      <c r="BT10" s="34" t="e">
        <f>#REF!</f>
        <v>#REF!</v>
      </c>
      <c r="BU10" s="34">
        <v>0</v>
      </c>
      <c r="BV10" s="34" t="e">
        <f>IF(VLOOKUP(BT10,#REF!,8,0)=0,"",VLOOKUP(BT10,#REF!,8,0))</f>
        <v>#REF!</v>
      </c>
      <c r="BW10" s="47" t="e">
        <f ca="1">IF(BU10=0,RANDBETWEEN(VLOOKUP(BT10,#REF!,13,0),VLOOKUP(BT10,#REF!,14,0)),RANDBETWEEN(VLOOKUP(BU10,$CO:$CR,2,0)/100*VLOOKUP(BT10,#REF!,13,0),VLOOKUP(BU10,$CO:$CR,2,0)/100*VLOOKUP(BT10,#REF!,14,0)))</f>
        <v>#REF!</v>
      </c>
      <c r="BX10" s="47" t="e">
        <f>VLOOKUP(BT10,#REF!,9,0)</f>
        <v>#REF!</v>
      </c>
      <c r="BY10" s="47" t="e">
        <f ca="1">IF(BU10=0,RANDBETWEEN(VLOOKUP(BT10,#REF!,26,0),VLOOKUP(BT10,#REF!,27,0)),RANDBETWEEN(VLOOKUP(BU10,$CO:$CR,3,0)/100*VLOOKUP(BT10,#REF!,26,0),VLOOKUP(BU10,$CO:$CR,3,0)/100*VLOOKUP(BT10,#REF!,27,0)))</f>
        <v>#REF!</v>
      </c>
      <c r="BZ10" s="47" t="e">
        <f>IF(VLOOKUP(BT10,#REF!,22,0)=0,"",VLOOKUP(BT10,#REF!,22,0))</f>
        <v>#REF!</v>
      </c>
      <c r="CA10" s="47" t="e">
        <f ca="1">IF(BU10=0,RANDBETWEEN(VLOOKUP(BT10,#REF!,39,0),VLOOKUP(BT10,#REF!,40,0)),RANDBETWEEN(VLOOKUP(BU10,$CO:$CR,4,0)/100*VLOOKUP(BT10,#REF!,39,0),VLOOKUP(BU10,$CO:$CR,4,0)/100*VLOOKUP(BT10,#REF!,40,0)))</f>
        <v>#REF!</v>
      </c>
      <c r="CB10" s="47" t="e">
        <f>IF(VLOOKUP(BT10,#REF!,35,0)=0,"",VLOOKUP(BT10,#REF!,35,0))</f>
        <v>#REF!</v>
      </c>
      <c r="CF10" s="33" t="s">
        <v>3807</v>
      </c>
      <c r="CG10" s="33">
        <v>10007</v>
      </c>
      <c r="CH10" t="s">
        <v>3808</v>
      </c>
      <c r="CI10" s="9" t="str">
        <f t="shared" si="41"/>
        <v>9</v>
      </c>
      <c r="CJ10" s="9" t="str">
        <f t="shared" si="18"/>
        <v>32</v>
      </c>
      <c r="CK10" s="9" t="str">
        <f t="shared" si="19"/>
        <v>52</v>
      </c>
      <c r="CO10" s="50">
        <v>5</v>
      </c>
      <c r="CP10" s="50">
        <v>17</v>
      </c>
      <c r="CQ10" s="50">
        <v>132</v>
      </c>
      <c r="CR10" s="50">
        <v>920</v>
      </c>
      <c r="CS10" s="52">
        <v>30</v>
      </c>
      <c r="CT10" s="52">
        <v>133</v>
      </c>
      <c r="CU10" s="52">
        <v>207</v>
      </c>
      <c r="CY10" t="str">
        <f t="shared" si="20"/>
        <v>单</v>
      </c>
      <c r="CZ10" s="47">
        <v>20004</v>
      </c>
      <c r="DA10" s="34">
        <v>1</v>
      </c>
      <c r="DB10" s="54">
        <v>-10</v>
      </c>
      <c r="DC10" s="34">
        <v>7</v>
      </c>
      <c r="DD10" s="34">
        <v>11</v>
      </c>
      <c r="DE10" s="34"/>
      <c r="DF10" s="34"/>
      <c r="DG10" s="34">
        <v>100</v>
      </c>
      <c r="DH10" s="34"/>
      <c r="DI10" t="s">
        <v>3783</v>
      </c>
      <c r="DJ10" t="s">
        <v>3809</v>
      </c>
      <c r="DK10" t="s">
        <v>3785</v>
      </c>
      <c r="DL10" s="9">
        <f t="shared" si="21"/>
        <v>7</v>
      </c>
      <c r="DM10" s="9">
        <f t="shared" si="22"/>
        <v>11</v>
      </c>
      <c r="DN10" s="9">
        <v>49</v>
      </c>
      <c r="DO10" s="9">
        <v>33</v>
      </c>
      <c r="DP10">
        <f t="shared" si="23"/>
        <v>9.9</v>
      </c>
    </row>
    <row r="11" spans="2:121" x14ac:dyDescent="0.2">
      <c r="B11" s="13" t="s">
        <v>3810</v>
      </c>
      <c r="E11" s="18" t="s">
        <v>3772</v>
      </c>
      <c r="F11" s="18" t="s">
        <v>3773</v>
      </c>
      <c r="G11" s="21"/>
      <c r="H11" s="22"/>
      <c r="I11" s="21"/>
      <c r="J11" s="33" t="s">
        <v>3811</v>
      </c>
      <c r="K11" s="9">
        <v>2</v>
      </c>
      <c r="L11" s="25">
        <v>10204</v>
      </c>
      <c r="M11" s="34">
        <v>23</v>
      </c>
      <c r="N11" s="25">
        <v>11801</v>
      </c>
      <c r="O11" s="34">
        <v>20</v>
      </c>
      <c r="P11" s="25">
        <v>12203</v>
      </c>
      <c r="Q11" s="34">
        <v>29</v>
      </c>
      <c r="R11" s="25"/>
      <c r="S11" s="25"/>
      <c r="T11" s="25"/>
      <c r="U11" s="25"/>
      <c r="V11" s="36" t="e">
        <f t="shared" si="0"/>
        <v>#N/A</v>
      </c>
      <c r="Y11" s="34">
        <v>7</v>
      </c>
      <c r="Z11" s="34">
        <f>ROUND(VLOOKUP(Y11,刀数数据支持!$L:$Q,3,0)*(1+((Y11-1)*2+25)*0.01*(1+AB11/100)),2)</f>
        <v>13.46</v>
      </c>
      <c r="AA11" s="34">
        <f>ROUND(VLOOKUP(Y11,刀数数据支持!$L:$Q,6,0)*(1+((Y11-1)*5+25)*0.01)*(1+AB11/100),2)</f>
        <v>32.29</v>
      </c>
      <c r="AB11" s="34">
        <f>VLOOKUP(Y11,刀数数据支持!$S:$T,2,0)</f>
        <v>27.66</v>
      </c>
      <c r="AC11" s="34">
        <f>ROUND(刀数数据支持!AY9*(1-刀数数据支持!BA9/100),1)</f>
        <v>108.1</v>
      </c>
      <c r="AD11" s="34" t="str">
        <f>刀数数据支持!AZ9</f>
        <v>炼狱之火Lv2</v>
      </c>
      <c r="AE11" s="34">
        <f t="shared" si="1"/>
        <v>26.12</v>
      </c>
      <c r="AF11" s="34">
        <f t="shared" si="2"/>
        <v>1.95</v>
      </c>
      <c r="AG11" s="34">
        <f t="shared" si="24"/>
        <v>0.81</v>
      </c>
      <c r="AH11" s="34">
        <f t="shared" si="25"/>
        <v>0.24</v>
      </c>
      <c r="AK11" s="41">
        <f t="shared" si="26"/>
        <v>10204</v>
      </c>
      <c r="AL11" s="17">
        <f t="shared" si="27"/>
        <v>2</v>
      </c>
      <c r="AM11" s="28" t="e">
        <f t="shared" si="3"/>
        <v>#N/A</v>
      </c>
      <c r="AN11" s="29" t="e">
        <f t="shared" si="4"/>
        <v>#N/A</v>
      </c>
      <c r="AO11" s="30" t="e">
        <f t="shared" si="5"/>
        <v>#N/A</v>
      </c>
      <c r="AP11" s="9" t="e">
        <f t="shared" si="28"/>
        <v>#N/A</v>
      </c>
      <c r="AQ11" s="27">
        <f t="shared" si="29"/>
        <v>11801</v>
      </c>
      <c r="AR11" s="17">
        <f t="shared" si="30"/>
        <v>2</v>
      </c>
      <c r="AS11" s="28" t="e">
        <f t="shared" si="6"/>
        <v>#N/A</v>
      </c>
      <c r="AT11" s="29" t="e">
        <f t="shared" si="7"/>
        <v>#N/A</v>
      </c>
      <c r="AU11" s="30" t="e">
        <f t="shared" si="8"/>
        <v>#N/A</v>
      </c>
      <c r="AV11" s="9" t="e">
        <f t="shared" si="31"/>
        <v>#N/A</v>
      </c>
      <c r="AW11" s="27">
        <f t="shared" si="32"/>
        <v>12203</v>
      </c>
      <c r="AX11" s="17">
        <f t="shared" si="33"/>
        <v>2</v>
      </c>
      <c r="AY11" s="28" t="e">
        <f t="shared" si="9"/>
        <v>#N/A</v>
      </c>
      <c r="AZ11" s="29" t="e">
        <f t="shared" si="10"/>
        <v>#N/A</v>
      </c>
      <c r="BA11" s="30" t="e">
        <f t="shared" si="11"/>
        <v>#N/A</v>
      </c>
      <c r="BB11" s="9" t="e">
        <f t="shared" si="34"/>
        <v>#N/A</v>
      </c>
      <c r="BC11" s="27">
        <f t="shared" si="35"/>
        <v>0</v>
      </c>
      <c r="BD11" s="17">
        <f t="shared" si="36"/>
        <v>2</v>
      </c>
      <c r="BE11" s="28" t="e">
        <f t="shared" si="12"/>
        <v>#N/A</v>
      </c>
      <c r="BF11" s="29" t="e">
        <f t="shared" si="13"/>
        <v>#N/A</v>
      </c>
      <c r="BG11" s="30" t="e">
        <f t="shared" si="14"/>
        <v>#N/A</v>
      </c>
      <c r="BH11" s="9">
        <f t="shared" si="37"/>
        <v>0</v>
      </c>
      <c r="BI11" s="27">
        <f t="shared" si="38"/>
        <v>0</v>
      </c>
      <c r="BJ11" s="17">
        <f t="shared" si="39"/>
        <v>2</v>
      </c>
      <c r="BK11" s="28" t="e">
        <f t="shared" si="15"/>
        <v>#N/A</v>
      </c>
      <c r="BL11" s="29" t="e">
        <f t="shared" si="16"/>
        <v>#N/A</v>
      </c>
      <c r="BM11" s="30" t="e">
        <f t="shared" si="17"/>
        <v>#N/A</v>
      </c>
      <c r="BN11" s="9">
        <f t="shared" si="40"/>
        <v>0</v>
      </c>
      <c r="BQ11" s="21"/>
      <c r="BS11" s="34" t="e">
        <f>#REF!</f>
        <v>#REF!</v>
      </c>
      <c r="BT11" s="34" t="e">
        <f>#REF!</f>
        <v>#REF!</v>
      </c>
      <c r="BU11" s="34">
        <v>0</v>
      </c>
      <c r="BV11" s="34" t="e">
        <f>IF(VLOOKUP(BT11,#REF!,8,0)=0,"",VLOOKUP(BT11,#REF!,8,0))</f>
        <v>#REF!</v>
      </c>
      <c r="BW11" s="47" t="e">
        <f ca="1">IF(BU11=0,RANDBETWEEN(VLOOKUP(BT11,#REF!,13,0),VLOOKUP(BT11,#REF!,14,0)),RANDBETWEEN(VLOOKUP(BU11,$CO:$CR,2,0)/100*VLOOKUP(BT11,#REF!,13,0),VLOOKUP(BU11,$CO:$CR,2,0)/100*VLOOKUP(BT11,#REF!,14,0)))</f>
        <v>#REF!</v>
      </c>
      <c r="BX11" s="47" t="e">
        <f>VLOOKUP(BT11,#REF!,9,0)</f>
        <v>#REF!</v>
      </c>
      <c r="BY11" s="47" t="e">
        <f ca="1">IF(BU11=0,RANDBETWEEN(VLOOKUP(BT11,#REF!,26,0),VLOOKUP(BT11,#REF!,27,0)),RANDBETWEEN(VLOOKUP(BU11,$CO:$CR,3,0)/100*VLOOKUP(BT11,#REF!,26,0),VLOOKUP(BU11,$CO:$CR,3,0)/100*VLOOKUP(BT11,#REF!,27,0)))</f>
        <v>#REF!</v>
      </c>
      <c r="BZ11" s="47" t="e">
        <f>IF(VLOOKUP(BT11,#REF!,22,0)=0,"",VLOOKUP(BT11,#REF!,22,0))</f>
        <v>#REF!</v>
      </c>
      <c r="CA11" s="47" t="e">
        <f ca="1">IF(BU11=0,RANDBETWEEN(VLOOKUP(BT11,#REF!,39,0),VLOOKUP(BT11,#REF!,40,0)),RANDBETWEEN(VLOOKUP(BU11,$CO:$CR,4,0)/100*VLOOKUP(BT11,#REF!,39,0),VLOOKUP(BU11,$CO:$CR,4,0)/100*VLOOKUP(BT11,#REF!,40,0)))</f>
        <v>#REF!</v>
      </c>
      <c r="CB11" s="47" t="e">
        <f>IF(VLOOKUP(BT11,#REF!,35,0)=0,"",VLOOKUP(BT11,#REF!,35,0))</f>
        <v>#REF!</v>
      </c>
      <c r="CF11" s="33" t="s">
        <v>3811</v>
      </c>
      <c r="CG11" s="33">
        <v>10011</v>
      </c>
      <c r="CH11" t="s">
        <v>3812</v>
      </c>
      <c r="CI11" s="9" t="str">
        <f t="shared" si="41"/>
        <v>2</v>
      </c>
      <c r="CJ11" s="9" t="str">
        <f t="shared" si="18"/>
        <v>25</v>
      </c>
      <c r="CK11" s="9" t="str">
        <f t="shared" si="19"/>
        <v>45</v>
      </c>
      <c r="CO11" s="50">
        <v>6</v>
      </c>
      <c r="CP11" s="50">
        <v>20</v>
      </c>
      <c r="CQ11" s="50">
        <v>139</v>
      </c>
      <c r="CR11" s="50">
        <v>942</v>
      </c>
      <c r="CS11" s="52">
        <v>36</v>
      </c>
      <c r="CT11" s="52">
        <v>143</v>
      </c>
      <c r="CU11" s="52">
        <v>222</v>
      </c>
      <c r="CY11" t="str">
        <f t="shared" si="20"/>
        <v>单</v>
      </c>
      <c r="CZ11" s="47">
        <v>20005</v>
      </c>
      <c r="DA11" s="34">
        <v>1</v>
      </c>
      <c r="DB11" s="54"/>
      <c r="DC11" s="34">
        <v>10</v>
      </c>
      <c r="DD11" s="34">
        <v>18</v>
      </c>
      <c r="DE11" s="34"/>
      <c r="DF11" s="34"/>
      <c r="DG11" s="34">
        <v>100</v>
      </c>
      <c r="DH11" s="34"/>
      <c r="DI11" t="s">
        <v>3783</v>
      </c>
      <c r="DJ11" t="s">
        <v>3813</v>
      </c>
      <c r="DK11" t="s">
        <v>3785</v>
      </c>
      <c r="DL11" s="9">
        <f t="shared" si="21"/>
        <v>10</v>
      </c>
      <c r="DM11" s="9">
        <f t="shared" si="22"/>
        <v>18</v>
      </c>
      <c r="DN11" s="9">
        <v>67</v>
      </c>
      <c r="DP11">
        <f t="shared" si="23"/>
        <v>14</v>
      </c>
    </row>
    <row r="12" spans="2:121" x14ac:dyDescent="0.2">
      <c r="B12" s="17">
        <v>1</v>
      </c>
      <c r="E12" s="19">
        <f>VLOOKUP(B10,$CZ:$DM,13,0)*(1+B8)*(1+C6*C10+D6*D10)</f>
        <v>26.6</v>
      </c>
      <c r="F12" s="19">
        <f>VLOOKUP(B10,$CZ:$DM,14,0)*(1+B8)*(1+C6*C10+D6*D10)</f>
        <v>180.88</v>
      </c>
      <c r="J12" s="33" t="s">
        <v>3814</v>
      </c>
      <c r="K12" s="9">
        <v>3</v>
      </c>
      <c r="L12" s="34">
        <v>10301</v>
      </c>
      <c r="M12" s="34">
        <v>30</v>
      </c>
      <c r="N12" s="34">
        <v>11901</v>
      </c>
      <c r="O12" s="34">
        <v>18</v>
      </c>
      <c r="P12" s="34">
        <v>12301</v>
      </c>
      <c r="Q12" s="34">
        <v>30</v>
      </c>
      <c r="R12" s="34"/>
      <c r="S12" s="34"/>
      <c r="T12" s="34"/>
      <c r="U12" s="34"/>
      <c r="V12" s="36" t="e">
        <f t="shared" si="0"/>
        <v>#N/A</v>
      </c>
      <c r="Y12" s="34">
        <v>8</v>
      </c>
      <c r="Z12" s="34">
        <f>ROUND(VLOOKUP(Y12,刀数数据支持!$L:$Q,3,0)*(1+((Y12-1)*2+25)*0.01*(1+AB12/100)),2)</f>
        <v>14.41</v>
      </c>
      <c r="AA12" s="34">
        <f>ROUND(VLOOKUP(Y12,刀数数据支持!$L:$Q,6,0)*(1+((Y12-1)*5+25)*0.01)*(1+AB12/100),2)</f>
        <v>36.64</v>
      </c>
      <c r="AB12" s="34">
        <f>VLOOKUP(Y12,刀数数据支持!$S:$T,2,0)</f>
        <v>31</v>
      </c>
      <c r="AC12" s="34">
        <f>ROUND(刀数数据支持!AY10*(1-刀数数据支持!BA10/100),1)</f>
        <v>141</v>
      </c>
      <c r="AD12" s="34" t="str">
        <f>刀数数据支持!AZ10</f>
        <v>炼狱之火Lv3</v>
      </c>
      <c r="AE12" s="34">
        <f t="shared" si="1"/>
        <v>30.67</v>
      </c>
      <c r="AF12" s="34">
        <f t="shared" si="2"/>
        <v>2.13</v>
      </c>
      <c r="AG12" s="34">
        <f t="shared" si="24"/>
        <v>0.84</v>
      </c>
      <c r="AH12" s="34">
        <f t="shared" si="25"/>
        <v>0.22</v>
      </c>
      <c r="AK12" s="41">
        <f t="shared" si="26"/>
        <v>10301</v>
      </c>
      <c r="AL12" s="17">
        <f t="shared" si="27"/>
        <v>3</v>
      </c>
      <c r="AM12" s="28" t="e">
        <f t="shared" si="3"/>
        <v>#N/A</v>
      </c>
      <c r="AN12" s="29" t="e">
        <f t="shared" si="4"/>
        <v>#N/A</v>
      </c>
      <c r="AO12" s="30" t="e">
        <f t="shared" si="5"/>
        <v>#N/A</v>
      </c>
      <c r="AP12" s="9" t="e">
        <f t="shared" si="28"/>
        <v>#N/A</v>
      </c>
      <c r="AQ12" s="27">
        <f t="shared" si="29"/>
        <v>11901</v>
      </c>
      <c r="AR12" s="17">
        <f t="shared" si="30"/>
        <v>3</v>
      </c>
      <c r="AS12" s="28" t="e">
        <f t="shared" si="6"/>
        <v>#N/A</v>
      </c>
      <c r="AT12" s="29" t="e">
        <f t="shared" si="7"/>
        <v>#N/A</v>
      </c>
      <c r="AU12" s="30" t="e">
        <f t="shared" si="8"/>
        <v>#N/A</v>
      </c>
      <c r="AV12" s="9" t="e">
        <f t="shared" si="31"/>
        <v>#N/A</v>
      </c>
      <c r="AW12" s="27">
        <f t="shared" si="32"/>
        <v>12301</v>
      </c>
      <c r="AX12" s="17">
        <f t="shared" si="33"/>
        <v>3</v>
      </c>
      <c r="AY12" s="28" t="e">
        <f t="shared" si="9"/>
        <v>#N/A</v>
      </c>
      <c r="AZ12" s="29" t="e">
        <f t="shared" si="10"/>
        <v>#N/A</v>
      </c>
      <c r="BA12" s="30" t="e">
        <f t="shared" si="11"/>
        <v>#N/A</v>
      </c>
      <c r="BB12" s="9" t="e">
        <f t="shared" si="34"/>
        <v>#N/A</v>
      </c>
      <c r="BC12" s="27">
        <f t="shared" si="35"/>
        <v>0</v>
      </c>
      <c r="BD12" s="17">
        <f t="shared" si="36"/>
        <v>3</v>
      </c>
      <c r="BE12" s="28" t="e">
        <f t="shared" si="12"/>
        <v>#N/A</v>
      </c>
      <c r="BF12" s="29" t="e">
        <f t="shared" si="13"/>
        <v>#N/A</v>
      </c>
      <c r="BG12" s="30" t="e">
        <f t="shared" si="14"/>
        <v>#N/A</v>
      </c>
      <c r="BH12" s="9">
        <f t="shared" si="37"/>
        <v>0</v>
      </c>
      <c r="BI12" s="27">
        <f t="shared" si="38"/>
        <v>0</v>
      </c>
      <c r="BJ12" s="17">
        <f t="shared" si="39"/>
        <v>3</v>
      </c>
      <c r="BK12" s="28" t="e">
        <f t="shared" si="15"/>
        <v>#N/A</v>
      </c>
      <c r="BL12" s="29" t="e">
        <f t="shared" si="16"/>
        <v>#N/A</v>
      </c>
      <c r="BM12" s="30" t="e">
        <f t="shared" si="17"/>
        <v>#N/A</v>
      </c>
      <c r="BN12" s="9">
        <f t="shared" si="40"/>
        <v>0</v>
      </c>
      <c r="BS12" s="34" t="e">
        <f>#REF!</f>
        <v>#REF!</v>
      </c>
      <c r="BT12" s="34" t="e">
        <f>#REF!</f>
        <v>#REF!</v>
      </c>
      <c r="BU12" s="34">
        <v>0</v>
      </c>
      <c r="BV12" s="34" t="e">
        <f>IF(VLOOKUP(BT12,#REF!,8,0)=0,"",VLOOKUP(BT12,#REF!,8,0))</f>
        <v>#REF!</v>
      </c>
      <c r="BW12" s="47" t="e">
        <f ca="1">IF(BU12=0,RANDBETWEEN(VLOOKUP(BT12,#REF!,13,0),VLOOKUP(BT12,#REF!,14,0)),RANDBETWEEN(VLOOKUP(BU12,$CO:$CR,2,0)/100*VLOOKUP(BT12,#REF!,13,0),VLOOKUP(BU12,$CO:$CR,2,0)/100*VLOOKUP(BT12,#REF!,14,0)))</f>
        <v>#REF!</v>
      </c>
      <c r="BX12" s="47" t="e">
        <f>VLOOKUP(BT12,#REF!,9,0)</f>
        <v>#REF!</v>
      </c>
      <c r="BY12" s="47" t="e">
        <f ca="1">IF(BU12=0,RANDBETWEEN(VLOOKUP(BT12,#REF!,26,0),VLOOKUP(BT12,#REF!,27,0)),RANDBETWEEN(VLOOKUP(BU12,$CO:$CR,3,0)/100*VLOOKUP(BT12,#REF!,26,0),VLOOKUP(BU12,$CO:$CR,3,0)/100*VLOOKUP(BT12,#REF!,27,0)))</f>
        <v>#REF!</v>
      </c>
      <c r="BZ12" s="47" t="e">
        <f>IF(VLOOKUP(BT12,#REF!,22,0)=0,"",VLOOKUP(BT12,#REF!,22,0))</f>
        <v>#REF!</v>
      </c>
      <c r="CA12" s="47" t="e">
        <f ca="1">IF(BU12=0,RANDBETWEEN(VLOOKUP(BT12,#REF!,39,0),VLOOKUP(BT12,#REF!,40,0)),RANDBETWEEN(VLOOKUP(BU12,$CO:$CR,4,0)/100*VLOOKUP(BT12,#REF!,39,0),VLOOKUP(BU12,$CO:$CR,4,0)/100*VLOOKUP(BT12,#REF!,40,0)))</f>
        <v>#REF!</v>
      </c>
      <c r="CB12" s="47" t="e">
        <f>IF(VLOOKUP(BT12,#REF!,35,0)=0,"",VLOOKUP(BT12,#REF!,35,0))</f>
        <v>#REF!</v>
      </c>
      <c r="CF12" s="33" t="s">
        <v>3814</v>
      </c>
      <c r="CG12" s="33">
        <v>10012</v>
      </c>
      <c r="CH12" t="s">
        <v>3815</v>
      </c>
      <c r="CI12" s="9" t="str">
        <f t="shared" si="41"/>
        <v>3</v>
      </c>
      <c r="CJ12" s="9" t="str">
        <f t="shared" si="18"/>
        <v>27</v>
      </c>
      <c r="CK12" s="9" t="str">
        <f t="shared" si="19"/>
        <v>47</v>
      </c>
      <c r="CO12" s="50">
        <v>7</v>
      </c>
      <c r="CP12" s="50">
        <v>23</v>
      </c>
      <c r="CQ12" s="50">
        <v>145</v>
      </c>
      <c r="CR12" s="50">
        <v>965</v>
      </c>
      <c r="CS12" s="52">
        <v>42</v>
      </c>
      <c r="CT12" s="52">
        <v>153</v>
      </c>
      <c r="CU12" s="52">
        <v>236</v>
      </c>
      <c r="CY12" t="str">
        <f t="shared" si="20"/>
        <v>双手</v>
      </c>
      <c r="CZ12" s="47">
        <v>20006</v>
      </c>
      <c r="DA12" s="34">
        <v>1</v>
      </c>
      <c r="DB12" s="54">
        <v>-10</v>
      </c>
      <c r="DC12" s="34"/>
      <c r="DD12" s="34"/>
      <c r="DE12" s="34">
        <v>6</v>
      </c>
      <c r="DF12" s="34">
        <v>13</v>
      </c>
      <c r="DG12" s="34">
        <v>100</v>
      </c>
      <c r="DH12" s="34"/>
      <c r="DI12" t="s">
        <v>3783</v>
      </c>
      <c r="DJ12" t="s">
        <v>3816</v>
      </c>
      <c r="DK12" t="s">
        <v>3785</v>
      </c>
      <c r="DL12" s="9">
        <f t="shared" si="21"/>
        <v>6</v>
      </c>
      <c r="DM12" s="9">
        <f t="shared" si="22"/>
        <v>13</v>
      </c>
      <c r="DN12" s="9">
        <v>35</v>
      </c>
      <c r="DP12">
        <f t="shared" si="23"/>
        <v>10.450000000000001</v>
      </c>
    </row>
    <row r="13" spans="2:121" x14ac:dyDescent="0.2">
      <c r="J13" s="33" t="s">
        <v>3817</v>
      </c>
      <c r="K13" s="9">
        <v>1</v>
      </c>
      <c r="L13" s="34">
        <v>10302</v>
      </c>
      <c r="M13" s="34">
        <v>20</v>
      </c>
      <c r="N13" s="34">
        <v>12001</v>
      </c>
      <c r="O13" s="34">
        <v>28</v>
      </c>
      <c r="P13" s="34">
        <v>12302</v>
      </c>
      <c r="Q13" s="34">
        <v>20</v>
      </c>
      <c r="R13" s="34"/>
      <c r="S13" s="34"/>
      <c r="T13" s="34"/>
      <c r="U13" s="34"/>
      <c r="V13" s="36" t="e">
        <f t="shared" si="0"/>
        <v>#N/A</v>
      </c>
      <c r="Y13" s="34">
        <v>9</v>
      </c>
      <c r="Z13" s="34">
        <f>ROUND(VLOOKUP(Y13,刀数数据支持!$L:$Q,3,0)*(1+((Y13-1)*2+25)*0.01*(1+AB13/100)),2)</f>
        <v>15.36</v>
      </c>
      <c r="AA13" s="34">
        <f>ROUND(VLOOKUP(Y13,刀数数据支持!$L:$Q,6,0)*(1+((Y13-1)*5+25)*0.01)*(1+AB13/100),2)</f>
        <v>40.799999999999997</v>
      </c>
      <c r="AB13" s="34">
        <f>VLOOKUP(Y13,刀数数据支持!$S:$T,2,0)</f>
        <v>32.67</v>
      </c>
      <c r="AC13" s="34">
        <f>ROUND(刀数数据支持!AY11*(1-刀数数据支持!BA11/100),1)</f>
        <v>174.2</v>
      </c>
      <c r="AD13" s="34" t="str">
        <f>刀数数据支持!AZ11</f>
        <v>炼狱之火Lv4</v>
      </c>
      <c r="AE13" s="34">
        <f t="shared" si="1"/>
        <v>35.21</v>
      </c>
      <c r="AF13" s="34">
        <f t="shared" si="2"/>
        <v>2.2999999999999998</v>
      </c>
      <c r="AG13" s="34">
        <f t="shared" si="24"/>
        <v>0.87</v>
      </c>
      <c r="AH13" s="34">
        <f t="shared" si="25"/>
        <v>0.2</v>
      </c>
      <c r="AK13" s="41">
        <f t="shared" si="26"/>
        <v>10302</v>
      </c>
      <c r="AL13" s="17">
        <f t="shared" si="27"/>
        <v>1</v>
      </c>
      <c r="AM13" s="28" t="e">
        <f t="shared" si="3"/>
        <v>#N/A</v>
      </c>
      <c r="AN13" s="29" t="e">
        <f t="shared" si="4"/>
        <v>#N/A</v>
      </c>
      <c r="AO13" s="30" t="e">
        <f t="shared" si="5"/>
        <v>#N/A</v>
      </c>
      <c r="AP13" s="9" t="e">
        <f t="shared" si="28"/>
        <v>#N/A</v>
      </c>
      <c r="AQ13" s="27">
        <f t="shared" si="29"/>
        <v>12001</v>
      </c>
      <c r="AR13" s="17">
        <f t="shared" si="30"/>
        <v>1</v>
      </c>
      <c r="AS13" s="28" t="e">
        <f t="shared" si="6"/>
        <v>#N/A</v>
      </c>
      <c r="AT13" s="29" t="e">
        <f t="shared" si="7"/>
        <v>#N/A</v>
      </c>
      <c r="AU13" s="30" t="e">
        <f t="shared" si="8"/>
        <v>#N/A</v>
      </c>
      <c r="AV13" s="9" t="e">
        <f t="shared" si="31"/>
        <v>#N/A</v>
      </c>
      <c r="AW13" s="27">
        <f t="shared" si="32"/>
        <v>12302</v>
      </c>
      <c r="AX13" s="17">
        <f t="shared" si="33"/>
        <v>1</v>
      </c>
      <c r="AY13" s="28" t="e">
        <f t="shared" si="9"/>
        <v>#N/A</v>
      </c>
      <c r="AZ13" s="29" t="e">
        <f t="shared" si="10"/>
        <v>#N/A</v>
      </c>
      <c r="BA13" s="30" t="e">
        <f t="shared" si="11"/>
        <v>#N/A</v>
      </c>
      <c r="BB13" s="9" t="e">
        <f t="shared" si="34"/>
        <v>#N/A</v>
      </c>
      <c r="BC13" s="27">
        <f t="shared" si="35"/>
        <v>0</v>
      </c>
      <c r="BD13" s="17">
        <f t="shared" si="36"/>
        <v>1</v>
      </c>
      <c r="BE13" s="28" t="e">
        <f t="shared" si="12"/>
        <v>#N/A</v>
      </c>
      <c r="BF13" s="29" t="e">
        <f t="shared" si="13"/>
        <v>#N/A</v>
      </c>
      <c r="BG13" s="30" t="e">
        <f t="shared" si="14"/>
        <v>#N/A</v>
      </c>
      <c r="BH13" s="9">
        <f t="shared" si="37"/>
        <v>0</v>
      </c>
      <c r="BI13" s="27">
        <f t="shared" si="38"/>
        <v>0</v>
      </c>
      <c r="BJ13" s="17">
        <f t="shared" si="39"/>
        <v>1</v>
      </c>
      <c r="BK13" s="28" t="e">
        <f t="shared" si="15"/>
        <v>#N/A</v>
      </c>
      <c r="BL13" s="29" t="e">
        <f t="shared" si="16"/>
        <v>#N/A</v>
      </c>
      <c r="BM13" s="30" t="e">
        <f t="shared" si="17"/>
        <v>#N/A</v>
      </c>
      <c r="BN13" s="9">
        <f t="shared" si="40"/>
        <v>0</v>
      </c>
      <c r="BS13" s="34" t="e">
        <f>#REF!</f>
        <v>#REF!</v>
      </c>
      <c r="BT13" s="34" t="e">
        <f>#REF!</f>
        <v>#REF!</v>
      </c>
      <c r="BU13" s="34">
        <v>0</v>
      </c>
      <c r="BV13" s="34" t="e">
        <f>IF(VLOOKUP(BT13,#REF!,8,0)=0,"",VLOOKUP(BT13,#REF!,8,0))</f>
        <v>#REF!</v>
      </c>
      <c r="BW13" s="47" t="e">
        <f ca="1">IF(BU13=0,RANDBETWEEN(VLOOKUP(BT13,#REF!,13,0),VLOOKUP(BT13,#REF!,14,0)),RANDBETWEEN(VLOOKUP(BU13,$CO:$CR,2,0)/100*VLOOKUP(BT13,#REF!,13,0),VLOOKUP(BU13,$CO:$CR,2,0)/100*VLOOKUP(BT13,#REF!,14,0)))</f>
        <v>#REF!</v>
      </c>
      <c r="BX13" s="47" t="e">
        <f>VLOOKUP(BT13,#REF!,9,0)</f>
        <v>#REF!</v>
      </c>
      <c r="BY13" s="47" t="e">
        <f ca="1">IF(BU13=0,RANDBETWEEN(VLOOKUP(BT13,#REF!,26,0),VLOOKUP(BT13,#REF!,27,0)),RANDBETWEEN(VLOOKUP(BU13,$CO:$CR,3,0)/100*VLOOKUP(BT13,#REF!,26,0),VLOOKUP(BU13,$CO:$CR,3,0)/100*VLOOKUP(BT13,#REF!,27,0)))</f>
        <v>#REF!</v>
      </c>
      <c r="BZ13" s="47" t="e">
        <f>IF(VLOOKUP(BT13,#REF!,22,0)=0,"",VLOOKUP(BT13,#REF!,22,0))</f>
        <v>#REF!</v>
      </c>
      <c r="CA13" s="47" t="e">
        <f ca="1">IF(BU13=0,RANDBETWEEN(VLOOKUP(BT13,#REF!,39,0),VLOOKUP(BT13,#REF!,40,0)),RANDBETWEEN(VLOOKUP(BU13,$CO:$CR,4,0)/100*VLOOKUP(BT13,#REF!,39,0),VLOOKUP(BU13,$CO:$CR,4,0)/100*VLOOKUP(BT13,#REF!,40,0)))</f>
        <v>#REF!</v>
      </c>
      <c r="CB13" s="47" t="e">
        <f>IF(VLOOKUP(BT13,#REF!,35,0)=0,"",VLOOKUP(BT13,#REF!,35,0))</f>
        <v>#REF!</v>
      </c>
      <c r="CF13" s="33" t="s">
        <v>3817</v>
      </c>
      <c r="CG13" s="33">
        <v>10013</v>
      </c>
      <c r="CH13" t="s">
        <v>3818</v>
      </c>
      <c r="CI13" s="9" t="str">
        <f t="shared" si="41"/>
        <v>1</v>
      </c>
      <c r="CJ13" s="9" t="str">
        <f t="shared" si="18"/>
        <v>22</v>
      </c>
      <c r="CK13" s="9" t="str">
        <f t="shared" si="19"/>
        <v>42</v>
      </c>
      <c r="CO13" s="50">
        <v>8</v>
      </c>
      <c r="CP13" s="50">
        <v>27</v>
      </c>
      <c r="CQ13" s="50">
        <v>152</v>
      </c>
      <c r="CR13" s="50">
        <v>987</v>
      </c>
      <c r="CS13" s="52">
        <v>48</v>
      </c>
      <c r="CT13" s="52">
        <v>163</v>
      </c>
      <c r="CU13" s="52">
        <v>252</v>
      </c>
      <c r="CY13" t="str">
        <f t="shared" si="20"/>
        <v>双手</v>
      </c>
      <c r="CZ13" s="47">
        <v>20007</v>
      </c>
      <c r="DA13" s="34">
        <v>1</v>
      </c>
      <c r="DB13" s="54"/>
      <c r="DC13" s="34"/>
      <c r="DD13" s="34"/>
      <c r="DE13" s="34">
        <v>10</v>
      </c>
      <c r="DF13" s="34">
        <v>18</v>
      </c>
      <c r="DG13" s="34">
        <v>100</v>
      </c>
      <c r="DH13" s="34"/>
      <c r="DI13" t="s">
        <v>3783</v>
      </c>
      <c r="DJ13" t="s">
        <v>3819</v>
      </c>
      <c r="DK13" t="s">
        <v>3785</v>
      </c>
      <c r="DL13" s="9">
        <f t="shared" si="21"/>
        <v>10</v>
      </c>
      <c r="DM13" s="9">
        <f t="shared" si="22"/>
        <v>18</v>
      </c>
      <c r="DN13" s="9">
        <v>48</v>
      </c>
      <c r="DP13">
        <f t="shared" si="23"/>
        <v>14</v>
      </c>
    </row>
    <row r="14" spans="2:121" x14ac:dyDescent="0.2">
      <c r="J14" s="33" t="s">
        <v>3820</v>
      </c>
      <c r="K14" s="9">
        <v>5</v>
      </c>
      <c r="L14" s="34">
        <v>10303</v>
      </c>
      <c r="M14" s="34">
        <v>30</v>
      </c>
      <c r="N14" s="34">
        <v>12002</v>
      </c>
      <c r="O14" s="34">
        <v>25</v>
      </c>
      <c r="P14" s="34">
        <v>12401</v>
      </c>
      <c r="Q14" s="34">
        <v>23</v>
      </c>
      <c r="R14" s="34"/>
      <c r="S14" s="34"/>
      <c r="T14" s="34"/>
      <c r="U14" s="34"/>
      <c r="V14" s="36" t="e">
        <f t="shared" si="0"/>
        <v>#N/A</v>
      </c>
      <c r="Y14" s="34">
        <v>10</v>
      </c>
      <c r="Z14" s="34">
        <f>ROUND(VLOOKUP(Y14,刀数数据支持!$L:$Q,3,0)*(1+((Y14-1)*2+25)*0.01*(1+AB14/100)),2)</f>
        <v>16.329999999999998</v>
      </c>
      <c r="AA14" s="34">
        <f>ROUND(VLOOKUP(Y14,刀数数据支持!$L:$Q,6,0)*(1+((Y14-1)*5+25)*0.01)*(1+AB14/100),2)</f>
        <v>45.22</v>
      </c>
      <c r="AB14" s="34">
        <f>VLOOKUP(Y14,刀数数据支持!$S:$T,2,0)</f>
        <v>34.340000000000003</v>
      </c>
      <c r="AC14" s="34">
        <f>ROUND(刀数数据支持!AY12*(1-刀数数据支持!BA12/100),1)</f>
        <v>204.3</v>
      </c>
      <c r="AD14" s="34" t="str">
        <f>刀数数据支持!AZ12</f>
        <v>炼狱之火Lv5</v>
      </c>
      <c r="AE14" s="34">
        <f t="shared" si="1"/>
        <v>39.75</v>
      </c>
      <c r="AF14" s="34">
        <f t="shared" si="2"/>
        <v>2.44</v>
      </c>
      <c r="AG14" s="34">
        <f t="shared" si="24"/>
        <v>0.88</v>
      </c>
      <c r="AH14" s="34">
        <f t="shared" si="25"/>
        <v>0.19</v>
      </c>
      <c r="AK14" s="41">
        <f t="shared" si="26"/>
        <v>10303</v>
      </c>
      <c r="AL14" s="17">
        <f t="shared" si="27"/>
        <v>5</v>
      </c>
      <c r="AM14" s="28" t="e">
        <f t="shared" si="3"/>
        <v>#N/A</v>
      </c>
      <c r="AN14" s="29" t="e">
        <f t="shared" si="4"/>
        <v>#N/A</v>
      </c>
      <c r="AO14" s="30" t="e">
        <f t="shared" si="5"/>
        <v>#N/A</v>
      </c>
      <c r="AP14" s="9" t="e">
        <f t="shared" si="28"/>
        <v>#N/A</v>
      </c>
      <c r="AQ14" s="27">
        <f t="shared" si="29"/>
        <v>12002</v>
      </c>
      <c r="AR14" s="17">
        <f t="shared" si="30"/>
        <v>5</v>
      </c>
      <c r="AS14" s="28" t="e">
        <f t="shared" si="6"/>
        <v>#N/A</v>
      </c>
      <c r="AT14" s="29" t="e">
        <f t="shared" si="7"/>
        <v>#N/A</v>
      </c>
      <c r="AU14" s="30" t="e">
        <f t="shared" si="8"/>
        <v>#N/A</v>
      </c>
      <c r="AV14" s="9" t="e">
        <f t="shared" si="31"/>
        <v>#N/A</v>
      </c>
      <c r="AW14" s="27">
        <f t="shared" si="32"/>
        <v>12401</v>
      </c>
      <c r="AX14" s="17">
        <f t="shared" si="33"/>
        <v>5</v>
      </c>
      <c r="AY14" s="28" t="e">
        <f t="shared" si="9"/>
        <v>#N/A</v>
      </c>
      <c r="AZ14" s="29" t="e">
        <f t="shared" si="10"/>
        <v>#N/A</v>
      </c>
      <c r="BA14" s="30" t="e">
        <f t="shared" si="11"/>
        <v>#N/A</v>
      </c>
      <c r="BB14" s="9" t="e">
        <f t="shared" si="34"/>
        <v>#N/A</v>
      </c>
      <c r="BC14" s="27">
        <f t="shared" si="35"/>
        <v>0</v>
      </c>
      <c r="BD14" s="17">
        <f t="shared" si="36"/>
        <v>5</v>
      </c>
      <c r="BE14" s="28" t="e">
        <f t="shared" si="12"/>
        <v>#N/A</v>
      </c>
      <c r="BF14" s="29" t="e">
        <f t="shared" si="13"/>
        <v>#N/A</v>
      </c>
      <c r="BG14" s="30" t="e">
        <f t="shared" si="14"/>
        <v>#N/A</v>
      </c>
      <c r="BH14" s="9">
        <f t="shared" si="37"/>
        <v>0</v>
      </c>
      <c r="BI14" s="27">
        <f t="shared" si="38"/>
        <v>0</v>
      </c>
      <c r="BJ14" s="17">
        <f t="shared" si="39"/>
        <v>5</v>
      </c>
      <c r="BK14" s="28" t="e">
        <f t="shared" si="15"/>
        <v>#N/A</v>
      </c>
      <c r="BL14" s="29" t="e">
        <f t="shared" si="16"/>
        <v>#N/A</v>
      </c>
      <c r="BM14" s="30" t="e">
        <f t="shared" si="17"/>
        <v>#N/A</v>
      </c>
      <c r="BN14" s="9">
        <f t="shared" si="40"/>
        <v>0</v>
      </c>
      <c r="BS14" s="34" t="e">
        <f>#REF!</f>
        <v>#REF!</v>
      </c>
      <c r="BT14" s="34" t="e">
        <f>#REF!</f>
        <v>#REF!</v>
      </c>
      <c r="BU14" s="34">
        <v>0</v>
      </c>
      <c r="BV14" s="34" t="e">
        <f>IF(VLOOKUP(BT14,#REF!,8,0)=0,"",VLOOKUP(BT14,#REF!,8,0))</f>
        <v>#REF!</v>
      </c>
      <c r="BW14" s="47" t="e">
        <f ca="1">IF(BU14=0,RANDBETWEEN(VLOOKUP(BT14,#REF!,13,0),VLOOKUP(BT14,#REF!,14,0)),RANDBETWEEN(VLOOKUP(BU14,$CO:$CR,2,0)/100*VLOOKUP(BT14,#REF!,13,0),VLOOKUP(BU14,$CO:$CR,2,0)/100*VLOOKUP(BT14,#REF!,14,0)))</f>
        <v>#REF!</v>
      </c>
      <c r="BX14" s="47" t="e">
        <f>VLOOKUP(BT14,#REF!,9,0)</f>
        <v>#REF!</v>
      </c>
      <c r="BY14" s="47" t="e">
        <f ca="1">IF(BU14=0,RANDBETWEEN(VLOOKUP(BT14,#REF!,26,0),VLOOKUP(BT14,#REF!,27,0)),RANDBETWEEN(VLOOKUP(BU14,$CO:$CR,3,0)/100*VLOOKUP(BT14,#REF!,26,0),VLOOKUP(BU14,$CO:$CR,3,0)/100*VLOOKUP(BT14,#REF!,27,0)))</f>
        <v>#REF!</v>
      </c>
      <c r="BZ14" s="47" t="e">
        <f>IF(VLOOKUP(BT14,#REF!,22,0)=0,"",VLOOKUP(BT14,#REF!,22,0))</f>
        <v>#REF!</v>
      </c>
      <c r="CA14" s="47" t="e">
        <f ca="1">IF(BU14=0,RANDBETWEEN(VLOOKUP(BT14,#REF!,39,0),VLOOKUP(BT14,#REF!,40,0)),RANDBETWEEN(VLOOKUP(BU14,$CO:$CR,4,0)/100*VLOOKUP(BT14,#REF!,39,0),VLOOKUP(BU14,$CO:$CR,4,0)/100*VLOOKUP(BT14,#REF!,40,0)))</f>
        <v>#REF!</v>
      </c>
      <c r="CB14" s="47" t="e">
        <f>IF(VLOOKUP(BT14,#REF!,35,0)=0,"",VLOOKUP(BT14,#REF!,35,0))</f>
        <v>#REF!</v>
      </c>
      <c r="CF14" s="33" t="s">
        <v>3820</v>
      </c>
      <c r="CG14" s="33">
        <v>10031</v>
      </c>
      <c r="CH14" t="s">
        <v>3821</v>
      </c>
      <c r="CI14" s="9" t="str">
        <f t="shared" si="41"/>
        <v>5</v>
      </c>
      <c r="CJ14" s="9" t="str">
        <f t="shared" si="18"/>
        <v>28</v>
      </c>
      <c r="CK14" s="9" t="str">
        <f t="shared" si="19"/>
        <v>48</v>
      </c>
      <c r="CO14" s="50">
        <v>9</v>
      </c>
      <c r="CP14" s="50">
        <v>31</v>
      </c>
      <c r="CQ14" s="50">
        <v>157</v>
      </c>
      <c r="CR14" s="50">
        <v>1010</v>
      </c>
      <c r="CS14" s="52">
        <v>54</v>
      </c>
      <c r="CT14" s="52">
        <v>173</v>
      </c>
      <c r="CU14" s="52">
        <v>267</v>
      </c>
      <c r="CY14" t="str">
        <f t="shared" si="20"/>
        <v>双手</v>
      </c>
      <c r="CZ14" s="47">
        <v>20008</v>
      </c>
      <c r="DA14" s="34">
        <v>1</v>
      </c>
      <c r="DB14" s="54">
        <v>10</v>
      </c>
      <c r="DC14" s="34"/>
      <c r="DD14" s="34"/>
      <c r="DE14" s="34">
        <v>12</v>
      </c>
      <c r="DF14" s="34">
        <v>32</v>
      </c>
      <c r="DG14" s="34">
        <v>100</v>
      </c>
      <c r="DH14" s="34"/>
      <c r="DI14" t="s">
        <v>3783</v>
      </c>
      <c r="DJ14" t="s">
        <v>3822</v>
      </c>
      <c r="DK14" t="s">
        <v>3785</v>
      </c>
      <c r="DL14" s="9">
        <f t="shared" si="21"/>
        <v>12</v>
      </c>
      <c r="DM14" s="9">
        <f t="shared" si="22"/>
        <v>32</v>
      </c>
      <c r="DN14" s="9">
        <v>54</v>
      </c>
      <c r="DP14">
        <f t="shared" si="23"/>
        <v>19.8</v>
      </c>
    </row>
    <row r="15" spans="2:121" x14ac:dyDescent="0.2">
      <c r="D15" s="314" t="s">
        <v>3731</v>
      </c>
      <c r="E15" s="315"/>
      <c r="F15" s="316"/>
      <c r="G15" s="21"/>
      <c r="H15" s="22"/>
      <c r="I15" s="21"/>
      <c r="J15" s="33" t="s">
        <v>3823</v>
      </c>
      <c r="K15" s="9">
        <v>6</v>
      </c>
      <c r="L15" s="25">
        <v>10304</v>
      </c>
      <c r="M15" s="34">
        <v>22</v>
      </c>
      <c r="N15" s="25">
        <v>12003</v>
      </c>
      <c r="O15" s="34">
        <v>22</v>
      </c>
      <c r="P15" s="25">
        <v>12402</v>
      </c>
      <c r="Q15" s="34">
        <v>19</v>
      </c>
      <c r="R15" s="25"/>
      <c r="S15" s="25"/>
      <c r="T15" s="25"/>
      <c r="U15" s="25"/>
      <c r="V15" s="36" t="e">
        <f t="shared" si="0"/>
        <v>#N/A</v>
      </c>
      <c r="Y15" s="34">
        <v>11</v>
      </c>
      <c r="Z15" s="34">
        <f>ROUND(VLOOKUP(Y15,刀数数据支持!$L:$Q,3,0)*(1+((Y15-1)*2+25)*0.01*(1+AB15/100)),2)</f>
        <v>17.09</v>
      </c>
      <c r="AA15" s="34">
        <f>ROUND(VLOOKUP(Y15,刀数数据支持!$L:$Q,6,0)*(1+((Y15-1)*5+25)*0.01)*(1+AB15/100),2)</f>
        <v>49.91</v>
      </c>
      <c r="AB15" s="34">
        <f>VLOOKUP(Y15,刀数数据支持!$S:$T,2,0)</f>
        <v>36.01</v>
      </c>
      <c r="AC15" s="34">
        <f>ROUND(刀数数据支持!AY13*(1-刀数数据支持!BA13/100),1)</f>
        <v>235.6</v>
      </c>
      <c r="AD15" s="34" t="str">
        <f>刀数数据支持!AZ13</f>
        <v>炼狱之火Lv6</v>
      </c>
      <c r="AE15" s="34">
        <f t="shared" si="1"/>
        <v>40.89</v>
      </c>
      <c r="AF15" s="34">
        <f t="shared" si="2"/>
        <v>2.4</v>
      </c>
      <c r="AG15" s="34">
        <f t="shared" si="24"/>
        <v>0.82000000000000006</v>
      </c>
      <c r="AH15" s="34">
        <f t="shared" si="25"/>
        <v>0.17</v>
      </c>
      <c r="AK15" s="41">
        <f t="shared" si="26"/>
        <v>10304</v>
      </c>
      <c r="AL15" s="17">
        <f t="shared" si="27"/>
        <v>6</v>
      </c>
      <c r="AM15" s="28" t="e">
        <f t="shared" si="3"/>
        <v>#N/A</v>
      </c>
      <c r="AN15" s="29" t="e">
        <f t="shared" si="4"/>
        <v>#N/A</v>
      </c>
      <c r="AO15" s="30" t="e">
        <f t="shared" si="5"/>
        <v>#N/A</v>
      </c>
      <c r="AP15" s="9" t="e">
        <f t="shared" si="28"/>
        <v>#N/A</v>
      </c>
      <c r="AQ15" s="27">
        <f t="shared" si="29"/>
        <v>12003</v>
      </c>
      <c r="AR15" s="17">
        <f t="shared" si="30"/>
        <v>6</v>
      </c>
      <c r="AS15" s="28" t="e">
        <f t="shared" si="6"/>
        <v>#N/A</v>
      </c>
      <c r="AT15" s="29" t="e">
        <f t="shared" si="7"/>
        <v>#N/A</v>
      </c>
      <c r="AU15" s="30" t="e">
        <f t="shared" si="8"/>
        <v>#N/A</v>
      </c>
      <c r="AV15" s="9" t="e">
        <f t="shared" si="31"/>
        <v>#N/A</v>
      </c>
      <c r="AW15" s="27">
        <f t="shared" si="32"/>
        <v>12402</v>
      </c>
      <c r="AX15" s="17">
        <f t="shared" si="33"/>
        <v>6</v>
      </c>
      <c r="AY15" s="28" t="e">
        <f t="shared" si="9"/>
        <v>#N/A</v>
      </c>
      <c r="AZ15" s="29" t="e">
        <f t="shared" si="10"/>
        <v>#N/A</v>
      </c>
      <c r="BA15" s="30" t="e">
        <f t="shared" si="11"/>
        <v>#N/A</v>
      </c>
      <c r="BB15" s="9" t="e">
        <f t="shared" si="34"/>
        <v>#N/A</v>
      </c>
      <c r="BC15" s="27">
        <f t="shared" si="35"/>
        <v>0</v>
      </c>
      <c r="BD15" s="17">
        <f t="shared" si="36"/>
        <v>6</v>
      </c>
      <c r="BE15" s="28" t="e">
        <f t="shared" si="12"/>
        <v>#N/A</v>
      </c>
      <c r="BF15" s="29" t="e">
        <f t="shared" si="13"/>
        <v>#N/A</v>
      </c>
      <c r="BG15" s="30" t="e">
        <f t="shared" si="14"/>
        <v>#N/A</v>
      </c>
      <c r="BH15" s="9">
        <f t="shared" si="37"/>
        <v>0</v>
      </c>
      <c r="BI15" s="27">
        <f t="shared" si="38"/>
        <v>0</v>
      </c>
      <c r="BJ15" s="17">
        <f t="shared" si="39"/>
        <v>6</v>
      </c>
      <c r="BK15" s="28" t="e">
        <f t="shared" si="15"/>
        <v>#N/A</v>
      </c>
      <c r="BL15" s="29" t="e">
        <f t="shared" si="16"/>
        <v>#N/A</v>
      </c>
      <c r="BM15" s="30" t="e">
        <f t="shared" si="17"/>
        <v>#N/A</v>
      </c>
      <c r="BN15" s="9">
        <f t="shared" si="40"/>
        <v>0</v>
      </c>
      <c r="BQ15" s="21"/>
      <c r="BS15" s="34" t="e">
        <f>#REF!</f>
        <v>#REF!</v>
      </c>
      <c r="BT15" s="34" t="e">
        <f>#REF!</f>
        <v>#REF!</v>
      </c>
      <c r="BU15" s="34">
        <v>0</v>
      </c>
      <c r="BV15" s="34" t="e">
        <f>IF(VLOOKUP(BT15,#REF!,8,0)=0,"",VLOOKUP(BT15,#REF!,8,0))</f>
        <v>#REF!</v>
      </c>
      <c r="BW15" s="47" t="e">
        <f ca="1">IF(BU15=0,RANDBETWEEN(VLOOKUP(BT15,#REF!,13,0),VLOOKUP(BT15,#REF!,14,0)),RANDBETWEEN(VLOOKUP(BU15,$CO:$CR,2,0)/100*VLOOKUP(BT15,#REF!,13,0),VLOOKUP(BU15,$CO:$CR,2,0)/100*VLOOKUP(BT15,#REF!,14,0)))</f>
        <v>#REF!</v>
      </c>
      <c r="BX15" s="47" t="e">
        <f>VLOOKUP(BT15,#REF!,9,0)</f>
        <v>#REF!</v>
      </c>
      <c r="BY15" s="47" t="e">
        <f ca="1">IF(BU15=0,RANDBETWEEN(VLOOKUP(BT15,#REF!,26,0),VLOOKUP(BT15,#REF!,27,0)),RANDBETWEEN(VLOOKUP(BU15,$CO:$CR,3,0)/100*VLOOKUP(BT15,#REF!,26,0),VLOOKUP(BU15,$CO:$CR,3,0)/100*VLOOKUP(BT15,#REF!,27,0)))</f>
        <v>#REF!</v>
      </c>
      <c r="BZ15" s="47" t="e">
        <f>IF(VLOOKUP(BT15,#REF!,22,0)=0,"",VLOOKUP(BT15,#REF!,22,0))</f>
        <v>#REF!</v>
      </c>
      <c r="CA15" s="47" t="e">
        <f ca="1">IF(BU15=0,RANDBETWEEN(VLOOKUP(BT15,#REF!,39,0),VLOOKUP(BT15,#REF!,40,0)),RANDBETWEEN(VLOOKUP(BU15,$CO:$CR,4,0)/100*VLOOKUP(BT15,#REF!,39,0),VLOOKUP(BU15,$CO:$CR,4,0)/100*VLOOKUP(BT15,#REF!,40,0)))</f>
        <v>#REF!</v>
      </c>
      <c r="CB15" s="47" t="e">
        <f>IF(VLOOKUP(BT15,#REF!,35,0)=0,"",VLOOKUP(BT15,#REF!,35,0))</f>
        <v>#REF!</v>
      </c>
      <c r="CF15" s="33" t="s">
        <v>3823</v>
      </c>
      <c r="CG15" s="33">
        <v>10041</v>
      </c>
      <c r="CH15" t="s">
        <v>3824</v>
      </c>
      <c r="CI15" s="9" t="str">
        <f t="shared" si="41"/>
        <v>6</v>
      </c>
      <c r="CJ15" s="9" t="str">
        <f t="shared" si="18"/>
        <v>28</v>
      </c>
      <c r="CK15" s="9" t="str">
        <f t="shared" si="19"/>
        <v>48</v>
      </c>
      <c r="CO15" s="50">
        <v>10</v>
      </c>
      <c r="CP15" s="50">
        <v>35</v>
      </c>
      <c r="CQ15" s="50">
        <v>164</v>
      </c>
      <c r="CR15" s="50">
        <v>1032</v>
      </c>
      <c r="CS15" s="52">
        <v>60</v>
      </c>
      <c r="CT15" s="52">
        <v>184</v>
      </c>
      <c r="CU15" s="52">
        <v>281</v>
      </c>
      <c r="CY15" t="str">
        <f t="shared" si="20"/>
        <v>双手</v>
      </c>
      <c r="CZ15" s="47">
        <v>20009</v>
      </c>
      <c r="DA15" s="34">
        <v>1</v>
      </c>
      <c r="DB15" s="54">
        <v>-10</v>
      </c>
      <c r="DC15" s="34"/>
      <c r="DD15" s="34"/>
      <c r="DE15" s="34">
        <v>9</v>
      </c>
      <c r="DF15" s="34">
        <v>30</v>
      </c>
      <c r="DG15" s="34">
        <v>100</v>
      </c>
      <c r="DH15" s="34"/>
      <c r="DI15" t="s">
        <v>3783</v>
      </c>
      <c r="DJ15" t="s">
        <v>3825</v>
      </c>
      <c r="DK15" t="s">
        <v>3826</v>
      </c>
      <c r="DL15" s="9">
        <f t="shared" si="21"/>
        <v>9</v>
      </c>
      <c r="DM15" s="9">
        <f t="shared" si="22"/>
        <v>30</v>
      </c>
      <c r="DN15" s="9">
        <v>63</v>
      </c>
      <c r="DO15" s="9">
        <v>39</v>
      </c>
      <c r="DP15">
        <f t="shared" si="23"/>
        <v>21.450000000000003</v>
      </c>
    </row>
    <row r="16" spans="2:121" x14ac:dyDescent="0.2">
      <c r="B16" s="14" t="s">
        <v>3754</v>
      </c>
      <c r="C16" s="13" t="s">
        <v>3827</v>
      </c>
      <c r="D16" s="24" t="s">
        <v>3828</v>
      </c>
      <c r="E16" s="25" t="s">
        <v>3829</v>
      </c>
      <c r="F16" s="26" t="s">
        <v>3830</v>
      </c>
      <c r="G16" s="21" t="s">
        <v>3831</v>
      </c>
      <c r="H16" s="22"/>
      <c r="I16" s="21"/>
      <c r="J16" s="33" t="s">
        <v>3832</v>
      </c>
      <c r="K16" s="9">
        <v>9</v>
      </c>
      <c r="L16" s="25">
        <v>10401</v>
      </c>
      <c r="M16" s="34">
        <v>31</v>
      </c>
      <c r="N16" s="25">
        <v>12101</v>
      </c>
      <c r="O16" s="34">
        <v>18</v>
      </c>
      <c r="P16" s="25">
        <v>12403</v>
      </c>
      <c r="Q16" s="34">
        <v>19</v>
      </c>
      <c r="R16" s="25"/>
      <c r="S16" s="25"/>
      <c r="T16" s="25"/>
      <c r="U16" s="25"/>
      <c r="V16" s="36" t="e">
        <f t="shared" si="0"/>
        <v>#N/A</v>
      </c>
      <c r="Y16" s="34">
        <v>12</v>
      </c>
      <c r="Z16" s="34">
        <f>ROUND(VLOOKUP(Y16,刀数数据支持!$L:$Q,3,0)*(1+((Y16-1)*2+25)*0.01*(1+AB16/100)),2)</f>
        <v>17.87</v>
      </c>
      <c r="AA16" s="34">
        <f>ROUND(VLOOKUP(Y16,刀数数据支持!$L:$Q,6,0)*(1+((Y16-1)*5+25)*0.01)*(1+AB16/100),2)</f>
        <v>54.87</v>
      </c>
      <c r="AB16" s="34">
        <f>VLOOKUP(Y16,刀数数据支持!$S:$T,2,0)</f>
        <v>37.68</v>
      </c>
      <c r="AC16" s="34">
        <f>ROUND(刀数数据支持!AY14*(1-刀数数据支持!BA14/100),1)</f>
        <v>262.89999999999998</v>
      </c>
      <c r="AD16" s="34" t="str">
        <f>刀数数据支持!AZ14</f>
        <v>炼狱之火Lv7</v>
      </c>
      <c r="AE16" s="34">
        <f t="shared" si="1"/>
        <v>45.43</v>
      </c>
      <c r="AF16" s="34">
        <f t="shared" si="2"/>
        <v>2.5499999999999998</v>
      </c>
      <c r="AG16" s="34">
        <f t="shared" si="24"/>
        <v>0.83</v>
      </c>
      <c r="AH16" s="34">
        <f t="shared" si="25"/>
        <v>0.17</v>
      </c>
      <c r="AK16" s="41">
        <f t="shared" si="26"/>
        <v>10401</v>
      </c>
      <c r="AL16" s="17">
        <f t="shared" si="27"/>
        <v>9</v>
      </c>
      <c r="AM16" s="28" t="e">
        <f t="shared" si="3"/>
        <v>#N/A</v>
      </c>
      <c r="AN16" s="29" t="e">
        <f t="shared" si="4"/>
        <v>#N/A</v>
      </c>
      <c r="AO16" s="30" t="e">
        <f t="shared" si="5"/>
        <v>#N/A</v>
      </c>
      <c r="AP16" s="9" t="e">
        <f t="shared" si="28"/>
        <v>#N/A</v>
      </c>
      <c r="AQ16" s="27">
        <f t="shared" si="29"/>
        <v>12101</v>
      </c>
      <c r="AR16" s="17">
        <f t="shared" si="30"/>
        <v>9</v>
      </c>
      <c r="AS16" s="28" t="e">
        <f t="shared" si="6"/>
        <v>#N/A</v>
      </c>
      <c r="AT16" s="29" t="e">
        <f t="shared" si="7"/>
        <v>#N/A</v>
      </c>
      <c r="AU16" s="30" t="e">
        <f t="shared" si="8"/>
        <v>#N/A</v>
      </c>
      <c r="AV16" s="9" t="e">
        <f t="shared" si="31"/>
        <v>#N/A</v>
      </c>
      <c r="AW16" s="27">
        <f t="shared" si="32"/>
        <v>12403</v>
      </c>
      <c r="AX16" s="17">
        <f t="shared" si="33"/>
        <v>9</v>
      </c>
      <c r="AY16" s="28" t="e">
        <f t="shared" si="9"/>
        <v>#N/A</v>
      </c>
      <c r="AZ16" s="29" t="e">
        <f t="shared" si="10"/>
        <v>#N/A</v>
      </c>
      <c r="BA16" s="30" t="e">
        <f t="shared" si="11"/>
        <v>#N/A</v>
      </c>
      <c r="BB16" s="9" t="e">
        <f t="shared" si="34"/>
        <v>#N/A</v>
      </c>
      <c r="BC16" s="27">
        <f t="shared" si="35"/>
        <v>0</v>
      </c>
      <c r="BD16" s="17">
        <f t="shared" si="36"/>
        <v>9</v>
      </c>
      <c r="BE16" s="28" t="e">
        <f t="shared" si="12"/>
        <v>#N/A</v>
      </c>
      <c r="BF16" s="29" t="e">
        <f t="shared" si="13"/>
        <v>#N/A</v>
      </c>
      <c r="BG16" s="30" t="e">
        <f t="shared" si="14"/>
        <v>#N/A</v>
      </c>
      <c r="BH16" s="9">
        <f t="shared" si="37"/>
        <v>0</v>
      </c>
      <c r="BI16" s="27">
        <f t="shared" si="38"/>
        <v>0</v>
      </c>
      <c r="BJ16" s="17">
        <f t="shared" si="39"/>
        <v>9</v>
      </c>
      <c r="BK16" s="28" t="e">
        <f t="shared" si="15"/>
        <v>#N/A</v>
      </c>
      <c r="BL16" s="29" t="e">
        <f t="shared" si="16"/>
        <v>#N/A</v>
      </c>
      <c r="BM16" s="30" t="e">
        <f t="shared" si="17"/>
        <v>#N/A</v>
      </c>
      <c r="BN16" s="9">
        <f t="shared" si="40"/>
        <v>0</v>
      </c>
      <c r="BQ16" s="21"/>
      <c r="BS16" s="34" t="e">
        <f>#REF!</f>
        <v>#REF!</v>
      </c>
      <c r="BT16" s="34" t="e">
        <f>#REF!</f>
        <v>#REF!</v>
      </c>
      <c r="BU16" s="34">
        <v>0</v>
      </c>
      <c r="BV16" s="34" t="e">
        <f>IF(VLOOKUP(BT16,#REF!,8,0)=0,"",VLOOKUP(BT16,#REF!,8,0))</f>
        <v>#REF!</v>
      </c>
      <c r="BW16" s="47" t="e">
        <f ca="1">IF(BU16=0,RANDBETWEEN(VLOOKUP(BT16,#REF!,13,0),VLOOKUP(BT16,#REF!,14,0)),RANDBETWEEN(VLOOKUP(BU16,$CO:$CR,2,0)/100*VLOOKUP(BT16,#REF!,13,0),VLOOKUP(BU16,$CO:$CR,2,0)/100*VLOOKUP(BT16,#REF!,14,0)))</f>
        <v>#REF!</v>
      </c>
      <c r="BX16" s="47" t="e">
        <f>VLOOKUP(BT16,#REF!,9,0)</f>
        <v>#REF!</v>
      </c>
      <c r="BY16" s="47" t="e">
        <f ca="1">IF(BU16=0,RANDBETWEEN(VLOOKUP(BT16,#REF!,26,0),VLOOKUP(BT16,#REF!,27,0)),RANDBETWEEN(VLOOKUP(BU16,$CO:$CR,3,0)/100*VLOOKUP(BT16,#REF!,26,0),VLOOKUP(BU16,$CO:$CR,3,0)/100*VLOOKUP(BT16,#REF!,27,0)))</f>
        <v>#REF!</v>
      </c>
      <c r="BZ16" s="47" t="e">
        <f>IF(VLOOKUP(BT16,#REF!,22,0)=0,"",VLOOKUP(BT16,#REF!,22,0))</f>
        <v>#REF!</v>
      </c>
      <c r="CA16" s="47" t="e">
        <f ca="1">IF(BU16=0,RANDBETWEEN(VLOOKUP(BT16,#REF!,39,0),VLOOKUP(BT16,#REF!,40,0)),RANDBETWEEN(VLOOKUP(BU16,$CO:$CR,4,0)/100*VLOOKUP(BT16,#REF!,39,0),VLOOKUP(BU16,$CO:$CR,4,0)/100*VLOOKUP(BT16,#REF!,40,0)))</f>
        <v>#REF!</v>
      </c>
      <c r="CB16" s="47" t="e">
        <f>IF(VLOOKUP(BT16,#REF!,35,0)=0,"",VLOOKUP(BT16,#REF!,35,0))</f>
        <v>#REF!</v>
      </c>
      <c r="CF16" s="33" t="s">
        <v>3832</v>
      </c>
      <c r="CG16" s="33">
        <v>10051</v>
      </c>
      <c r="CH16" t="s">
        <v>3833</v>
      </c>
      <c r="CI16" s="9" t="str">
        <f t="shared" si="41"/>
        <v>9</v>
      </c>
      <c r="CJ16" s="9" t="str">
        <f t="shared" si="18"/>
        <v>30</v>
      </c>
      <c r="CK16" s="9" t="str">
        <f t="shared" si="19"/>
        <v>50</v>
      </c>
      <c r="CO16" s="50">
        <v>11</v>
      </c>
      <c r="CP16" s="50">
        <v>36</v>
      </c>
      <c r="CQ16" s="50">
        <v>171</v>
      </c>
      <c r="CR16" s="50">
        <v>1055</v>
      </c>
      <c r="CS16" s="52">
        <v>66</v>
      </c>
      <c r="CT16" s="52">
        <v>194</v>
      </c>
      <c r="CU16" s="52">
        <v>297</v>
      </c>
      <c r="CY16" t="str">
        <f t="shared" si="20"/>
        <v>双手</v>
      </c>
      <c r="CZ16" s="47">
        <v>20010</v>
      </c>
      <c r="DA16" s="34">
        <v>1</v>
      </c>
      <c r="DB16" s="54">
        <v>10</v>
      </c>
      <c r="DC16" s="34"/>
      <c r="DD16" s="34"/>
      <c r="DE16" s="34">
        <v>22</v>
      </c>
      <c r="DF16" s="34">
        <v>45</v>
      </c>
      <c r="DG16" s="34">
        <v>100</v>
      </c>
      <c r="DH16" s="34"/>
      <c r="DI16" t="s">
        <v>3783</v>
      </c>
      <c r="DJ16" t="s">
        <v>3834</v>
      </c>
      <c r="DK16" t="s">
        <v>3826</v>
      </c>
      <c r="DL16" s="9">
        <f t="shared" si="21"/>
        <v>22</v>
      </c>
      <c r="DM16" s="9">
        <f t="shared" si="22"/>
        <v>45</v>
      </c>
      <c r="DN16" s="9">
        <v>70</v>
      </c>
      <c r="DP16">
        <f t="shared" si="23"/>
        <v>30.150000000000002</v>
      </c>
    </row>
    <row r="17" spans="2:120" x14ac:dyDescent="0.2">
      <c r="B17" s="27">
        <v>10101</v>
      </c>
      <c r="C17" s="17">
        <v>1</v>
      </c>
      <c r="D17" s="28" t="e">
        <f>IF(C17&gt;119,VLOOKUP(INT(VLOOKUP(C17,$CG:$CK,3,0)),$CO:$CU,2,0)/100*VLOOKUP(B17,$BT:$CB,4,0),VLOOKUP(C17,$CO:$CR,2,0)/100*VLOOKUP(B17,$BT:$CB,4,0))</f>
        <v>#N/A</v>
      </c>
      <c r="E17" s="29" t="e">
        <f>1-MIN(MAX(IF(C17&gt;119,2*($D$8/($D$8+VLOOKUP($B$17,$BT:$CB,5,0))*($B$6/($B$6+VLOOKUP($C$17,$CG:$CK,3,0)))),2*($D$8/($D$8+VLOOKUP($B$17,$BT:$CB,5,0))*($B$6/($B$6+$C$17)))),0.05),0.95)</f>
        <v>#N/A</v>
      </c>
      <c r="F17" s="30" t="e">
        <f>ROUNDUP(D17*(1+E17)*(1+IF(VLOOKUP($B$17,$BT:$BV,3,0)="",0,INT(VLOOKUP($B$17,$BT:$BV,3,0)/100)))/(($E$12+$F$12)/2),0)</f>
        <v>#N/A</v>
      </c>
      <c r="G17" s="9" t="e">
        <f>F17*$E$8</f>
        <v>#N/A</v>
      </c>
      <c r="J17" s="33" t="s">
        <v>3835</v>
      </c>
      <c r="K17" s="9">
        <v>10</v>
      </c>
      <c r="L17" s="34">
        <v>10402</v>
      </c>
      <c r="M17" s="34">
        <v>28</v>
      </c>
      <c r="N17" s="34">
        <v>12102</v>
      </c>
      <c r="O17" s="34">
        <v>22</v>
      </c>
      <c r="P17" s="34">
        <v>12501</v>
      </c>
      <c r="Q17" s="34">
        <v>20</v>
      </c>
      <c r="R17" s="34"/>
      <c r="S17" s="34"/>
      <c r="T17" s="34"/>
      <c r="U17" s="34"/>
      <c r="V17" s="36" t="e">
        <f t="shared" si="0"/>
        <v>#N/A</v>
      </c>
      <c r="Y17" s="34">
        <v>13</v>
      </c>
      <c r="Z17" s="34">
        <f>ROUND(VLOOKUP(Y17,刀数数据支持!$L:$Q,3,0)*(1+((Y17-1)*2+25)*0.01*(1+AB17/100)),2)</f>
        <v>18.68</v>
      </c>
      <c r="AA17" s="34">
        <f>ROUND(VLOOKUP(Y17,刀数数据支持!$L:$Q,6,0)*(1+((Y17-1)*5+25)*0.01)*(1+AB17/100),2)</f>
        <v>60.09</v>
      </c>
      <c r="AB17" s="34">
        <f>VLOOKUP(Y17,刀数数据支持!$S:$T,2,0)</f>
        <v>39.35</v>
      </c>
      <c r="AC17" s="34">
        <f>ROUND(刀数数据支持!AY15*(1-刀数数据支持!BA15/100),1)</f>
        <v>292.2</v>
      </c>
      <c r="AD17" s="34" t="str">
        <f>刀数数据支持!AZ15</f>
        <v>炼狱之火Lv8</v>
      </c>
      <c r="AE17" s="34">
        <f t="shared" si="1"/>
        <v>49.98</v>
      </c>
      <c r="AF17" s="34">
        <f t="shared" si="2"/>
        <v>2.6799999999999997</v>
      </c>
      <c r="AG17" s="34">
        <f t="shared" si="24"/>
        <v>0.84</v>
      </c>
      <c r="AH17" s="34">
        <f t="shared" si="25"/>
        <v>0.17</v>
      </c>
      <c r="AK17" s="41">
        <f t="shared" si="26"/>
        <v>10402</v>
      </c>
      <c r="AL17" s="17">
        <f t="shared" si="27"/>
        <v>10</v>
      </c>
      <c r="AM17" s="28" t="e">
        <f t="shared" si="3"/>
        <v>#N/A</v>
      </c>
      <c r="AN17" s="29" t="e">
        <f t="shared" si="4"/>
        <v>#N/A</v>
      </c>
      <c r="AO17" s="30" t="e">
        <f t="shared" si="5"/>
        <v>#N/A</v>
      </c>
      <c r="AP17" s="9" t="e">
        <f t="shared" si="28"/>
        <v>#N/A</v>
      </c>
      <c r="AQ17" s="27">
        <f t="shared" si="29"/>
        <v>12102</v>
      </c>
      <c r="AR17" s="17">
        <f t="shared" si="30"/>
        <v>10</v>
      </c>
      <c r="AS17" s="28" t="e">
        <f t="shared" si="6"/>
        <v>#N/A</v>
      </c>
      <c r="AT17" s="29" t="e">
        <f t="shared" si="7"/>
        <v>#N/A</v>
      </c>
      <c r="AU17" s="30" t="e">
        <f t="shared" si="8"/>
        <v>#N/A</v>
      </c>
      <c r="AV17" s="9" t="e">
        <f t="shared" si="31"/>
        <v>#N/A</v>
      </c>
      <c r="AW17" s="27">
        <f t="shared" si="32"/>
        <v>12501</v>
      </c>
      <c r="AX17" s="17">
        <f t="shared" si="33"/>
        <v>10</v>
      </c>
      <c r="AY17" s="28" t="e">
        <f t="shared" si="9"/>
        <v>#N/A</v>
      </c>
      <c r="AZ17" s="29" t="e">
        <f t="shared" si="10"/>
        <v>#N/A</v>
      </c>
      <c r="BA17" s="30" t="e">
        <f t="shared" si="11"/>
        <v>#N/A</v>
      </c>
      <c r="BB17" s="9" t="e">
        <f t="shared" si="34"/>
        <v>#N/A</v>
      </c>
      <c r="BC17" s="27">
        <f t="shared" si="35"/>
        <v>0</v>
      </c>
      <c r="BD17" s="17">
        <f t="shared" si="36"/>
        <v>10</v>
      </c>
      <c r="BE17" s="28" t="e">
        <f t="shared" si="12"/>
        <v>#N/A</v>
      </c>
      <c r="BF17" s="29" t="e">
        <f t="shared" si="13"/>
        <v>#N/A</v>
      </c>
      <c r="BG17" s="30" t="e">
        <f t="shared" si="14"/>
        <v>#N/A</v>
      </c>
      <c r="BH17" s="9">
        <f t="shared" si="37"/>
        <v>0</v>
      </c>
      <c r="BI17" s="27">
        <f t="shared" si="38"/>
        <v>0</v>
      </c>
      <c r="BJ17" s="17">
        <f t="shared" si="39"/>
        <v>10</v>
      </c>
      <c r="BK17" s="28" t="e">
        <f t="shared" si="15"/>
        <v>#N/A</v>
      </c>
      <c r="BL17" s="29" t="e">
        <f t="shared" si="16"/>
        <v>#N/A</v>
      </c>
      <c r="BM17" s="30" t="e">
        <f t="shared" si="17"/>
        <v>#N/A</v>
      </c>
      <c r="BN17" s="9">
        <f t="shared" si="40"/>
        <v>0</v>
      </c>
      <c r="BS17" s="34" t="e">
        <f>#REF!</f>
        <v>#REF!</v>
      </c>
      <c r="BT17" s="34" t="e">
        <f>#REF!</f>
        <v>#REF!</v>
      </c>
      <c r="BU17" s="34">
        <v>0</v>
      </c>
      <c r="BV17" s="34" t="e">
        <f>IF(VLOOKUP(BT17,#REF!,8,0)=0,"",VLOOKUP(BT17,#REF!,8,0))</f>
        <v>#REF!</v>
      </c>
      <c r="BW17" s="47" t="e">
        <f ca="1">IF(BU17=0,RANDBETWEEN(VLOOKUP(BT17,#REF!,13,0),VLOOKUP(BT17,#REF!,14,0)),RANDBETWEEN(VLOOKUP(BU17,$CO:$CR,2,0)/100*VLOOKUP(BT17,#REF!,13,0),VLOOKUP(BU17,$CO:$CR,2,0)/100*VLOOKUP(BT17,#REF!,14,0)))</f>
        <v>#REF!</v>
      </c>
      <c r="BX17" s="47" t="e">
        <f>VLOOKUP(BT17,#REF!,9,0)</f>
        <v>#REF!</v>
      </c>
      <c r="BY17" s="47" t="e">
        <f ca="1">IF(BU17=0,RANDBETWEEN(VLOOKUP(BT17,#REF!,26,0),VLOOKUP(BT17,#REF!,27,0)),RANDBETWEEN(VLOOKUP(BU17,$CO:$CR,3,0)/100*VLOOKUP(BT17,#REF!,26,0),VLOOKUP(BU17,$CO:$CR,3,0)/100*VLOOKUP(BT17,#REF!,27,0)))</f>
        <v>#REF!</v>
      </c>
      <c r="BZ17" s="47" t="e">
        <f>IF(VLOOKUP(BT17,#REF!,22,0)=0,"",VLOOKUP(BT17,#REF!,22,0))</f>
        <v>#REF!</v>
      </c>
      <c r="CA17" s="47" t="e">
        <f ca="1">IF(BU17=0,RANDBETWEEN(VLOOKUP(BT17,#REF!,39,0),VLOOKUP(BT17,#REF!,40,0)),RANDBETWEEN(VLOOKUP(BU17,$CO:$CR,4,0)/100*VLOOKUP(BT17,#REF!,39,0),VLOOKUP(BU17,$CO:$CR,4,0)/100*VLOOKUP(BT17,#REF!,40,0)))</f>
        <v>#REF!</v>
      </c>
      <c r="CB17" s="47" t="e">
        <f>IF(VLOOKUP(BT17,#REF!,35,0)=0,"",VLOOKUP(BT17,#REF!,35,0))</f>
        <v>#REF!</v>
      </c>
      <c r="CF17" s="33" t="s">
        <v>3835</v>
      </c>
      <c r="CG17" s="33">
        <v>10052</v>
      </c>
      <c r="CH17" t="s">
        <v>3836</v>
      </c>
      <c r="CI17" s="9" t="str">
        <f t="shared" si="41"/>
        <v>10</v>
      </c>
      <c r="CJ17" s="9" t="str">
        <f t="shared" si="18"/>
        <v>32</v>
      </c>
      <c r="CK17" s="9" t="str">
        <f t="shared" si="19"/>
        <v>52</v>
      </c>
      <c r="CO17" s="50">
        <v>12</v>
      </c>
      <c r="CP17" s="50">
        <v>40</v>
      </c>
      <c r="CQ17" s="50">
        <v>177</v>
      </c>
      <c r="CR17" s="50">
        <v>1077</v>
      </c>
      <c r="CS17" s="52">
        <v>72</v>
      </c>
      <c r="CT17" s="52">
        <v>204</v>
      </c>
      <c r="CU17" s="52">
        <v>311</v>
      </c>
      <c r="CY17" t="str">
        <f t="shared" si="20"/>
        <v>单</v>
      </c>
      <c r="CZ17" s="47">
        <v>20011</v>
      </c>
      <c r="DA17" s="34">
        <v>1</v>
      </c>
      <c r="DB17" s="54"/>
      <c r="DC17" s="34">
        <v>2</v>
      </c>
      <c r="DD17" s="34">
        <v>4</v>
      </c>
      <c r="DE17" s="34"/>
      <c r="DF17" s="34"/>
      <c r="DG17" s="34">
        <v>100</v>
      </c>
      <c r="DH17" s="34"/>
      <c r="DI17" t="s">
        <v>3783</v>
      </c>
      <c r="DJ17" t="s">
        <v>3837</v>
      </c>
      <c r="DK17" t="s">
        <v>3826</v>
      </c>
      <c r="DL17" s="9">
        <f t="shared" si="21"/>
        <v>2</v>
      </c>
      <c r="DM17" s="9">
        <f t="shared" si="22"/>
        <v>4</v>
      </c>
      <c r="DP17">
        <f t="shared" si="23"/>
        <v>3</v>
      </c>
    </row>
    <row r="18" spans="2:120" x14ac:dyDescent="0.2">
      <c r="B18" s="9"/>
      <c r="C18" s="9"/>
      <c r="D18" s="9"/>
      <c r="E18" s="9"/>
      <c r="F18" s="9"/>
      <c r="J18" s="33" t="s">
        <v>3838</v>
      </c>
      <c r="K18" s="9">
        <v>10</v>
      </c>
      <c r="L18" s="34">
        <v>10501</v>
      </c>
      <c r="M18" s="34">
        <v>19</v>
      </c>
      <c r="N18" s="34">
        <v>12201</v>
      </c>
      <c r="O18" s="34">
        <v>32</v>
      </c>
      <c r="P18" s="34">
        <v>12502</v>
      </c>
      <c r="Q18" s="34">
        <v>29</v>
      </c>
      <c r="R18" s="34"/>
      <c r="S18" s="34"/>
      <c r="T18" s="34"/>
      <c r="U18" s="34"/>
      <c r="V18" s="36" t="e">
        <f t="shared" si="0"/>
        <v>#N/A</v>
      </c>
      <c r="Y18" s="34">
        <v>14</v>
      </c>
      <c r="Z18" s="34">
        <f>ROUND(VLOOKUP(Y18,刀数数据支持!$L:$Q,3,0)*(1+((Y18-1)*2+25)*0.01*(1+AB18/100)),2)</f>
        <v>19.510000000000002</v>
      </c>
      <c r="AA18" s="34">
        <f>ROUND(VLOOKUP(Y18,刀数数据支持!$L:$Q,6,0)*(1+((Y18-1)*5+25)*0.01)*(1+AB18/100),2)</f>
        <v>65.58</v>
      </c>
      <c r="AB18" s="34">
        <f>VLOOKUP(Y18,刀数数据支持!$S:$T,2,0)</f>
        <v>41</v>
      </c>
      <c r="AC18" s="34">
        <f>ROUND(刀数数据支持!AY16*(1-刀数数据支持!BA16/100),1)</f>
        <v>345.3</v>
      </c>
      <c r="AD18" s="34" t="str">
        <f>刀数数据支持!AZ16</f>
        <v>炼狱之火Lv9</v>
      </c>
      <c r="AE18" s="34">
        <f t="shared" si="1"/>
        <v>54.52</v>
      </c>
      <c r="AF18" s="34">
        <f t="shared" si="2"/>
        <v>2.8</v>
      </c>
      <c r="AG18" s="34">
        <f t="shared" si="24"/>
        <v>0.84</v>
      </c>
      <c r="AH18" s="34">
        <f t="shared" si="25"/>
        <v>0.16</v>
      </c>
      <c r="AK18" s="41">
        <f t="shared" si="26"/>
        <v>10501</v>
      </c>
      <c r="AL18" s="17">
        <f t="shared" si="27"/>
        <v>10</v>
      </c>
      <c r="AM18" s="28" t="e">
        <f t="shared" si="3"/>
        <v>#N/A</v>
      </c>
      <c r="AN18" s="29" t="e">
        <f t="shared" si="4"/>
        <v>#N/A</v>
      </c>
      <c r="AO18" s="30" t="e">
        <f t="shared" si="5"/>
        <v>#N/A</v>
      </c>
      <c r="AP18" s="9" t="e">
        <f t="shared" si="28"/>
        <v>#N/A</v>
      </c>
      <c r="AQ18" s="27">
        <f t="shared" si="29"/>
        <v>12201</v>
      </c>
      <c r="AR18" s="17">
        <f t="shared" si="30"/>
        <v>10</v>
      </c>
      <c r="AS18" s="28" t="e">
        <f t="shared" si="6"/>
        <v>#N/A</v>
      </c>
      <c r="AT18" s="29" t="e">
        <f t="shared" si="7"/>
        <v>#N/A</v>
      </c>
      <c r="AU18" s="30" t="e">
        <f t="shared" si="8"/>
        <v>#N/A</v>
      </c>
      <c r="AV18" s="9" t="e">
        <f t="shared" si="31"/>
        <v>#N/A</v>
      </c>
      <c r="AW18" s="27">
        <f t="shared" si="32"/>
        <v>12502</v>
      </c>
      <c r="AX18" s="17">
        <f t="shared" si="33"/>
        <v>10</v>
      </c>
      <c r="AY18" s="28" t="e">
        <f t="shared" si="9"/>
        <v>#N/A</v>
      </c>
      <c r="AZ18" s="29" t="e">
        <f t="shared" si="10"/>
        <v>#N/A</v>
      </c>
      <c r="BA18" s="30" t="e">
        <f t="shared" si="11"/>
        <v>#N/A</v>
      </c>
      <c r="BB18" s="9" t="e">
        <f t="shared" si="34"/>
        <v>#N/A</v>
      </c>
      <c r="BC18" s="27">
        <f t="shared" si="35"/>
        <v>0</v>
      </c>
      <c r="BD18" s="17">
        <f t="shared" si="36"/>
        <v>10</v>
      </c>
      <c r="BE18" s="28" t="e">
        <f t="shared" si="12"/>
        <v>#N/A</v>
      </c>
      <c r="BF18" s="29" t="e">
        <f t="shared" si="13"/>
        <v>#N/A</v>
      </c>
      <c r="BG18" s="30" t="e">
        <f t="shared" si="14"/>
        <v>#N/A</v>
      </c>
      <c r="BH18" s="9">
        <f t="shared" si="37"/>
        <v>0</v>
      </c>
      <c r="BI18" s="27">
        <f t="shared" si="38"/>
        <v>0</v>
      </c>
      <c r="BJ18" s="17">
        <f t="shared" si="39"/>
        <v>10</v>
      </c>
      <c r="BK18" s="28" t="e">
        <f t="shared" si="15"/>
        <v>#N/A</v>
      </c>
      <c r="BL18" s="29" t="e">
        <f t="shared" si="16"/>
        <v>#N/A</v>
      </c>
      <c r="BM18" s="30" t="e">
        <f t="shared" si="17"/>
        <v>#N/A</v>
      </c>
      <c r="BN18" s="9">
        <f t="shared" si="40"/>
        <v>0</v>
      </c>
      <c r="BS18" s="34" t="e">
        <f>#REF!</f>
        <v>#REF!</v>
      </c>
      <c r="BT18" s="34" t="e">
        <f>#REF!</f>
        <v>#REF!</v>
      </c>
      <c r="BU18" s="34">
        <v>0</v>
      </c>
      <c r="BV18" s="34" t="e">
        <f>IF(VLOOKUP(BT18,#REF!,8,0)=0,"",VLOOKUP(BT18,#REF!,8,0))</f>
        <v>#REF!</v>
      </c>
      <c r="BW18" s="47" t="e">
        <f ca="1">IF(BU18=0,RANDBETWEEN(VLOOKUP(BT18,#REF!,13,0),VLOOKUP(BT18,#REF!,14,0)),RANDBETWEEN(VLOOKUP(BU18,$CO:$CR,2,0)/100*VLOOKUP(BT18,#REF!,13,0),VLOOKUP(BU18,$CO:$CR,2,0)/100*VLOOKUP(BT18,#REF!,14,0)))</f>
        <v>#REF!</v>
      </c>
      <c r="BX18" s="47" t="e">
        <f>VLOOKUP(BT18,#REF!,9,0)</f>
        <v>#REF!</v>
      </c>
      <c r="BY18" s="47" t="e">
        <f ca="1">IF(BU18=0,RANDBETWEEN(VLOOKUP(BT18,#REF!,26,0),VLOOKUP(BT18,#REF!,27,0)),RANDBETWEEN(VLOOKUP(BU18,$CO:$CR,3,0)/100*VLOOKUP(BT18,#REF!,26,0),VLOOKUP(BU18,$CO:$CR,3,0)/100*VLOOKUP(BT18,#REF!,27,0)))</f>
        <v>#REF!</v>
      </c>
      <c r="BZ18" s="47" t="e">
        <f>IF(VLOOKUP(BT18,#REF!,22,0)=0,"",VLOOKUP(BT18,#REF!,22,0))</f>
        <v>#REF!</v>
      </c>
      <c r="CA18" s="47" t="e">
        <f ca="1">IF(BU18=0,RANDBETWEEN(VLOOKUP(BT18,#REF!,39,0),VLOOKUP(BT18,#REF!,40,0)),RANDBETWEEN(VLOOKUP(BU18,$CO:$CR,4,0)/100*VLOOKUP(BT18,#REF!,39,0),VLOOKUP(BU18,$CO:$CR,4,0)/100*VLOOKUP(BT18,#REF!,40,0)))</f>
        <v>#REF!</v>
      </c>
      <c r="CB18" s="47" t="e">
        <f>IF(VLOOKUP(BT18,#REF!,35,0)=0,"",VLOOKUP(BT18,#REF!,35,0))</f>
        <v>#REF!</v>
      </c>
      <c r="CF18" s="33" t="s">
        <v>3838</v>
      </c>
      <c r="CG18" s="33">
        <v>10071</v>
      </c>
      <c r="CH18" t="s">
        <v>3839</v>
      </c>
      <c r="CI18" s="9" t="str">
        <f t="shared" si="41"/>
        <v>10</v>
      </c>
      <c r="CJ18" s="9" t="str">
        <f t="shared" si="18"/>
        <v>33</v>
      </c>
      <c r="CK18" s="9" t="str">
        <f t="shared" si="19"/>
        <v>53</v>
      </c>
      <c r="CO18" s="50">
        <v>13</v>
      </c>
      <c r="CP18" s="50">
        <v>44</v>
      </c>
      <c r="CQ18" s="50">
        <v>184</v>
      </c>
      <c r="CR18" s="50">
        <v>1100</v>
      </c>
      <c r="CS18" s="52">
        <v>78</v>
      </c>
      <c r="CT18" s="52">
        <v>214</v>
      </c>
      <c r="CU18" s="52">
        <v>326</v>
      </c>
      <c r="CY18" t="str">
        <f t="shared" si="20"/>
        <v>单</v>
      </c>
      <c r="CZ18" s="47">
        <v>20012</v>
      </c>
      <c r="DA18" s="34">
        <v>1</v>
      </c>
      <c r="DB18" s="54">
        <v>10</v>
      </c>
      <c r="DC18" s="34">
        <v>2</v>
      </c>
      <c r="DD18" s="34">
        <v>8</v>
      </c>
      <c r="DE18" s="34"/>
      <c r="DF18" s="34"/>
      <c r="DG18" s="34">
        <v>100</v>
      </c>
      <c r="DH18" s="34"/>
      <c r="DI18" t="s">
        <v>3783</v>
      </c>
      <c r="DJ18" t="s">
        <v>3840</v>
      </c>
      <c r="DK18" t="s">
        <v>3826</v>
      </c>
      <c r="DL18" s="9">
        <f t="shared" si="21"/>
        <v>2</v>
      </c>
      <c r="DM18" s="9">
        <f t="shared" si="22"/>
        <v>8</v>
      </c>
      <c r="DP18">
        <f t="shared" si="23"/>
        <v>4.5</v>
      </c>
    </row>
    <row r="19" spans="2:120" x14ac:dyDescent="0.2">
      <c r="B19" s="9"/>
      <c r="C19" s="9"/>
      <c r="D19" s="314" t="s">
        <v>3732</v>
      </c>
      <c r="E19" s="315"/>
      <c r="F19" s="316"/>
      <c r="G19" s="21"/>
      <c r="H19" s="22"/>
      <c r="I19" s="21"/>
      <c r="J19" s="33" t="s">
        <v>3841</v>
      </c>
      <c r="K19" s="9">
        <v>11</v>
      </c>
      <c r="L19" s="25">
        <v>10601</v>
      </c>
      <c r="M19" s="34">
        <v>22</v>
      </c>
      <c r="N19" s="25">
        <v>12202</v>
      </c>
      <c r="O19" s="34">
        <v>24</v>
      </c>
      <c r="P19" s="25">
        <v>12701</v>
      </c>
      <c r="Q19" s="34">
        <v>21</v>
      </c>
      <c r="R19" s="25"/>
      <c r="S19" s="25"/>
      <c r="T19" s="25"/>
      <c r="U19" s="25"/>
      <c r="V19" s="36" t="e">
        <f t="shared" si="0"/>
        <v>#N/A</v>
      </c>
      <c r="Y19" s="34">
        <v>15</v>
      </c>
      <c r="Z19" s="34">
        <f>ROUND(VLOOKUP(Y19,刀数数据支持!$L:$Q,3,0)*(1+((Y19-1)*2+25)*0.01*(1+AB19/100)),2)</f>
        <v>20.37</v>
      </c>
      <c r="AA19" s="34">
        <f>ROUND(VLOOKUP(Y19,刀数数据支持!$L:$Q,6,0)*(1+((Y19-1)*5+25)*0.01)*(1+AB19/100),2)</f>
        <v>71.36</v>
      </c>
      <c r="AB19" s="34">
        <f>VLOOKUP(Y19,刀数数据支持!$S:$T,2,0)</f>
        <v>42.67</v>
      </c>
      <c r="AC19" s="34">
        <f>ROUND(刀数数据支持!AY17*(1-刀数数据支持!BA17/100),1)</f>
        <v>378.3</v>
      </c>
      <c r="AD19" s="34" t="str">
        <f>刀数数据支持!AZ17</f>
        <v>炼狱之火Lv10</v>
      </c>
      <c r="AE19" s="34">
        <f t="shared" si="1"/>
        <v>59.06</v>
      </c>
      <c r="AF19" s="34">
        <f t="shared" si="2"/>
        <v>2.9</v>
      </c>
      <c r="AG19" s="34">
        <f t="shared" si="24"/>
        <v>0.83</v>
      </c>
      <c r="AH19" s="34">
        <f t="shared" si="25"/>
        <v>0.16</v>
      </c>
      <c r="AK19" s="41">
        <f t="shared" si="26"/>
        <v>10601</v>
      </c>
      <c r="AL19" s="17">
        <f t="shared" si="27"/>
        <v>11</v>
      </c>
      <c r="AM19" s="28" t="e">
        <f t="shared" si="3"/>
        <v>#N/A</v>
      </c>
      <c r="AN19" s="29" t="e">
        <f t="shared" si="4"/>
        <v>#N/A</v>
      </c>
      <c r="AO19" s="30" t="e">
        <f t="shared" si="5"/>
        <v>#N/A</v>
      </c>
      <c r="AP19" s="9" t="e">
        <f t="shared" si="28"/>
        <v>#N/A</v>
      </c>
      <c r="AQ19" s="27">
        <f t="shared" si="29"/>
        <v>12202</v>
      </c>
      <c r="AR19" s="17">
        <f t="shared" si="30"/>
        <v>11</v>
      </c>
      <c r="AS19" s="28" t="e">
        <f t="shared" si="6"/>
        <v>#N/A</v>
      </c>
      <c r="AT19" s="29" t="e">
        <f t="shared" si="7"/>
        <v>#N/A</v>
      </c>
      <c r="AU19" s="30" t="e">
        <f t="shared" si="8"/>
        <v>#N/A</v>
      </c>
      <c r="AV19" s="9" t="e">
        <f t="shared" si="31"/>
        <v>#N/A</v>
      </c>
      <c r="AW19" s="27">
        <f t="shared" si="32"/>
        <v>12701</v>
      </c>
      <c r="AX19" s="17">
        <f t="shared" si="33"/>
        <v>11</v>
      </c>
      <c r="AY19" s="28" t="e">
        <f t="shared" si="9"/>
        <v>#N/A</v>
      </c>
      <c r="AZ19" s="29" t="e">
        <f t="shared" si="10"/>
        <v>#N/A</v>
      </c>
      <c r="BA19" s="30" t="e">
        <f t="shared" si="11"/>
        <v>#N/A</v>
      </c>
      <c r="BB19" s="9" t="e">
        <f t="shared" si="34"/>
        <v>#N/A</v>
      </c>
      <c r="BC19" s="27">
        <f t="shared" si="35"/>
        <v>0</v>
      </c>
      <c r="BD19" s="17">
        <f t="shared" si="36"/>
        <v>11</v>
      </c>
      <c r="BE19" s="28" t="e">
        <f t="shared" si="12"/>
        <v>#N/A</v>
      </c>
      <c r="BF19" s="29" t="e">
        <f t="shared" si="13"/>
        <v>#N/A</v>
      </c>
      <c r="BG19" s="30" t="e">
        <f t="shared" si="14"/>
        <v>#N/A</v>
      </c>
      <c r="BH19" s="9">
        <f t="shared" si="37"/>
        <v>0</v>
      </c>
      <c r="BI19" s="27">
        <f t="shared" si="38"/>
        <v>0</v>
      </c>
      <c r="BJ19" s="17">
        <f t="shared" si="39"/>
        <v>11</v>
      </c>
      <c r="BK19" s="28" t="e">
        <f t="shared" si="15"/>
        <v>#N/A</v>
      </c>
      <c r="BL19" s="29" t="e">
        <f t="shared" si="16"/>
        <v>#N/A</v>
      </c>
      <c r="BM19" s="30" t="e">
        <f t="shared" si="17"/>
        <v>#N/A</v>
      </c>
      <c r="BN19" s="9">
        <f t="shared" si="40"/>
        <v>0</v>
      </c>
      <c r="BQ19" s="21"/>
      <c r="BS19" s="34" t="e">
        <f>#REF!</f>
        <v>#REF!</v>
      </c>
      <c r="BT19" s="34" t="e">
        <f>#REF!</f>
        <v>#REF!</v>
      </c>
      <c r="BU19" s="34">
        <v>0</v>
      </c>
      <c r="BV19" s="34" t="e">
        <f>IF(VLOOKUP(BT19,#REF!,8,0)=0,"",VLOOKUP(BT19,#REF!,8,0))</f>
        <v>#REF!</v>
      </c>
      <c r="BW19" s="47" t="e">
        <f ca="1">IF(BU19=0,RANDBETWEEN(VLOOKUP(BT19,#REF!,13,0),VLOOKUP(BT19,#REF!,14,0)),RANDBETWEEN(VLOOKUP(BU19,$CO:$CR,2,0)/100*VLOOKUP(BT19,#REF!,13,0),VLOOKUP(BU19,$CO:$CR,2,0)/100*VLOOKUP(BT19,#REF!,14,0)))</f>
        <v>#REF!</v>
      </c>
      <c r="BX19" s="47" t="e">
        <f>VLOOKUP(BT19,#REF!,9,0)</f>
        <v>#REF!</v>
      </c>
      <c r="BY19" s="47" t="e">
        <f ca="1">IF(BU19=0,RANDBETWEEN(VLOOKUP(BT19,#REF!,26,0),VLOOKUP(BT19,#REF!,27,0)),RANDBETWEEN(VLOOKUP(BU19,$CO:$CR,3,0)/100*VLOOKUP(BT19,#REF!,26,0),VLOOKUP(BU19,$CO:$CR,3,0)/100*VLOOKUP(BT19,#REF!,27,0)))</f>
        <v>#REF!</v>
      </c>
      <c r="BZ19" s="47" t="e">
        <f>IF(VLOOKUP(BT19,#REF!,22,0)=0,"",VLOOKUP(BT19,#REF!,22,0))</f>
        <v>#REF!</v>
      </c>
      <c r="CA19" s="47" t="e">
        <f ca="1">IF(BU19=0,RANDBETWEEN(VLOOKUP(BT19,#REF!,39,0),VLOOKUP(BT19,#REF!,40,0)),RANDBETWEEN(VLOOKUP(BU19,$CO:$CR,4,0)/100*VLOOKUP(BT19,#REF!,39,0),VLOOKUP(BU19,$CO:$CR,4,0)/100*VLOOKUP(BT19,#REF!,40,0)))</f>
        <v>#REF!</v>
      </c>
      <c r="CB19" s="47" t="e">
        <f>IF(VLOOKUP(BT19,#REF!,35,0)=0,"",VLOOKUP(BT19,#REF!,35,0))</f>
        <v>#REF!</v>
      </c>
      <c r="CF19" s="33" t="s">
        <v>3841</v>
      </c>
      <c r="CG19" s="33">
        <v>10072</v>
      </c>
      <c r="CH19" t="s">
        <v>3842</v>
      </c>
      <c r="CI19" s="9" t="str">
        <f t="shared" si="41"/>
        <v>11</v>
      </c>
      <c r="CJ19" s="9" t="str">
        <f t="shared" si="18"/>
        <v>34</v>
      </c>
      <c r="CK19" s="9" t="str">
        <f t="shared" si="19"/>
        <v>54</v>
      </c>
      <c r="CO19" s="50">
        <v>14</v>
      </c>
      <c r="CP19" s="50">
        <v>48</v>
      </c>
      <c r="CQ19" s="50">
        <v>189</v>
      </c>
      <c r="CR19" s="50">
        <v>1122</v>
      </c>
      <c r="CS19" s="52">
        <v>84</v>
      </c>
      <c r="CT19" s="52">
        <v>224</v>
      </c>
      <c r="CU19" s="52">
        <v>342</v>
      </c>
      <c r="CY19" t="str">
        <f t="shared" si="20"/>
        <v>单</v>
      </c>
      <c r="CZ19" s="47">
        <v>20013</v>
      </c>
      <c r="DA19" s="34">
        <v>1</v>
      </c>
      <c r="DB19" s="54">
        <v>-20</v>
      </c>
      <c r="DC19" s="34">
        <v>3</v>
      </c>
      <c r="DD19" s="34">
        <v>7</v>
      </c>
      <c r="DE19" s="34"/>
      <c r="DF19" s="34"/>
      <c r="DG19" s="34">
        <v>100</v>
      </c>
      <c r="DH19" s="34"/>
      <c r="DI19" t="s">
        <v>3783</v>
      </c>
      <c r="DJ19" t="s">
        <v>3843</v>
      </c>
      <c r="DK19" t="s">
        <v>3844</v>
      </c>
      <c r="DL19" s="9">
        <f t="shared" si="21"/>
        <v>3</v>
      </c>
      <c r="DM19" s="9">
        <f t="shared" si="22"/>
        <v>7</v>
      </c>
      <c r="DP19">
        <f t="shared" si="23"/>
        <v>6</v>
      </c>
    </row>
    <row r="20" spans="2:120" x14ac:dyDescent="0.2">
      <c r="B20" s="9"/>
      <c r="C20" s="9"/>
      <c r="D20" s="24" t="s">
        <v>3828</v>
      </c>
      <c r="E20" s="25" t="s">
        <v>3829</v>
      </c>
      <c r="F20" s="26" t="s">
        <v>3830</v>
      </c>
      <c r="G20" s="21" t="s">
        <v>3831</v>
      </c>
      <c r="H20" s="22"/>
      <c r="I20" s="21"/>
      <c r="J20" s="33" t="s">
        <v>3845</v>
      </c>
      <c r="K20" s="9">
        <v>12</v>
      </c>
      <c r="L20" s="25">
        <v>10602</v>
      </c>
      <c r="M20" s="34">
        <v>16</v>
      </c>
      <c r="N20" s="25">
        <v>12203</v>
      </c>
      <c r="O20" s="34">
        <v>32</v>
      </c>
      <c r="P20" s="25">
        <v>12702</v>
      </c>
      <c r="Q20" s="34">
        <v>25</v>
      </c>
      <c r="R20" s="25"/>
      <c r="S20" s="25"/>
      <c r="T20" s="25"/>
      <c r="U20" s="25"/>
      <c r="V20" s="36" t="e">
        <f t="shared" si="0"/>
        <v>#N/A</v>
      </c>
      <c r="Y20" s="34">
        <v>16</v>
      </c>
      <c r="Z20" s="34">
        <f>ROUND(VLOOKUP(Y20,刀数数据支持!$L:$Q,3,0)*(1+((Y20-1)*2+25)*0.01*(1+AB20/100)),2)</f>
        <v>21.26</v>
      </c>
      <c r="AA20" s="34">
        <f>ROUND(VLOOKUP(Y20,刀数数据支持!$L:$Q,6,0)*(1+((Y20-1)*5+25)*0.01)*(1+AB20/100),2)</f>
        <v>78.459999999999994</v>
      </c>
      <c r="AB20" s="34">
        <f>VLOOKUP(Y20,刀数数据支持!$S:$T,2,0)</f>
        <v>44.34</v>
      </c>
      <c r="AC20" s="34">
        <f>ROUND(刀数数据支持!AY18*(1-刀数数据支持!BA18/100),1)</f>
        <v>405</v>
      </c>
      <c r="AD20" s="34" t="str">
        <f>刀数数据支持!AZ18</f>
        <v>炼狱之火Lv11</v>
      </c>
      <c r="AE20" s="34">
        <f t="shared" si="1"/>
        <v>63.6</v>
      </c>
      <c r="AF20" s="34">
        <f t="shared" si="2"/>
        <v>3</v>
      </c>
      <c r="AG20" s="34">
        <f t="shared" si="24"/>
        <v>0.82000000000000006</v>
      </c>
      <c r="AH20" s="34">
        <f t="shared" si="25"/>
        <v>0.16</v>
      </c>
      <c r="AK20" s="41">
        <f t="shared" si="26"/>
        <v>10602</v>
      </c>
      <c r="AL20" s="17">
        <f t="shared" si="27"/>
        <v>12</v>
      </c>
      <c r="AM20" s="28" t="e">
        <f t="shared" si="3"/>
        <v>#N/A</v>
      </c>
      <c r="AN20" s="29" t="e">
        <f t="shared" si="4"/>
        <v>#N/A</v>
      </c>
      <c r="AO20" s="30" t="e">
        <f t="shared" si="5"/>
        <v>#N/A</v>
      </c>
      <c r="AP20" s="9" t="e">
        <f t="shared" si="28"/>
        <v>#N/A</v>
      </c>
      <c r="AQ20" s="27">
        <f t="shared" si="29"/>
        <v>12203</v>
      </c>
      <c r="AR20" s="17">
        <f t="shared" si="30"/>
        <v>12</v>
      </c>
      <c r="AS20" s="28" t="e">
        <f t="shared" si="6"/>
        <v>#N/A</v>
      </c>
      <c r="AT20" s="29" t="e">
        <f t="shared" si="7"/>
        <v>#N/A</v>
      </c>
      <c r="AU20" s="30" t="e">
        <f t="shared" si="8"/>
        <v>#N/A</v>
      </c>
      <c r="AV20" s="9" t="e">
        <f t="shared" si="31"/>
        <v>#N/A</v>
      </c>
      <c r="AW20" s="27">
        <f t="shared" si="32"/>
        <v>12702</v>
      </c>
      <c r="AX20" s="17">
        <f t="shared" si="33"/>
        <v>12</v>
      </c>
      <c r="AY20" s="28" t="e">
        <f t="shared" si="9"/>
        <v>#N/A</v>
      </c>
      <c r="AZ20" s="29" t="e">
        <f t="shared" si="10"/>
        <v>#N/A</v>
      </c>
      <c r="BA20" s="30" t="e">
        <f t="shared" si="11"/>
        <v>#N/A</v>
      </c>
      <c r="BB20" s="9" t="e">
        <f t="shared" si="34"/>
        <v>#N/A</v>
      </c>
      <c r="BC20" s="27">
        <f t="shared" si="35"/>
        <v>0</v>
      </c>
      <c r="BD20" s="17">
        <f t="shared" si="36"/>
        <v>12</v>
      </c>
      <c r="BE20" s="28" t="e">
        <f t="shared" si="12"/>
        <v>#N/A</v>
      </c>
      <c r="BF20" s="29" t="e">
        <f t="shared" si="13"/>
        <v>#N/A</v>
      </c>
      <c r="BG20" s="30" t="e">
        <f t="shared" si="14"/>
        <v>#N/A</v>
      </c>
      <c r="BH20" s="9">
        <f t="shared" si="37"/>
        <v>0</v>
      </c>
      <c r="BI20" s="27">
        <f t="shared" si="38"/>
        <v>0</v>
      </c>
      <c r="BJ20" s="17">
        <f t="shared" si="39"/>
        <v>12</v>
      </c>
      <c r="BK20" s="28" t="e">
        <f t="shared" si="15"/>
        <v>#N/A</v>
      </c>
      <c r="BL20" s="29" t="e">
        <f t="shared" si="16"/>
        <v>#N/A</v>
      </c>
      <c r="BM20" s="30" t="e">
        <f t="shared" si="17"/>
        <v>#N/A</v>
      </c>
      <c r="BN20" s="9">
        <f t="shared" si="40"/>
        <v>0</v>
      </c>
      <c r="BQ20" s="21"/>
      <c r="BS20" s="34" t="e">
        <f>#REF!</f>
        <v>#REF!</v>
      </c>
      <c r="BT20" s="34" t="e">
        <f>#REF!</f>
        <v>#REF!</v>
      </c>
      <c r="BU20" s="34">
        <v>0</v>
      </c>
      <c r="BV20" s="34" t="e">
        <f>IF(VLOOKUP(BT20,#REF!,8,0)=0,"",VLOOKUP(BT20,#REF!,8,0))</f>
        <v>#REF!</v>
      </c>
      <c r="BW20" s="47" t="e">
        <f ca="1">IF(BU20=0,RANDBETWEEN(VLOOKUP(BT20,#REF!,13,0),VLOOKUP(BT20,#REF!,14,0)),RANDBETWEEN(VLOOKUP(BU20,$CO:$CR,2,0)/100*VLOOKUP(BT20,#REF!,13,0),VLOOKUP(BU20,$CO:$CR,2,0)/100*VLOOKUP(BT20,#REF!,14,0)))</f>
        <v>#REF!</v>
      </c>
      <c r="BX20" s="47" t="e">
        <f>VLOOKUP(BT20,#REF!,9,0)</f>
        <v>#REF!</v>
      </c>
      <c r="BY20" s="47" t="e">
        <f ca="1">IF(BU20=0,RANDBETWEEN(VLOOKUP(BT20,#REF!,26,0),VLOOKUP(BT20,#REF!,27,0)),RANDBETWEEN(VLOOKUP(BU20,$CO:$CR,3,0)/100*VLOOKUP(BT20,#REF!,26,0),VLOOKUP(BU20,$CO:$CR,3,0)/100*VLOOKUP(BT20,#REF!,27,0)))</f>
        <v>#REF!</v>
      </c>
      <c r="BZ20" s="47" t="e">
        <f>IF(VLOOKUP(BT20,#REF!,22,0)=0,"",VLOOKUP(BT20,#REF!,22,0))</f>
        <v>#REF!</v>
      </c>
      <c r="CA20" s="47" t="e">
        <f ca="1">IF(BU20=0,RANDBETWEEN(VLOOKUP(BT20,#REF!,39,0),VLOOKUP(BT20,#REF!,40,0)),RANDBETWEEN(VLOOKUP(BU20,$CO:$CR,4,0)/100*VLOOKUP(BT20,#REF!,39,0),VLOOKUP(BU20,$CO:$CR,4,0)/100*VLOOKUP(BT20,#REF!,40,0)))</f>
        <v>#REF!</v>
      </c>
      <c r="CB20" s="47" t="e">
        <f>IF(VLOOKUP(BT20,#REF!,35,0)=0,"",VLOOKUP(BT20,#REF!,35,0))</f>
        <v>#REF!</v>
      </c>
      <c r="CF20" s="33" t="s">
        <v>3845</v>
      </c>
      <c r="CG20" s="33">
        <v>10073</v>
      </c>
      <c r="CH20" t="s">
        <v>3846</v>
      </c>
      <c r="CI20" s="9" t="str">
        <f t="shared" si="41"/>
        <v>12</v>
      </c>
      <c r="CJ20" s="9" t="str">
        <f t="shared" si="18"/>
        <v>35</v>
      </c>
      <c r="CK20" s="9" t="str">
        <f t="shared" si="19"/>
        <v>55</v>
      </c>
      <c r="CO20" s="50">
        <v>15</v>
      </c>
      <c r="CP20" s="50">
        <v>52</v>
      </c>
      <c r="CQ20" s="50">
        <v>196</v>
      </c>
      <c r="CR20" s="50">
        <v>1145</v>
      </c>
      <c r="CS20" s="52">
        <v>90</v>
      </c>
      <c r="CT20" s="52">
        <v>235</v>
      </c>
      <c r="CU20" s="52">
        <v>356</v>
      </c>
      <c r="CY20" t="str">
        <f t="shared" si="20"/>
        <v>单</v>
      </c>
      <c r="CZ20" s="47">
        <v>20014</v>
      </c>
      <c r="DA20" s="34">
        <v>1</v>
      </c>
      <c r="DB20" s="54"/>
      <c r="DC20" s="34">
        <v>5</v>
      </c>
      <c r="DD20" s="34">
        <v>11</v>
      </c>
      <c r="DE20" s="34"/>
      <c r="DF20" s="34"/>
      <c r="DG20" s="34">
        <v>100</v>
      </c>
      <c r="DH20" s="34"/>
      <c r="DI20" t="s">
        <v>3783</v>
      </c>
      <c r="DJ20" t="s">
        <v>3847</v>
      </c>
      <c r="DK20" t="s">
        <v>3848</v>
      </c>
      <c r="DL20" s="9">
        <f t="shared" si="21"/>
        <v>5</v>
      </c>
      <c r="DM20" s="9">
        <f t="shared" si="22"/>
        <v>11</v>
      </c>
      <c r="DP20">
        <f t="shared" si="23"/>
        <v>8</v>
      </c>
    </row>
    <row r="21" spans="2:120" x14ac:dyDescent="0.2">
      <c r="B21" s="9"/>
      <c r="C21" s="9"/>
      <c r="D21" s="28" t="e">
        <f>IF(C17&gt;119,VLOOKUP(INT(VLOOKUP(C17,$CG:$CK,4,0)),$CO:$CU,3,0)/100*VLOOKUP(B17,$BT:$CB,6,0),VLOOKUP(C17,$CO:$CR,3,0)/100*VLOOKUP(B17,$BT:$CB,6,0))</f>
        <v>#N/A</v>
      </c>
      <c r="E21" s="29" t="e">
        <f>1-MIN(MAX(IF(C17&gt;119,2*($D$8/($D$8+VLOOKUP($B$17,$BT:$CB,7,0))*($B$6/($B$6+VLOOKUP($C$17,$CG:$CK,4,0)))),2*($D$8/($D$8+VLOOKUP($B$17,$BT:$CB,7,0))*($B$6/($B$6+$C$17)))),0.05),0.95)</f>
        <v>#N/A</v>
      </c>
      <c r="F21" s="30" t="e">
        <f>ROUNDUP(D21*(1+E21)*(1+IF(VLOOKUP($B$17,$BT:$BV,3,0)="",0,INT(VLOOKUP($B$17,$BT:$BV,3,0)/100)))/(($E$12+$F$12)/2),0)</f>
        <v>#N/A</v>
      </c>
      <c r="G21" s="9" t="e">
        <f>F21*$E$8</f>
        <v>#N/A</v>
      </c>
      <c r="J21" t="s">
        <v>3849</v>
      </c>
      <c r="K21" s="9">
        <v>14</v>
      </c>
      <c r="L21" s="34">
        <v>10603</v>
      </c>
      <c r="M21" s="34">
        <v>27</v>
      </c>
      <c r="N21" s="34">
        <v>12301</v>
      </c>
      <c r="O21" s="34">
        <v>18</v>
      </c>
      <c r="P21" s="34">
        <v>12703</v>
      </c>
      <c r="Q21" s="34">
        <v>16</v>
      </c>
      <c r="R21" s="34"/>
      <c r="S21" s="34"/>
      <c r="T21" s="34"/>
      <c r="U21" s="34"/>
      <c r="V21" s="36" t="e">
        <f t="shared" si="0"/>
        <v>#N/A</v>
      </c>
      <c r="Y21" s="34">
        <v>17</v>
      </c>
      <c r="Z21" s="34">
        <f>ROUND(VLOOKUP(Y21,刀数数据支持!$L:$Q,3,0)*(1+((Y21-1)*2+25)*0.01*(1+AB21/100)),2)</f>
        <v>22.17</v>
      </c>
      <c r="AA21" s="34">
        <f>ROUND(VLOOKUP(Y21,刀数数据支持!$L:$Q,6,0)*(1+((Y21-1)*5+25)*0.01)*(1+AB21/100),2)</f>
        <v>85.93</v>
      </c>
      <c r="AB21" s="34">
        <f>VLOOKUP(Y21,刀数数据支持!$S:$T,2,0)</f>
        <v>46.01</v>
      </c>
      <c r="AC21" s="34">
        <f>ROUND(刀数数据支持!AY19*(1-刀数数据支持!BA19/100),1)</f>
        <v>435.6</v>
      </c>
      <c r="AD21" s="34" t="str">
        <f>刀数数据支持!AZ19</f>
        <v>炼狱之火Lv12</v>
      </c>
      <c r="AE21" s="34">
        <f t="shared" si="1"/>
        <v>68.150000000000006</v>
      </c>
      <c r="AF21" s="34">
        <f t="shared" si="2"/>
        <v>3.0799999999999996</v>
      </c>
      <c r="AG21" s="34">
        <f t="shared" si="24"/>
        <v>0.8</v>
      </c>
      <c r="AH21" s="34">
        <f t="shared" si="25"/>
        <v>0.16</v>
      </c>
      <c r="AK21" s="41">
        <f t="shared" si="26"/>
        <v>10603</v>
      </c>
      <c r="AL21" s="17">
        <f t="shared" si="27"/>
        <v>14</v>
      </c>
      <c r="AM21" s="28" t="e">
        <f t="shared" si="3"/>
        <v>#N/A</v>
      </c>
      <c r="AN21" s="29" t="e">
        <f t="shared" si="4"/>
        <v>#N/A</v>
      </c>
      <c r="AO21" s="30" t="e">
        <f t="shared" si="5"/>
        <v>#N/A</v>
      </c>
      <c r="AP21" s="9" t="e">
        <f t="shared" si="28"/>
        <v>#N/A</v>
      </c>
      <c r="AQ21" s="27">
        <f t="shared" si="29"/>
        <v>12301</v>
      </c>
      <c r="AR21" s="17">
        <f t="shared" si="30"/>
        <v>14</v>
      </c>
      <c r="AS21" s="28" t="e">
        <f t="shared" si="6"/>
        <v>#N/A</v>
      </c>
      <c r="AT21" s="29" t="e">
        <f t="shared" si="7"/>
        <v>#N/A</v>
      </c>
      <c r="AU21" s="30" t="e">
        <f t="shared" si="8"/>
        <v>#N/A</v>
      </c>
      <c r="AV21" s="9" t="e">
        <f t="shared" si="31"/>
        <v>#N/A</v>
      </c>
      <c r="AW21" s="27">
        <f t="shared" si="32"/>
        <v>12703</v>
      </c>
      <c r="AX21" s="17">
        <f t="shared" si="33"/>
        <v>14</v>
      </c>
      <c r="AY21" s="28" t="e">
        <f t="shared" si="9"/>
        <v>#N/A</v>
      </c>
      <c r="AZ21" s="29" t="e">
        <f t="shared" si="10"/>
        <v>#N/A</v>
      </c>
      <c r="BA21" s="30" t="e">
        <f t="shared" si="11"/>
        <v>#N/A</v>
      </c>
      <c r="BB21" s="9" t="e">
        <f t="shared" si="34"/>
        <v>#N/A</v>
      </c>
      <c r="BC21" s="27">
        <f t="shared" si="35"/>
        <v>0</v>
      </c>
      <c r="BD21" s="17">
        <f t="shared" si="36"/>
        <v>14</v>
      </c>
      <c r="BE21" s="28" t="e">
        <f t="shared" si="12"/>
        <v>#N/A</v>
      </c>
      <c r="BF21" s="29" t="e">
        <f t="shared" si="13"/>
        <v>#N/A</v>
      </c>
      <c r="BG21" s="30" t="e">
        <f t="shared" si="14"/>
        <v>#N/A</v>
      </c>
      <c r="BH21" s="9">
        <f t="shared" si="37"/>
        <v>0</v>
      </c>
      <c r="BI21" s="27">
        <f t="shared" si="38"/>
        <v>0</v>
      </c>
      <c r="BJ21" s="17">
        <f t="shared" si="39"/>
        <v>14</v>
      </c>
      <c r="BK21" s="28" t="e">
        <f t="shared" si="15"/>
        <v>#N/A</v>
      </c>
      <c r="BL21" s="29" t="e">
        <f t="shared" si="16"/>
        <v>#N/A</v>
      </c>
      <c r="BM21" s="30" t="e">
        <f t="shared" si="17"/>
        <v>#N/A</v>
      </c>
      <c r="BN21" s="9">
        <f t="shared" si="40"/>
        <v>0</v>
      </c>
      <c r="BS21" s="34" t="e">
        <f>#REF!</f>
        <v>#REF!</v>
      </c>
      <c r="BT21" s="34" t="e">
        <f>#REF!</f>
        <v>#REF!</v>
      </c>
      <c r="BU21" s="34">
        <v>0</v>
      </c>
      <c r="BV21" s="34" t="e">
        <f>IF(VLOOKUP(BT21,#REF!,8,0)=0,"",VLOOKUP(BT21,#REF!,8,0))</f>
        <v>#REF!</v>
      </c>
      <c r="BW21" s="47" t="e">
        <f ca="1">IF(BU21=0,RANDBETWEEN(VLOOKUP(BT21,#REF!,13,0),VLOOKUP(BT21,#REF!,14,0)),RANDBETWEEN(VLOOKUP(BU21,$CO:$CR,2,0)/100*VLOOKUP(BT21,#REF!,13,0),VLOOKUP(BU21,$CO:$CR,2,0)/100*VLOOKUP(BT21,#REF!,14,0)))</f>
        <v>#REF!</v>
      </c>
      <c r="BX21" s="47" t="e">
        <f>VLOOKUP(BT21,#REF!,9,0)</f>
        <v>#REF!</v>
      </c>
      <c r="BY21" s="47" t="e">
        <f ca="1">IF(BU21=0,RANDBETWEEN(VLOOKUP(BT21,#REF!,26,0),VLOOKUP(BT21,#REF!,27,0)),RANDBETWEEN(VLOOKUP(BU21,$CO:$CR,3,0)/100*VLOOKUP(BT21,#REF!,26,0),VLOOKUP(BU21,$CO:$CR,3,0)/100*VLOOKUP(BT21,#REF!,27,0)))</f>
        <v>#REF!</v>
      </c>
      <c r="BZ21" s="47" t="e">
        <f>IF(VLOOKUP(BT21,#REF!,22,0)=0,"",VLOOKUP(BT21,#REF!,22,0))</f>
        <v>#REF!</v>
      </c>
      <c r="CA21" s="47" t="e">
        <f ca="1">IF(BU21=0,RANDBETWEEN(VLOOKUP(BT21,#REF!,39,0),VLOOKUP(BT21,#REF!,40,0)),RANDBETWEEN(VLOOKUP(BU21,$CO:$CR,4,0)/100*VLOOKUP(BT21,#REF!,39,0),VLOOKUP(BU21,$CO:$CR,4,0)/100*VLOOKUP(BT21,#REF!,40,0)))</f>
        <v>#REF!</v>
      </c>
      <c r="CB21" s="47" t="e">
        <f>IF(VLOOKUP(BT21,#REF!,35,0)=0,"",VLOOKUP(BT21,#REF!,35,0))</f>
        <v>#REF!</v>
      </c>
      <c r="CF21" t="s">
        <v>3849</v>
      </c>
      <c r="CG21">
        <v>20001</v>
      </c>
      <c r="CH21" t="s">
        <v>3850</v>
      </c>
      <c r="CI21" s="9" t="str">
        <f t="shared" si="41"/>
        <v>14</v>
      </c>
      <c r="CJ21" s="9" t="str">
        <f t="shared" si="18"/>
        <v>43</v>
      </c>
      <c r="CK21" s="9" t="str">
        <f t="shared" si="19"/>
        <v>75</v>
      </c>
      <c r="CO21" s="50">
        <v>16</v>
      </c>
      <c r="CP21" s="50">
        <v>56</v>
      </c>
      <c r="CQ21" s="50">
        <v>203</v>
      </c>
      <c r="CR21" s="50">
        <v>1167</v>
      </c>
      <c r="CS21" s="52">
        <v>96</v>
      </c>
      <c r="CT21" s="52">
        <v>245</v>
      </c>
      <c r="CU21" s="52">
        <v>371</v>
      </c>
      <c r="CY21" t="str">
        <f t="shared" si="20"/>
        <v>单</v>
      </c>
      <c r="CZ21" s="47">
        <v>20015</v>
      </c>
      <c r="DA21" s="34">
        <v>1</v>
      </c>
      <c r="DB21" s="54">
        <v>-10</v>
      </c>
      <c r="DC21" s="34">
        <v>1</v>
      </c>
      <c r="DD21" s="34">
        <v>6</v>
      </c>
      <c r="DE21" s="34"/>
      <c r="DF21" s="34"/>
      <c r="DG21" s="34">
        <v>100</v>
      </c>
      <c r="DH21" s="34"/>
      <c r="DI21" t="s">
        <v>3783</v>
      </c>
      <c r="DJ21" t="s">
        <v>3851</v>
      </c>
      <c r="DK21" t="s">
        <v>3848</v>
      </c>
      <c r="DL21" s="9">
        <f t="shared" si="21"/>
        <v>1</v>
      </c>
      <c r="DM21" s="9">
        <f t="shared" si="22"/>
        <v>6</v>
      </c>
      <c r="DP21">
        <f t="shared" si="23"/>
        <v>3.8500000000000005</v>
      </c>
    </row>
    <row r="22" spans="2:120" x14ac:dyDescent="0.2">
      <c r="B22" s="9"/>
      <c r="C22" s="9"/>
      <c r="D22" s="9"/>
      <c r="E22" s="9"/>
      <c r="F22" s="9"/>
      <c r="J22" t="s">
        <v>3852</v>
      </c>
      <c r="K22" s="9">
        <v>15</v>
      </c>
      <c r="L22" s="34">
        <v>10604</v>
      </c>
      <c r="M22" s="34">
        <v>16</v>
      </c>
      <c r="N22" s="34">
        <v>12302</v>
      </c>
      <c r="O22" s="34">
        <v>29</v>
      </c>
      <c r="P22" s="34">
        <v>12801</v>
      </c>
      <c r="Q22" s="34">
        <v>16</v>
      </c>
      <c r="R22" s="34"/>
      <c r="S22" s="34"/>
      <c r="T22" s="34"/>
      <c r="U22" s="34"/>
      <c r="V22" s="36" t="e">
        <f t="shared" si="0"/>
        <v>#N/A</v>
      </c>
      <c r="Y22" s="34">
        <v>18</v>
      </c>
      <c r="Z22" s="34">
        <f>ROUND(VLOOKUP(Y22,刀数数据支持!$L:$Q,3,0)*(1+((Y22-1)*2+25)*0.01*(1+AB22/100)),2)</f>
        <v>25.88</v>
      </c>
      <c r="AA22" s="34">
        <f>ROUND(VLOOKUP(Y22,刀数数据支持!$L:$Q,6,0)*(1+((Y22-1)*5+25)*0.01)*(1+AB22/100),2)</f>
        <v>93.78</v>
      </c>
      <c r="AB22" s="34">
        <f>VLOOKUP(Y22,刀数数据支持!$S:$T,2,0)</f>
        <v>47.68</v>
      </c>
      <c r="AC22" s="34">
        <f>ROUND(刀数数据支持!AY20*(1-刀数数据支持!BA20/100),1)</f>
        <v>459</v>
      </c>
      <c r="AD22" s="34" t="str">
        <f>刀数数据支持!AZ20</f>
        <v>炼狱之火Lv13</v>
      </c>
      <c r="AE22" s="34">
        <f t="shared" si="1"/>
        <v>72.69</v>
      </c>
      <c r="AF22" s="34">
        <f t="shared" si="2"/>
        <v>2.8099999999999996</v>
      </c>
      <c r="AG22" s="34">
        <f t="shared" si="24"/>
        <v>0.78</v>
      </c>
      <c r="AH22" s="34">
        <f t="shared" si="25"/>
        <v>0.16</v>
      </c>
      <c r="AK22" s="41">
        <f t="shared" si="26"/>
        <v>10604</v>
      </c>
      <c r="AL22" s="17">
        <f t="shared" si="27"/>
        <v>15</v>
      </c>
      <c r="AM22" s="28" t="e">
        <f t="shared" si="3"/>
        <v>#N/A</v>
      </c>
      <c r="AN22" s="29" t="e">
        <f t="shared" si="4"/>
        <v>#N/A</v>
      </c>
      <c r="AO22" s="30" t="e">
        <f t="shared" si="5"/>
        <v>#N/A</v>
      </c>
      <c r="AP22" s="9" t="e">
        <f t="shared" si="28"/>
        <v>#N/A</v>
      </c>
      <c r="AQ22" s="27">
        <f t="shared" si="29"/>
        <v>12302</v>
      </c>
      <c r="AR22" s="17">
        <f t="shared" si="30"/>
        <v>15</v>
      </c>
      <c r="AS22" s="28" t="e">
        <f t="shared" si="6"/>
        <v>#N/A</v>
      </c>
      <c r="AT22" s="29" t="e">
        <f t="shared" si="7"/>
        <v>#N/A</v>
      </c>
      <c r="AU22" s="30" t="e">
        <f t="shared" si="8"/>
        <v>#N/A</v>
      </c>
      <c r="AV22" s="9" t="e">
        <f t="shared" si="31"/>
        <v>#N/A</v>
      </c>
      <c r="AW22" s="27">
        <f t="shared" si="32"/>
        <v>12801</v>
      </c>
      <c r="AX22" s="17">
        <f t="shared" si="33"/>
        <v>15</v>
      </c>
      <c r="AY22" s="28" t="e">
        <f t="shared" si="9"/>
        <v>#N/A</v>
      </c>
      <c r="AZ22" s="29" t="e">
        <f t="shared" si="10"/>
        <v>#N/A</v>
      </c>
      <c r="BA22" s="30" t="e">
        <f t="shared" si="11"/>
        <v>#N/A</v>
      </c>
      <c r="BB22" s="9" t="e">
        <f t="shared" si="34"/>
        <v>#N/A</v>
      </c>
      <c r="BC22" s="27">
        <f t="shared" si="35"/>
        <v>0</v>
      </c>
      <c r="BD22" s="17">
        <f t="shared" si="36"/>
        <v>15</v>
      </c>
      <c r="BE22" s="28" t="e">
        <f t="shared" si="12"/>
        <v>#N/A</v>
      </c>
      <c r="BF22" s="29" t="e">
        <f t="shared" si="13"/>
        <v>#N/A</v>
      </c>
      <c r="BG22" s="30" t="e">
        <f t="shared" si="14"/>
        <v>#N/A</v>
      </c>
      <c r="BH22" s="9">
        <f t="shared" si="37"/>
        <v>0</v>
      </c>
      <c r="BI22" s="27">
        <f t="shared" si="38"/>
        <v>0</v>
      </c>
      <c r="BJ22" s="17">
        <f t="shared" si="39"/>
        <v>15</v>
      </c>
      <c r="BK22" s="28" t="e">
        <f t="shared" si="15"/>
        <v>#N/A</v>
      </c>
      <c r="BL22" s="29" t="e">
        <f t="shared" si="16"/>
        <v>#N/A</v>
      </c>
      <c r="BM22" s="30" t="e">
        <f t="shared" si="17"/>
        <v>#N/A</v>
      </c>
      <c r="BN22" s="9">
        <f t="shared" si="40"/>
        <v>0</v>
      </c>
      <c r="BS22" s="34" t="e">
        <f>#REF!</f>
        <v>#REF!</v>
      </c>
      <c r="BT22" s="34" t="e">
        <f>#REF!</f>
        <v>#REF!</v>
      </c>
      <c r="BU22" s="34">
        <v>0</v>
      </c>
      <c r="BV22" s="34" t="e">
        <f>IF(VLOOKUP(BT22,#REF!,8,0)=0,"",VLOOKUP(BT22,#REF!,8,0))</f>
        <v>#REF!</v>
      </c>
      <c r="BW22" s="47" t="e">
        <f ca="1">IF(BU22=0,RANDBETWEEN(VLOOKUP(BT22,#REF!,13,0),VLOOKUP(BT22,#REF!,14,0)),RANDBETWEEN(VLOOKUP(BU22,$CO:$CR,2,0)/100*VLOOKUP(BT22,#REF!,13,0),VLOOKUP(BU22,$CO:$CR,2,0)/100*VLOOKUP(BT22,#REF!,14,0)))</f>
        <v>#REF!</v>
      </c>
      <c r="BX22" s="47" t="e">
        <f>VLOOKUP(BT22,#REF!,9,0)</f>
        <v>#REF!</v>
      </c>
      <c r="BY22" s="47" t="e">
        <f ca="1">IF(BU22=0,RANDBETWEEN(VLOOKUP(BT22,#REF!,26,0),VLOOKUP(BT22,#REF!,27,0)),RANDBETWEEN(VLOOKUP(BU22,$CO:$CR,3,0)/100*VLOOKUP(BT22,#REF!,26,0),VLOOKUP(BU22,$CO:$CR,3,0)/100*VLOOKUP(BT22,#REF!,27,0)))</f>
        <v>#REF!</v>
      </c>
      <c r="BZ22" s="47" t="e">
        <f>IF(VLOOKUP(BT22,#REF!,22,0)=0,"",VLOOKUP(BT22,#REF!,22,0))</f>
        <v>#REF!</v>
      </c>
      <c r="CA22" s="47" t="e">
        <f ca="1">IF(BU22=0,RANDBETWEEN(VLOOKUP(BT22,#REF!,39,0),VLOOKUP(BT22,#REF!,40,0)),RANDBETWEEN(VLOOKUP(BU22,$CO:$CR,4,0)/100*VLOOKUP(BT22,#REF!,39,0),VLOOKUP(BU22,$CO:$CR,4,0)/100*VLOOKUP(BT22,#REF!,40,0)))</f>
        <v>#REF!</v>
      </c>
      <c r="CB22" s="47" t="e">
        <f>IF(VLOOKUP(BT22,#REF!,35,0)=0,"",VLOOKUP(BT22,#REF!,35,0))</f>
        <v>#REF!</v>
      </c>
      <c r="CF22" t="s">
        <v>3852</v>
      </c>
      <c r="CG22">
        <v>20002</v>
      </c>
      <c r="CH22" t="s">
        <v>3853</v>
      </c>
      <c r="CI22" s="9" t="str">
        <f t="shared" si="41"/>
        <v>15</v>
      </c>
      <c r="CJ22" s="9" t="str">
        <f t="shared" si="18"/>
        <v>44</v>
      </c>
      <c r="CK22" s="9" t="str">
        <f t="shared" si="19"/>
        <v>76</v>
      </c>
      <c r="CO22" s="50">
        <v>17</v>
      </c>
      <c r="CP22" s="50">
        <v>60</v>
      </c>
      <c r="CQ22" s="50">
        <v>209</v>
      </c>
      <c r="CR22" s="50">
        <v>1190</v>
      </c>
      <c r="CS22" s="52">
        <v>102</v>
      </c>
      <c r="CT22" s="52">
        <v>255</v>
      </c>
      <c r="CU22" s="52">
        <v>386</v>
      </c>
      <c r="CY22" t="str">
        <f t="shared" si="20"/>
        <v>单</v>
      </c>
      <c r="CZ22" s="47">
        <v>20016</v>
      </c>
      <c r="DA22" s="34">
        <v>1</v>
      </c>
      <c r="DB22" s="54"/>
      <c r="DC22" s="34">
        <v>6</v>
      </c>
      <c r="DD22" s="34">
        <v>11</v>
      </c>
      <c r="DE22" s="34"/>
      <c r="DF22" s="34"/>
      <c r="DG22" s="34">
        <v>100</v>
      </c>
      <c r="DH22" s="34"/>
      <c r="DI22" t="s">
        <v>3783</v>
      </c>
      <c r="DJ22" t="s">
        <v>3854</v>
      </c>
      <c r="DK22" t="s">
        <v>3848</v>
      </c>
      <c r="DL22" s="9">
        <f t="shared" si="21"/>
        <v>6</v>
      </c>
      <c r="DM22" s="9">
        <f t="shared" si="22"/>
        <v>11</v>
      </c>
      <c r="DN22" s="9">
        <v>25</v>
      </c>
      <c r="DP22">
        <f t="shared" si="23"/>
        <v>8.5</v>
      </c>
    </row>
    <row r="23" spans="2:120" x14ac:dyDescent="0.2">
      <c r="B23" s="9"/>
      <c r="C23" s="9"/>
      <c r="D23" s="314" t="s">
        <v>3733</v>
      </c>
      <c r="E23" s="315"/>
      <c r="F23" s="316"/>
      <c r="G23" s="21"/>
      <c r="H23" s="22"/>
      <c r="I23" s="21"/>
      <c r="J23" t="s">
        <v>3855</v>
      </c>
      <c r="K23" s="9">
        <v>16</v>
      </c>
      <c r="L23" s="25">
        <v>10701</v>
      </c>
      <c r="M23" s="34">
        <v>21</v>
      </c>
      <c r="N23" s="25">
        <v>12401</v>
      </c>
      <c r="O23" s="34">
        <v>16</v>
      </c>
      <c r="P23" s="25">
        <v>12901</v>
      </c>
      <c r="Q23" s="34">
        <v>19</v>
      </c>
      <c r="R23" s="25"/>
      <c r="S23" s="25"/>
      <c r="T23" s="25"/>
      <c r="U23" s="25"/>
      <c r="V23" s="36" t="e">
        <f t="shared" si="0"/>
        <v>#N/A</v>
      </c>
      <c r="Y23" s="34">
        <v>19</v>
      </c>
      <c r="Z23" s="34">
        <f>ROUND(VLOOKUP(Y23,刀数数据支持!$L:$Q,3,0)*(1+((Y23-1)*2+25)*0.01*(1+AB23/100)),2)</f>
        <v>28.05</v>
      </c>
      <c r="AA23" s="34">
        <f>ROUND(VLOOKUP(Y23,刀数数据支持!$L:$Q,6,0)*(1+((Y23-1)*5+25)*0.01)*(1+AB23/100),2)</f>
        <v>102.01</v>
      </c>
      <c r="AB23" s="34">
        <f>VLOOKUP(Y23,刀数数据支持!$S:$T,2,0)</f>
        <v>49.35</v>
      </c>
      <c r="AC23" s="34">
        <f>ROUND(刀数数据支持!AY21*(1-刀数数据支持!BA21/100),1)</f>
        <v>487.3</v>
      </c>
      <c r="AD23" s="34" t="str">
        <f>刀数数据支持!AZ21</f>
        <v>炼狱之火Lv14</v>
      </c>
      <c r="AE23" s="34">
        <f t="shared" si="1"/>
        <v>77.23</v>
      </c>
      <c r="AF23" s="34">
        <f t="shared" si="2"/>
        <v>2.76</v>
      </c>
      <c r="AG23" s="34">
        <f t="shared" si="24"/>
        <v>0.76</v>
      </c>
      <c r="AH23" s="34">
        <f t="shared" si="25"/>
        <v>0.16</v>
      </c>
      <c r="AK23" s="41">
        <f t="shared" si="26"/>
        <v>10701</v>
      </c>
      <c r="AL23" s="17">
        <f t="shared" si="27"/>
        <v>16</v>
      </c>
      <c r="AM23" s="28" t="e">
        <f t="shared" si="3"/>
        <v>#N/A</v>
      </c>
      <c r="AN23" s="29" t="e">
        <f t="shared" si="4"/>
        <v>#N/A</v>
      </c>
      <c r="AO23" s="30" t="e">
        <f t="shared" si="5"/>
        <v>#N/A</v>
      </c>
      <c r="AP23" s="9" t="e">
        <f t="shared" si="28"/>
        <v>#N/A</v>
      </c>
      <c r="AQ23" s="27">
        <f t="shared" si="29"/>
        <v>12401</v>
      </c>
      <c r="AR23" s="17">
        <f t="shared" si="30"/>
        <v>16</v>
      </c>
      <c r="AS23" s="28" t="e">
        <f t="shared" si="6"/>
        <v>#N/A</v>
      </c>
      <c r="AT23" s="29" t="e">
        <f t="shared" si="7"/>
        <v>#N/A</v>
      </c>
      <c r="AU23" s="30" t="e">
        <f t="shared" si="8"/>
        <v>#N/A</v>
      </c>
      <c r="AV23" s="9" t="e">
        <f t="shared" si="31"/>
        <v>#N/A</v>
      </c>
      <c r="AW23" s="27">
        <f t="shared" si="32"/>
        <v>12901</v>
      </c>
      <c r="AX23" s="17">
        <f t="shared" si="33"/>
        <v>16</v>
      </c>
      <c r="AY23" s="28" t="e">
        <f t="shared" si="9"/>
        <v>#N/A</v>
      </c>
      <c r="AZ23" s="29" t="e">
        <f t="shared" si="10"/>
        <v>#N/A</v>
      </c>
      <c r="BA23" s="30" t="e">
        <f t="shared" si="11"/>
        <v>#N/A</v>
      </c>
      <c r="BB23" s="9" t="e">
        <f t="shared" si="34"/>
        <v>#N/A</v>
      </c>
      <c r="BC23" s="27">
        <f t="shared" si="35"/>
        <v>0</v>
      </c>
      <c r="BD23" s="17">
        <f t="shared" si="36"/>
        <v>16</v>
      </c>
      <c r="BE23" s="28" t="e">
        <f t="shared" si="12"/>
        <v>#N/A</v>
      </c>
      <c r="BF23" s="29" t="e">
        <f t="shared" si="13"/>
        <v>#N/A</v>
      </c>
      <c r="BG23" s="30" t="e">
        <f t="shared" si="14"/>
        <v>#N/A</v>
      </c>
      <c r="BH23" s="9">
        <f t="shared" si="37"/>
        <v>0</v>
      </c>
      <c r="BI23" s="27">
        <f t="shared" si="38"/>
        <v>0</v>
      </c>
      <c r="BJ23" s="17">
        <f t="shared" si="39"/>
        <v>16</v>
      </c>
      <c r="BK23" s="28" t="e">
        <f t="shared" si="15"/>
        <v>#N/A</v>
      </c>
      <c r="BL23" s="29" t="e">
        <f t="shared" si="16"/>
        <v>#N/A</v>
      </c>
      <c r="BM23" s="30" t="e">
        <f t="shared" si="17"/>
        <v>#N/A</v>
      </c>
      <c r="BN23" s="9">
        <f t="shared" si="40"/>
        <v>0</v>
      </c>
      <c r="BQ23" s="21"/>
      <c r="BS23" s="34" t="e">
        <f>#REF!</f>
        <v>#REF!</v>
      </c>
      <c r="BT23" s="34" t="e">
        <f>#REF!</f>
        <v>#REF!</v>
      </c>
      <c r="BU23" s="34">
        <v>0</v>
      </c>
      <c r="BV23" s="34" t="e">
        <f>IF(VLOOKUP(BT23,#REF!,8,0)=0,"",VLOOKUP(BT23,#REF!,8,0))</f>
        <v>#REF!</v>
      </c>
      <c r="BW23" s="47" t="e">
        <f ca="1">IF(BU23=0,RANDBETWEEN(VLOOKUP(BT23,#REF!,13,0),VLOOKUP(BT23,#REF!,14,0)),RANDBETWEEN(VLOOKUP(BU23,$CO:$CR,2,0)/100*VLOOKUP(BT23,#REF!,13,0),VLOOKUP(BU23,$CO:$CR,2,0)/100*VLOOKUP(BT23,#REF!,14,0)))</f>
        <v>#REF!</v>
      </c>
      <c r="BX23" s="47" t="e">
        <f>VLOOKUP(BT23,#REF!,9,0)</f>
        <v>#REF!</v>
      </c>
      <c r="BY23" s="47" t="e">
        <f ca="1">IF(BU23=0,RANDBETWEEN(VLOOKUP(BT23,#REF!,26,0),VLOOKUP(BT23,#REF!,27,0)),RANDBETWEEN(VLOOKUP(BU23,$CO:$CR,3,0)/100*VLOOKUP(BT23,#REF!,26,0),VLOOKUP(BU23,$CO:$CR,3,0)/100*VLOOKUP(BT23,#REF!,27,0)))</f>
        <v>#REF!</v>
      </c>
      <c r="BZ23" s="47" t="e">
        <f>IF(VLOOKUP(BT23,#REF!,22,0)=0,"",VLOOKUP(BT23,#REF!,22,0))</f>
        <v>#REF!</v>
      </c>
      <c r="CA23" s="47" t="e">
        <f ca="1">IF(BU23=0,RANDBETWEEN(VLOOKUP(BT23,#REF!,39,0),VLOOKUP(BT23,#REF!,40,0)),RANDBETWEEN(VLOOKUP(BU23,$CO:$CR,4,0)/100*VLOOKUP(BT23,#REF!,39,0),VLOOKUP(BU23,$CO:$CR,4,0)/100*VLOOKUP(BT23,#REF!,40,0)))</f>
        <v>#REF!</v>
      </c>
      <c r="CB23" s="47" t="e">
        <f>IF(VLOOKUP(BT23,#REF!,35,0)=0,"",VLOOKUP(BT23,#REF!,35,0))</f>
        <v>#REF!</v>
      </c>
      <c r="CF23" t="s">
        <v>3855</v>
      </c>
      <c r="CG23">
        <v>20003</v>
      </c>
      <c r="CH23" t="s">
        <v>3856</v>
      </c>
      <c r="CI23" s="9" t="str">
        <f t="shared" si="41"/>
        <v>16</v>
      </c>
      <c r="CJ23" s="9" t="str">
        <f t="shared" si="18"/>
        <v>45</v>
      </c>
      <c r="CK23" s="9" t="str">
        <f t="shared" si="19"/>
        <v>76</v>
      </c>
      <c r="CO23" s="50">
        <v>18</v>
      </c>
      <c r="CP23" s="50">
        <v>64</v>
      </c>
      <c r="CQ23" s="50">
        <v>216</v>
      </c>
      <c r="CR23" s="50">
        <v>1212</v>
      </c>
      <c r="CS23" s="52">
        <v>108</v>
      </c>
      <c r="CT23" s="52">
        <v>265</v>
      </c>
      <c r="CU23" s="52">
        <v>401</v>
      </c>
      <c r="CY23" t="str">
        <f t="shared" si="20"/>
        <v>单</v>
      </c>
      <c r="CZ23" s="47">
        <v>20017</v>
      </c>
      <c r="DA23" s="34">
        <v>1</v>
      </c>
      <c r="DB23" s="54">
        <v>10</v>
      </c>
      <c r="DC23" s="34">
        <v>8</v>
      </c>
      <c r="DD23" s="34">
        <v>18</v>
      </c>
      <c r="DE23" s="34"/>
      <c r="DF23" s="34"/>
      <c r="DG23" s="34">
        <v>100</v>
      </c>
      <c r="DH23" s="34"/>
      <c r="DI23" t="s">
        <v>3783</v>
      </c>
      <c r="DJ23" t="s">
        <v>3857</v>
      </c>
      <c r="DK23" t="s">
        <v>3844</v>
      </c>
      <c r="DL23" s="9">
        <f t="shared" si="21"/>
        <v>8</v>
      </c>
      <c r="DM23" s="9">
        <f t="shared" si="22"/>
        <v>18</v>
      </c>
      <c r="DN23" s="9">
        <v>37</v>
      </c>
      <c r="DP23">
        <f t="shared" si="23"/>
        <v>11.700000000000001</v>
      </c>
    </row>
    <row r="24" spans="2:120" x14ac:dyDescent="0.2">
      <c r="B24" s="9"/>
      <c r="C24" s="9"/>
      <c r="D24" s="24" t="s">
        <v>3828</v>
      </c>
      <c r="E24" s="25" t="s">
        <v>3829</v>
      </c>
      <c r="F24" s="26" t="s">
        <v>3830</v>
      </c>
      <c r="G24" s="21" t="s">
        <v>3831</v>
      </c>
      <c r="H24" s="22"/>
      <c r="I24" s="21"/>
      <c r="J24" t="s">
        <v>3858</v>
      </c>
      <c r="K24" s="9">
        <v>17</v>
      </c>
      <c r="L24" s="25">
        <v>10801</v>
      </c>
      <c r="M24" s="34">
        <v>21</v>
      </c>
      <c r="N24" s="25">
        <v>12402</v>
      </c>
      <c r="O24" s="34">
        <v>27</v>
      </c>
      <c r="P24" s="25">
        <v>13101</v>
      </c>
      <c r="Q24" s="34">
        <v>32</v>
      </c>
      <c r="R24" s="25"/>
      <c r="S24" s="25"/>
      <c r="T24" s="25"/>
      <c r="U24" s="25"/>
      <c r="V24" s="36" t="e">
        <f t="shared" si="0"/>
        <v>#N/A</v>
      </c>
      <c r="Y24" s="34">
        <v>20</v>
      </c>
      <c r="Z24" s="34">
        <f>ROUND(VLOOKUP(Y24,刀数数据支持!$L:$Q,3,0)*(1+((Y24-1)*2+25)*0.01*(1+AB24/100)),2)</f>
        <v>31.22</v>
      </c>
      <c r="AA24" s="34">
        <f>ROUND(VLOOKUP(Y24,刀数数据支持!$L:$Q,6,0)*(1+((Y24-1)*5+25)*0.01)*(1+AB24/100),2)</f>
        <v>110.62</v>
      </c>
      <c r="AB24" s="34">
        <f>VLOOKUP(Y24,刀数数据支持!$S:$T,2,0)</f>
        <v>51</v>
      </c>
      <c r="AC24" s="34">
        <f>ROUND(刀数数据支持!AY22*(1-刀数数据支持!BA22/100),1)</f>
        <v>592</v>
      </c>
      <c r="AD24" s="34" t="str">
        <f>刀数数据支持!AZ22</f>
        <v>炼狱之火Lv16</v>
      </c>
      <c r="AE24" s="34">
        <f t="shared" si="1"/>
        <v>82.91</v>
      </c>
      <c r="AF24" s="34">
        <f t="shared" si="2"/>
        <v>2.6599999999999997</v>
      </c>
      <c r="AG24" s="34">
        <f t="shared" si="24"/>
        <v>0.75</v>
      </c>
      <c r="AH24" s="34">
        <f t="shared" si="25"/>
        <v>0.14000000000000001</v>
      </c>
      <c r="AK24" s="41">
        <f t="shared" si="26"/>
        <v>10801</v>
      </c>
      <c r="AL24" s="17">
        <f t="shared" si="27"/>
        <v>17</v>
      </c>
      <c r="AM24" s="28" t="e">
        <f t="shared" si="3"/>
        <v>#N/A</v>
      </c>
      <c r="AN24" s="29" t="e">
        <f t="shared" si="4"/>
        <v>#N/A</v>
      </c>
      <c r="AO24" s="30" t="e">
        <f t="shared" si="5"/>
        <v>#N/A</v>
      </c>
      <c r="AP24" s="9" t="e">
        <f t="shared" si="28"/>
        <v>#N/A</v>
      </c>
      <c r="AQ24" s="27">
        <f t="shared" si="29"/>
        <v>12402</v>
      </c>
      <c r="AR24" s="17">
        <f t="shared" si="30"/>
        <v>17</v>
      </c>
      <c r="AS24" s="28" t="e">
        <f t="shared" si="6"/>
        <v>#N/A</v>
      </c>
      <c r="AT24" s="29" t="e">
        <f t="shared" si="7"/>
        <v>#N/A</v>
      </c>
      <c r="AU24" s="30" t="e">
        <f t="shared" si="8"/>
        <v>#N/A</v>
      </c>
      <c r="AV24" s="9" t="e">
        <f t="shared" si="31"/>
        <v>#N/A</v>
      </c>
      <c r="AW24" s="27">
        <f t="shared" si="32"/>
        <v>13101</v>
      </c>
      <c r="AX24" s="17">
        <f t="shared" si="33"/>
        <v>17</v>
      </c>
      <c r="AY24" s="28" t="e">
        <f t="shared" si="9"/>
        <v>#N/A</v>
      </c>
      <c r="AZ24" s="29" t="e">
        <f t="shared" si="10"/>
        <v>#N/A</v>
      </c>
      <c r="BA24" s="30" t="e">
        <f t="shared" si="11"/>
        <v>#N/A</v>
      </c>
      <c r="BB24" s="9" t="e">
        <f t="shared" si="34"/>
        <v>#N/A</v>
      </c>
      <c r="BC24" s="27">
        <f t="shared" si="35"/>
        <v>0</v>
      </c>
      <c r="BD24" s="17">
        <f t="shared" si="36"/>
        <v>17</v>
      </c>
      <c r="BE24" s="28" t="e">
        <f t="shared" si="12"/>
        <v>#N/A</v>
      </c>
      <c r="BF24" s="29" t="e">
        <f t="shared" si="13"/>
        <v>#N/A</v>
      </c>
      <c r="BG24" s="30" t="e">
        <f t="shared" si="14"/>
        <v>#N/A</v>
      </c>
      <c r="BH24" s="9">
        <f t="shared" si="37"/>
        <v>0</v>
      </c>
      <c r="BI24" s="27">
        <f t="shared" si="38"/>
        <v>0</v>
      </c>
      <c r="BJ24" s="17">
        <f t="shared" si="39"/>
        <v>17</v>
      </c>
      <c r="BK24" s="28" t="e">
        <f t="shared" si="15"/>
        <v>#N/A</v>
      </c>
      <c r="BL24" s="29" t="e">
        <f t="shared" si="16"/>
        <v>#N/A</v>
      </c>
      <c r="BM24" s="30" t="e">
        <f t="shared" si="17"/>
        <v>#N/A</v>
      </c>
      <c r="BN24" s="9">
        <f t="shared" si="40"/>
        <v>0</v>
      </c>
      <c r="BQ24" s="21"/>
      <c r="BS24" s="34" t="e">
        <f>#REF!</f>
        <v>#REF!</v>
      </c>
      <c r="BT24" s="34" t="e">
        <f>#REF!</f>
        <v>#REF!</v>
      </c>
      <c r="BU24" s="34">
        <v>0</v>
      </c>
      <c r="BV24" s="34" t="e">
        <f>IF(VLOOKUP(BT24,#REF!,8,0)=0,"",VLOOKUP(BT24,#REF!,8,0))</f>
        <v>#REF!</v>
      </c>
      <c r="BW24" s="47" t="e">
        <f ca="1">IF(BU24=0,RANDBETWEEN(VLOOKUP(BT24,#REF!,13,0),VLOOKUP(BT24,#REF!,14,0)),RANDBETWEEN(VLOOKUP(BU24,$CO:$CR,2,0)/100*VLOOKUP(BT24,#REF!,13,0),VLOOKUP(BU24,$CO:$CR,2,0)/100*VLOOKUP(BT24,#REF!,14,0)))</f>
        <v>#REF!</v>
      </c>
      <c r="BX24" s="47" t="e">
        <f>VLOOKUP(BT24,#REF!,9,0)</f>
        <v>#REF!</v>
      </c>
      <c r="BY24" s="47" t="e">
        <f ca="1">IF(BU24=0,RANDBETWEEN(VLOOKUP(BT24,#REF!,26,0),VLOOKUP(BT24,#REF!,27,0)),RANDBETWEEN(VLOOKUP(BU24,$CO:$CR,3,0)/100*VLOOKUP(BT24,#REF!,26,0),VLOOKUP(BU24,$CO:$CR,3,0)/100*VLOOKUP(BT24,#REF!,27,0)))</f>
        <v>#REF!</v>
      </c>
      <c r="BZ24" s="47" t="e">
        <f>IF(VLOOKUP(BT24,#REF!,22,0)=0,"",VLOOKUP(BT24,#REF!,22,0))</f>
        <v>#REF!</v>
      </c>
      <c r="CA24" s="47" t="e">
        <f ca="1">IF(BU24=0,RANDBETWEEN(VLOOKUP(BT24,#REF!,39,0),VLOOKUP(BT24,#REF!,40,0)),RANDBETWEEN(VLOOKUP(BU24,$CO:$CR,4,0)/100*VLOOKUP(BT24,#REF!,39,0),VLOOKUP(BU24,$CO:$CR,4,0)/100*VLOOKUP(BT24,#REF!,40,0)))</f>
        <v>#REF!</v>
      </c>
      <c r="CB24" s="47" t="e">
        <f>IF(VLOOKUP(BT24,#REF!,35,0)=0,"",VLOOKUP(BT24,#REF!,35,0))</f>
        <v>#REF!</v>
      </c>
      <c r="CF24" t="s">
        <v>3858</v>
      </c>
      <c r="CG24">
        <v>20004</v>
      </c>
      <c r="CH24" t="s">
        <v>3859</v>
      </c>
      <c r="CI24" s="9" t="str">
        <f t="shared" si="41"/>
        <v>17</v>
      </c>
      <c r="CJ24" s="9" t="str">
        <f t="shared" si="18"/>
        <v>46</v>
      </c>
      <c r="CK24" s="9" t="str">
        <f t="shared" si="19"/>
        <v>77</v>
      </c>
      <c r="CO24" s="50">
        <v>19</v>
      </c>
      <c r="CP24" s="50">
        <v>68</v>
      </c>
      <c r="CQ24" s="50">
        <v>221</v>
      </c>
      <c r="CR24" s="50">
        <v>1235</v>
      </c>
      <c r="CS24" s="52">
        <v>114</v>
      </c>
      <c r="CT24" s="52">
        <v>275</v>
      </c>
      <c r="CU24" s="52">
        <v>417</v>
      </c>
      <c r="CY24" t="str">
        <f t="shared" si="20"/>
        <v>单</v>
      </c>
      <c r="CZ24" s="47">
        <v>20018</v>
      </c>
      <c r="DA24" s="34">
        <v>1</v>
      </c>
      <c r="DB24" s="54">
        <v>-10</v>
      </c>
      <c r="DC24" s="34">
        <v>10</v>
      </c>
      <c r="DD24" s="34">
        <v>17</v>
      </c>
      <c r="DE24" s="34"/>
      <c r="DF24" s="34"/>
      <c r="DG24" s="34">
        <v>100</v>
      </c>
      <c r="DH24" s="34"/>
      <c r="DI24" t="s">
        <v>3783</v>
      </c>
      <c r="DJ24" t="s">
        <v>3860</v>
      </c>
      <c r="DK24" t="s">
        <v>3861</v>
      </c>
      <c r="DL24" s="9">
        <f t="shared" si="21"/>
        <v>10</v>
      </c>
      <c r="DM24" s="9">
        <f t="shared" si="22"/>
        <v>17</v>
      </c>
      <c r="DN24" s="9">
        <v>55</v>
      </c>
      <c r="DP24">
        <f t="shared" si="23"/>
        <v>14.850000000000001</v>
      </c>
    </row>
    <row r="25" spans="2:120" x14ac:dyDescent="0.2">
      <c r="B25" s="9"/>
      <c r="C25" s="9"/>
      <c r="D25" s="28" t="e">
        <f>IF(C17&gt;119,VLOOKUP(INT(VLOOKUP(C17,$CG:$CK,5,0)),$CO:$CU,4,0)/100*VLOOKUP(B17,$BT:$CB,8,0),VLOOKUP(C17,$CO:$CR,4,0)/100*VLOOKUP(B17,$BT:$CB,8,0))</f>
        <v>#N/A</v>
      </c>
      <c r="E25" s="29" t="e">
        <f>1-MIN(MAX(IF(C17&gt;119,2*($D$8/($D$8+VLOOKUP($B$17,$BT:$CB,9,0))*($B$6/($B$6+VLOOKUP($C$17,$CG:$CK,5,0)))),2*($D$8/($D$8+VLOOKUP($B$17,$BT:$CB,9,0))*($B$6/($B$6+$C$17)))),0.05),0.95)</f>
        <v>#N/A</v>
      </c>
      <c r="F25" s="30" t="e">
        <f>ROUNDUP(D25*(1+E25)*(1+IF(VLOOKUP($B$17,$BT:$BV,3,0)="",0,INT(VLOOKUP($B$17,$BT:$BV,3,0)/100)))/(($E$12+$F$12)/2),0)</f>
        <v>#N/A</v>
      </c>
      <c r="G25" s="9" t="e">
        <f>F25*$E$8</f>
        <v>#N/A</v>
      </c>
      <c r="J25" t="s">
        <v>3862</v>
      </c>
      <c r="K25" s="9">
        <v>13</v>
      </c>
      <c r="L25" s="34">
        <v>10802</v>
      </c>
      <c r="M25" s="34">
        <v>19</v>
      </c>
      <c r="N25" s="34">
        <v>12403</v>
      </c>
      <c r="O25" s="34">
        <v>28</v>
      </c>
      <c r="P25" s="34">
        <v>13201</v>
      </c>
      <c r="Q25" s="34">
        <v>33</v>
      </c>
      <c r="R25" s="34"/>
      <c r="S25" s="34"/>
      <c r="T25" s="34"/>
      <c r="U25" s="34"/>
      <c r="V25" s="36" t="e">
        <f t="shared" si="0"/>
        <v>#N/A</v>
      </c>
      <c r="Y25" s="34">
        <v>21</v>
      </c>
      <c r="Z25" s="34">
        <f>ROUND(VLOOKUP(Y25,刀数数据支持!$L:$Q,3,0)*(1+((Y25-1)*2+25)*0.01*(1+AB25/100)),2)</f>
        <v>34.76</v>
      </c>
      <c r="AA25" s="34">
        <f>ROUND(VLOOKUP(Y25,刀数数据支持!$L:$Q,6,0)*(1+((Y25-1)*5+25)*0.01)*(1+AB25/100),2)</f>
        <v>119.4</v>
      </c>
      <c r="AB25" s="34">
        <f>VLOOKUP(Y25,刀数数据支持!$S:$T,2,0)</f>
        <v>53.5</v>
      </c>
      <c r="AC25" s="34">
        <f>ROUND(刀数数据支持!AY23*(1-刀数数据支持!BA23/100),1)</f>
        <v>610.70000000000005</v>
      </c>
      <c r="AD25" s="34" t="str">
        <f>刀数数据支持!AZ23</f>
        <v>炼狱之火Lv17</v>
      </c>
      <c r="AE25" s="34">
        <f t="shared" si="1"/>
        <v>88.59</v>
      </c>
      <c r="AF25" s="34">
        <f t="shared" si="2"/>
        <v>2.5499999999999998</v>
      </c>
      <c r="AG25" s="34">
        <f t="shared" si="24"/>
        <v>0.75</v>
      </c>
      <c r="AH25" s="34">
        <f t="shared" si="25"/>
        <v>0.15</v>
      </c>
      <c r="AK25" s="41">
        <f t="shared" si="26"/>
        <v>10802</v>
      </c>
      <c r="AL25" s="17">
        <f t="shared" si="27"/>
        <v>13</v>
      </c>
      <c r="AM25" s="28" t="e">
        <f t="shared" si="3"/>
        <v>#N/A</v>
      </c>
      <c r="AN25" s="29" t="e">
        <f t="shared" si="4"/>
        <v>#N/A</v>
      </c>
      <c r="AO25" s="30" t="e">
        <f t="shared" si="5"/>
        <v>#N/A</v>
      </c>
      <c r="AP25" s="9" t="e">
        <f t="shared" si="28"/>
        <v>#N/A</v>
      </c>
      <c r="AQ25" s="27">
        <f t="shared" si="29"/>
        <v>12403</v>
      </c>
      <c r="AR25" s="17">
        <f t="shared" si="30"/>
        <v>13</v>
      </c>
      <c r="AS25" s="28" t="e">
        <f t="shared" si="6"/>
        <v>#N/A</v>
      </c>
      <c r="AT25" s="29" t="e">
        <f t="shared" si="7"/>
        <v>#N/A</v>
      </c>
      <c r="AU25" s="30" t="e">
        <f t="shared" si="8"/>
        <v>#N/A</v>
      </c>
      <c r="AV25" s="9" t="e">
        <f t="shared" si="31"/>
        <v>#N/A</v>
      </c>
      <c r="AW25" s="27">
        <f t="shared" si="32"/>
        <v>13201</v>
      </c>
      <c r="AX25" s="17">
        <f t="shared" si="33"/>
        <v>13</v>
      </c>
      <c r="AY25" s="28" t="e">
        <f t="shared" si="9"/>
        <v>#N/A</v>
      </c>
      <c r="AZ25" s="29" t="e">
        <f t="shared" si="10"/>
        <v>#N/A</v>
      </c>
      <c r="BA25" s="30" t="e">
        <f t="shared" si="11"/>
        <v>#N/A</v>
      </c>
      <c r="BB25" s="9" t="e">
        <f t="shared" si="34"/>
        <v>#N/A</v>
      </c>
      <c r="BC25" s="27">
        <f t="shared" si="35"/>
        <v>0</v>
      </c>
      <c r="BD25" s="17">
        <f t="shared" si="36"/>
        <v>13</v>
      </c>
      <c r="BE25" s="28" t="e">
        <f t="shared" si="12"/>
        <v>#N/A</v>
      </c>
      <c r="BF25" s="29" t="e">
        <f t="shared" si="13"/>
        <v>#N/A</v>
      </c>
      <c r="BG25" s="30" t="e">
        <f t="shared" si="14"/>
        <v>#N/A</v>
      </c>
      <c r="BH25" s="9">
        <f t="shared" si="37"/>
        <v>0</v>
      </c>
      <c r="BI25" s="27">
        <f t="shared" si="38"/>
        <v>0</v>
      </c>
      <c r="BJ25" s="17">
        <f t="shared" si="39"/>
        <v>13</v>
      </c>
      <c r="BK25" s="28" t="e">
        <f t="shared" si="15"/>
        <v>#N/A</v>
      </c>
      <c r="BL25" s="29" t="e">
        <f t="shared" si="16"/>
        <v>#N/A</v>
      </c>
      <c r="BM25" s="30" t="e">
        <f t="shared" si="17"/>
        <v>#N/A</v>
      </c>
      <c r="BN25" s="9">
        <f t="shared" si="40"/>
        <v>0</v>
      </c>
      <c r="BS25" s="34" t="e">
        <f>#REF!</f>
        <v>#REF!</v>
      </c>
      <c r="BT25" s="34" t="e">
        <f>#REF!</f>
        <v>#REF!</v>
      </c>
      <c r="BU25" s="34">
        <v>0</v>
      </c>
      <c r="BV25" s="34" t="e">
        <f>IF(VLOOKUP(BT25,#REF!,8,0)=0,"",VLOOKUP(BT25,#REF!,8,0))</f>
        <v>#REF!</v>
      </c>
      <c r="BW25" s="47" t="e">
        <f ca="1">IF(BU25=0,RANDBETWEEN(VLOOKUP(BT25,#REF!,13,0),VLOOKUP(BT25,#REF!,14,0)),RANDBETWEEN(VLOOKUP(BU25,$CO:$CR,2,0)/100*VLOOKUP(BT25,#REF!,13,0),VLOOKUP(BU25,$CO:$CR,2,0)/100*VLOOKUP(BT25,#REF!,14,0)))</f>
        <v>#REF!</v>
      </c>
      <c r="BX25" s="47" t="e">
        <f>VLOOKUP(BT25,#REF!,9,0)</f>
        <v>#REF!</v>
      </c>
      <c r="BY25" s="47" t="e">
        <f ca="1">IF(BU25=0,RANDBETWEEN(VLOOKUP(BT25,#REF!,26,0),VLOOKUP(BT25,#REF!,27,0)),RANDBETWEEN(VLOOKUP(BU25,$CO:$CR,3,0)/100*VLOOKUP(BT25,#REF!,26,0),VLOOKUP(BU25,$CO:$CR,3,0)/100*VLOOKUP(BT25,#REF!,27,0)))</f>
        <v>#REF!</v>
      </c>
      <c r="BZ25" s="47" t="e">
        <f>IF(VLOOKUP(BT25,#REF!,22,0)=0,"",VLOOKUP(BT25,#REF!,22,0))</f>
        <v>#REF!</v>
      </c>
      <c r="CA25" s="47" t="e">
        <f ca="1">IF(BU25=0,RANDBETWEEN(VLOOKUP(BT25,#REF!,39,0),VLOOKUP(BT25,#REF!,40,0)),RANDBETWEEN(VLOOKUP(BU25,$CO:$CR,4,0)/100*VLOOKUP(BT25,#REF!,39,0),VLOOKUP(BU25,$CO:$CR,4,0)/100*VLOOKUP(BT25,#REF!,40,0)))</f>
        <v>#REF!</v>
      </c>
      <c r="CB25" s="47" t="e">
        <f>IF(VLOOKUP(BT25,#REF!,35,0)=0,"",VLOOKUP(BT25,#REF!,35,0))</f>
        <v>#REF!</v>
      </c>
      <c r="CF25" t="s">
        <v>3862</v>
      </c>
      <c r="CG25">
        <v>20005</v>
      </c>
      <c r="CH25" t="s">
        <v>3863</v>
      </c>
      <c r="CI25" s="9" t="str">
        <f t="shared" si="41"/>
        <v>13</v>
      </c>
      <c r="CJ25" s="9" t="str">
        <f t="shared" si="18"/>
        <v>48</v>
      </c>
      <c r="CK25" s="9" t="str">
        <f t="shared" si="19"/>
        <v>78</v>
      </c>
      <c r="CO25" s="50">
        <v>20</v>
      </c>
      <c r="CP25" s="50">
        <v>73</v>
      </c>
      <c r="CQ25" s="50">
        <v>228</v>
      </c>
      <c r="CR25" s="50">
        <v>1257</v>
      </c>
      <c r="CS25" s="52">
        <v>120</v>
      </c>
      <c r="CT25" s="52">
        <v>286</v>
      </c>
      <c r="CU25" s="52">
        <v>431</v>
      </c>
      <c r="CY25" t="str">
        <f t="shared" si="20"/>
        <v>单</v>
      </c>
      <c r="CZ25" s="47">
        <v>20019</v>
      </c>
      <c r="DA25" s="34">
        <v>1</v>
      </c>
      <c r="DB25" s="54"/>
      <c r="DC25" s="34">
        <v>5</v>
      </c>
      <c r="DD25" s="34">
        <v>8</v>
      </c>
      <c r="DE25" s="34"/>
      <c r="DF25" s="34"/>
      <c r="DG25" s="34">
        <v>100</v>
      </c>
      <c r="DH25" s="34"/>
      <c r="DI25" t="s">
        <v>3783</v>
      </c>
      <c r="DJ25" t="s">
        <v>3864</v>
      </c>
      <c r="DK25" t="s">
        <v>3861</v>
      </c>
      <c r="DL25" s="9">
        <f t="shared" si="21"/>
        <v>5</v>
      </c>
      <c r="DM25" s="9">
        <f t="shared" si="22"/>
        <v>8</v>
      </c>
      <c r="DP25">
        <f t="shared" si="23"/>
        <v>6.5</v>
      </c>
    </row>
    <row r="26" spans="2:120" x14ac:dyDescent="0.2">
      <c r="J26" t="s">
        <v>3865</v>
      </c>
      <c r="K26" s="9">
        <v>14</v>
      </c>
      <c r="L26" s="34">
        <v>10803</v>
      </c>
      <c r="M26" s="34">
        <v>29</v>
      </c>
      <c r="N26" s="34">
        <v>12501</v>
      </c>
      <c r="O26" s="34">
        <v>18</v>
      </c>
      <c r="P26" s="34">
        <v>12501</v>
      </c>
      <c r="Q26" s="34">
        <v>27</v>
      </c>
      <c r="R26" s="34"/>
      <c r="S26" s="34"/>
      <c r="T26" s="34"/>
      <c r="U26" s="34"/>
      <c r="V26" s="36" t="e">
        <f t="shared" si="0"/>
        <v>#N/A</v>
      </c>
      <c r="Y26" s="34">
        <v>22</v>
      </c>
      <c r="Z26" s="34">
        <f>ROUND(VLOOKUP(Y26,刀数数据支持!$L:$Q,3,0)*(1+((Y26-1)*2+25)*0.01*(1+AB26/100)),2)</f>
        <v>38.450000000000003</v>
      </c>
      <c r="AA26" s="34">
        <f>ROUND(VLOOKUP(Y26,刀数数据支持!$L:$Q,6,0)*(1+((Y26-1)*5+25)*0.01)*(1+AB26/100),2)</f>
        <v>128.56</v>
      </c>
      <c r="AB26" s="34">
        <f>VLOOKUP(Y26,刀数数据支持!$S:$T,2,0)</f>
        <v>56</v>
      </c>
      <c r="AC26" s="34">
        <f>ROUND(刀数数据支持!AY24*(1-刀数数据支持!BA24/100),1)</f>
        <v>639.5</v>
      </c>
      <c r="AD26" s="34" t="str">
        <f>刀数数据支持!AZ24</f>
        <v>炼狱之火Lv18</v>
      </c>
      <c r="AE26" s="34">
        <f t="shared" si="1"/>
        <v>95.41</v>
      </c>
      <c r="AF26" s="34">
        <f t="shared" si="2"/>
        <v>2.4899999999999998</v>
      </c>
      <c r="AG26" s="34">
        <f t="shared" si="24"/>
        <v>0.75</v>
      </c>
      <c r="AH26" s="34">
        <f t="shared" si="25"/>
        <v>0.15</v>
      </c>
      <c r="AK26" s="41">
        <f t="shared" si="26"/>
        <v>10803</v>
      </c>
      <c r="AL26" s="17">
        <f t="shared" si="27"/>
        <v>14</v>
      </c>
      <c r="AM26" s="28" t="e">
        <f t="shared" si="3"/>
        <v>#N/A</v>
      </c>
      <c r="AN26" s="29" t="e">
        <f t="shared" si="4"/>
        <v>#N/A</v>
      </c>
      <c r="AO26" s="30" t="e">
        <f t="shared" si="5"/>
        <v>#N/A</v>
      </c>
      <c r="AP26" s="9" t="e">
        <f t="shared" si="28"/>
        <v>#N/A</v>
      </c>
      <c r="AQ26" s="27">
        <f t="shared" si="29"/>
        <v>12501</v>
      </c>
      <c r="AR26" s="17">
        <f t="shared" si="30"/>
        <v>14</v>
      </c>
      <c r="AS26" s="28" t="e">
        <f t="shared" si="6"/>
        <v>#N/A</v>
      </c>
      <c r="AT26" s="29" t="e">
        <f t="shared" si="7"/>
        <v>#N/A</v>
      </c>
      <c r="AU26" s="30" t="e">
        <f t="shared" si="8"/>
        <v>#N/A</v>
      </c>
      <c r="AV26" s="9" t="e">
        <f t="shared" si="31"/>
        <v>#N/A</v>
      </c>
      <c r="AW26" s="27">
        <f t="shared" si="32"/>
        <v>12501</v>
      </c>
      <c r="AX26" s="17">
        <f t="shared" si="33"/>
        <v>14</v>
      </c>
      <c r="AY26" s="28" t="e">
        <f t="shared" si="9"/>
        <v>#N/A</v>
      </c>
      <c r="AZ26" s="29" t="e">
        <f t="shared" si="10"/>
        <v>#N/A</v>
      </c>
      <c r="BA26" s="30" t="e">
        <f t="shared" si="11"/>
        <v>#N/A</v>
      </c>
      <c r="BB26" s="9" t="e">
        <f t="shared" si="34"/>
        <v>#N/A</v>
      </c>
      <c r="BC26" s="27">
        <f t="shared" si="35"/>
        <v>0</v>
      </c>
      <c r="BD26" s="17">
        <f t="shared" si="36"/>
        <v>14</v>
      </c>
      <c r="BE26" s="28" t="e">
        <f t="shared" si="12"/>
        <v>#N/A</v>
      </c>
      <c r="BF26" s="29" t="e">
        <f t="shared" si="13"/>
        <v>#N/A</v>
      </c>
      <c r="BG26" s="30" t="e">
        <f t="shared" si="14"/>
        <v>#N/A</v>
      </c>
      <c r="BH26" s="9">
        <f t="shared" si="37"/>
        <v>0</v>
      </c>
      <c r="BI26" s="27">
        <f t="shared" si="38"/>
        <v>0</v>
      </c>
      <c r="BJ26" s="17">
        <f t="shared" si="39"/>
        <v>14</v>
      </c>
      <c r="BK26" s="28" t="e">
        <f t="shared" si="15"/>
        <v>#N/A</v>
      </c>
      <c r="BL26" s="29" t="e">
        <f t="shared" si="16"/>
        <v>#N/A</v>
      </c>
      <c r="BM26" s="30" t="e">
        <f t="shared" si="17"/>
        <v>#N/A</v>
      </c>
      <c r="BN26" s="9">
        <f t="shared" si="40"/>
        <v>0</v>
      </c>
      <c r="BS26" s="34" t="e">
        <f>#REF!</f>
        <v>#REF!</v>
      </c>
      <c r="BT26" s="34" t="e">
        <f>#REF!</f>
        <v>#REF!</v>
      </c>
      <c r="BU26" s="34">
        <v>0</v>
      </c>
      <c r="BV26" s="34" t="e">
        <f>IF(VLOOKUP(BT26,#REF!,8,0)=0,"",VLOOKUP(BT26,#REF!,8,0))</f>
        <v>#REF!</v>
      </c>
      <c r="BW26" s="47" t="e">
        <f ca="1">IF(BU26=0,RANDBETWEEN(VLOOKUP(BT26,#REF!,13,0),VLOOKUP(BT26,#REF!,14,0)),RANDBETWEEN(VLOOKUP(BU26,$CO:$CR,2,0)/100*VLOOKUP(BT26,#REF!,13,0),VLOOKUP(BU26,$CO:$CR,2,0)/100*VLOOKUP(BT26,#REF!,14,0)))</f>
        <v>#REF!</v>
      </c>
      <c r="BX26" s="47" t="e">
        <f>VLOOKUP(BT26,#REF!,9,0)</f>
        <v>#REF!</v>
      </c>
      <c r="BY26" s="47" t="e">
        <f ca="1">IF(BU26=0,RANDBETWEEN(VLOOKUP(BT26,#REF!,26,0),VLOOKUP(BT26,#REF!,27,0)),RANDBETWEEN(VLOOKUP(BU26,$CO:$CR,3,0)/100*VLOOKUP(BT26,#REF!,26,0),VLOOKUP(BU26,$CO:$CR,3,0)/100*VLOOKUP(BT26,#REF!,27,0)))</f>
        <v>#REF!</v>
      </c>
      <c r="BZ26" s="47" t="e">
        <f>IF(VLOOKUP(BT26,#REF!,22,0)=0,"",VLOOKUP(BT26,#REF!,22,0))</f>
        <v>#REF!</v>
      </c>
      <c r="CA26" s="47" t="e">
        <f ca="1">IF(BU26=0,RANDBETWEEN(VLOOKUP(BT26,#REF!,39,0),VLOOKUP(BT26,#REF!,40,0)),RANDBETWEEN(VLOOKUP(BU26,$CO:$CR,4,0)/100*VLOOKUP(BT26,#REF!,39,0),VLOOKUP(BU26,$CO:$CR,4,0)/100*VLOOKUP(BT26,#REF!,40,0)))</f>
        <v>#REF!</v>
      </c>
      <c r="CB26" s="47" t="e">
        <f>IF(VLOOKUP(BT26,#REF!,35,0)=0,"",VLOOKUP(BT26,#REF!,35,0))</f>
        <v>#REF!</v>
      </c>
      <c r="CF26" t="s">
        <v>3865</v>
      </c>
      <c r="CG26">
        <v>20006</v>
      </c>
      <c r="CH26" t="s">
        <v>3866</v>
      </c>
      <c r="CI26" s="9" t="str">
        <f t="shared" si="41"/>
        <v>14</v>
      </c>
      <c r="CJ26" s="9" t="str">
        <f t="shared" si="18"/>
        <v>48</v>
      </c>
      <c r="CK26" s="9" t="str">
        <f t="shared" si="19"/>
        <v>79</v>
      </c>
      <c r="CO26" s="50">
        <v>21</v>
      </c>
      <c r="CP26" s="50">
        <v>78</v>
      </c>
      <c r="CQ26" s="50">
        <v>236</v>
      </c>
      <c r="CR26" s="50">
        <v>1280</v>
      </c>
      <c r="CS26" s="52">
        <v>126</v>
      </c>
      <c r="CT26" s="52">
        <v>296</v>
      </c>
      <c r="CU26" s="52">
        <v>446</v>
      </c>
      <c r="CY26" t="str">
        <f t="shared" si="20"/>
        <v>单</v>
      </c>
      <c r="CZ26" s="47">
        <v>20020</v>
      </c>
      <c r="DA26" s="34">
        <v>1</v>
      </c>
      <c r="DB26" s="54"/>
      <c r="DC26" s="34">
        <v>3</v>
      </c>
      <c r="DD26" s="34">
        <v>10</v>
      </c>
      <c r="DE26" s="34"/>
      <c r="DF26" s="34"/>
      <c r="DG26" s="34">
        <v>100</v>
      </c>
      <c r="DH26" s="34"/>
      <c r="DI26" t="s">
        <v>3783</v>
      </c>
      <c r="DJ26" t="s">
        <v>3867</v>
      </c>
      <c r="DK26" t="s">
        <v>3861</v>
      </c>
      <c r="DL26" s="9">
        <f t="shared" si="21"/>
        <v>3</v>
      </c>
      <c r="DM26" s="9">
        <f t="shared" si="22"/>
        <v>10</v>
      </c>
      <c r="DN26" s="9">
        <v>27</v>
      </c>
      <c r="DP26">
        <f t="shared" si="23"/>
        <v>6.5</v>
      </c>
    </row>
    <row r="27" spans="2:120" x14ac:dyDescent="0.2">
      <c r="E27" s="1"/>
      <c r="F27" s="1"/>
      <c r="G27" s="21"/>
      <c r="H27" s="22"/>
      <c r="I27" s="21"/>
      <c r="J27" t="s">
        <v>3868</v>
      </c>
      <c r="K27" s="9">
        <v>13</v>
      </c>
      <c r="L27" s="25">
        <v>10901</v>
      </c>
      <c r="M27" s="34">
        <v>19</v>
      </c>
      <c r="N27" s="25">
        <v>12502</v>
      </c>
      <c r="O27" s="34">
        <v>27</v>
      </c>
      <c r="P27" s="34">
        <v>12502</v>
      </c>
      <c r="Q27" s="34">
        <v>31</v>
      </c>
      <c r="R27" s="25"/>
      <c r="S27" s="25"/>
      <c r="T27" s="25"/>
      <c r="U27" s="25"/>
      <c r="V27" s="36" t="e">
        <f t="shared" si="0"/>
        <v>#N/A</v>
      </c>
      <c r="Y27" s="34">
        <v>23</v>
      </c>
      <c r="Z27" s="34">
        <f>ROUND(VLOOKUP(Y27,刀数数据支持!$L:$Q,3,0)*(1+((Y27-1)*2+25)*0.01*(1+AB27/100)),2)</f>
        <v>42.29</v>
      </c>
      <c r="AA27" s="34">
        <f>ROUND(VLOOKUP(Y27,刀数数据支持!$L:$Q,6,0)*(1+((Y27-1)*5+25)*0.01)*(1+AB27/100),2)</f>
        <v>138.19</v>
      </c>
      <c r="AB27" s="34">
        <f>VLOOKUP(Y27,刀数数据支持!$S:$T,2,0)</f>
        <v>58.5</v>
      </c>
      <c r="AC27" s="34">
        <f>ROUND(刀数数据支持!AY25*(1-刀数数据支持!BA25/100),1)</f>
        <v>667.1</v>
      </c>
      <c r="AD27" s="34" t="str">
        <f>刀数数据支持!AZ25</f>
        <v>炼狱之火Lv19</v>
      </c>
      <c r="AE27" s="34">
        <f t="shared" si="1"/>
        <v>101.09</v>
      </c>
      <c r="AF27" s="34">
        <f t="shared" si="2"/>
        <v>2.4</v>
      </c>
      <c r="AG27" s="34">
        <f t="shared" si="24"/>
        <v>0.74</v>
      </c>
      <c r="AH27" s="34">
        <f t="shared" si="25"/>
        <v>0.15</v>
      </c>
      <c r="AK27" s="41">
        <f t="shared" si="26"/>
        <v>10901</v>
      </c>
      <c r="AL27" s="17">
        <f t="shared" si="27"/>
        <v>13</v>
      </c>
      <c r="AM27" s="28" t="e">
        <f t="shared" si="3"/>
        <v>#N/A</v>
      </c>
      <c r="AN27" s="29" t="e">
        <f t="shared" si="4"/>
        <v>#N/A</v>
      </c>
      <c r="AO27" s="30" t="e">
        <f t="shared" si="5"/>
        <v>#N/A</v>
      </c>
      <c r="AP27" s="9" t="e">
        <f t="shared" si="28"/>
        <v>#N/A</v>
      </c>
      <c r="AQ27" s="27">
        <f t="shared" si="29"/>
        <v>12502</v>
      </c>
      <c r="AR27" s="17">
        <f t="shared" si="30"/>
        <v>13</v>
      </c>
      <c r="AS27" s="28" t="e">
        <f t="shared" si="6"/>
        <v>#N/A</v>
      </c>
      <c r="AT27" s="29" t="e">
        <f t="shared" si="7"/>
        <v>#N/A</v>
      </c>
      <c r="AU27" s="30" t="e">
        <f t="shared" si="8"/>
        <v>#N/A</v>
      </c>
      <c r="AV27" s="9" t="e">
        <f t="shared" si="31"/>
        <v>#N/A</v>
      </c>
      <c r="AW27" s="27">
        <f t="shared" si="32"/>
        <v>12502</v>
      </c>
      <c r="AX27" s="17">
        <f t="shared" si="33"/>
        <v>13</v>
      </c>
      <c r="AY27" s="28" t="e">
        <f t="shared" si="9"/>
        <v>#N/A</v>
      </c>
      <c r="AZ27" s="29" t="e">
        <f t="shared" si="10"/>
        <v>#N/A</v>
      </c>
      <c r="BA27" s="30" t="e">
        <f t="shared" si="11"/>
        <v>#N/A</v>
      </c>
      <c r="BB27" s="9" t="e">
        <f t="shared" si="34"/>
        <v>#N/A</v>
      </c>
      <c r="BC27" s="27">
        <f t="shared" si="35"/>
        <v>0</v>
      </c>
      <c r="BD27" s="17">
        <f t="shared" si="36"/>
        <v>13</v>
      </c>
      <c r="BE27" s="28" t="e">
        <f t="shared" si="12"/>
        <v>#N/A</v>
      </c>
      <c r="BF27" s="29" t="e">
        <f t="shared" si="13"/>
        <v>#N/A</v>
      </c>
      <c r="BG27" s="30" t="e">
        <f t="shared" si="14"/>
        <v>#N/A</v>
      </c>
      <c r="BH27" s="9">
        <f t="shared" si="37"/>
        <v>0</v>
      </c>
      <c r="BI27" s="27">
        <f t="shared" si="38"/>
        <v>0</v>
      </c>
      <c r="BJ27" s="17">
        <f t="shared" si="39"/>
        <v>13</v>
      </c>
      <c r="BK27" s="28" t="e">
        <f t="shared" si="15"/>
        <v>#N/A</v>
      </c>
      <c r="BL27" s="29" t="e">
        <f t="shared" si="16"/>
        <v>#N/A</v>
      </c>
      <c r="BM27" s="30" t="e">
        <f t="shared" si="17"/>
        <v>#N/A</v>
      </c>
      <c r="BN27" s="9">
        <f t="shared" si="40"/>
        <v>0</v>
      </c>
      <c r="BQ27" s="21"/>
      <c r="BS27" s="34" t="e">
        <f>#REF!</f>
        <v>#REF!</v>
      </c>
      <c r="BT27" s="34" t="e">
        <f>#REF!</f>
        <v>#REF!</v>
      </c>
      <c r="BU27" s="34">
        <v>0</v>
      </c>
      <c r="BV27" s="34" t="e">
        <f>IF(VLOOKUP(BT27,#REF!,8,0)=0,"",VLOOKUP(BT27,#REF!,8,0))</f>
        <v>#REF!</v>
      </c>
      <c r="BW27" s="47" t="e">
        <f ca="1">IF(BU27=0,RANDBETWEEN(VLOOKUP(BT27,#REF!,13,0),VLOOKUP(BT27,#REF!,14,0)),RANDBETWEEN(VLOOKUP(BU27,$CO:$CR,2,0)/100*VLOOKUP(BT27,#REF!,13,0),VLOOKUP(BU27,$CO:$CR,2,0)/100*VLOOKUP(BT27,#REF!,14,0)))</f>
        <v>#REF!</v>
      </c>
      <c r="BX27" s="47" t="e">
        <f>VLOOKUP(BT27,#REF!,9,0)</f>
        <v>#REF!</v>
      </c>
      <c r="BY27" s="47" t="e">
        <f ca="1">IF(BU27=0,RANDBETWEEN(VLOOKUP(BT27,#REF!,26,0),VLOOKUP(BT27,#REF!,27,0)),RANDBETWEEN(VLOOKUP(BU27,$CO:$CR,3,0)/100*VLOOKUP(BT27,#REF!,26,0),VLOOKUP(BU27,$CO:$CR,3,0)/100*VLOOKUP(BT27,#REF!,27,0)))</f>
        <v>#REF!</v>
      </c>
      <c r="BZ27" s="47" t="e">
        <f>IF(VLOOKUP(BT27,#REF!,22,0)=0,"",VLOOKUP(BT27,#REF!,22,0))</f>
        <v>#REF!</v>
      </c>
      <c r="CA27" s="47" t="e">
        <f ca="1">IF(BU27=0,RANDBETWEEN(VLOOKUP(BT27,#REF!,39,0),VLOOKUP(BT27,#REF!,40,0)),RANDBETWEEN(VLOOKUP(BU27,$CO:$CR,4,0)/100*VLOOKUP(BT27,#REF!,39,0),VLOOKUP(BU27,$CO:$CR,4,0)/100*VLOOKUP(BT27,#REF!,40,0)))</f>
        <v>#REF!</v>
      </c>
      <c r="CB27" s="47" t="e">
        <f>IF(VLOOKUP(BT27,#REF!,35,0)=0,"",VLOOKUP(BT27,#REF!,35,0))</f>
        <v>#REF!</v>
      </c>
      <c r="CF27" t="s">
        <v>3868</v>
      </c>
      <c r="CG27">
        <v>20011</v>
      </c>
      <c r="CH27" t="s">
        <v>3869</v>
      </c>
      <c r="CI27" s="9" t="str">
        <f t="shared" si="41"/>
        <v>13</v>
      </c>
      <c r="CJ27" s="9" t="str">
        <f t="shared" si="18"/>
        <v>43</v>
      </c>
      <c r="CK27" s="9" t="str">
        <f t="shared" si="19"/>
        <v>74</v>
      </c>
      <c r="CO27" s="50">
        <v>22</v>
      </c>
      <c r="CP27" s="50">
        <v>84</v>
      </c>
      <c r="CQ27" s="50">
        <v>243</v>
      </c>
      <c r="CR27" s="50">
        <v>1302</v>
      </c>
      <c r="CS27" s="52">
        <v>132</v>
      </c>
      <c r="CT27" s="52">
        <v>306</v>
      </c>
      <c r="CU27" s="52">
        <v>461</v>
      </c>
      <c r="CY27" t="str">
        <f t="shared" si="20"/>
        <v>单</v>
      </c>
      <c r="CZ27" s="47">
        <v>20021</v>
      </c>
      <c r="DA27" s="34">
        <v>1</v>
      </c>
      <c r="DB27" s="54">
        <v>10</v>
      </c>
      <c r="DC27" s="34">
        <v>7</v>
      </c>
      <c r="DD27" s="34">
        <v>16</v>
      </c>
      <c r="DE27" s="34"/>
      <c r="DF27" s="34"/>
      <c r="DG27" s="34">
        <v>100</v>
      </c>
      <c r="DH27" s="34"/>
      <c r="DI27" t="s">
        <v>3783</v>
      </c>
      <c r="DJ27" t="s">
        <v>3870</v>
      </c>
      <c r="DK27" t="s">
        <v>3871</v>
      </c>
      <c r="DL27" s="9">
        <f t="shared" si="21"/>
        <v>7</v>
      </c>
      <c r="DM27" s="9">
        <f t="shared" si="22"/>
        <v>16</v>
      </c>
      <c r="DN27" s="9">
        <v>36</v>
      </c>
      <c r="DP27">
        <f t="shared" si="23"/>
        <v>10.35</v>
      </c>
    </row>
    <row r="28" spans="2:120" x14ac:dyDescent="0.2">
      <c r="J28" t="s">
        <v>3872</v>
      </c>
      <c r="K28" s="9">
        <v>12</v>
      </c>
      <c r="L28" s="34">
        <v>10902</v>
      </c>
      <c r="M28" s="34">
        <v>27</v>
      </c>
      <c r="N28" s="34">
        <v>12701</v>
      </c>
      <c r="O28" s="34">
        <v>17</v>
      </c>
      <c r="P28" s="25">
        <v>12701</v>
      </c>
      <c r="Q28" s="34">
        <v>23</v>
      </c>
      <c r="R28" s="34"/>
      <c r="S28" s="34"/>
      <c r="T28" s="34"/>
      <c r="U28" s="34"/>
      <c r="V28" s="36" t="e">
        <f t="shared" si="0"/>
        <v>#N/A</v>
      </c>
      <c r="Y28" s="34">
        <v>24</v>
      </c>
      <c r="Z28" s="34">
        <f>ROUND(VLOOKUP(Y28,刀数数据支持!$L:$Q,3,0)*(1+((Y28-1)*2+25)*0.01*(1+AB28/100)),2)</f>
        <v>46.93</v>
      </c>
      <c r="AA28" s="34">
        <f>ROUND(VLOOKUP(Y28,刀数数据支持!$L:$Q,6,0)*(1+((Y28-1)*5+25)*0.01)*(1+AB28/100),2)</f>
        <v>146.83000000000001</v>
      </c>
      <c r="AB28" s="34">
        <f>VLOOKUP(Y28,刀数数据支持!$S:$T,2,0)</f>
        <v>61</v>
      </c>
      <c r="AC28" s="34">
        <f>ROUND(刀数数据支持!AY26*(1-刀数数据支持!BA26/100),1)</f>
        <v>682.9</v>
      </c>
      <c r="AD28" s="34" t="str">
        <f>刀数数据支持!AZ26</f>
        <v>炼狱之火Lv20</v>
      </c>
      <c r="AE28" s="34">
        <f t="shared" si="1"/>
        <v>106.77</v>
      </c>
      <c r="AF28" s="34">
        <f t="shared" si="2"/>
        <v>2.2799999999999998</v>
      </c>
      <c r="AG28" s="34">
        <f t="shared" si="24"/>
        <v>0.73</v>
      </c>
      <c r="AH28" s="34">
        <f t="shared" si="25"/>
        <v>0.16</v>
      </c>
      <c r="AK28" s="41">
        <f t="shared" si="26"/>
        <v>10902</v>
      </c>
      <c r="AL28" s="17">
        <f t="shared" si="27"/>
        <v>12</v>
      </c>
      <c r="AM28" s="28" t="e">
        <f t="shared" si="3"/>
        <v>#N/A</v>
      </c>
      <c r="AN28" s="29" t="e">
        <f t="shared" si="4"/>
        <v>#N/A</v>
      </c>
      <c r="AO28" s="30" t="e">
        <f t="shared" si="5"/>
        <v>#N/A</v>
      </c>
      <c r="AP28" s="9" t="e">
        <f t="shared" si="28"/>
        <v>#N/A</v>
      </c>
      <c r="AQ28" s="27">
        <f t="shared" si="29"/>
        <v>12701</v>
      </c>
      <c r="AR28" s="17">
        <f t="shared" si="30"/>
        <v>12</v>
      </c>
      <c r="AS28" s="28" t="e">
        <f t="shared" si="6"/>
        <v>#N/A</v>
      </c>
      <c r="AT28" s="29" t="e">
        <f t="shared" si="7"/>
        <v>#N/A</v>
      </c>
      <c r="AU28" s="30" t="e">
        <f t="shared" si="8"/>
        <v>#N/A</v>
      </c>
      <c r="AV28" s="9" t="e">
        <f t="shared" si="31"/>
        <v>#N/A</v>
      </c>
      <c r="AW28" s="27">
        <f t="shared" si="32"/>
        <v>12701</v>
      </c>
      <c r="AX28" s="17">
        <f t="shared" si="33"/>
        <v>12</v>
      </c>
      <c r="AY28" s="28" t="e">
        <f t="shared" si="9"/>
        <v>#N/A</v>
      </c>
      <c r="AZ28" s="29" t="e">
        <f t="shared" si="10"/>
        <v>#N/A</v>
      </c>
      <c r="BA28" s="30" t="e">
        <f t="shared" si="11"/>
        <v>#N/A</v>
      </c>
      <c r="BB28" s="9" t="e">
        <f t="shared" si="34"/>
        <v>#N/A</v>
      </c>
      <c r="BC28" s="27">
        <f t="shared" si="35"/>
        <v>0</v>
      </c>
      <c r="BD28" s="17">
        <f t="shared" si="36"/>
        <v>12</v>
      </c>
      <c r="BE28" s="28" t="e">
        <f t="shared" si="12"/>
        <v>#N/A</v>
      </c>
      <c r="BF28" s="29" t="e">
        <f t="shared" si="13"/>
        <v>#N/A</v>
      </c>
      <c r="BG28" s="30" t="e">
        <f t="shared" si="14"/>
        <v>#N/A</v>
      </c>
      <c r="BH28" s="9">
        <f t="shared" si="37"/>
        <v>0</v>
      </c>
      <c r="BI28" s="27">
        <f t="shared" si="38"/>
        <v>0</v>
      </c>
      <c r="BJ28" s="17">
        <f t="shared" si="39"/>
        <v>12</v>
      </c>
      <c r="BK28" s="28" t="e">
        <f t="shared" si="15"/>
        <v>#N/A</v>
      </c>
      <c r="BL28" s="29" t="e">
        <f t="shared" si="16"/>
        <v>#N/A</v>
      </c>
      <c r="BM28" s="30" t="e">
        <f t="shared" si="17"/>
        <v>#N/A</v>
      </c>
      <c r="BN28" s="9">
        <f t="shared" si="40"/>
        <v>0</v>
      </c>
      <c r="BS28" s="34" t="e">
        <f>#REF!</f>
        <v>#REF!</v>
      </c>
      <c r="BT28" s="34" t="e">
        <f>#REF!</f>
        <v>#REF!</v>
      </c>
      <c r="BU28" s="34">
        <v>0</v>
      </c>
      <c r="BV28" s="34" t="e">
        <f>IF(VLOOKUP(BT28,#REF!,8,0)=0,"",VLOOKUP(BT28,#REF!,8,0))</f>
        <v>#REF!</v>
      </c>
      <c r="BW28" s="47" t="e">
        <f ca="1">IF(BU28=0,RANDBETWEEN(VLOOKUP(BT28,#REF!,13,0),VLOOKUP(BT28,#REF!,14,0)),RANDBETWEEN(VLOOKUP(BU28,$CO:$CR,2,0)/100*VLOOKUP(BT28,#REF!,13,0),VLOOKUP(BU28,$CO:$CR,2,0)/100*VLOOKUP(BT28,#REF!,14,0)))</f>
        <v>#REF!</v>
      </c>
      <c r="BX28" s="47" t="e">
        <f>VLOOKUP(BT28,#REF!,9,0)</f>
        <v>#REF!</v>
      </c>
      <c r="BY28" s="47" t="e">
        <f ca="1">IF(BU28=0,RANDBETWEEN(VLOOKUP(BT28,#REF!,26,0),VLOOKUP(BT28,#REF!,27,0)),RANDBETWEEN(VLOOKUP(BU28,$CO:$CR,3,0)/100*VLOOKUP(BT28,#REF!,26,0),VLOOKUP(BU28,$CO:$CR,3,0)/100*VLOOKUP(BT28,#REF!,27,0)))</f>
        <v>#REF!</v>
      </c>
      <c r="BZ28" s="47" t="e">
        <f>IF(VLOOKUP(BT28,#REF!,22,0)=0,"",VLOOKUP(BT28,#REF!,22,0))</f>
        <v>#REF!</v>
      </c>
      <c r="CA28" s="47" t="e">
        <f ca="1">IF(BU28=0,RANDBETWEEN(VLOOKUP(BT28,#REF!,39,0),VLOOKUP(BT28,#REF!,40,0)),RANDBETWEEN(VLOOKUP(BU28,$CO:$CR,4,0)/100*VLOOKUP(BT28,#REF!,39,0),VLOOKUP(BU28,$CO:$CR,4,0)/100*VLOOKUP(BT28,#REF!,40,0)))</f>
        <v>#REF!</v>
      </c>
      <c r="CB28" s="47" t="e">
        <f>IF(VLOOKUP(BT28,#REF!,35,0)=0,"",VLOOKUP(BT28,#REF!,35,0))</f>
        <v>#REF!</v>
      </c>
      <c r="CF28" t="s">
        <v>3872</v>
      </c>
      <c r="CG28">
        <v>20021</v>
      </c>
      <c r="CH28" t="s">
        <v>3873</v>
      </c>
      <c r="CI28" s="9" t="str">
        <f t="shared" si="41"/>
        <v>12</v>
      </c>
      <c r="CJ28" s="9" t="str">
        <f t="shared" si="18"/>
        <v>44</v>
      </c>
      <c r="CK28" s="9" t="str">
        <f t="shared" si="19"/>
        <v>79</v>
      </c>
      <c r="CO28" s="50">
        <v>23</v>
      </c>
      <c r="CP28" s="50">
        <v>89</v>
      </c>
      <c r="CQ28" s="50">
        <v>248</v>
      </c>
      <c r="CR28" s="50">
        <v>1325</v>
      </c>
      <c r="CS28" s="52">
        <v>138</v>
      </c>
      <c r="CT28" s="52">
        <v>316</v>
      </c>
      <c r="CU28" s="52">
        <v>476</v>
      </c>
      <c r="CY28" t="str">
        <f t="shared" si="20"/>
        <v>单</v>
      </c>
      <c r="CZ28" s="47">
        <v>20022</v>
      </c>
      <c r="DA28" s="34">
        <v>1</v>
      </c>
      <c r="DB28" s="54">
        <v>-10</v>
      </c>
      <c r="DC28" s="34">
        <v>1</v>
      </c>
      <c r="DD28" s="34">
        <v>24</v>
      </c>
      <c r="DE28" s="34"/>
      <c r="DF28" s="34"/>
      <c r="DG28" s="34">
        <v>100</v>
      </c>
      <c r="DH28" s="34"/>
      <c r="DI28" t="s">
        <v>3783</v>
      </c>
      <c r="DJ28" t="s">
        <v>3874</v>
      </c>
      <c r="DK28" t="s">
        <v>3871</v>
      </c>
      <c r="DL28" s="9">
        <f t="shared" si="21"/>
        <v>1</v>
      </c>
      <c r="DM28" s="9">
        <f t="shared" si="22"/>
        <v>24</v>
      </c>
      <c r="DN28" s="9">
        <v>41</v>
      </c>
      <c r="DO28" s="9">
        <v>35</v>
      </c>
      <c r="DP28">
        <f t="shared" si="23"/>
        <v>13.750000000000002</v>
      </c>
    </row>
    <row r="29" spans="2:120" x14ac:dyDescent="0.2">
      <c r="J29" t="s">
        <v>3875</v>
      </c>
      <c r="K29" s="9">
        <v>13</v>
      </c>
      <c r="L29" s="34">
        <v>10903</v>
      </c>
      <c r="M29" s="34">
        <v>16</v>
      </c>
      <c r="N29" s="34">
        <v>12702</v>
      </c>
      <c r="O29" s="34">
        <v>19</v>
      </c>
      <c r="P29" s="25">
        <v>12702</v>
      </c>
      <c r="Q29" s="34">
        <v>16</v>
      </c>
      <c r="R29" s="34"/>
      <c r="S29" s="34"/>
      <c r="T29" s="34"/>
      <c r="U29" s="34"/>
      <c r="V29" s="36" t="e">
        <f t="shared" si="0"/>
        <v>#N/A</v>
      </c>
      <c r="Y29" s="34">
        <v>25</v>
      </c>
      <c r="Z29" s="34">
        <f>ROUND(VLOOKUP(Y29,刀数数据支持!$L:$Q,3,0)*(1+((Y29-1)*2+25)*0.01*(1+AB29/100)),2)</f>
        <v>51.55</v>
      </c>
      <c r="AA29" s="34">
        <f>ROUND(VLOOKUP(Y29,刀数数据支持!$L:$Q,6,0)*(1+((Y29-1)*5+25)*0.01)*(1+AB29/100),2)</f>
        <v>159.43</v>
      </c>
      <c r="AB29" s="34">
        <f>VLOOKUP(Y29,刀数数据支持!$S:$T,2,0)</f>
        <v>63.5</v>
      </c>
      <c r="AC29" s="34">
        <f>ROUND(刀数数据支持!AY27*(1-刀数数据支持!BA27/100),1)</f>
        <v>572.9</v>
      </c>
      <c r="AD29" s="34" t="str">
        <f>刀数数据支持!AZ27</f>
        <v>炼狱之火Lv23</v>
      </c>
      <c r="AE29" s="34">
        <f t="shared" si="1"/>
        <v>113.58</v>
      </c>
      <c r="AF29" s="34">
        <f t="shared" si="2"/>
        <v>2.21</v>
      </c>
      <c r="AG29" s="34">
        <f t="shared" si="24"/>
        <v>0.72</v>
      </c>
      <c r="AH29" s="34">
        <f t="shared" si="25"/>
        <v>0.2</v>
      </c>
      <c r="AK29" s="41">
        <f t="shared" si="26"/>
        <v>10903</v>
      </c>
      <c r="AL29" s="17">
        <f t="shared" si="27"/>
        <v>13</v>
      </c>
      <c r="AM29" s="28" t="e">
        <f t="shared" si="3"/>
        <v>#N/A</v>
      </c>
      <c r="AN29" s="29" t="e">
        <f t="shared" si="4"/>
        <v>#N/A</v>
      </c>
      <c r="AO29" s="30" t="e">
        <f t="shared" si="5"/>
        <v>#N/A</v>
      </c>
      <c r="AP29" s="9" t="e">
        <f t="shared" si="28"/>
        <v>#N/A</v>
      </c>
      <c r="AQ29" s="27">
        <f t="shared" si="29"/>
        <v>12702</v>
      </c>
      <c r="AR29" s="17">
        <f t="shared" si="30"/>
        <v>13</v>
      </c>
      <c r="AS29" s="28" t="e">
        <f t="shared" si="6"/>
        <v>#N/A</v>
      </c>
      <c r="AT29" s="29" t="e">
        <f t="shared" si="7"/>
        <v>#N/A</v>
      </c>
      <c r="AU29" s="30" t="e">
        <f t="shared" si="8"/>
        <v>#N/A</v>
      </c>
      <c r="AV29" s="9" t="e">
        <f t="shared" si="31"/>
        <v>#N/A</v>
      </c>
      <c r="AW29" s="27">
        <f t="shared" si="32"/>
        <v>12702</v>
      </c>
      <c r="AX29" s="17">
        <f t="shared" si="33"/>
        <v>13</v>
      </c>
      <c r="AY29" s="28" t="e">
        <f t="shared" si="9"/>
        <v>#N/A</v>
      </c>
      <c r="AZ29" s="29" t="e">
        <f t="shared" si="10"/>
        <v>#N/A</v>
      </c>
      <c r="BA29" s="30" t="e">
        <f t="shared" si="11"/>
        <v>#N/A</v>
      </c>
      <c r="BB29" s="9" t="e">
        <f t="shared" si="34"/>
        <v>#N/A</v>
      </c>
      <c r="BC29" s="27">
        <f t="shared" si="35"/>
        <v>0</v>
      </c>
      <c r="BD29" s="17">
        <f t="shared" si="36"/>
        <v>13</v>
      </c>
      <c r="BE29" s="28" t="e">
        <f t="shared" si="12"/>
        <v>#N/A</v>
      </c>
      <c r="BF29" s="29" t="e">
        <f t="shared" si="13"/>
        <v>#N/A</v>
      </c>
      <c r="BG29" s="30" t="e">
        <f t="shared" si="14"/>
        <v>#N/A</v>
      </c>
      <c r="BH29" s="9">
        <f t="shared" si="37"/>
        <v>0</v>
      </c>
      <c r="BI29" s="27">
        <f t="shared" si="38"/>
        <v>0</v>
      </c>
      <c r="BJ29" s="17">
        <f t="shared" si="39"/>
        <v>13</v>
      </c>
      <c r="BK29" s="28" t="e">
        <f t="shared" si="15"/>
        <v>#N/A</v>
      </c>
      <c r="BL29" s="29" t="e">
        <f t="shared" si="16"/>
        <v>#N/A</v>
      </c>
      <c r="BM29" s="30" t="e">
        <f t="shared" si="17"/>
        <v>#N/A</v>
      </c>
      <c r="BN29" s="9">
        <f t="shared" si="40"/>
        <v>0</v>
      </c>
      <c r="BS29" s="34" t="e">
        <f>#REF!</f>
        <v>#REF!</v>
      </c>
      <c r="BT29" s="34" t="e">
        <f>#REF!</f>
        <v>#REF!</v>
      </c>
      <c r="BU29" s="34">
        <v>0</v>
      </c>
      <c r="BV29" s="34" t="e">
        <f>IF(VLOOKUP(BT29,#REF!,8,0)=0,"",VLOOKUP(BT29,#REF!,8,0))</f>
        <v>#REF!</v>
      </c>
      <c r="BW29" s="47" t="e">
        <f ca="1">IF(BU29=0,RANDBETWEEN(VLOOKUP(BT29,#REF!,13,0),VLOOKUP(BT29,#REF!,14,0)),RANDBETWEEN(VLOOKUP(BU29,$CO:$CR,2,0)/100*VLOOKUP(BT29,#REF!,13,0),VLOOKUP(BU29,$CO:$CR,2,0)/100*VLOOKUP(BT29,#REF!,14,0)))</f>
        <v>#REF!</v>
      </c>
      <c r="BX29" s="47" t="e">
        <f>VLOOKUP(BT29,#REF!,9,0)</f>
        <v>#REF!</v>
      </c>
      <c r="BY29" s="47" t="e">
        <f ca="1">IF(BU29=0,RANDBETWEEN(VLOOKUP(BT29,#REF!,26,0),VLOOKUP(BT29,#REF!,27,0)),RANDBETWEEN(VLOOKUP(BU29,$CO:$CR,3,0)/100*VLOOKUP(BT29,#REF!,26,0),VLOOKUP(BU29,$CO:$CR,3,0)/100*VLOOKUP(BT29,#REF!,27,0)))</f>
        <v>#REF!</v>
      </c>
      <c r="BZ29" s="47" t="e">
        <f>IF(VLOOKUP(BT29,#REF!,22,0)=0,"",VLOOKUP(BT29,#REF!,22,0))</f>
        <v>#REF!</v>
      </c>
      <c r="CA29" s="47" t="e">
        <f ca="1">IF(BU29=0,RANDBETWEEN(VLOOKUP(BT29,#REF!,39,0),VLOOKUP(BT29,#REF!,40,0)),RANDBETWEEN(VLOOKUP(BU29,$CO:$CR,4,0)/100*VLOOKUP(BT29,#REF!,39,0),VLOOKUP(BU29,$CO:$CR,4,0)/100*VLOOKUP(BT29,#REF!,40,0)))</f>
        <v>#REF!</v>
      </c>
      <c r="CB29" s="47" t="e">
        <f>IF(VLOOKUP(BT29,#REF!,35,0)=0,"",VLOOKUP(BT29,#REF!,35,0))</f>
        <v>#REF!</v>
      </c>
      <c r="CF29" t="s">
        <v>3875</v>
      </c>
      <c r="CG29">
        <v>20022</v>
      </c>
      <c r="CH29" t="s">
        <v>3876</v>
      </c>
      <c r="CI29" s="9" t="str">
        <f t="shared" si="41"/>
        <v>13</v>
      </c>
      <c r="CJ29" s="9" t="str">
        <f t="shared" si="18"/>
        <v>45</v>
      </c>
      <c r="CK29" s="9" t="str">
        <f t="shared" si="19"/>
        <v>81</v>
      </c>
      <c r="CO29" s="50">
        <v>24</v>
      </c>
      <c r="CP29" s="50">
        <v>94</v>
      </c>
      <c r="CQ29" s="50">
        <v>255</v>
      </c>
      <c r="CR29" s="50">
        <v>1347</v>
      </c>
      <c r="CS29" s="52">
        <v>144</v>
      </c>
      <c r="CT29" s="52">
        <v>326</v>
      </c>
      <c r="CU29" s="52">
        <v>491</v>
      </c>
      <c r="CY29" t="str">
        <f t="shared" si="20"/>
        <v>单</v>
      </c>
      <c r="CZ29" s="47">
        <v>20023</v>
      </c>
      <c r="DA29" s="34">
        <v>1</v>
      </c>
      <c r="DB29" s="54">
        <v>20</v>
      </c>
      <c r="DC29" s="34">
        <v>19</v>
      </c>
      <c r="DD29" s="34">
        <v>29</v>
      </c>
      <c r="DE29" s="34"/>
      <c r="DF29" s="34"/>
      <c r="DG29" s="34">
        <v>110</v>
      </c>
      <c r="DH29" s="34"/>
      <c r="DI29" t="s">
        <v>3783</v>
      </c>
      <c r="DJ29" t="s">
        <v>3877</v>
      </c>
      <c r="DK29" t="s">
        <v>3871</v>
      </c>
      <c r="DL29" s="9">
        <f t="shared" si="21"/>
        <v>19</v>
      </c>
      <c r="DM29" s="9">
        <f t="shared" si="22"/>
        <v>29</v>
      </c>
      <c r="DN29" s="9">
        <v>53</v>
      </c>
      <c r="DP29">
        <f t="shared" si="23"/>
        <v>19.200000000000003</v>
      </c>
    </row>
    <row r="30" spans="2:120" x14ac:dyDescent="0.2">
      <c r="J30" t="s">
        <v>3878</v>
      </c>
      <c r="K30" s="9">
        <v>17</v>
      </c>
      <c r="L30" s="34">
        <v>11001</v>
      </c>
      <c r="M30" s="34">
        <v>29</v>
      </c>
      <c r="N30" s="34">
        <v>12703</v>
      </c>
      <c r="O30" s="34">
        <v>28</v>
      </c>
      <c r="P30" s="34">
        <v>12703</v>
      </c>
      <c r="Q30" s="34">
        <v>21</v>
      </c>
      <c r="R30" s="34"/>
      <c r="S30" s="34"/>
      <c r="T30" s="34"/>
      <c r="U30" s="34"/>
      <c r="V30" s="36" t="e">
        <f t="shared" si="0"/>
        <v>#N/A</v>
      </c>
      <c r="Y30" s="34">
        <v>26</v>
      </c>
      <c r="Z30" s="34">
        <f>ROUND(VLOOKUP(Y30,刀数数据支持!$L:$Q,3,0)*(1+((Y30-1)*2+25)*0.01*(1+AB30/100)),2)</f>
        <v>56.13</v>
      </c>
      <c r="AA30" s="34">
        <f>ROUND(VLOOKUP(Y30,刀数数据支持!$L:$Q,6,0)*(1+((Y30-1)*5+25)*0.01)*(1+AB30/100),2)</f>
        <v>166.79</v>
      </c>
      <c r="AB30" s="34">
        <f>VLOOKUP(Y30,刀数数据支持!$S:$T,2,0)</f>
        <v>66</v>
      </c>
      <c r="AC30" s="34">
        <f>ROUND(刀数数据支持!AY28*(1-刀数数据支持!BA28/100),1)</f>
        <v>783.7</v>
      </c>
      <c r="AD30" s="34" t="str">
        <f>刀数数据支持!AZ28</f>
        <v>炼狱之火Lv23</v>
      </c>
      <c r="AE30" s="34">
        <f t="shared" si="1"/>
        <v>120.39</v>
      </c>
      <c r="AF30" s="34">
        <f t="shared" si="2"/>
        <v>2.15</v>
      </c>
      <c r="AG30" s="34">
        <f t="shared" si="24"/>
        <v>0.73</v>
      </c>
      <c r="AH30" s="34">
        <f t="shared" si="25"/>
        <v>0.15</v>
      </c>
      <c r="AK30" s="41">
        <f t="shared" si="26"/>
        <v>11001</v>
      </c>
      <c r="AL30" s="17">
        <f t="shared" si="27"/>
        <v>17</v>
      </c>
      <c r="AM30" s="28" t="e">
        <f t="shared" si="3"/>
        <v>#N/A</v>
      </c>
      <c r="AN30" s="29" t="e">
        <f t="shared" si="4"/>
        <v>#N/A</v>
      </c>
      <c r="AO30" s="30" t="e">
        <f t="shared" si="5"/>
        <v>#N/A</v>
      </c>
      <c r="AP30" s="9" t="e">
        <f t="shared" si="28"/>
        <v>#N/A</v>
      </c>
      <c r="AQ30" s="27">
        <f t="shared" si="29"/>
        <v>12703</v>
      </c>
      <c r="AR30" s="17">
        <f t="shared" si="30"/>
        <v>17</v>
      </c>
      <c r="AS30" s="28" t="e">
        <f t="shared" si="6"/>
        <v>#N/A</v>
      </c>
      <c r="AT30" s="29" t="e">
        <f t="shared" si="7"/>
        <v>#N/A</v>
      </c>
      <c r="AU30" s="30" t="e">
        <f t="shared" si="8"/>
        <v>#N/A</v>
      </c>
      <c r="AV30" s="9" t="e">
        <f t="shared" si="31"/>
        <v>#N/A</v>
      </c>
      <c r="AW30" s="27">
        <f t="shared" si="32"/>
        <v>12703</v>
      </c>
      <c r="AX30" s="17">
        <f t="shared" si="33"/>
        <v>17</v>
      </c>
      <c r="AY30" s="28" t="e">
        <f t="shared" si="9"/>
        <v>#N/A</v>
      </c>
      <c r="AZ30" s="29" t="e">
        <f t="shared" si="10"/>
        <v>#N/A</v>
      </c>
      <c r="BA30" s="30" t="e">
        <f t="shared" si="11"/>
        <v>#N/A</v>
      </c>
      <c r="BB30" s="9" t="e">
        <f t="shared" si="34"/>
        <v>#N/A</v>
      </c>
      <c r="BC30" s="27">
        <f t="shared" si="35"/>
        <v>0</v>
      </c>
      <c r="BD30" s="17">
        <f t="shared" si="36"/>
        <v>17</v>
      </c>
      <c r="BE30" s="28" t="e">
        <f t="shared" si="12"/>
        <v>#N/A</v>
      </c>
      <c r="BF30" s="29" t="e">
        <f t="shared" si="13"/>
        <v>#N/A</v>
      </c>
      <c r="BG30" s="30" t="e">
        <f t="shared" si="14"/>
        <v>#N/A</v>
      </c>
      <c r="BH30" s="9">
        <f t="shared" si="37"/>
        <v>0</v>
      </c>
      <c r="BI30" s="27">
        <f t="shared" si="38"/>
        <v>0</v>
      </c>
      <c r="BJ30" s="17">
        <f t="shared" si="39"/>
        <v>17</v>
      </c>
      <c r="BK30" s="28" t="e">
        <f t="shared" si="15"/>
        <v>#N/A</v>
      </c>
      <c r="BL30" s="29" t="e">
        <f t="shared" si="16"/>
        <v>#N/A</v>
      </c>
      <c r="BM30" s="30" t="e">
        <f t="shared" si="17"/>
        <v>#N/A</v>
      </c>
      <c r="BN30" s="9">
        <f t="shared" si="40"/>
        <v>0</v>
      </c>
      <c r="BS30" s="34" t="e">
        <f>#REF!</f>
        <v>#REF!</v>
      </c>
      <c r="BT30" s="34" t="e">
        <f>#REF!</f>
        <v>#REF!</v>
      </c>
      <c r="BU30" s="34">
        <v>0</v>
      </c>
      <c r="BV30" s="34" t="e">
        <f>IF(VLOOKUP(BT30,#REF!,8,0)=0,"",VLOOKUP(BT30,#REF!,8,0))</f>
        <v>#REF!</v>
      </c>
      <c r="BW30" s="47" t="e">
        <f ca="1">IF(BU30=0,RANDBETWEEN(VLOOKUP(BT30,#REF!,13,0),VLOOKUP(BT30,#REF!,14,0)),RANDBETWEEN(VLOOKUP(BU30,$CO:$CR,2,0)/100*VLOOKUP(BT30,#REF!,13,0),VLOOKUP(BU30,$CO:$CR,2,0)/100*VLOOKUP(BT30,#REF!,14,0)))</f>
        <v>#REF!</v>
      </c>
      <c r="BX30" s="47" t="e">
        <f>VLOOKUP(BT30,#REF!,9,0)</f>
        <v>#REF!</v>
      </c>
      <c r="BY30" s="47" t="e">
        <f ca="1">IF(BU30=0,RANDBETWEEN(VLOOKUP(BT30,#REF!,26,0),VLOOKUP(BT30,#REF!,27,0)),RANDBETWEEN(VLOOKUP(BU30,$CO:$CR,3,0)/100*VLOOKUP(BT30,#REF!,26,0),VLOOKUP(BU30,$CO:$CR,3,0)/100*VLOOKUP(BT30,#REF!,27,0)))</f>
        <v>#REF!</v>
      </c>
      <c r="BZ30" s="47" t="e">
        <f>IF(VLOOKUP(BT30,#REF!,22,0)=0,"",VLOOKUP(BT30,#REF!,22,0))</f>
        <v>#REF!</v>
      </c>
      <c r="CA30" s="47" t="e">
        <f ca="1">IF(BU30=0,RANDBETWEEN(VLOOKUP(BT30,#REF!,39,0),VLOOKUP(BT30,#REF!,40,0)),RANDBETWEEN(VLOOKUP(BU30,$CO:$CR,4,0)/100*VLOOKUP(BT30,#REF!,39,0),VLOOKUP(BU30,$CO:$CR,4,0)/100*VLOOKUP(BT30,#REF!,40,0)))</f>
        <v>#REF!</v>
      </c>
      <c r="CB30" s="47" t="e">
        <f>IF(VLOOKUP(BT30,#REF!,35,0)=0,"",VLOOKUP(BT30,#REF!,35,0))</f>
        <v>#REF!</v>
      </c>
      <c r="CF30" t="s">
        <v>3878</v>
      </c>
      <c r="CG30">
        <v>20031</v>
      </c>
      <c r="CH30" t="s">
        <v>3879</v>
      </c>
      <c r="CI30" s="9" t="str">
        <f t="shared" si="41"/>
        <v>17</v>
      </c>
      <c r="CJ30" s="9" t="str">
        <f t="shared" si="18"/>
        <v>45</v>
      </c>
      <c r="CK30" s="9" t="str">
        <f t="shared" si="19"/>
        <v>84</v>
      </c>
      <c r="CO30" s="50">
        <v>25</v>
      </c>
      <c r="CP30" s="50">
        <v>100</v>
      </c>
      <c r="CQ30" s="50">
        <v>261</v>
      </c>
      <c r="CR30" s="50">
        <v>1370</v>
      </c>
      <c r="CS30" s="52">
        <v>150</v>
      </c>
      <c r="CT30" s="52">
        <v>337</v>
      </c>
      <c r="CU30" s="52">
        <v>506</v>
      </c>
      <c r="CY30" t="str">
        <f t="shared" si="20"/>
        <v>双手</v>
      </c>
      <c r="CZ30" s="47">
        <v>20024</v>
      </c>
      <c r="DA30" s="34">
        <v>1</v>
      </c>
      <c r="DB30" s="54">
        <v>10</v>
      </c>
      <c r="DC30" s="34"/>
      <c r="DD30" s="34"/>
      <c r="DE30" s="34">
        <v>30</v>
      </c>
      <c r="DF30" s="34">
        <v>43</v>
      </c>
      <c r="DG30" s="34">
        <v>110</v>
      </c>
      <c r="DH30" s="34"/>
      <c r="DI30" t="s">
        <v>3783</v>
      </c>
      <c r="DJ30" t="s">
        <v>3880</v>
      </c>
      <c r="DK30" t="s">
        <v>3881</v>
      </c>
      <c r="DL30" s="9">
        <f t="shared" si="21"/>
        <v>30</v>
      </c>
      <c r="DM30" s="9">
        <f t="shared" si="22"/>
        <v>43</v>
      </c>
      <c r="DN30" s="9">
        <v>69</v>
      </c>
      <c r="DP30">
        <f t="shared" si="23"/>
        <v>32.85</v>
      </c>
    </row>
    <row r="31" spans="2:120" x14ac:dyDescent="0.2">
      <c r="J31" t="s">
        <v>3882</v>
      </c>
      <c r="K31" s="9">
        <v>17</v>
      </c>
      <c r="L31" s="34">
        <v>11002</v>
      </c>
      <c r="M31" s="34">
        <v>18</v>
      </c>
      <c r="N31" s="25">
        <v>12003</v>
      </c>
      <c r="O31" s="34">
        <v>28</v>
      </c>
      <c r="P31" s="34">
        <v>12801</v>
      </c>
      <c r="Q31" s="34">
        <v>18</v>
      </c>
      <c r="R31" s="34"/>
      <c r="S31" s="34"/>
      <c r="T31" s="34"/>
      <c r="U31" s="34"/>
      <c r="V31" s="36" t="e">
        <f t="shared" si="0"/>
        <v>#N/A</v>
      </c>
      <c r="Y31" s="34">
        <v>27</v>
      </c>
      <c r="Z31" s="34">
        <f>ROUND(VLOOKUP(Y31,刀数数据支持!$L:$Q,3,0)*(1+((Y31-1)*2+25)*0.01*(1+AB31/100)),2)</f>
        <v>61.11</v>
      </c>
      <c r="AA31" s="34">
        <f>ROUND(VLOOKUP(Y31,刀数数据支持!$L:$Q,6,0)*(1+((Y31-1)*5+25)*0.01)*(1+AB31/100),2)</f>
        <v>174.32</v>
      </c>
      <c r="AB31" s="34">
        <f>VLOOKUP(Y31,刀数数据支持!$S:$T,2,0)</f>
        <v>68.5</v>
      </c>
      <c r="AC31" s="34">
        <f>ROUND(刀数数据支持!AY29*(1-刀数数据支持!BA29/100),1)</f>
        <v>829.3</v>
      </c>
      <c r="AD31" s="34" t="str">
        <f>刀数数据支持!AZ29</f>
        <v>炼狱之火Lv23</v>
      </c>
      <c r="AE31" s="34">
        <f t="shared" si="1"/>
        <v>128.35</v>
      </c>
      <c r="AF31" s="34">
        <f t="shared" si="2"/>
        <v>2.11</v>
      </c>
      <c r="AG31" s="34">
        <f t="shared" si="24"/>
        <v>0.74</v>
      </c>
      <c r="AH31" s="34">
        <f t="shared" si="25"/>
        <v>0.15</v>
      </c>
      <c r="AK31" s="41">
        <f t="shared" si="26"/>
        <v>11002</v>
      </c>
      <c r="AL31" s="17">
        <f t="shared" si="27"/>
        <v>17</v>
      </c>
      <c r="AM31" s="28" t="e">
        <f t="shared" si="3"/>
        <v>#N/A</v>
      </c>
      <c r="AN31" s="29" t="e">
        <f t="shared" si="4"/>
        <v>#N/A</v>
      </c>
      <c r="AO31" s="30" t="e">
        <f t="shared" si="5"/>
        <v>#N/A</v>
      </c>
      <c r="AP31" s="9" t="e">
        <f t="shared" si="28"/>
        <v>#N/A</v>
      </c>
      <c r="AQ31" s="27">
        <f t="shared" si="29"/>
        <v>12003</v>
      </c>
      <c r="AR31" s="17">
        <f t="shared" si="30"/>
        <v>17</v>
      </c>
      <c r="AS31" s="28" t="e">
        <f t="shared" si="6"/>
        <v>#N/A</v>
      </c>
      <c r="AT31" s="29" t="e">
        <f t="shared" si="7"/>
        <v>#N/A</v>
      </c>
      <c r="AU31" s="30" t="e">
        <f t="shared" si="8"/>
        <v>#N/A</v>
      </c>
      <c r="AV31" s="9" t="e">
        <f t="shared" si="31"/>
        <v>#N/A</v>
      </c>
      <c r="AW31" s="27">
        <f t="shared" si="32"/>
        <v>12801</v>
      </c>
      <c r="AX31" s="17">
        <f t="shared" si="33"/>
        <v>17</v>
      </c>
      <c r="AY31" s="28" t="e">
        <f t="shared" si="9"/>
        <v>#N/A</v>
      </c>
      <c r="AZ31" s="29" t="e">
        <f t="shared" si="10"/>
        <v>#N/A</v>
      </c>
      <c r="BA31" s="30" t="e">
        <f t="shared" si="11"/>
        <v>#N/A</v>
      </c>
      <c r="BB31" s="9" t="e">
        <f t="shared" si="34"/>
        <v>#N/A</v>
      </c>
      <c r="BC31" s="27">
        <f t="shared" si="35"/>
        <v>0</v>
      </c>
      <c r="BD31" s="17">
        <f t="shared" si="36"/>
        <v>17</v>
      </c>
      <c r="BE31" s="28" t="e">
        <f t="shared" si="12"/>
        <v>#N/A</v>
      </c>
      <c r="BF31" s="29" t="e">
        <f t="shared" si="13"/>
        <v>#N/A</v>
      </c>
      <c r="BG31" s="30" t="e">
        <f t="shared" si="14"/>
        <v>#N/A</v>
      </c>
      <c r="BH31" s="9">
        <f t="shared" si="37"/>
        <v>0</v>
      </c>
      <c r="BI31" s="27">
        <f t="shared" si="38"/>
        <v>0</v>
      </c>
      <c r="BJ31" s="17">
        <f t="shared" si="39"/>
        <v>17</v>
      </c>
      <c r="BK31" s="28" t="e">
        <f t="shared" si="15"/>
        <v>#N/A</v>
      </c>
      <c r="BL31" s="29" t="e">
        <f t="shared" si="16"/>
        <v>#N/A</v>
      </c>
      <c r="BM31" s="30" t="e">
        <f t="shared" si="17"/>
        <v>#N/A</v>
      </c>
      <c r="BN31" s="9">
        <f t="shared" si="40"/>
        <v>0</v>
      </c>
      <c r="BS31" s="34" t="e">
        <f>#REF!</f>
        <v>#REF!</v>
      </c>
      <c r="BT31" s="34" t="e">
        <f>#REF!</f>
        <v>#REF!</v>
      </c>
      <c r="BU31" s="34">
        <v>0</v>
      </c>
      <c r="BV31" s="34" t="e">
        <f>IF(VLOOKUP(BT31,#REF!,8,0)=0,"",VLOOKUP(BT31,#REF!,8,0))</f>
        <v>#REF!</v>
      </c>
      <c r="BW31" s="47" t="e">
        <f ca="1">IF(BU31=0,RANDBETWEEN(VLOOKUP(BT31,#REF!,13,0),VLOOKUP(BT31,#REF!,14,0)),RANDBETWEEN(VLOOKUP(BU31,$CO:$CR,2,0)/100*VLOOKUP(BT31,#REF!,13,0),VLOOKUP(BU31,$CO:$CR,2,0)/100*VLOOKUP(BT31,#REF!,14,0)))</f>
        <v>#REF!</v>
      </c>
      <c r="BX31" s="47" t="e">
        <f>VLOOKUP(BT31,#REF!,9,0)</f>
        <v>#REF!</v>
      </c>
      <c r="BY31" s="47" t="e">
        <f ca="1">IF(BU31=0,RANDBETWEEN(VLOOKUP(BT31,#REF!,26,0),VLOOKUP(BT31,#REF!,27,0)),RANDBETWEEN(VLOOKUP(BU31,$CO:$CR,3,0)/100*VLOOKUP(BT31,#REF!,26,0),VLOOKUP(BU31,$CO:$CR,3,0)/100*VLOOKUP(BT31,#REF!,27,0)))</f>
        <v>#REF!</v>
      </c>
      <c r="BZ31" s="47" t="e">
        <f>IF(VLOOKUP(BT31,#REF!,22,0)=0,"",VLOOKUP(BT31,#REF!,22,0))</f>
        <v>#REF!</v>
      </c>
      <c r="CA31" s="47" t="e">
        <f ca="1">IF(BU31=0,RANDBETWEEN(VLOOKUP(BT31,#REF!,39,0),VLOOKUP(BT31,#REF!,40,0)),RANDBETWEEN(VLOOKUP(BU31,$CO:$CR,4,0)/100*VLOOKUP(BT31,#REF!,39,0),VLOOKUP(BU31,$CO:$CR,4,0)/100*VLOOKUP(BT31,#REF!,40,0)))</f>
        <v>#REF!</v>
      </c>
      <c r="CB31" s="47" t="e">
        <f>IF(VLOOKUP(BT31,#REF!,35,0)=0,"",VLOOKUP(BT31,#REF!,35,0))</f>
        <v>#REF!</v>
      </c>
      <c r="CF31" t="s">
        <v>3882</v>
      </c>
      <c r="CG31">
        <v>20032</v>
      </c>
      <c r="CH31" t="s">
        <v>3883</v>
      </c>
      <c r="CI31" s="9" t="str">
        <f t="shared" si="41"/>
        <v>17</v>
      </c>
      <c r="CJ31" s="9" t="str">
        <f t="shared" si="18"/>
        <v>46</v>
      </c>
      <c r="CK31" s="9" t="str">
        <f t="shared" si="19"/>
        <v>85</v>
      </c>
      <c r="CO31" s="50">
        <v>26</v>
      </c>
      <c r="CP31" s="50">
        <v>106</v>
      </c>
      <c r="CQ31" s="50">
        <v>268</v>
      </c>
      <c r="CR31" s="50">
        <v>1392</v>
      </c>
      <c r="CS31" s="52">
        <v>156</v>
      </c>
      <c r="CT31" s="52">
        <v>347</v>
      </c>
      <c r="CU31" s="52">
        <v>521</v>
      </c>
      <c r="CY31" t="str">
        <f t="shared" si="20"/>
        <v>双手</v>
      </c>
      <c r="CZ31" s="47">
        <v>20025</v>
      </c>
      <c r="DA31" s="34">
        <v>1</v>
      </c>
      <c r="DB31" s="54">
        <v>20</v>
      </c>
      <c r="DC31" s="34"/>
      <c r="DD31" s="34"/>
      <c r="DE31" s="34">
        <v>38</v>
      </c>
      <c r="DF31" s="34">
        <v>58</v>
      </c>
      <c r="DG31" s="34">
        <v>110</v>
      </c>
      <c r="DH31" s="34"/>
      <c r="DI31" t="s">
        <v>3783</v>
      </c>
      <c r="DJ31" t="s">
        <v>3884</v>
      </c>
      <c r="DK31" t="s">
        <v>3881</v>
      </c>
      <c r="DL31" s="9">
        <f t="shared" si="21"/>
        <v>38</v>
      </c>
      <c r="DM31" s="9">
        <f t="shared" si="22"/>
        <v>58</v>
      </c>
      <c r="DN31" s="9">
        <v>99</v>
      </c>
      <c r="DP31">
        <f t="shared" si="23"/>
        <v>38.400000000000006</v>
      </c>
    </row>
    <row r="32" spans="2:120" x14ac:dyDescent="0.2">
      <c r="J32" t="s">
        <v>3885</v>
      </c>
      <c r="K32" s="9">
        <v>17</v>
      </c>
      <c r="L32" s="34">
        <v>11101</v>
      </c>
      <c r="M32" s="34">
        <v>30</v>
      </c>
      <c r="N32" s="25">
        <v>12101</v>
      </c>
      <c r="O32" s="34">
        <v>20</v>
      </c>
      <c r="P32" s="25">
        <v>12901</v>
      </c>
      <c r="Q32" s="34">
        <v>28</v>
      </c>
      <c r="R32" s="34"/>
      <c r="S32" s="34"/>
      <c r="T32" s="34"/>
      <c r="U32" s="34"/>
      <c r="V32" s="36" t="e">
        <f t="shared" si="0"/>
        <v>#N/A</v>
      </c>
      <c r="Y32" s="34">
        <v>28</v>
      </c>
      <c r="Z32" s="34">
        <f>ROUND(VLOOKUP(Y32,刀数数据支持!$L:$Q,3,0)*(1+((Y32-1)*2+25)*0.01*(1+AB32/100)),2)</f>
        <v>64.41</v>
      </c>
      <c r="AA32" s="34">
        <f>ROUND(VLOOKUP(Y32,刀数数据支持!$L:$Q,6,0)*(1+((Y32-1)*5+25)*0.01)*(1+AB32/100),2)</f>
        <v>182.11</v>
      </c>
      <c r="AB32" s="34">
        <f>VLOOKUP(Y32,刀数数据支持!$S:$T,2,0)</f>
        <v>71</v>
      </c>
      <c r="AC32" s="34">
        <f>ROUND(刀数数据支持!AY30*(1-刀数数据支持!BA30/100),1)</f>
        <v>885.3</v>
      </c>
      <c r="AD32" s="34" t="str">
        <f>刀数数据支持!AZ30</f>
        <v>炼狱之火Lv23</v>
      </c>
      <c r="AE32" s="34">
        <f t="shared" si="1"/>
        <v>136.30000000000001</v>
      </c>
      <c r="AF32" s="34">
        <f t="shared" si="2"/>
        <v>2.1199999999999997</v>
      </c>
      <c r="AG32" s="34">
        <f t="shared" si="24"/>
        <v>0.75</v>
      </c>
      <c r="AH32" s="34">
        <f t="shared" si="25"/>
        <v>0.15</v>
      </c>
      <c r="AK32" s="41">
        <f t="shared" si="26"/>
        <v>11101</v>
      </c>
      <c r="AL32" s="17">
        <f t="shared" si="27"/>
        <v>17</v>
      </c>
      <c r="AM32" s="28" t="e">
        <f t="shared" si="3"/>
        <v>#N/A</v>
      </c>
      <c r="AN32" s="29" t="e">
        <f t="shared" si="4"/>
        <v>#N/A</v>
      </c>
      <c r="AO32" s="30" t="e">
        <f t="shared" si="5"/>
        <v>#N/A</v>
      </c>
      <c r="AP32" s="9" t="e">
        <f t="shared" si="28"/>
        <v>#N/A</v>
      </c>
      <c r="AQ32" s="27">
        <f t="shared" si="29"/>
        <v>12101</v>
      </c>
      <c r="AR32" s="17">
        <f t="shared" si="30"/>
        <v>17</v>
      </c>
      <c r="AS32" s="28" t="e">
        <f t="shared" si="6"/>
        <v>#N/A</v>
      </c>
      <c r="AT32" s="29" t="e">
        <f t="shared" si="7"/>
        <v>#N/A</v>
      </c>
      <c r="AU32" s="30" t="e">
        <f t="shared" si="8"/>
        <v>#N/A</v>
      </c>
      <c r="AV32" s="9" t="e">
        <f t="shared" si="31"/>
        <v>#N/A</v>
      </c>
      <c r="AW32" s="27">
        <f t="shared" si="32"/>
        <v>12901</v>
      </c>
      <c r="AX32" s="17">
        <f t="shared" si="33"/>
        <v>17</v>
      </c>
      <c r="AY32" s="28" t="e">
        <f t="shared" si="9"/>
        <v>#N/A</v>
      </c>
      <c r="AZ32" s="29" t="e">
        <f t="shared" si="10"/>
        <v>#N/A</v>
      </c>
      <c r="BA32" s="30" t="e">
        <f t="shared" si="11"/>
        <v>#N/A</v>
      </c>
      <c r="BB32" s="9" t="e">
        <f t="shared" si="34"/>
        <v>#N/A</v>
      </c>
      <c r="BC32" s="27">
        <f t="shared" si="35"/>
        <v>0</v>
      </c>
      <c r="BD32" s="17">
        <f t="shared" si="36"/>
        <v>17</v>
      </c>
      <c r="BE32" s="28" t="e">
        <f t="shared" si="12"/>
        <v>#N/A</v>
      </c>
      <c r="BF32" s="29" t="e">
        <f t="shared" si="13"/>
        <v>#N/A</v>
      </c>
      <c r="BG32" s="30" t="e">
        <f t="shared" si="14"/>
        <v>#N/A</v>
      </c>
      <c r="BH32" s="9">
        <f t="shared" si="37"/>
        <v>0</v>
      </c>
      <c r="BI32" s="27">
        <f t="shared" si="38"/>
        <v>0</v>
      </c>
      <c r="BJ32" s="17">
        <f t="shared" si="39"/>
        <v>17</v>
      </c>
      <c r="BK32" s="28" t="e">
        <f t="shared" si="15"/>
        <v>#N/A</v>
      </c>
      <c r="BL32" s="29" t="e">
        <f t="shared" si="16"/>
        <v>#N/A</v>
      </c>
      <c r="BM32" s="30" t="e">
        <f t="shared" si="17"/>
        <v>#N/A</v>
      </c>
      <c r="BN32" s="9">
        <f t="shared" si="40"/>
        <v>0</v>
      </c>
      <c r="BS32" s="34" t="e">
        <f>#REF!</f>
        <v>#REF!</v>
      </c>
      <c r="BT32" s="34" t="e">
        <f>#REF!</f>
        <v>#REF!</v>
      </c>
      <c r="BU32" s="34">
        <v>0</v>
      </c>
      <c r="BV32" s="34" t="e">
        <f>IF(VLOOKUP(BT32,#REF!,8,0)=0,"",VLOOKUP(BT32,#REF!,8,0))</f>
        <v>#REF!</v>
      </c>
      <c r="BW32" s="47" t="e">
        <f ca="1">IF(BU32=0,RANDBETWEEN(VLOOKUP(BT32,#REF!,13,0),VLOOKUP(BT32,#REF!,14,0)),RANDBETWEEN(VLOOKUP(BU32,$CO:$CR,2,0)/100*VLOOKUP(BT32,#REF!,13,0),VLOOKUP(BU32,$CO:$CR,2,0)/100*VLOOKUP(BT32,#REF!,14,0)))</f>
        <v>#REF!</v>
      </c>
      <c r="BX32" s="47" t="e">
        <f>VLOOKUP(BT32,#REF!,9,0)</f>
        <v>#REF!</v>
      </c>
      <c r="BY32" s="47" t="e">
        <f ca="1">IF(BU32=0,RANDBETWEEN(VLOOKUP(BT32,#REF!,26,0),VLOOKUP(BT32,#REF!,27,0)),RANDBETWEEN(VLOOKUP(BU32,$CO:$CR,3,0)/100*VLOOKUP(BT32,#REF!,26,0),VLOOKUP(BU32,$CO:$CR,3,0)/100*VLOOKUP(BT32,#REF!,27,0)))</f>
        <v>#REF!</v>
      </c>
      <c r="BZ32" s="47" t="e">
        <f>IF(VLOOKUP(BT32,#REF!,22,0)=0,"",VLOOKUP(BT32,#REF!,22,0))</f>
        <v>#REF!</v>
      </c>
      <c r="CA32" s="47" t="e">
        <f ca="1">IF(BU32=0,RANDBETWEEN(VLOOKUP(BT32,#REF!,39,0),VLOOKUP(BT32,#REF!,40,0)),RANDBETWEEN(VLOOKUP(BU32,$CO:$CR,4,0)/100*VLOOKUP(BT32,#REF!,39,0),VLOOKUP(BU32,$CO:$CR,4,0)/100*VLOOKUP(BT32,#REF!,40,0)))</f>
        <v>#REF!</v>
      </c>
      <c r="CB32" s="47" t="e">
        <f>IF(VLOOKUP(BT32,#REF!,35,0)=0,"",VLOOKUP(BT32,#REF!,35,0))</f>
        <v>#REF!</v>
      </c>
      <c r="CF32" t="s">
        <v>3885</v>
      </c>
      <c r="CG32">
        <v>20033</v>
      </c>
      <c r="CH32" t="s">
        <v>3883</v>
      </c>
      <c r="CI32" s="9" t="str">
        <f t="shared" si="41"/>
        <v>17</v>
      </c>
      <c r="CJ32" s="9" t="str">
        <f t="shared" si="18"/>
        <v>46</v>
      </c>
      <c r="CK32" s="9" t="str">
        <f t="shared" si="19"/>
        <v>85</v>
      </c>
      <c r="CO32" s="50">
        <v>27</v>
      </c>
      <c r="CP32" s="50">
        <v>113</v>
      </c>
      <c r="CQ32" s="50">
        <v>275</v>
      </c>
      <c r="CR32" s="50">
        <v>1415</v>
      </c>
      <c r="CS32" s="52">
        <v>162</v>
      </c>
      <c r="CT32" s="52">
        <v>357</v>
      </c>
      <c r="CU32" s="52">
        <v>536</v>
      </c>
      <c r="CY32" t="str">
        <f t="shared" si="20"/>
        <v>单</v>
      </c>
      <c r="CZ32" s="47">
        <v>20026</v>
      </c>
      <c r="DA32" s="34">
        <v>1</v>
      </c>
      <c r="DB32" s="54"/>
      <c r="DC32" s="34">
        <v>2</v>
      </c>
      <c r="DD32" s="34">
        <v>7</v>
      </c>
      <c r="DE32" s="34"/>
      <c r="DF32" s="34"/>
      <c r="DG32" s="34">
        <v>100</v>
      </c>
      <c r="DH32" s="34"/>
      <c r="DI32" t="s">
        <v>3783</v>
      </c>
      <c r="DJ32" t="s">
        <v>3886</v>
      </c>
      <c r="DK32" t="s">
        <v>3881</v>
      </c>
      <c r="DL32" s="9">
        <f t="shared" si="21"/>
        <v>2</v>
      </c>
      <c r="DM32" s="9">
        <f t="shared" si="22"/>
        <v>7</v>
      </c>
      <c r="DP32">
        <f t="shared" si="23"/>
        <v>4.5</v>
      </c>
    </row>
    <row r="33" spans="10:120" x14ac:dyDescent="0.2">
      <c r="J33" t="s">
        <v>3887</v>
      </c>
      <c r="K33" s="9">
        <v>18</v>
      </c>
      <c r="L33" s="34">
        <v>11201</v>
      </c>
      <c r="M33" s="34">
        <v>26</v>
      </c>
      <c r="N33" s="34">
        <v>12102</v>
      </c>
      <c r="O33" s="34">
        <v>18</v>
      </c>
      <c r="P33" s="25">
        <v>13101</v>
      </c>
      <c r="Q33" s="34">
        <v>24</v>
      </c>
      <c r="R33" s="34"/>
      <c r="S33" s="34"/>
      <c r="T33" s="34"/>
      <c r="U33" s="34"/>
      <c r="V33" s="36" t="e">
        <f t="shared" si="0"/>
        <v>#N/A</v>
      </c>
      <c r="Y33" s="34">
        <v>29</v>
      </c>
      <c r="Z33" s="34">
        <f>ROUND(VLOOKUP(Y33,刀数数据支持!$L:$Q,3,0)*(1+((Y33-1)*2+25)*0.01*(1+AB33/100)),2)</f>
        <v>67.83</v>
      </c>
      <c r="AA33" s="34">
        <f>ROUND(VLOOKUP(Y33,刀数数据支持!$L:$Q,6,0)*(1+((Y33-1)*5+25)*0.01)*(1+AB33/100),2)</f>
        <v>190.07</v>
      </c>
      <c r="AB33" s="34">
        <f>VLOOKUP(Y33,刀数数据支持!$S:$T,2,0)</f>
        <v>73.5</v>
      </c>
      <c r="AC33" s="34">
        <f>ROUND(刀数数据支持!AY31*(1-刀数数据支持!BA31/100),1)</f>
        <v>938.8</v>
      </c>
      <c r="AD33" s="34" t="str">
        <f>刀数数据支持!AZ31</f>
        <v>炼狱之火Lv23</v>
      </c>
      <c r="AE33" s="34">
        <f t="shared" si="1"/>
        <v>143.11000000000001</v>
      </c>
      <c r="AF33" s="34">
        <f t="shared" si="2"/>
        <v>2.11</v>
      </c>
      <c r="AG33" s="34">
        <f t="shared" si="24"/>
        <v>0.76</v>
      </c>
      <c r="AH33" s="34">
        <f t="shared" si="25"/>
        <v>0.15</v>
      </c>
      <c r="AK33" s="41">
        <f t="shared" si="26"/>
        <v>11201</v>
      </c>
      <c r="AL33" s="17">
        <f t="shared" si="27"/>
        <v>18</v>
      </c>
      <c r="AM33" s="28" t="e">
        <f t="shared" si="3"/>
        <v>#N/A</v>
      </c>
      <c r="AN33" s="29" t="e">
        <f t="shared" si="4"/>
        <v>#N/A</v>
      </c>
      <c r="AO33" s="30" t="e">
        <f t="shared" si="5"/>
        <v>#N/A</v>
      </c>
      <c r="AP33" s="9" t="e">
        <f t="shared" si="28"/>
        <v>#N/A</v>
      </c>
      <c r="AQ33" s="27">
        <f t="shared" si="29"/>
        <v>12102</v>
      </c>
      <c r="AR33" s="17">
        <f t="shared" si="30"/>
        <v>18</v>
      </c>
      <c r="AS33" s="28" t="e">
        <f t="shared" si="6"/>
        <v>#N/A</v>
      </c>
      <c r="AT33" s="29" t="e">
        <f t="shared" si="7"/>
        <v>#N/A</v>
      </c>
      <c r="AU33" s="30" t="e">
        <f t="shared" si="8"/>
        <v>#N/A</v>
      </c>
      <c r="AV33" s="9" t="e">
        <f t="shared" si="31"/>
        <v>#N/A</v>
      </c>
      <c r="AW33" s="27">
        <f t="shared" si="32"/>
        <v>13101</v>
      </c>
      <c r="AX33" s="17">
        <f t="shared" si="33"/>
        <v>18</v>
      </c>
      <c r="AY33" s="28" t="e">
        <f t="shared" si="9"/>
        <v>#N/A</v>
      </c>
      <c r="AZ33" s="29" t="e">
        <f t="shared" si="10"/>
        <v>#N/A</v>
      </c>
      <c r="BA33" s="30" t="e">
        <f t="shared" si="11"/>
        <v>#N/A</v>
      </c>
      <c r="BB33" s="9" t="e">
        <f t="shared" si="34"/>
        <v>#N/A</v>
      </c>
      <c r="BC33" s="27">
        <f t="shared" si="35"/>
        <v>0</v>
      </c>
      <c r="BD33" s="17">
        <f t="shared" si="36"/>
        <v>18</v>
      </c>
      <c r="BE33" s="28" t="e">
        <f t="shared" si="12"/>
        <v>#N/A</v>
      </c>
      <c r="BF33" s="29" t="e">
        <f t="shared" si="13"/>
        <v>#N/A</v>
      </c>
      <c r="BG33" s="30" t="e">
        <f t="shared" si="14"/>
        <v>#N/A</v>
      </c>
      <c r="BH33" s="9">
        <f t="shared" si="37"/>
        <v>0</v>
      </c>
      <c r="BI33" s="27">
        <f t="shared" si="38"/>
        <v>0</v>
      </c>
      <c r="BJ33" s="17">
        <f t="shared" si="39"/>
        <v>18</v>
      </c>
      <c r="BK33" s="28" t="e">
        <f t="shared" si="15"/>
        <v>#N/A</v>
      </c>
      <c r="BL33" s="29" t="e">
        <f t="shared" si="16"/>
        <v>#N/A</v>
      </c>
      <c r="BM33" s="30" t="e">
        <f t="shared" si="17"/>
        <v>#N/A</v>
      </c>
      <c r="BN33" s="9">
        <f t="shared" si="40"/>
        <v>0</v>
      </c>
      <c r="BS33" s="34" t="e">
        <f>#REF!</f>
        <v>#REF!</v>
      </c>
      <c r="BT33" s="34" t="e">
        <f>#REF!</f>
        <v>#REF!</v>
      </c>
      <c r="BU33" s="34">
        <v>0</v>
      </c>
      <c r="BV33" s="34" t="e">
        <f>IF(VLOOKUP(BT33,#REF!,8,0)=0,"",VLOOKUP(BT33,#REF!,8,0))</f>
        <v>#REF!</v>
      </c>
      <c r="BW33" s="47" t="e">
        <f ca="1">IF(BU33=0,RANDBETWEEN(VLOOKUP(BT33,#REF!,13,0),VLOOKUP(BT33,#REF!,14,0)),RANDBETWEEN(VLOOKUP(BU33,$CO:$CR,2,0)/100*VLOOKUP(BT33,#REF!,13,0),VLOOKUP(BU33,$CO:$CR,2,0)/100*VLOOKUP(BT33,#REF!,14,0)))</f>
        <v>#REF!</v>
      </c>
      <c r="BX33" s="47" t="e">
        <f>VLOOKUP(BT33,#REF!,9,0)</f>
        <v>#REF!</v>
      </c>
      <c r="BY33" s="47" t="e">
        <f ca="1">IF(BU33=0,RANDBETWEEN(VLOOKUP(BT33,#REF!,26,0),VLOOKUP(BT33,#REF!,27,0)),RANDBETWEEN(VLOOKUP(BU33,$CO:$CR,3,0)/100*VLOOKUP(BT33,#REF!,26,0),VLOOKUP(BU33,$CO:$CR,3,0)/100*VLOOKUP(BT33,#REF!,27,0)))</f>
        <v>#REF!</v>
      </c>
      <c r="BZ33" s="47" t="e">
        <f>IF(VLOOKUP(BT33,#REF!,22,0)=0,"",VLOOKUP(BT33,#REF!,22,0))</f>
        <v>#REF!</v>
      </c>
      <c r="CA33" s="47" t="e">
        <f ca="1">IF(BU33=0,RANDBETWEEN(VLOOKUP(BT33,#REF!,39,0),VLOOKUP(BT33,#REF!,40,0)),RANDBETWEEN(VLOOKUP(BU33,$CO:$CR,4,0)/100*VLOOKUP(BT33,#REF!,39,0),VLOOKUP(BU33,$CO:$CR,4,0)/100*VLOOKUP(BT33,#REF!,40,0)))</f>
        <v>#REF!</v>
      </c>
      <c r="CB33" s="47" t="e">
        <f>IF(VLOOKUP(BT33,#REF!,35,0)=0,"",VLOOKUP(BT33,#REF!,35,0))</f>
        <v>#REF!</v>
      </c>
      <c r="CF33" t="s">
        <v>3887</v>
      </c>
      <c r="CG33">
        <v>20061</v>
      </c>
      <c r="CH33" t="s">
        <v>3888</v>
      </c>
      <c r="CI33" s="9" t="str">
        <f t="shared" si="41"/>
        <v>18</v>
      </c>
      <c r="CJ33" s="9" t="str">
        <f t="shared" si="18"/>
        <v>48</v>
      </c>
      <c r="CK33" s="9" t="str">
        <f t="shared" si="19"/>
        <v>79</v>
      </c>
      <c r="CO33" s="50">
        <v>28</v>
      </c>
      <c r="CP33" s="50">
        <v>120</v>
      </c>
      <c r="CQ33" s="50">
        <v>280</v>
      </c>
      <c r="CR33" s="50">
        <v>1437</v>
      </c>
      <c r="CS33" s="52">
        <v>168</v>
      </c>
      <c r="CT33" s="52">
        <v>367</v>
      </c>
      <c r="CU33" s="52">
        <v>551</v>
      </c>
      <c r="CY33" t="str">
        <f t="shared" si="20"/>
        <v>单</v>
      </c>
      <c r="CZ33" s="47">
        <v>20027</v>
      </c>
      <c r="DA33" s="34">
        <v>1</v>
      </c>
      <c r="DB33" s="54">
        <v>-20</v>
      </c>
      <c r="DC33" s="34">
        <v>2</v>
      </c>
      <c r="DD33" s="34">
        <v>6</v>
      </c>
      <c r="DE33" s="34"/>
      <c r="DF33" s="34"/>
      <c r="DG33" s="34">
        <v>100</v>
      </c>
      <c r="DH33" s="34"/>
      <c r="DI33" t="s">
        <v>3783</v>
      </c>
      <c r="DJ33" t="s">
        <v>3889</v>
      </c>
      <c r="DK33" t="s">
        <v>3881</v>
      </c>
      <c r="DL33" s="9">
        <f t="shared" si="21"/>
        <v>2</v>
      </c>
      <c r="DM33" s="9">
        <f t="shared" si="22"/>
        <v>6</v>
      </c>
      <c r="DO33" s="9">
        <v>21</v>
      </c>
      <c r="DP33">
        <f t="shared" si="23"/>
        <v>4.8</v>
      </c>
    </row>
    <row r="34" spans="10:120" x14ac:dyDescent="0.2">
      <c r="J34" t="s">
        <v>3890</v>
      </c>
      <c r="K34" s="9">
        <v>19</v>
      </c>
      <c r="L34" s="34">
        <v>11301</v>
      </c>
      <c r="M34" s="34">
        <v>16</v>
      </c>
      <c r="N34" s="34">
        <v>12201</v>
      </c>
      <c r="O34" s="34">
        <v>32</v>
      </c>
      <c r="P34" s="34">
        <v>13201</v>
      </c>
      <c r="Q34" s="34">
        <v>29</v>
      </c>
      <c r="R34" s="34"/>
      <c r="S34" s="34"/>
      <c r="T34" s="34"/>
      <c r="U34" s="34"/>
      <c r="V34" s="36" t="e">
        <f t="shared" si="0"/>
        <v>#N/A</v>
      </c>
      <c r="Y34" s="34">
        <v>30</v>
      </c>
      <c r="Z34" s="34">
        <f>ROUND(VLOOKUP(Y34,刀数数据支持!$L:$Q,3,0)*(1+((Y34-1)*2+25)*0.01*(1+AB34/100)),2)</f>
        <v>71.36</v>
      </c>
      <c r="AA34" s="34">
        <f>ROUND(VLOOKUP(Y34,刀数数据支持!$L:$Q,6,0)*(1+((Y34-1)*5+25)*0.01)*(1+AB34/100),2)</f>
        <v>198.3</v>
      </c>
      <c r="AB34" s="34">
        <f>VLOOKUP(Y34,刀数数据支持!$S:$T,2,0)</f>
        <v>76</v>
      </c>
      <c r="AC34" s="34">
        <f>ROUND(刀数数据支持!AY32*(1-刀数数据支持!BA32/100),1)</f>
        <v>3016.1</v>
      </c>
      <c r="AD34" s="34" t="str">
        <f>刀数数据支持!AZ32</f>
        <v>火蛇Lv4</v>
      </c>
      <c r="AE34" s="34">
        <f t="shared" si="1"/>
        <v>152.19999999999999</v>
      </c>
      <c r="AF34" s="34">
        <f t="shared" si="2"/>
        <v>2.1399999999999997</v>
      </c>
      <c r="AG34" s="34">
        <f t="shared" si="24"/>
        <v>0.77</v>
      </c>
      <c r="AH34" s="34">
        <f t="shared" si="25"/>
        <v>0.05</v>
      </c>
      <c r="AK34" s="41">
        <f t="shared" si="26"/>
        <v>11301</v>
      </c>
      <c r="AL34" s="17">
        <f t="shared" si="27"/>
        <v>19</v>
      </c>
      <c r="AM34" s="28" t="e">
        <f t="shared" si="3"/>
        <v>#N/A</v>
      </c>
      <c r="AN34" s="29" t="e">
        <f t="shared" si="4"/>
        <v>#N/A</v>
      </c>
      <c r="AO34" s="30" t="e">
        <f t="shared" si="5"/>
        <v>#N/A</v>
      </c>
      <c r="AP34" s="9" t="e">
        <f t="shared" si="28"/>
        <v>#N/A</v>
      </c>
      <c r="AQ34" s="27">
        <f t="shared" si="29"/>
        <v>12201</v>
      </c>
      <c r="AR34" s="17">
        <f t="shared" si="30"/>
        <v>19</v>
      </c>
      <c r="AS34" s="28" t="e">
        <f t="shared" si="6"/>
        <v>#N/A</v>
      </c>
      <c r="AT34" s="29" t="e">
        <f t="shared" si="7"/>
        <v>#N/A</v>
      </c>
      <c r="AU34" s="30" t="e">
        <f t="shared" si="8"/>
        <v>#N/A</v>
      </c>
      <c r="AV34" s="9" t="e">
        <f t="shared" si="31"/>
        <v>#N/A</v>
      </c>
      <c r="AW34" s="27">
        <f t="shared" si="32"/>
        <v>13201</v>
      </c>
      <c r="AX34" s="17">
        <f t="shared" si="33"/>
        <v>19</v>
      </c>
      <c r="AY34" s="28" t="e">
        <f t="shared" si="9"/>
        <v>#N/A</v>
      </c>
      <c r="AZ34" s="29" t="e">
        <f t="shared" si="10"/>
        <v>#N/A</v>
      </c>
      <c r="BA34" s="30" t="e">
        <f t="shared" si="11"/>
        <v>#N/A</v>
      </c>
      <c r="BB34" s="9" t="e">
        <f t="shared" si="34"/>
        <v>#N/A</v>
      </c>
      <c r="BC34" s="27">
        <f t="shared" si="35"/>
        <v>0</v>
      </c>
      <c r="BD34" s="17">
        <f t="shared" si="36"/>
        <v>19</v>
      </c>
      <c r="BE34" s="28" t="e">
        <f t="shared" si="12"/>
        <v>#N/A</v>
      </c>
      <c r="BF34" s="29" t="e">
        <f t="shared" si="13"/>
        <v>#N/A</v>
      </c>
      <c r="BG34" s="30" t="e">
        <f t="shared" si="14"/>
        <v>#N/A</v>
      </c>
      <c r="BH34" s="9">
        <f t="shared" si="37"/>
        <v>0</v>
      </c>
      <c r="BI34" s="27">
        <f t="shared" si="38"/>
        <v>0</v>
      </c>
      <c r="BJ34" s="17">
        <f t="shared" si="39"/>
        <v>19</v>
      </c>
      <c r="BK34" s="28" t="e">
        <f t="shared" si="15"/>
        <v>#N/A</v>
      </c>
      <c r="BL34" s="29" t="e">
        <f t="shared" si="16"/>
        <v>#N/A</v>
      </c>
      <c r="BM34" s="30" t="e">
        <f t="shared" si="17"/>
        <v>#N/A</v>
      </c>
      <c r="BN34" s="9">
        <f t="shared" si="40"/>
        <v>0</v>
      </c>
      <c r="BS34" s="34" t="e">
        <f>#REF!</f>
        <v>#REF!</v>
      </c>
      <c r="BT34" s="34" t="e">
        <f>#REF!</f>
        <v>#REF!</v>
      </c>
      <c r="BU34" s="34">
        <v>0</v>
      </c>
      <c r="BV34" s="34" t="e">
        <f>IF(VLOOKUP(BT34,#REF!,8,0)=0,"",VLOOKUP(BT34,#REF!,8,0))</f>
        <v>#REF!</v>
      </c>
      <c r="BW34" s="47" t="e">
        <f ca="1">IF(BU34=0,RANDBETWEEN(VLOOKUP(BT34,#REF!,13,0),VLOOKUP(BT34,#REF!,14,0)),RANDBETWEEN(VLOOKUP(BU34,$CO:$CR,2,0)/100*VLOOKUP(BT34,#REF!,13,0),VLOOKUP(BU34,$CO:$CR,2,0)/100*VLOOKUP(BT34,#REF!,14,0)))</f>
        <v>#REF!</v>
      </c>
      <c r="BX34" s="47" t="e">
        <f>VLOOKUP(BT34,#REF!,9,0)</f>
        <v>#REF!</v>
      </c>
      <c r="BY34" s="47" t="e">
        <f ca="1">IF(BU34=0,RANDBETWEEN(VLOOKUP(BT34,#REF!,26,0),VLOOKUP(BT34,#REF!,27,0)),RANDBETWEEN(VLOOKUP(BU34,$CO:$CR,3,0)/100*VLOOKUP(BT34,#REF!,26,0),VLOOKUP(BU34,$CO:$CR,3,0)/100*VLOOKUP(BT34,#REF!,27,0)))</f>
        <v>#REF!</v>
      </c>
      <c r="BZ34" s="47" t="e">
        <f>IF(VLOOKUP(BT34,#REF!,22,0)=0,"",VLOOKUP(BT34,#REF!,22,0))</f>
        <v>#REF!</v>
      </c>
      <c r="CA34" s="47" t="e">
        <f ca="1">IF(BU34=0,RANDBETWEEN(VLOOKUP(BT34,#REF!,39,0),VLOOKUP(BT34,#REF!,40,0)),RANDBETWEEN(VLOOKUP(BU34,$CO:$CR,4,0)/100*VLOOKUP(BT34,#REF!,39,0),VLOOKUP(BU34,$CO:$CR,4,0)/100*VLOOKUP(BT34,#REF!,40,0)))</f>
        <v>#REF!</v>
      </c>
      <c r="CB34" s="47" t="e">
        <f>IF(VLOOKUP(BT34,#REF!,35,0)=0,"",VLOOKUP(BT34,#REF!,35,0))</f>
        <v>#REF!</v>
      </c>
      <c r="CF34" t="s">
        <v>3890</v>
      </c>
      <c r="CG34">
        <v>20062</v>
      </c>
      <c r="CH34" t="s">
        <v>3891</v>
      </c>
      <c r="CI34" s="9" t="str">
        <f t="shared" si="41"/>
        <v>19</v>
      </c>
      <c r="CJ34" s="9" t="str">
        <f t="shared" si="18"/>
        <v>48</v>
      </c>
      <c r="CK34" s="9" t="str">
        <f t="shared" si="19"/>
        <v>79</v>
      </c>
      <c r="CO34" s="50">
        <v>29</v>
      </c>
      <c r="CP34" s="50">
        <v>126</v>
      </c>
      <c r="CQ34" s="50">
        <v>287</v>
      </c>
      <c r="CR34" s="50">
        <v>1460</v>
      </c>
      <c r="CS34" s="52">
        <v>174</v>
      </c>
      <c r="CT34" s="52">
        <v>377</v>
      </c>
      <c r="CU34" s="52">
        <v>566</v>
      </c>
      <c r="CY34" t="str">
        <f t="shared" si="20"/>
        <v>单</v>
      </c>
      <c r="CZ34" s="47">
        <v>20028</v>
      </c>
      <c r="DA34" s="34">
        <v>1</v>
      </c>
      <c r="DB34" s="54">
        <v>-10</v>
      </c>
      <c r="DC34" s="34">
        <v>3</v>
      </c>
      <c r="DD34" s="34">
        <v>8</v>
      </c>
      <c r="DE34" s="34"/>
      <c r="DF34" s="34"/>
      <c r="DG34" s="34">
        <v>100</v>
      </c>
      <c r="DH34" s="34"/>
      <c r="DI34" t="s">
        <v>3783</v>
      </c>
      <c r="DJ34" t="s">
        <v>3892</v>
      </c>
      <c r="DK34" t="s">
        <v>3881</v>
      </c>
      <c r="DL34" s="9">
        <f t="shared" si="21"/>
        <v>3</v>
      </c>
      <c r="DM34" s="9">
        <f t="shared" si="22"/>
        <v>8</v>
      </c>
      <c r="DN34" s="9">
        <v>25</v>
      </c>
      <c r="DO34" s="9">
        <v>25</v>
      </c>
      <c r="DP34">
        <f t="shared" si="23"/>
        <v>6.0500000000000007</v>
      </c>
    </row>
    <row r="35" spans="10:120" x14ac:dyDescent="0.2">
      <c r="J35" t="s">
        <v>3893</v>
      </c>
      <c r="K35" s="9">
        <v>20</v>
      </c>
      <c r="L35" s="34">
        <v>11302</v>
      </c>
      <c r="M35" s="34">
        <v>26</v>
      </c>
      <c r="N35" s="25">
        <v>12202</v>
      </c>
      <c r="O35" s="34">
        <v>19</v>
      </c>
      <c r="P35" s="34">
        <v>13301</v>
      </c>
      <c r="Q35" s="34">
        <v>24</v>
      </c>
      <c r="R35" s="34"/>
      <c r="S35" s="34"/>
      <c r="T35" s="34"/>
      <c r="U35" s="34"/>
      <c r="V35" s="36" t="e">
        <f t="shared" si="0"/>
        <v>#N/A</v>
      </c>
      <c r="Y35" s="34">
        <v>31</v>
      </c>
      <c r="Z35" s="34">
        <f>ROUND(VLOOKUP(Y35,刀数数据支持!$L:$Q,3,0)*(1+((Y35-1)*2+25)*0.01*(1+AB35/100)),2)</f>
        <v>76.349999999999994</v>
      </c>
      <c r="AA35" s="34">
        <f>ROUND(VLOOKUP(Y35,刀数数据支持!$L:$Q,6,0)*(1+((Y35-1)*5+25)*0.01)*(1+AB35/100),2)</f>
        <v>206.71</v>
      </c>
      <c r="AB35" s="34">
        <f>VLOOKUP(Y35,刀数数据支持!$S:$T,2,0)</f>
        <v>78.5</v>
      </c>
      <c r="AC35" s="34">
        <f>ROUND(刀数数据支持!AY33*(1-刀数数据支持!BA33/100),1)</f>
        <v>3373.7</v>
      </c>
      <c r="AD35" s="34" t="str">
        <f>刀数数据支持!AZ33</f>
        <v>火蛇Lv5</v>
      </c>
      <c r="AE35" s="34">
        <f t="shared" si="1"/>
        <v>161.28</v>
      </c>
      <c r="AF35" s="34">
        <f t="shared" si="2"/>
        <v>2.1199999999999997</v>
      </c>
      <c r="AG35" s="34">
        <f t="shared" si="24"/>
        <v>0.79</v>
      </c>
      <c r="AH35" s="34">
        <f t="shared" si="25"/>
        <v>0.05</v>
      </c>
      <c r="AK35" s="41">
        <f t="shared" si="26"/>
        <v>11302</v>
      </c>
      <c r="AL35" s="17">
        <f t="shared" si="27"/>
        <v>20</v>
      </c>
      <c r="AM35" s="28" t="e">
        <f t="shared" si="3"/>
        <v>#N/A</v>
      </c>
      <c r="AN35" s="29" t="e">
        <f t="shared" si="4"/>
        <v>#N/A</v>
      </c>
      <c r="AO35" s="30" t="e">
        <f t="shared" si="5"/>
        <v>#N/A</v>
      </c>
      <c r="AP35" s="9" t="e">
        <f t="shared" si="28"/>
        <v>#N/A</v>
      </c>
      <c r="AQ35" s="27">
        <f t="shared" si="29"/>
        <v>12202</v>
      </c>
      <c r="AR35" s="17">
        <f t="shared" si="30"/>
        <v>20</v>
      </c>
      <c r="AS35" s="28" t="e">
        <f t="shared" si="6"/>
        <v>#N/A</v>
      </c>
      <c r="AT35" s="29" t="e">
        <f t="shared" si="7"/>
        <v>#N/A</v>
      </c>
      <c r="AU35" s="30" t="e">
        <f t="shared" si="8"/>
        <v>#N/A</v>
      </c>
      <c r="AV35" s="9" t="e">
        <f t="shared" si="31"/>
        <v>#N/A</v>
      </c>
      <c r="AW35" s="27">
        <f t="shared" si="32"/>
        <v>13301</v>
      </c>
      <c r="AX35" s="17">
        <f t="shared" si="33"/>
        <v>20</v>
      </c>
      <c r="AY35" s="28" t="e">
        <f t="shared" si="9"/>
        <v>#N/A</v>
      </c>
      <c r="AZ35" s="29" t="e">
        <f t="shared" si="10"/>
        <v>#N/A</v>
      </c>
      <c r="BA35" s="30" t="e">
        <f t="shared" si="11"/>
        <v>#N/A</v>
      </c>
      <c r="BB35" s="9" t="e">
        <f t="shared" si="34"/>
        <v>#N/A</v>
      </c>
      <c r="BC35" s="27">
        <f t="shared" si="35"/>
        <v>0</v>
      </c>
      <c r="BD35" s="17">
        <f t="shared" si="36"/>
        <v>20</v>
      </c>
      <c r="BE35" s="28" t="e">
        <f t="shared" si="12"/>
        <v>#N/A</v>
      </c>
      <c r="BF35" s="29" t="e">
        <f t="shared" si="13"/>
        <v>#N/A</v>
      </c>
      <c r="BG35" s="30" t="e">
        <f t="shared" si="14"/>
        <v>#N/A</v>
      </c>
      <c r="BH35" s="9">
        <f t="shared" si="37"/>
        <v>0</v>
      </c>
      <c r="BI35" s="27">
        <f t="shared" si="38"/>
        <v>0</v>
      </c>
      <c r="BJ35" s="17">
        <f t="shared" si="39"/>
        <v>20</v>
      </c>
      <c r="BK35" s="28" t="e">
        <f t="shared" si="15"/>
        <v>#N/A</v>
      </c>
      <c r="BL35" s="29" t="e">
        <f t="shared" si="16"/>
        <v>#N/A</v>
      </c>
      <c r="BM35" s="30" t="e">
        <f t="shared" si="17"/>
        <v>#N/A</v>
      </c>
      <c r="BN35" s="9">
        <f t="shared" si="40"/>
        <v>0</v>
      </c>
      <c r="BS35" s="34" t="e">
        <f>#REF!</f>
        <v>#REF!</v>
      </c>
      <c r="BT35" s="34" t="e">
        <f>#REF!</f>
        <v>#REF!</v>
      </c>
      <c r="BU35" s="34">
        <v>0</v>
      </c>
      <c r="BV35" s="34" t="e">
        <f>IF(VLOOKUP(BT35,#REF!,8,0)=0,"",VLOOKUP(BT35,#REF!,8,0))</f>
        <v>#REF!</v>
      </c>
      <c r="BW35" s="47" t="e">
        <f ca="1">IF(BU35=0,RANDBETWEEN(VLOOKUP(BT35,#REF!,13,0),VLOOKUP(BT35,#REF!,14,0)),RANDBETWEEN(VLOOKUP(BU35,$CO:$CR,2,0)/100*VLOOKUP(BT35,#REF!,13,0),VLOOKUP(BU35,$CO:$CR,2,0)/100*VLOOKUP(BT35,#REF!,14,0)))</f>
        <v>#REF!</v>
      </c>
      <c r="BX35" s="47" t="e">
        <f>VLOOKUP(BT35,#REF!,9,0)</f>
        <v>#REF!</v>
      </c>
      <c r="BY35" s="47" t="e">
        <f ca="1">IF(BU35=0,RANDBETWEEN(VLOOKUP(BT35,#REF!,26,0),VLOOKUP(BT35,#REF!,27,0)),RANDBETWEEN(VLOOKUP(BU35,$CO:$CR,3,0)/100*VLOOKUP(BT35,#REF!,26,0),VLOOKUP(BU35,$CO:$CR,3,0)/100*VLOOKUP(BT35,#REF!,27,0)))</f>
        <v>#REF!</v>
      </c>
      <c r="BZ35" s="47" t="e">
        <f>IF(VLOOKUP(BT35,#REF!,22,0)=0,"",VLOOKUP(BT35,#REF!,22,0))</f>
        <v>#REF!</v>
      </c>
      <c r="CA35" s="47" t="e">
        <f ca="1">IF(BU35=0,RANDBETWEEN(VLOOKUP(BT35,#REF!,39,0),VLOOKUP(BT35,#REF!,40,0)),RANDBETWEEN(VLOOKUP(BU35,$CO:$CR,4,0)/100*VLOOKUP(BT35,#REF!,39,0),VLOOKUP(BU35,$CO:$CR,4,0)/100*VLOOKUP(BT35,#REF!,40,0)))</f>
        <v>#REF!</v>
      </c>
      <c r="CB35" s="47" t="e">
        <f>IF(VLOOKUP(BT35,#REF!,35,0)=0,"",VLOOKUP(BT35,#REF!,35,0))</f>
        <v>#REF!</v>
      </c>
      <c r="CF35" t="s">
        <v>3893</v>
      </c>
      <c r="CG35">
        <v>20063</v>
      </c>
      <c r="CH35" t="s">
        <v>3894</v>
      </c>
      <c r="CI35" s="9" t="str">
        <f t="shared" si="41"/>
        <v>20</v>
      </c>
      <c r="CJ35" s="9" t="str">
        <f t="shared" si="18"/>
        <v>49</v>
      </c>
      <c r="CK35" s="9" t="str">
        <f t="shared" si="19"/>
        <v>80</v>
      </c>
      <c r="CO35" s="50">
        <v>30</v>
      </c>
      <c r="CP35" s="50">
        <v>134</v>
      </c>
      <c r="CQ35" s="50">
        <v>320</v>
      </c>
      <c r="CR35" s="50">
        <v>1482</v>
      </c>
      <c r="CS35" s="52">
        <v>180</v>
      </c>
      <c r="CT35" s="52">
        <v>388</v>
      </c>
      <c r="CU35" s="52">
        <v>581</v>
      </c>
      <c r="CY35" t="str">
        <f t="shared" si="20"/>
        <v>单</v>
      </c>
      <c r="CZ35" s="47">
        <v>20029</v>
      </c>
      <c r="DA35" s="34">
        <v>1</v>
      </c>
      <c r="DB35" s="54">
        <v>20</v>
      </c>
      <c r="DC35" s="34">
        <v>9</v>
      </c>
      <c r="DD35" s="34">
        <v>17</v>
      </c>
      <c r="DE35" s="34"/>
      <c r="DF35" s="34"/>
      <c r="DG35" s="34">
        <v>100</v>
      </c>
      <c r="DH35" s="34"/>
      <c r="DI35" t="s">
        <v>3783</v>
      </c>
      <c r="DJ35" t="s">
        <v>3895</v>
      </c>
      <c r="DK35" t="s">
        <v>3881</v>
      </c>
      <c r="DL35" s="9">
        <f t="shared" si="21"/>
        <v>9</v>
      </c>
      <c r="DM35" s="9">
        <f t="shared" si="22"/>
        <v>17</v>
      </c>
      <c r="DN35" s="9">
        <v>33</v>
      </c>
      <c r="DP35">
        <f t="shared" si="23"/>
        <v>10.4</v>
      </c>
    </row>
    <row r="36" spans="10:120" x14ac:dyDescent="0.2">
      <c r="J36" s="33" t="s">
        <v>3896</v>
      </c>
      <c r="K36" s="9">
        <v>20</v>
      </c>
      <c r="L36" s="34">
        <v>11303</v>
      </c>
      <c r="M36" s="34">
        <v>29</v>
      </c>
      <c r="N36" s="25">
        <v>12203</v>
      </c>
      <c r="O36" s="34">
        <v>32</v>
      </c>
      <c r="P36" s="25">
        <v>13401</v>
      </c>
      <c r="Q36" s="34">
        <v>22</v>
      </c>
      <c r="R36" s="34"/>
      <c r="S36" s="34"/>
      <c r="T36" s="34"/>
      <c r="U36" s="34"/>
      <c r="V36" s="36" t="e">
        <f t="shared" si="0"/>
        <v>#N/A</v>
      </c>
      <c r="Y36" s="34">
        <v>32</v>
      </c>
      <c r="Z36" s="34">
        <f>ROUND(VLOOKUP(Y36,刀数数据支持!$L:$Q,3,0)*(1+((Y36-1)*2+25)*0.01*(1+AB36/100)),2)</f>
        <v>81.540000000000006</v>
      </c>
      <c r="AA36" s="34">
        <f>ROUND(VLOOKUP(Y36,刀数数据支持!$L:$Q,6,0)*(1+((Y36-1)*5+25)*0.01)*(1+AB36/100),2)</f>
        <v>215.39</v>
      </c>
      <c r="AB36" s="34">
        <f>VLOOKUP(Y36,刀数数据支持!$S:$T,2,0)</f>
        <v>81</v>
      </c>
      <c r="AC36" s="34">
        <f>ROUND(刀数数据支持!AY34*(1-刀数数据支持!BA34/100),1)</f>
        <v>3689.5</v>
      </c>
      <c r="AD36" s="34" t="str">
        <f>刀数数据支持!AZ34</f>
        <v>火蛇Lv6</v>
      </c>
      <c r="AE36" s="34">
        <f t="shared" si="1"/>
        <v>170.37</v>
      </c>
      <c r="AF36" s="34">
        <f t="shared" si="2"/>
        <v>2.09</v>
      </c>
      <c r="AG36" s="34">
        <f t="shared" si="24"/>
        <v>0.8</v>
      </c>
      <c r="AH36" s="34">
        <f t="shared" si="25"/>
        <v>0.05</v>
      </c>
      <c r="AK36" s="41">
        <f t="shared" si="26"/>
        <v>11303</v>
      </c>
      <c r="AL36" s="17">
        <f t="shared" si="27"/>
        <v>20</v>
      </c>
      <c r="AM36" s="28" t="e">
        <f t="shared" si="3"/>
        <v>#N/A</v>
      </c>
      <c r="AN36" s="29" t="e">
        <f t="shared" si="4"/>
        <v>#N/A</v>
      </c>
      <c r="AO36" s="30" t="e">
        <f t="shared" si="5"/>
        <v>#N/A</v>
      </c>
      <c r="AP36" s="9" t="e">
        <f t="shared" si="28"/>
        <v>#N/A</v>
      </c>
      <c r="AQ36" s="27">
        <f t="shared" si="29"/>
        <v>12203</v>
      </c>
      <c r="AR36" s="17">
        <f t="shared" si="30"/>
        <v>20</v>
      </c>
      <c r="AS36" s="28" t="e">
        <f t="shared" si="6"/>
        <v>#N/A</v>
      </c>
      <c r="AT36" s="29" t="e">
        <f t="shared" si="7"/>
        <v>#N/A</v>
      </c>
      <c r="AU36" s="30" t="e">
        <f t="shared" si="8"/>
        <v>#N/A</v>
      </c>
      <c r="AV36" s="9" t="e">
        <f t="shared" si="31"/>
        <v>#N/A</v>
      </c>
      <c r="AW36" s="27">
        <f t="shared" si="32"/>
        <v>13401</v>
      </c>
      <c r="AX36" s="17">
        <f t="shared" si="33"/>
        <v>20</v>
      </c>
      <c r="AY36" s="28" t="e">
        <f t="shared" si="9"/>
        <v>#N/A</v>
      </c>
      <c r="AZ36" s="29" t="e">
        <f t="shared" si="10"/>
        <v>#N/A</v>
      </c>
      <c r="BA36" s="30" t="e">
        <f t="shared" si="11"/>
        <v>#N/A</v>
      </c>
      <c r="BB36" s="9" t="e">
        <f t="shared" si="34"/>
        <v>#N/A</v>
      </c>
      <c r="BC36" s="27">
        <f t="shared" si="35"/>
        <v>0</v>
      </c>
      <c r="BD36" s="17">
        <f t="shared" si="36"/>
        <v>20</v>
      </c>
      <c r="BE36" s="28" t="e">
        <f t="shared" si="12"/>
        <v>#N/A</v>
      </c>
      <c r="BF36" s="29" t="e">
        <f t="shared" si="13"/>
        <v>#N/A</v>
      </c>
      <c r="BG36" s="30" t="e">
        <f t="shared" si="14"/>
        <v>#N/A</v>
      </c>
      <c r="BH36" s="9">
        <f t="shared" si="37"/>
        <v>0</v>
      </c>
      <c r="BI36" s="27">
        <f t="shared" si="38"/>
        <v>0</v>
      </c>
      <c r="BJ36" s="17">
        <f t="shared" si="39"/>
        <v>20</v>
      </c>
      <c r="BK36" s="28" t="e">
        <f t="shared" si="15"/>
        <v>#N/A</v>
      </c>
      <c r="BL36" s="29" t="e">
        <f t="shared" si="16"/>
        <v>#N/A</v>
      </c>
      <c r="BM36" s="30" t="e">
        <f t="shared" si="17"/>
        <v>#N/A</v>
      </c>
      <c r="BN36" s="9">
        <f t="shared" si="40"/>
        <v>0</v>
      </c>
      <c r="BS36" s="34" t="e">
        <f>#REF!</f>
        <v>#REF!</v>
      </c>
      <c r="BT36" s="34" t="e">
        <f>#REF!</f>
        <v>#REF!</v>
      </c>
      <c r="BU36" s="34">
        <v>0</v>
      </c>
      <c r="BV36" s="34" t="e">
        <f>IF(VLOOKUP(BT36,#REF!,8,0)=0,"",VLOOKUP(BT36,#REF!,8,0))</f>
        <v>#REF!</v>
      </c>
      <c r="BW36" s="47" t="e">
        <f ca="1">IF(BU36=0,RANDBETWEEN(VLOOKUP(BT36,#REF!,13,0),VLOOKUP(BT36,#REF!,14,0)),RANDBETWEEN(VLOOKUP(BU36,$CO:$CR,2,0)/100*VLOOKUP(BT36,#REF!,13,0),VLOOKUP(BU36,$CO:$CR,2,0)/100*VLOOKUP(BT36,#REF!,14,0)))</f>
        <v>#REF!</v>
      </c>
      <c r="BX36" s="47" t="e">
        <f>VLOOKUP(BT36,#REF!,9,0)</f>
        <v>#REF!</v>
      </c>
      <c r="BY36" s="47" t="e">
        <f ca="1">IF(BU36=0,RANDBETWEEN(VLOOKUP(BT36,#REF!,26,0),VLOOKUP(BT36,#REF!,27,0)),RANDBETWEEN(VLOOKUP(BU36,$CO:$CR,3,0)/100*VLOOKUP(BT36,#REF!,26,0),VLOOKUP(BU36,$CO:$CR,3,0)/100*VLOOKUP(BT36,#REF!,27,0)))</f>
        <v>#REF!</v>
      </c>
      <c r="BZ36" s="47" t="e">
        <f>IF(VLOOKUP(BT36,#REF!,22,0)=0,"",VLOOKUP(BT36,#REF!,22,0))</f>
        <v>#REF!</v>
      </c>
      <c r="CA36" s="47" t="e">
        <f ca="1">IF(BU36=0,RANDBETWEEN(VLOOKUP(BT36,#REF!,39,0),VLOOKUP(BT36,#REF!,40,0)),RANDBETWEEN(VLOOKUP(BU36,$CO:$CR,4,0)/100*VLOOKUP(BT36,#REF!,39,0),VLOOKUP(BU36,$CO:$CR,4,0)/100*VLOOKUP(BT36,#REF!,40,0)))</f>
        <v>#REF!</v>
      </c>
      <c r="CB36" s="47" t="e">
        <f>IF(VLOOKUP(BT36,#REF!,35,0)=0,"",VLOOKUP(BT36,#REF!,35,0))</f>
        <v>#REF!</v>
      </c>
      <c r="CF36" s="33" t="s">
        <v>3896</v>
      </c>
      <c r="CG36" s="33">
        <v>30003</v>
      </c>
      <c r="CH36" t="s">
        <v>3894</v>
      </c>
      <c r="CI36" s="9" t="str">
        <f t="shared" si="41"/>
        <v>20</v>
      </c>
      <c r="CJ36" s="9" t="str">
        <f t="shared" si="18"/>
        <v>49</v>
      </c>
      <c r="CK36" s="9" t="str">
        <f t="shared" si="19"/>
        <v>80</v>
      </c>
      <c r="CO36" s="50">
        <v>31</v>
      </c>
      <c r="CP36" s="50">
        <v>142</v>
      </c>
      <c r="CQ36" s="50">
        <v>355</v>
      </c>
      <c r="CR36" s="50">
        <v>1505</v>
      </c>
      <c r="CS36" s="52">
        <v>186</v>
      </c>
      <c r="CT36" s="52">
        <v>398</v>
      </c>
      <c r="CU36" s="52">
        <v>596</v>
      </c>
      <c r="CY36" t="str">
        <f t="shared" si="20"/>
        <v>单</v>
      </c>
      <c r="CZ36" s="47">
        <v>20030</v>
      </c>
      <c r="DA36" s="34">
        <v>1</v>
      </c>
      <c r="DB36" s="54"/>
      <c r="DC36" s="34">
        <v>5</v>
      </c>
      <c r="DD36" s="34">
        <v>15</v>
      </c>
      <c r="DE36" s="34"/>
      <c r="DF36" s="34"/>
      <c r="DG36" s="34">
        <v>100</v>
      </c>
      <c r="DH36" s="34"/>
      <c r="DI36" t="s">
        <v>3783</v>
      </c>
      <c r="DJ36" t="s">
        <v>3897</v>
      </c>
      <c r="DK36" t="s">
        <v>3881</v>
      </c>
      <c r="DL36" s="9">
        <f t="shared" si="21"/>
        <v>5</v>
      </c>
      <c r="DM36" s="9">
        <f t="shared" si="22"/>
        <v>15</v>
      </c>
      <c r="DN36" s="9">
        <v>43</v>
      </c>
      <c r="DP36">
        <f t="shared" si="23"/>
        <v>10</v>
      </c>
    </row>
    <row r="37" spans="10:120" x14ac:dyDescent="0.2">
      <c r="J37" s="33" t="s">
        <v>3898</v>
      </c>
      <c r="K37" s="9">
        <v>20</v>
      </c>
      <c r="L37" s="34">
        <v>11401</v>
      </c>
      <c r="M37" s="34">
        <v>29</v>
      </c>
      <c r="N37" s="34">
        <v>12301</v>
      </c>
      <c r="O37" s="34">
        <v>26</v>
      </c>
      <c r="P37" s="34">
        <v>13501</v>
      </c>
      <c r="Q37" s="34">
        <v>28</v>
      </c>
      <c r="R37" s="34"/>
      <c r="S37" s="34"/>
      <c r="T37" s="34"/>
      <c r="U37" s="34"/>
      <c r="V37" s="36" t="e">
        <f t="shared" si="0"/>
        <v>#N/A</v>
      </c>
      <c r="Y37" s="34">
        <v>33</v>
      </c>
      <c r="Z37" s="34">
        <f>ROUND(VLOOKUP(Y37,刀数数据支持!$L:$Q,3,0)*(1+((Y37-1)*2+25)*0.01*(1+AB37/100)),2)</f>
        <v>86.81</v>
      </c>
      <c r="AA37" s="34">
        <f>ROUND(VLOOKUP(Y37,刀数数据支持!$L:$Q,6,0)*(1+((Y37-1)*5+25)*0.01)*(1+AB37/100),2)</f>
        <v>226.26</v>
      </c>
      <c r="AB37" s="34">
        <f>VLOOKUP(Y37,刀数数据支持!$S:$T,2,0)</f>
        <v>83.22</v>
      </c>
      <c r="AC37" s="34">
        <f>ROUND(刀数数据支持!AY35*(1-刀数数据支持!BA35/100),1)</f>
        <v>3883.7</v>
      </c>
      <c r="AD37" s="34" t="str">
        <f>刀数数据支持!AZ35</f>
        <v>火蛇Lv7</v>
      </c>
      <c r="AE37" s="34">
        <f t="shared" ref="AE37:AE68" si="42">ROUND(113.58*VLOOKUP(Y37,$CO:$CR,2,0)/100,2)</f>
        <v>179.46</v>
      </c>
      <c r="AF37" s="34">
        <f t="shared" ref="AF37:AF68" si="43">ROUNDUP(AE37/Z37,2)</f>
        <v>2.0699999999999998</v>
      </c>
      <c r="AG37" s="34">
        <f t="shared" si="24"/>
        <v>0.8</v>
      </c>
      <c r="AH37" s="34">
        <f t="shared" si="25"/>
        <v>0.05</v>
      </c>
      <c r="AK37" s="41">
        <f t="shared" si="26"/>
        <v>11401</v>
      </c>
      <c r="AL37" s="17">
        <f t="shared" si="27"/>
        <v>20</v>
      </c>
      <c r="AM37" s="28" t="e">
        <f t="shared" si="3"/>
        <v>#N/A</v>
      </c>
      <c r="AN37" s="29" t="e">
        <f t="shared" si="4"/>
        <v>#N/A</v>
      </c>
      <c r="AO37" s="30" t="e">
        <f t="shared" si="5"/>
        <v>#N/A</v>
      </c>
      <c r="AP37" s="9" t="e">
        <f t="shared" si="28"/>
        <v>#N/A</v>
      </c>
      <c r="AQ37" s="27">
        <f t="shared" si="29"/>
        <v>12301</v>
      </c>
      <c r="AR37" s="17">
        <f t="shared" si="30"/>
        <v>20</v>
      </c>
      <c r="AS37" s="28" t="e">
        <f t="shared" si="6"/>
        <v>#N/A</v>
      </c>
      <c r="AT37" s="29" t="e">
        <f t="shared" si="7"/>
        <v>#N/A</v>
      </c>
      <c r="AU37" s="30" t="e">
        <f t="shared" si="8"/>
        <v>#N/A</v>
      </c>
      <c r="AV37" s="9" t="e">
        <f t="shared" si="31"/>
        <v>#N/A</v>
      </c>
      <c r="AW37" s="27">
        <f t="shared" si="32"/>
        <v>13501</v>
      </c>
      <c r="AX37" s="17">
        <f t="shared" si="33"/>
        <v>20</v>
      </c>
      <c r="AY37" s="28" t="e">
        <f t="shared" si="9"/>
        <v>#N/A</v>
      </c>
      <c r="AZ37" s="29" t="e">
        <f t="shared" si="10"/>
        <v>#N/A</v>
      </c>
      <c r="BA37" s="30" t="e">
        <f t="shared" si="11"/>
        <v>#N/A</v>
      </c>
      <c r="BB37" s="9" t="e">
        <f t="shared" si="34"/>
        <v>#N/A</v>
      </c>
      <c r="BC37" s="27">
        <f t="shared" si="35"/>
        <v>0</v>
      </c>
      <c r="BD37" s="17">
        <f t="shared" si="36"/>
        <v>20</v>
      </c>
      <c r="BE37" s="28" t="e">
        <f t="shared" si="12"/>
        <v>#N/A</v>
      </c>
      <c r="BF37" s="29" t="e">
        <f t="shared" si="13"/>
        <v>#N/A</v>
      </c>
      <c r="BG37" s="30" t="e">
        <f t="shared" si="14"/>
        <v>#N/A</v>
      </c>
      <c r="BH37" s="9">
        <f t="shared" si="37"/>
        <v>0</v>
      </c>
      <c r="BI37" s="27">
        <f t="shared" si="38"/>
        <v>0</v>
      </c>
      <c r="BJ37" s="17">
        <f t="shared" si="39"/>
        <v>20</v>
      </c>
      <c r="BK37" s="28" t="e">
        <f t="shared" si="15"/>
        <v>#N/A</v>
      </c>
      <c r="BL37" s="29" t="e">
        <f t="shared" si="16"/>
        <v>#N/A</v>
      </c>
      <c r="BM37" s="30" t="e">
        <f t="shared" si="17"/>
        <v>#N/A</v>
      </c>
      <c r="BN37" s="9">
        <f t="shared" si="40"/>
        <v>0</v>
      </c>
      <c r="BS37" s="34" t="e">
        <f>#REF!</f>
        <v>#REF!</v>
      </c>
      <c r="BT37" s="34" t="e">
        <f>#REF!</f>
        <v>#REF!</v>
      </c>
      <c r="BU37" s="34">
        <v>0</v>
      </c>
      <c r="BV37" s="34" t="e">
        <f>IF(VLOOKUP(BT37,#REF!,8,0)=0,"",VLOOKUP(BT37,#REF!,8,0))</f>
        <v>#REF!</v>
      </c>
      <c r="BW37" s="47" t="e">
        <f ca="1">IF(BU37=0,RANDBETWEEN(VLOOKUP(BT37,#REF!,13,0),VLOOKUP(BT37,#REF!,14,0)),RANDBETWEEN(VLOOKUP(BU37,$CO:$CR,2,0)/100*VLOOKUP(BT37,#REF!,13,0),VLOOKUP(BU37,$CO:$CR,2,0)/100*VLOOKUP(BT37,#REF!,14,0)))</f>
        <v>#REF!</v>
      </c>
      <c r="BX37" s="47" t="e">
        <f>VLOOKUP(BT37,#REF!,9,0)</f>
        <v>#REF!</v>
      </c>
      <c r="BY37" s="47" t="e">
        <f ca="1">IF(BU37=0,RANDBETWEEN(VLOOKUP(BT37,#REF!,26,0),VLOOKUP(BT37,#REF!,27,0)),RANDBETWEEN(VLOOKUP(BU37,$CO:$CR,3,0)/100*VLOOKUP(BT37,#REF!,26,0),VLOOKUP(BU37,$CO:$CR,3,0)/100*VLOOKUP(BT37,#REF!,27,0)))</f>
        <v>#REF!</v>
      </c>
      <c r="BZ37" s="47" t="e">
        <f>IF(VLOOKUP(BT37,#REF!,22,0)=0,"",VLOOKUP(BT37,#REF!,22,0))</f>
        <v>#REF!</v>
      </c>
      <c r="CA37" s="47" t="e">
        <f ca="1">IF(BU37=0,RANDBETWEEN(VLOOKUP(BT37,#REF!,39,0),VLOOKUP(BT37,#REF!,40,0)),RANDBETWEEN(VLOOKUP(BU37,$CO:$CR,4,0)/100*VLOOKUP(BT37,#REF!,39,0),VLOOKUP(BU37,$CO:$CR,4,0)/100*VLOOKUP(BT37,#REF!,40,0)))</f>
        <v>#REF!</v>
      </c>
      <c r="CB37" s="47" t="e">
        <f>IF(VLOOKUP(BT37,#REF!,35,0)=0,"",VLOOKUP(BT37,#REF!,35,0))</f>
        <v>#REF!</v>
      </c>
      <c r="CF37" s="33" t="s">
        <v>3898</v>
      </c>
      <c r="CG37" s="33">
        <v>30004</v>
      </c>
      <c r="CH37" t="s">
        <v>3894</v>
      </c>
      <c r="CI37" s="9" t="str">
        <f t="shared" si="41"/>
        <v>20</v>
      </c>
      <c r="CJ37" s="9" t="str">
        <f t="shared" si="18"/>
        <v>49</v>
      </c>
      <c r="CK37" s="9" t="str">
        <f t="shared" si="19"/>
        <v>80</v>
      </c>
      <c r="CO37" s="50">
        <v>32</v>
      </c>
      <c r="CP37" s="50">
        <v>150</v>
      </c>
      <c r="CQ37" s="50">
        <v>388</v>
      </c>
      <c r="CR37" s="50">
        <v>1527</v>
      </c>
      <c r="CS37" s="52">
        <v>192</v>
      </c>
      <c r="CT37" s="52">
        <v>408</v>
      </c>
      <c r="CU37" s="52">
        <v>610</v>
      </c>
      <c r="CY37" t="str">
        <f t="shared" si="20"/>
        <v>单</v>
      </c>
      <c r="CZ37" s="47">
        <v>20031</v>
      </c>
      <c r="DA37" s="34">
        <v>1</v>
      </c>
      <c r="DB37" s="54"/>
      <c r="DC37" s="34">
        <v>7</v>
      </c>
      <c r="DD37" s="34">
        <v>14</v>
      </c>
      <c r="DE37" s="34"/>
      <c r="DF37" s="34"/>
      <c r="DG37" s="34">
        <v>100</v>
      </c>
      <c r="DH37" s="34"/>
      <c r="DI37" t="s">
        <v>3783</v>
      </c>
      <c r="DJ37" t="s">
        <v>3899</v>
      </c>
      <c r="DK37" t="s">
        <v>3881</v>
      </c>
      <c r="DL37" s="9">
        <f t="shared" si="21"/>
        <v>7</v>
      </c>
      <c r="DM37" s="9">
        <f t="shared" si="22"/>
        <v>14</v>
      </c>
      <c r="DN37" s="9">
        <v>48</v>
      </c>
      <c r="DP37">
        <f t="shared" si="23"/>
        <v>10.5</v>
      </c>
    </row>
    <row r="38" spans="10:120" x14ac:dyDescent="0.2">
      <c r="J38" s="33" t="s">
        <v>3900</v>
      </c>
      <c r="K38" s="9">
        <v>20</v>
      </c>
      <c r="L38" s="34">
        <v>11501</v>
      </c>
      <c r="M38" s="34">
        <v>21</v>
      </c>
      <c r="N38" s="34">
        <v>12302</v>
      </c>
      <c r="O38" s="34">
        <v>21</v>
      </c>
      <c r="P38" s="34">
        <v>13601</v>
      </c>
      <c r="Q38" s="34">
        <v>18</v>
      </c>
      <c r="R38" s="34"/>
      <c r="S38" s="34"/>
      <c r="T38" s="34"/>
      <c r="U38" s="34"/>
      <c r="V38" s="36" t="e">
        <f t="shared" si="0"/>
        <v>#N/A</v>
      </c>
      <c r="Y38" s="34">
        <v>34</v>
      </c>
      <c r="Z38" s="34">
        <f>ROUND(VLOOKUP(Y38,刀数数据支持!$L:$Q,3,0)*(1+((Y38-1)*2+25)*0.01*(1+AB38/100)),2)</f>
        <v>91.91</v>
      </c>
      <c r="AA38" s="34">
        <f>ROUND(VLOOKUP(Y38,刀数数据支持!$L:$Q,6,0)*(1+((Y38-1)*5+25)*0.01)*(1+AB38/100),2)</f>
        <v>237.54</v>
      </c>
      <c r="AB38" s="34">
        <f>VLOOKUP(Y38,刀数数据支持!$S:$T,2,0)</f>
        <v>85.44</v>
      </c>
      <c r="AC38" s="34">
        <f>ROUND(刀数数据支持!AY36*(1-刀数数据支持!BA36/100),1)</f>
        <v>4095.4</v>
      </c>
      <c r="AD38" s="34" t="str">
        <f>刀数数据支持!AZ36</f>
        <v>火蛇Lv8</v>
      </c>
      <c r="AE38" s="34">
        <f t="shared" si="42"/>
        <v>188.54</v>
      </c>
      <c r="AF38" s="34">
        <f t="shared" si="43"/>
        <v>2.0599999999999996</v>
      </c>
      <c r="AG38" s="34">
        <f t="shared" si="24"/>
        <v>0.8</v>
      </c>
      <c r="AH38" s="34">
        <f t="shared" si="25"/>
        <v>0.05</v>
      </c>
      <c r="AK38" s="41">
        <f t="shared" si="26"/>
        <v>11501</v>
      </c>
      <c r="AL38" s="17">
        <f t="shared" si="27"/>
        <v>20</v>
      </c>
      <c r="AM38" s="28" t="e">
        <f t="shared" si="3"/>
        <v>#N/A</v>
      </c>
      <c r="AN38" s="29" t="e">
        <f t="shared" si="4"/>
        <v>#N/A</v>
      </c>
      <c r="AO38" s="30" t="e">
        <f t="shared" si="5"/>
        <v>#N/A</v>
      </c>
      <c r="AP38" s="9" t="e">
        <f t="shared" si="28"/>
        <v>#N/A</v>
      </c>
      <c r="AQ38" s="27">
        <f t="shared" si="29"/>
        <v>12302</v>
      </c>
      <c r="AR38" s="17">
        <f t="shared" si="30"/>
        <v>20</v>
      </c>
      <c r="AS38" s="28" t="e">
        <f t="shared" si="6"/>
        <v>#N/A</v>
      </c>
      <c r="AT38" s="29" t="e">
        <f t="shared" si="7"/>
        <v>#N/A</v>
      </c>
      <c r="AU38" s="30" t="e">
        <f t="shared" si="8"/>
        <v>#N/A</v>
      </c>
      <c r="AV38" s="9" t="e">
        <f t="shared" si="31"/>
        <v>#N/A</v>
      </c>
      <c r="AW38" s="27">
        <f t="shared" si="32"/>
        <v>13601</v>
      </c>
      <c r="AX38" s="17">
        <f t="shared" si="33"/>
        <v>20</v>
      </c>
      <c r="AY38" s="28" t="e">
        <f t="shared" si="9"/>
        <v>#N/A</v>
      </c>
      <c r="AZ38" s="29" t="e">
        <f t="shared" si="10"/>
        <v>#N/A</v>
      </c>
      <c r="BA38" s="30" t="e">
        <f t="shared" si="11"/>
        <v>#N/A</v>
      </c>
      <c r="BB38" s="9" t="e">
        <f t="shared" si="34"/>
        <v>#N/A</v>
      </c>
      <c r="BC38" s="27">
        <f t="shared" si="35"/>
        <v>0</v>
      </c>
      <c r="BD38" s="17">
        <f t="shared" si="36"/>
        <v>20</v>
      </c>
      <c r="BE38" s="28" t="e">
        <f t="shared" si="12"/>
        <v>#N/A</v>
      </c>
      <c r="BF38" s="29" t="e">
        <f t="shared" si="13"/>
        <v>#N/A</v>
      </c>
      <c r="BG38" s="30" t="e">
        <f t="shared" si="14"/>
        <v>#N/A</v>
      </c>
      <c r="BH38" s="9">
        <f t="shared" si="37"/>
        <v>0</v>
      </c>
      <c r="BI38" s="27">
        <f t="shared" si="38"/>
        <v>0</v>
      </c>
      <c r="BJ38" s="17">
        <f t="shared" si="39"/>
        <v>20</v>
      </c>
      <c r="BK38" s="28" t="e">
        <f t="shared" si="15"/>
        <v>#N/A</v>
      </c>
      <c r="BL38" s="29" t="e">
        <f t="shared" si="16"/>
        <v>#N/A</v>
      </c>
      <c r="BM38" s="30" t="e">
        <f t="shared" si="17"/>
        <v>#N/A</v>
      </c>
      <c r="BN38" s="9">
        <f t="shared" si="40"/>
        <v>0</v>
      </c>
      <c r="BS38" s="34" t="e">
        <f>#REF!</f>
        <v>#REF!</v>
      </c>
      <c r="BT38" s="34" t="e">
        <f>#REF!</f>
        <v>#REF!</v>
      </c>
      <c r="BU38" s="34">
        <v>0</v>
      </c>
      <c r="BV38" s="34" t="e">
        <f>IF(VLOOKUP(BT38,#REF!,8,0)=0,"",VLOOKUP(BT38,#REF!,8,0))</f>
        <v>#REF!</v>
      </c>
      <c r="BW38" s="47" t="e">
        <f ca="1">IF(BU38=0,RANDBETWEEN(VLOOKUP(BT38,#REF!,13,0),VLOOKUP(BT38,#REF!,14,0)),RANDBETWEEN(VLOOKUP(BU38,$CO:$CR,2,0)/100*VLOOKUP(BT38,#REF!,13,0),VLOOKUP(BU38,$CO:$CR,2,0)/100*VLOOKUP(BT38,#REF!,14,0)))</f>
        <v>#REF!</v>
      </c>
      <c r="BX38" s="47" t="e">
        <f>VLOOKUP(BT38,#REF!,9,0)</f>
        <v>#REF!</v>
      </c>
      <c r="BY38" s="47" t="e">
        <f ca="1">IF(BU38=0,RANDBETWEEN(VLOOKUP(BT38,#REF!,26,0),VLOOKUP(BT38,#REF!,27,0)),RANDBETWEEN(VLOOKUP(BU38,$CO:$CR,3,0)/100*VLOOKUP(BT38,#REF!,26,0),VLOOKUP(BU38,$CO:$CR,3,0)/100*VLOOKUP(BT38,#REF!,27,0)))</f>
        <v>#REF!</v>
      </c>
      <c r="BZ38" s="47" t="e">
        <f>IF(VLOOKUP(BT38,#REF!,22,0)=0,"",VLOOKUP(BT38,#REF!,22,0))</f>
        <v>#REF!</v>
      </c>
      <c r="CA38" s="47" t="e">
        <f ca="1">IF(BU38=0,RANDBETWEEN(VLOOKUP(BT38,#REF!,39,0),VLOOKUP(BT38,#REF!,40,0)),RANDBETWEEN(VLOOKUP(BU38,$CO:$CR,4,0)/100*VLOOKUP(BT38,#REF!,39,0),VLOOKUP(BU38,$CO:$CR,4,0)/100*VLOOKUP(BT38,#REF!,40,0)))</f>
        <v>#REF!</v>
      </c>
      <c r="CB38" s="47" t="e">
        <f>IF(VLOOKUP(BT38,#REF!,35,0)=0,"",VLOOKUP(BT38,#REF!,35,0))</f>
        <v>#REF!</v>
      </c>
      <c r="CF38" s="33" t="s">
        <v>3900</v>
      </c>
      <c r="CG38" s="33">
        <v>30061</v>
      </c>
      <c r="CH38" t="s">
        <v>3894</v>
      </c>
      <c r="CI38" s="9" t="str">
        <f t="shared" si="41"/>
        <v>20</v>
      </c>
      <c r="CJ38" s="9" t="str">
        <f t="shared" si="18"/>
        <v>49</v>
      </c>
      <c r="CK38" s="9" t="str">
        <f t="shared" si="19"/>
        <v>80</v>
      </c>
      <c r="CO38" s="50">
        <v>33</v>
      </c>
      <c r="CP38" s="50">
        <v>158</v>
      </c>
      <c r="CQ38" s="50">
        <v>423</v>
      </c>
      <c r="CR38" s="50">
        <v>1550</v>
      </c>
      <c r="CS38" s="52">
        <v>198</v>
      </c>
      <c r="CT38" s="52">
        <v>418</v>
      </c>
      <c r="CU38" s="52">
        <v>626</v>
      </c>
      <c r="CY38" t="str">
        <f t="shared" si="20"/>
        <v>单</v>
      </c>
      <c r="CZ38" s="47">
        <v>20032</v>
      </c>
      <c r="DA38" s="34">
        <v>1</v>
      </c>
      <c r="DB38" s="54">
        <v>-10</v>
      </c>
      <c r="DC38" s="34">
        <v>3</v>
      </c>
      <c r="DD38" s="34">
        <v>19</v>
      </c>
      <c r="DE38" s="34"/>
      <c r="DF38" s="34"/>
      <c r="DG38" s="34">
        <v>100</v>
      </c>
      <c r="DH38" s="34"/>
      <c r="DI38" t="s">
        <v>3783</v>
      </c>
      <c r="DJ38" t="s">
        <v>3901</v>
      </c>
      <c r="DK38" t="s">
        <v>3881</v>
      </c>
      <c r="DL38" s="9">
        <f t="shared" si="21"/>
        <v>3</v>
      </c>
      <c r="DM38" s="9">
        <f t="shared" si="22"/>
        <v>19</v>
      </c>
      <c r="DN38" s="9">
        <v>55</v>
      </c>
      <c r="DO38" s="9">
        <v>39</v>
      </c>
      <c r="DP38">
        <f t="shared" si="23"/>
        <v>12.100000000000001</v>
      </c>
    </row>
    <row r="39" spans="10:120" x14ac:dyDescent="0.2">
      <c r="K39" s="9"/>
      <c r="Y39" s="34">
        <v>35</v>
      </c>
      <c r="Z39" s="34">
        <f>ROUND(VLOOKUP(Y39,刀数数据支持!$L:$Q,3,0)*(1+((Y39-1)*2+25)*0.01*(1+AB39/100)),2)</f>
        <v>95.89</v>
      </c>
      <c r="AA39" s="34">
        <f>ROUND(VLOOKUP(Y39,刀数数据支持!$L:$Q,6,0)*(1+((Y39-1)*5+25)*0.01)*(1+AB39/100),2)</f>
        <v>249.12</v>
      </c>
      <c r="AB39" s="34">
        <f>VLOOKUP(Y39,刀数数据支持!$S:$T,2,0)</f>
        <v>87.66</v>
      </c>
      <c r="AC39" s="34">
        <f>ROUND(刀数数据支持!AY37*(1-刀数数据支持!BA37/100),1)</f>
        <v>4493.5</v>
      </c>
      <c r="AD39" s="34" t="str">
        <f>刀数数据支持!AZ37</f>
        <v>火蛇Lv9</v>
      </c>
      <c r="AE39" s="34">
        <f t="shared" si="42"/>
        <v>197.63</v>
      </c>
      <c r="AF39" s="34">
        <f t="shared" si="43"/>
        <v>2.0699999999999998</v>
      </c>
      <c r="AG39" s="34">
        <f t="shared" si="24"/>
        <v>0.8</v>
      </c>
      <c r="AH39" s="34">
        <f t="shared" si="25"/>
        <v>0.04</v>
      </c>
      <c r="BS39" s="34" t="e">
        <f>#REF!</f>
        <v>#REF!</v>
      </c>
      <c r="BT39" s="34" t="e">
        <f>#REF!</f>
        <v>#REF!</v>
      </c>
      <c r="BU39" s="34">
        <v>0</v>
      </c>
      <c r="BV39" s="34" t="e">
        <f>IF(VLOOKUP(BT39,#REF!,8,0)=0,"",VLOOKUP(BT39,#REF!,8,0))</f>
        <v>#REF!</v>
      </c>
      <c r="BW39" s="47" t="e">
        <f ca="1">IF(BU39=0,RANDBETWEEN(VLOOKUP(BT39,#REF!,13,0),VLOOKUP(BT39,#REF!,14,0)),RANDBETWEEN(VLOOKUP(BU39,$CO:$CR,2,0)/100*VLOOKUP(BT39,#REF!,13,0),VLOOKUP(BU39,$CO:$CR,2,0)/100*VLOOKUP(BT39,#REF!,14,0)))</f>
        <v>#REF!</v>
      </c>
      <c r="BX39" s="47" t="e">
        <f>VLOOKUP(BT39,#REF!,9,0)</f>
        <v>#REF!</v>
      </c>
      <c r="BY39" s="47" t="e">
        <f ca="1">IF(BU39=0,RANDBETWEEN(VLOOKUP(BT39,#REF!,26,0),VLOOKUP(BT39,#REF!,27,0)),RANDBETWEEN(VLOOKUP(BU39,$CO:$CR,3,0)/100*VLOOKUP(BT39,#REF!,26,0),VLOOKUP(BU39,$CO:$CR,3,0)/100*VLOOKUP(BT39,#REF!,27,0)))</f>
        <v>#REF!</v>
      </c>
      <c r="BZ39" s="47" t="e">
        <f>IF(VLOOKUP(BT39,#REF!,22,0)=0,"",VLOOKUP(BT39,#REF!,22,0))</f>
        <v>#REF!</v>
      </c>
      <c r="CA39" s="47" t="e">
        <f ca="1">IF(BU39=0,RANDBETWEEN(VLOOKUP(BT39,#REF!,39,0),VLOOKUP(BT39,#REF!,40,0)),RANDBETWEEN(VLOOKUP(BU39,$CO:$CR,4,0)/100*VLOOKUP(BT39,#REF!,39,0),VLOOKUP(BU39,$CO:$CR,4,0)/100*VLOOKUP(BT39,#REF!,40,0)))</f>
        <v>#REF!</v>
      </c>
      <c r="CB39" s="47" t="e">
        <f>IF(VLOOKUP(BT39,#REF!,35,0)=0,"",VLOOKUP(BT39,#REF!,35,0))</f>
        <v>#REF!</v>
      </c>
      <c r="CO39" s="50">
        <v>34</v>
      </c>
      <c r="CP39" s="50">
        <v>166</v>
      </c>
      <c r="CQ39" s="50">
        <v>456</v>
      </c>
      <c r="CR39" s="50">
        <v>1572</v>
      </c>
      <c r="CS39" s="52">
        <v>204</v>
      </c>
      <c r="CT39" s="52">
        <v>428</v>
      </c>
      <c r="CU39" s="52">
        <v>641</v>
      </c>
      <c r="CY39" t="str">
        <f t="shared" si="20"/>
        <v>单</v>
      </c>
      <c r="CZ39" s="47">
        <v>20033</v>
      </c>
      <c r="DA39" s="34">
        <v>1</v>
      </c>
      <c r="DB39" s="54"/>
      <c r="DC39" s="34">
        <v>8</v>
      </c>
      <c r="DD39" s="34">
        <v>20</v>
      </c>
      <c r="DE39" s="34"/>
      <c r="DF39" s="34"/>
      <c r="DG39" s="34">
        <v>100</v>
      </c>
      <c r="DH39" s="34"/>
      <c r="DI39" t="s">
        <v>3783</v>
      </c>
      <c r="DJ39" t="s">
        <v>3902</v>
      </c>
      <c r="DK39" t="s">
        <v>3881</v>
      </c>
      <c r="DL39" s="9">
        <f t="shared" si="21"/>
        <v>8</v>
      </c>
      <c r="DM39" s="9">
        <f t="shared" si="22"/>
        <v>20</v>
      </c>
      <c r="DN39" s="9">
        <v>71</v>
      </c>
      <c r="DO39" s="9">
        <v>45</v>
      </c>
      <c r="DP39">
        <f t="shared" si="23"/>
        <v>14</v>
      </c>
    </row>
    <row r="40" spans="10:120" x14ac:dyDescent="0.2">
      <c r="K40" s="9"/>
      <c r="Y40" s="34">
        <v>36</v>
      </c>
      <c r="Z40" s="34">
        <f>ROUND(VLOOKUP(Y40,刀数数据支持!$L:$Q,3,0)*(1+((Y40-1)*2+25)*0.01*(1+AB40/100)),2)</f>
        <v>100.01</v>
      </c>
      <c r="AA40" s="34">
        <f>ROUND(VLOOKUP(Y40,刀数数据支持!$L:$Q,6,0)*(1+((Y40-1)*5+25)*0.01)*(1+AB40/100),2)</f>
        <v>261.07</v>
      </c>
      <c r="AB40" s="34">
        <f>VLOOKUP(Y40,刀数数据支持!$S:$T,2,0)</f>
        <v>89.88</v>
      </c>
      <c r="AC40" s="34">
        <f>ROUND(刀数数据支持!AY38*(1-刀数数据支持!BA38/100),1)</f>
        <v>5084.2</v>
      </c>
      <c r="AD40" s="34" t="str">
        <f>刀数数据支持!AZ38</f>
        <v>火蛇Lv10</v>
      </c>
      <c r="AE40" s="34">
        <f t="shared" si="42"/>
        <v>206.72</v>
      </c>
      <c r="AF40" s="34">
        <f t="shared" si="43"/>
        <v>2.0699999999999998</v>
      </c>
      <c r="AG40" s="34">
        <f t="shared" si="24"/>
        <v>0.8</v>
      </c>
      <c r="AH40" s="34">
        <f t="shared" si="25"/>
        <v>0.04</v>
      </c>
      <c r="BS40" s="34" t="e">
        <f>#REF!</f>
        <v>#REF!</v>
      </c>
      <c r="BT40" s="34" t="e">
        <f>#REF!</f>
        <v>#REF!</v>
      </c>
      <c r="BU40" s="34">
        <v>0</v>
      </c>
      <c r="BV40" s="34" t="e">
        <f>IF(VLOOKUP(BT40,#REF!,8,0)=0,"",VLOOKUP(BT40,#REF!,8,0))</f>
        <v>#REF!</v>
      </c>
      <c r="BW40" s="47" t="e">
        <f ca="1">IF(BU40=0,RANDBETWEEN(VLOOKUP(BT40,#REF!,13,0),VLOOKUP(BT40,#REF!,14,0)),RANDBETWEEN(VLOOKUP(BU40,$CO:$CR,2,0)/100*VLOOKUP(BT40,#REF!,13,0),VLOOKUP(BU40,$CO:$CR,2,0)/100*VLOOKUP(BT40,#REF!,14,0)))</f>
        <v>#REF!</v>
      </c>
      <c r="BX40" s="47" t="e">
        <f>VLOOKUP(BT40,#REF!,9,0)</f>
        <v>#REF!</v>
      </c>
      <c r="BY40" s="47" t="e">
        <f ca="1">IF(BU40=0,RANDBETWEEN(VLOOKUP(BT40,#REF!,26,0),VLOOKUP(BT40,#REF!,27,0)),RANDBETWEEN(VLOOKUP(BU40,$CO:$CR,3,0)/100*VLOOKUP(BT40,#REF!,26,0),VLOOKUP(BU40,$CO:$CR,3,0)/100*VLOOKUP(BT40,#REF!,27,0)))</f>
        <v>#REF!</v>
      </c>
      <c r="BZ40" s="47" t="e">
        <f>IF(VLOOKUP(BT40,#REF!,22,0)=0,"",VLOOKUP(BT40,#REF!,22,0))</f>
        <v>#REF!</v>
      </c>
      <c r="CA40" s="47" t="e">
        <f ca="1">IF(BU40=0,RANDBETWEEN(VLOOKUP(BT40,#REF!,39,0),VLOOKUP(BT40,#REF!,40,0)),RANDBETWEEN(VLOOKUP(BU40,$CO:$CR,4,0)/100*VLOOKUP(BT40,#REF!,39,0),VLOOKUP(BU40,$CO:$CR,4,0)/100*VLOOKUP(BT40,#REF!,40,0)))</f>
        <v>#REF!</v>
      </c>
      <c r="CB40" s="47" t="e">
        <f>IF(VLOOKUP(BT40,#REF!,35,0)=0,"",VLOOKUP(BT40,#REF!,35,0))</f>
        <v>#REF!</v>
      </c>
      <c r="CO40" s="50">
        <v>35</v>
      </c>
      <c r="CP40" s="50">
        <v>174</v>
      </c>
      <c r="CQ40" s="50">
        <v>491</v>
      </c>
      <c r="CR40" s="50">
        <v>1595</v>
      </c>
      <c r="CS40" s="52">
        <v>210</v>
      </c>
      <c r="CT40" s="52">
        <v>439</v>
      </c>
      <c r="CU40" s="52">
        <v>655</v>
      </c>
      <c r="CY40" t="str">
        <f t="shared" si="20"/>
        <v>单/双手</v>
      </c>
      <c r="CZ40" s="47">
        <v>20034</v>
      </c>
      <c r="DA40" s="34">
        <v>1</v>
      </c>
      <c r="DB40" s="54"/>
      <c r="DC40" s="34">
        <v>2</v>
      </c>
      <c r="DD40" s="34">
        <v>9</v>
      </c>
      <c r="DE40" s="34">
        <v>8</v>
      </c>
      <c r="DF40" s="34">
        <v>17</v>
      </c>
      <c r="DG40" s="34">
        <v>100</v>
      </c>
      <c r="DH40" s="34"/>
      <c r="DI40" t="s">
        <v>3783</v>
      </c>
      <c r="DJ40" t="s">
        <v>3903</v>
      </c>
      <c r="DK40" t="s">
        <v>3881</v>
      </c>
      <c r="DL40" s="9">
        <f t="shared" si="21"/>
        <v>8</v>
      </c>
      <c r="DM40" s="9">
        <f t="shared" si="22"/>
        <v>17</v>
      </c>
      <c r="DN40" s="9">
        <v>35</v>
      </c>
      <c r="DO40" s="9">
        <v>27</v>
      </c>
      <c r="DP40">
        <f t="shared" si="23"/>
        <v>12.5</v>
      </c>
    </row>
    <row r="41" spans="10:120" x14ac:dyDescent="0.2">
      <c r="K41" s="9"/>
      <c r="Y41" s="34">
        <v>37</v>
      </c>
      <c r="Z41" s="34">
        <f>ROUND(VLOOKUP(Y41,刀数数据支持!$L:$Q,3,0)*(1+((Y41-1)*2+25)*0.01*(1+AB41/100)),2)</f>
        <v>104.23</v>
      </c>
      <c r="AA41" s="34">
        <f>ROUND(VLOOKUP(Y41,刀数数据支持!$L:$Q,6,0)*(1+((Y41-1)*5+25)*0.01)*(1+AB41/100),2)</f>
        <v>273.44</v>
      </c>
      <c r="AB41" s="34">
        <f>VLOOKUP(Y41,刀数数据支持!$S:$T,2,0)</f>
        <v>92.1</v>
      </c>
      <c r="AC41" s="34">
        <f>ROUND(刀数数据支持!AY39*(1-刀数数据支持!BA39/100),1)</f>
        <v>5349</v>
      </c>
      <c r="AD41" s="34" t="str">
        <f>刀数数据支持!AZ39</f>
        <v>火蛇Lv11</v>
      </c>
      <c r="AE41" s="34">
        <f t="shared" si="42"/>
        <v>215.8</v>
      </c>
      <c r="AF41" s="34">
        <f t="shared" si="43"/>
        <v>2.0799999999999996</v>
      </c>
      <c r="AG41" s="34">
        <f t="shared" si="24"/>
        <v>0.79</v>
      </c>
      <c r="AH41" s="34">
        <f t="shared" si="25"/>
        <v>0.04</v>
      </c>
      <c r="BS41" s="34" t="e">
        <f>#REF!</f>
        <v>#REF!</v>
      </c>
      <c r="BT41" s="34" t="e">
        <f>#REF!</f>
        <v>#REF!</v>
      </c>
      <c r="BU41" s="34">
        <v>0</v>
      </c>
      <c r="BV41" s="34" t="e">
        <f>IF(VLOOKUP(BT41,#REF!,8,0)=0,"",VLOOKUP(BT41,#REF!,8,0))</f>
        <v>#REF!</v>
      </c>
      <c r="BW41" s="47" t="e">
        <f ca="1">IF(BU41=0,RANDBETWEEN(VLOOKUP(BT41,#REF!,13,0),VLOOKUP(BT41,#REF!,14,0)),RANDBETWEEN(VLOOKUP(BU41,$CO:$CR,2,0)/100*VLOOKUP(BT41,#REF!,13,0),VLOOKUP(BU41,$CO:$CR,2,0)/100*VLOOKUP(BT41,#REF!,14,0)))</f>
        <v>#REF!</v>
      </c>
      <c r="BX41" s="47" t="e">
        <f>VLOOKUP(BT41,#REF!,9,0)</f>
        <v>#REF!</v>
      </c>
      <c r="BY41" s="47" t="e">
        <f ca="1">IF(BU41=0,RANDBETWEEN(VLOOKUP(BT41,#REF!,26,0),VLOOKUP(BT41,#REF!,27,0)),RANDBETWEEN(VLOOKUP(BU41,$CO:$CR,3,0)/100*VLOOKUP(BT41,#REF!,26,0),VLOOKUP(BU41,$CO:$CR,3,0)/100*VLOOKUP(BT41,#REF!,27,0)))</f>
        <v>#REF!</v>
      </c>
      <c r="BZ41" s="47" t="e">
        <f>IF(VLOOKUP(BT41,#REF!,22,0)=0,"",VLOOKUP(BT41,#REF!,22,0))</f>
        <v>#REF!</v>
      </c>
      <c r="CA41" s="47" t="e">
        <f ca="1">IF(BU41=0,RANDBETWEEN(VLOOKUP(BT41,#REF!,39,0),VLOOKUP(BT41,#REF!,40,0)),RANDBETWEEN(VLOOKUP(BU41,$CO:$CR,4,0)/100*VLOOKUP(BT41,#REF!,39,0),VLOOKUP(BU41,$CO:$CR,4,0)/100*VLOOKUP(BT41,#REF!,40,0)))</f>
        <v>#REF!</v>
      </c>
      <c r="CB41" s="47" t="e">
        <f>IF(VLOOKUP(BT41,#REF!,35,0)=0,"",VLOOKUP(BT41,#REF!,35,0))</f>
        <v>#REF!</v>
      </c>
      <c r="CO41" s="50">
        <v>36</v>
      </c>
      <c r="CP41" s="50">
        <v>182</v>
      </c>
      <c r="CQ41" s="50">
        <v>525</v>
      </c>
      <c r="CR41" s="50">
        <v>1617</v>
      </c>
      <c r="CS41" s="52">
        <v>216</v>
      </c>
      <c r="CT41" s="52">
        <v>449</v>
      </c>
      <c r="CU41" s="52">
        <v>671</v>
      </c>
      <c r="CY41" t="str">
        <f t="shared" si="20"/>
        <v>单/双手</v>
      </c>
      <c r="CZ41" s="47">
        <v>20035</v>
      </c>
      <c r="DA41" s="34">
        <v>1</v>
      </c>
      <c r="DB41" s="54">
        <v>10</v>
      </c>
      <c r="DC41" s="34">
        <v>5</v>
      </c>
      <c r="DD41" s="34">
        <v>12</v>
      </c>
      <c r="DE41" s="34">
        <v>13</v>
      </c>
      <c r="DF41" s="34">
        <v>30</v>
      </c>
      <c r="DG41" s="34">
        <v>100</v>
      </c>
      <c r="DH41" s="34"/>
      <c r="DI41" t="s">
        <v>3783</v>
      </c>
      <c r="DJ41" t="s">
        <v>3904</v>
      </c>
      <c r="DK41" t="s">
        <v>3881</v>
      </c>
      <c r="DL41" s="9">
        <f t="shared" si="21"/>
        <v>13</v>
      </c>
      <c r="DM41" s="9">
        <f t="shared" si="22"/>
        <v>30</v>
      </c>
      <c r="DN41" s="9">
        <v>47</v>
      </c>
      <c r="DP41">
        <f t="shared" si="23"/>
        <v>19.350000000000001</v>
      </c>
    </row>
    <row r="42" spans="10:120" x14ac:dyDescent="0.2">
      <c r="K42" s="9"/>
      <c r="Y42" s="34">
        <v>38</v>
      </c>
      <c r="Z42" s="34">
        <f>ROUND(VLOOKUP(Y42,刀数数据支持!$L:$Q,3,0)*(1+((Y42-1)*2+25)*0.01*(1+AB42/100)),2)</f>
        <v>110.23</v>
      </c>
      <c r="AA42" s="34">
        <f>ROUND(VLOOKUP(Y42,刀数数据支持!$L:$Q,6,0)*(1+((Y42-1)*5+25)*0.01)*(1+AB42/100),2)</f>
        <v>286.14</v>
      </c>
      <c r="AB42" s="34">
        <f>VLOOKUP(Y42,刀数数据支持!$S:$T,2,0)</f>
        <v>94.32</v>
      </c>
      <c r="AC42" s="34">
        <f>ROUND(刀数数据支持!AY40*(1-刀数数据支持!BA40/100),1)</f>
        <v>5814.5</v>
      </c>
      <c r="AD42" s="34" t="str">
        <f>刀数数据支持!AZ40</f>
        <v>火蛇Lv12</v>
      </c>
      <c r="AE42" s="34">
        <f t="shared" si="42"/>
        <v>224.89</v>
      </c>
      <c r="AF42" s="34">
        <f t="shared" si="43"/>
        <v>2.0499999999999998</v>
      </c>
      <c r="AG42" s="34">
        <f t="shared" si="24"/>
        <v>0.79</v>
      </c>
      <c r="AH42" s="34">
        <f t="shared" si="25"/>
        <v>0.04</v>
      </c>
      <c r="BS42" s="34" t="e">
        <f>#REF!</f>
        <v>#REF!</v>
      </c>
      <c r="BT42" s="34" t="e">
        <f>#REF!</f>
        <v>#REF!</v>
      </c>
      <c r="BU42" s="34">
        <v>0</v>
      </c>
      <c r="BV42" s="34" t="e">
        <f>IF(VLOOKUP(BT42,#REF!,8,0)=0,"",VLOOKUP(BT42,#REF!,8,0))</f>
        <v>#REF!</v>
      </c>
      <c r="BW42" s="47" t="e">
        <f ca="1">IF(BU42=0,RANDBETWEEN(VLOOKUP(BT42,#REF!,13,0),VLOOKUP(BT42,#REF!,14,0)),RANDBETWEEN(VLOOKUP(BU42,$CO:$CR,2,0)/100*VLOOKUP(BT42,#REF!,13,0),VLOOKUP(BU42,$CO:$CR,2,0)/100*VLOOKUP(BT42,#REF!,14,0)))</f>
        <v>#REF!</v>
      </c>
      <c r="BX42" s="47" t="e">
        <f>VLOOKUP(BT42,#REF!,9,0)</f>
        <v>#REF!</v>
      </c>
      <c r="BY42" s="47" t="e">
        <f ca="1">IF(BU42=0,RANDBETWEEN(VLOOKUP(BT42,#REF!,26,0),VLOOKUP(BT42,#REF!,27,0)),RANDBETWEEN(VLOOKUP(BU42,$CO:$CR,3,0)/100*VLOOKUP(BT42,#REF!,26,0),VLOOKUP(BU42,$CO:$CR,3,0)/100*VLOOKUP(BT42,#REF!,27,0)))</f>
        <v>#REF!</v>
      </c>
      <c r="BZ42" s="47" t="e">
        <f>IF(VLOOKUP(BT42,#REF!,22,0)=0,"",VLOOKUP(BT42,#REF!,22,0))</f>
        <v>#REF!</v>
      </c>
      <c r="CA42" s="47" t="e">
        <f ca="1">IF(BU42=0,RANDBETWEEN(VLOOKUP(BT42,#REF!,39,0),VLOOKUP(BT42,#REF!,40,0)),RANDBETWEEN(VLOOKUP(BU42,$CO:$CR,4,0)/100*VLOOKUP(BT42,#REF!,39,0),VLOOKUP(BU42,$CO:$CR,4,0)/100*VLOOKUP(BT42,#REF!,40,0)))</f>
        <v>#REF!</v>
      </c>
      <c r="CB42" s="47" t="e">
        <f>IF(VLOOKUP(BT42,#REF!,35,0)=0,"",VLOOKUP(BT42,#REF!,35,0))</f>
        <v>#REF!</v>
      </c>
      <c r="CO42" s="50">
        <v>37</v>
      </c>
      <c r="CP42" s="50">
        <v>190</v>
      </c>
      <c r="CQ42" s="50">
        <v>559</v>
      </c>
      <c r="CR42" s="50">
        <v>1640</v>
      </c>
      <c r="CS42" s="52">
        <v>222</v>
      </c>
      <c r="CT42" s="52">
        <v>459</v>
      </c>
      <c r="CU42" s="52">
        <v>685</v>
      </c>
      <c r="CY42" t="str">
        <f t="shared" si="20"/>
        <v>单/双手</v>
      </c>
      <c r="CZ42" s="47">
        <v>20036</v>
      </c>
      <c r="DA42" s="34">
        <v>1</v>
      </c>
      <c r="DB42" s="54"/>
      <c r="DC42" s="34">
        <v>3</v>
      </c>
      <c r="DD42" s="34">
        <v>16</v>
      </c>
      <c r="DE42" s="34">
        <v>9</v>
      </c>
      <c r="DF42" s="34">
        <v>28</v>
      </c>
      <c r="DG42" s="34">
        <v>100</v>
      </c>
      <c r="DH42" s="34"/>
      <c r="DI42" t="s">
        <v>3783</v>
      </c>
      <c r="DJ42" t="s">
        <v>3905</v>
      </c>
      <c r="DK42" t="s">
        <v>3881</v>
      </c>
      <c r="DL42" s="9">
        <f t="shared" si="21"/>
        <v>9</v>
      </c>
      <c r="DM42" s="9">
        <f t="shared" si="22"/>
        <v>28</v>
      </c>
      <c r="DN42" s="9">
        <v>56</v>
      </c>
      <c r="DO42" s="9">
        <v>34</v>
      </c>
      <c r="DP42">
        <f t="shared" si="23"/>
        <v>18.5</v>
      </c>
    </row>
    <row r="43" spans="10:120" x14ac:dyDescent="0.2">
      <c r="K43" s="9"/>
      <c r="Y43" s="34">
        <v>39</v>
      </c>
      <c r="Z43" s="34">
        <f>ROUND(VLOOKUP(Y43,刀数数据支持!$L:$Q,3,0)*(1+((Y43-1)*2+25)*0.01*(1+AB43/100)),2)</f>
        <v>116.42</v>
      </c>
      <c r="AA43" s="34">
        <f>ROUND(VLOOKUP(Y43,刀数数据支持!$L:$Q,6,0)*(1+((Y43-1)*5+25)*0.01)*(1+AB43/100),2)</f>
        <v>299.20999999999998</v>
      </c>
      <c r="AB43" s="34">
        <f>VLOOKUP(Y43,刀数数据支持!$S:$T,2,0)</f>
        <v>96.54</v>
      </c>
      <c r="AC43" s="34">
        <f>ROUND(刀数数据支持!AY41*(1-刀数数据支持!BA41/100),1)</f>
        <v>6107</v>
      </c>
      <c r="AD43" s="34" t="str">
        <f>刀数数据支持!AZ41</f>
        <v>火蛇Lv13</v>
      </c>
      <c r="AE43" s="34">
        <f t="shared" si="42"/>
        <v>233.97</v>
      </c>
      <c r="AF43" s="34">
        <f t="shared" si="43"/>
        <v>2.0099999999999998</v>
      </c>
      <c r="AG43" s="34">
        <f t="shared" si="24"/>
        <v>0.79</v>
      </c>
      <c r="AH43" s="34">
        <f t="shared" si="25"/>
        <v>0.04</v>
      </c>
      <c r="BS43" s="34" t="e">
        <f>#REF!</f>
        <v>#REF!</v>
      </c>
      <c r="BT43" s="34" t="e">
        <f>#REF!</f>
        <v>#REF!</v>
      </c>
      <c r="BU43" s="34">
        <v>0</v>
      </c>
      <c r="BV43" s="34" t="e">
        <f>IF(VLOOKUP(BT43,#REF!,8,0)=0,"",VLOOKUP(BT43,#REF!,8,0))</f>
        <v>#REF!</v>
      </c>
      <c r="BW43" s="47" t="e">
        <f ca="1">IF(BU43=0,RANDBETWEEN(VLOOKUP(BT43,#REF!,13,0),VLOOKUP(BT43,#REF!,14,0)),RANDBETWEEN(VLOOKUP(BU43,$CO:$CR,2,0)/100*VLOOKUP(BT43,#REF!,13,0),VLOOKUP(BU43,$CO:$CR,2,0)/100*VLOOKUP(BT43,#REF!,14,0)))</f>
        <v>#REF!</v>
      </c>
      <c r="BX43" s="47" t="e">
        <f>VLOOKUP(BT43,#REF!,9,0)</f>
        <v>#REF!</v>
      </c>
      <c r="BY43" s="47" t="e">
        <f ca="1">IF(BU43=0,RANDBETWEEN(VLOOKUP(BT43,#REF!,26,0),VLOOKUP(BT43,#REF!,27,0)),RANDBETWEEN(VLOOKUP(BU43,$CO:$CR,3,0)/100*VLOOKUP(BT43,#REF!,26,0),VLOOKUP(BU43,$CO:$CR,3,0)/100*VLOOKUP(BT43,#REF!,27,0)))</f>
        <v>#REF!</v>
      </c>
      <c r="BZ43" s="47" t="e">
        <f>IF(VLOOKUP(BT43,#REF!,22,0)=0,"",VLOOKUP(BT43,#REF!,22,0))</f>
        <v>#REF!</v>
      </c>
      <c r="CA43" s="47" t="e">
        <f ca="1">IF(BU43=0,RANDBETWEEN(VLOOKUP(BT43,#REF!,39,0),VLOOKUP(BT43,#REF!,40,0)),RANDBETWEEN(VLOOKUP(BU43,$CO:$CR,4,0)/100*VLOOKUP(BT43,#REF!,39,0),VLOOKUP(BU43,$CO:$CR,4,0)/100*VLOOKUP(BT43,#REF!,40,0)))</f>
        <v>#REF!</v>
      </c>
      <c r="CB43" s="47" t="e">
        <f>IF(VLOOKUP(BT43,#REF!,35,0)=0,"",VLOOKUP(BT43,#REF!,35,0))</f>
        <v>#REF!</v>
      </c>
      <c r="CO43" s="50">
        <v>38</v>
      </c>
      <c r="CP43" s="50">
        <v>198</v>
      </c>
      <c r="CQ43" s="50">
        <v>593</v>
      </c>
      <c r="CR43" s="50">
        <v>1662</v>
      </c>
      <c r="CS43" s="52">
        <v>228</v>
      </c>
      <c r="CT43" s="52">
        <v>469</v>
      </c>
      <c r="CU43" s="52">
        <v>700</v>
      </c>
      <c r="CY43" t="str">
        <f t="shared" si="20"/>
        <v>单/双手</v>
      </c>
      <c r="CZ43" s="47">
        <v>20037</v>
      </c>
      <c r="DA43" s="34">
        <v>1</v>
      </c>
      <c r="DB43" s="54">
        <v>10</v>
      </c>
      <c r="DC43" s="34">
        <v>7</v>
      </c>
      <c r="DD43" s="34">
        <v>19</v>
      </c>
      <c r="DE43" s="34">
        <v>20</v>
      </c>
      <c r="DF43" s="34">
        <v>28</v>
      </c>
      <c r="DG43" s="34">
        <v>100</v>
      </c>
      <c r="DH43" s="34"/>
      <c r="DI43" t="s">
        <v>3783</v>
      </c>
      <c r="DJ43" t="s">
        <v>3906</v>
      </c>
      <c r="DK43" t="s">
        <v>3881</v>
      </c>
      <c r="DL43" s="9">
        <f t="shared" si="21"/>
        <v>20</v>
      </c>
      <c r="DM43" s="9">
        <f t="shared" si="22"/>
        <v>28</v>
      </c>
      <c r="DN43" s="9">
        <v>62</v>
      </c>
      <c r="DP43">
        <f t="shared" si="23"/>
        <v>21.6</v>
      </c>
    </row>
    <row r="44" spans="10:120" x14ac:dyDescent="0.2">
      <c r="K44" s="9"/>
      <c r="Y44" s="34">
        <v>40</v>
      </c>
      <c r="Z44" s="34">
        <f>ROUND(VLOOKUP(Y44,刀数数据支持!$L:$Q,3,0)*(1+((Y44-1)*2+25)*0.01*(1+AB44/100)),2)</f>
        <v>123.41</v>
      </c>
      <c r="AA44" s="34">
        <f>ROUND(VLOOKUP(Y44,刀数数据支持!$L:$Q,6,0)*(1+((Y44-1)*5+25)*0.01)*(1+AB44/100),2)</f>
        <v>312.74</v>
      </c>
      <c r="AB44" s="34">
        <f>VLOOKUP(Y44,刀数数据支持!$S:$T,2,0)</f>
        <v>98.76</v>
      </c>
      <c r="AC44" s="34">
        <f>ROUND(刀数数据支持!AY42*(1-刀数数据支持!BA42/100),1)</f>
        <v>6489</v>
      </c>
      <c r="AD44" s="34" t="str">
        <f>刀数数据支持!AZ42</f>
        <v>火蛇Lv14</v>
      </c>
      <c r="AE44" s="34">
        <f t="shared" si="42"/>
        <v>244.2</v>
      </c>
      <c r="AF44" s="34">
        <f t="shared" si="43"/>
        <v>1.98</v>
      </c>
      <c r="AG44" s="34">
        <f t="shared" si="24"/>
        <v>0.79</v>
      </c>
      <c r="AH44" s="34">
        <f t="shared" si="25"/>
        <v>0.04</v>
      </c>
      <c r="BS44" s="34" t="e">
        <f>#REF!</f>
        <v>#REF!</v>
      </c>
      <c r="BT44" s="34" t="e">
        <f>#REF!</f>
        <v>#REF!</v>
      </c>
      <c r="BU44" s="34">
        <v>0</v>
      </c>
      <c r="BV44" s="34" t="e">
        <f>IF(VLOOKUP(BT44,#REF!,8,0)=0,"",VLOOKUP(BT44,#REF!,8,0))</f>
        <v>#REF!</v>
      </c>
      <c r="BW44" s="47" t="e">
        <f ca="1">IF(BU44=0,RANDBETWEEN(VLOOKUP(BT44,#REF!,13,0),VLOOKUP(BT44,#REF!,14,0)),RANDBETWEEN(VLOOKUP(BU44,$CO:$CR,2,0)/100*VLOOKUP(BT44,#REF!,13,0),VLOOKUP(BU44,$CO:$CR,2,0)/100*VLOOKUP(BT44,#REF!,14,0)))</f>
        <v>#REF!</v>
      </c>
      <c r="BX44" s="47" t="e">
        <f>VLOOKUP(BT44,#REF!,9,0)</f>
        <v>#REF!</v>
      </c>
      <c r="BY44" s="47" t="e">
        <f ca="1">IF(BU44=0,RANDBETWEEN(VLOOKUP(BT44,#REF!,26,0),VLOOKUP(BT44,#REF!,27,0)),RANDBETWEEN(VLOOKUP(BU44,$CO:$CR,3,0)/100*VLOOKUP(BT44,#REF!,26,0),VLOOKUP(BU44,$CO:$CR,3,0)/100*VLOOKUP(BT44,#REF!,27,0)))</f>
        <v>#REF!</v>
      </c>
      <c r="BZ44" s="47" t="e">
        <f>IF(VLOOKUP(BT44,#REF!,22,0)=0,"",VLOOKUP(BT44,#REF!,22,0))</f>
        <v>#REF!</v>
      </c>
      <c r="CA44" s="47" t="e">
        <f ca="1">IF(BU44=0,RANDBETWEEN(VLOOKUP(BT44,#REF!,39,0),VLOOKUP(BT44,#REF!,40,0)),RANDBETWEEN(VLOOKUP(BU44,$CO:$CR,4,0)/100*VLOOKUP(BT44,#REF!,39,0),VLOOKUP(BU44,$CO:$CR,4,0)/100*VLOOKUP(BT44,#REF!,40,0)))</f>
        <v>#REF!</v>
      </c>
      <c r="CB44" s="47" t="e">
        <f>IF(VLOOKUP(BT44,#REF!,35,0)=0,"",VLOOKUP(BT44,#REF!,35,0))</f>
        <v>#REF!</v>
      </c>
      <c r="CO44" s="50">
        <v>39</v>
      </c>
      <c r="CP44" s="50">
        <v>206</v>
      </c>
      <c r="CQ44" s="50">
        <v>627</v>
      </c>
      <c r="CR44" s="50">
        <v>1685</v>
      </c>
      <c r="CS44" s="52">
        <v>234</v>
      </c>
      <c r="CT44" s="52">
        <v>479</v>
      </c>
      <c r="CU44" s="52">
        <v>716</v>
      </c>
      <c r="CY44" t="str">
        <f t="shared" si="20"/>
        <v>单/双手</v>
      </c>
      <c r="CZ44" s="47">
        <v>20038</v>
      </c>
      <c r="DA44" s="34">
        <v>1</v>
      </c>
      <c r="DB44" s="54">
        <v>-10</v>
      </c>
      <c r="DC44" s="34">
        <v>9</v>
      </c>
      <c r="DD44" s="34">
        <v>15</v>
      </c>
      <c r="DE44" s="34">
        <v>13</v>
      </c>
      <c r="DF44" s="34">
        <v>26</v>
      </c>
      <c r="DG44" s="34">
        <v>100</v>
      </c>
      <c r="DH44" s="34"/>
      <c r="DI44" t="s">
        <v>3783</v>
      </c>
      <c r="DJ44" t="s">
        <v>3907</v>
      </c>
      <c r="DK44" t="s">
        <v>3908</v>
      </c>
      <c r="DL44" s="9">
        <f t="shared" si="21"/>
        <v>13</v>
      </c>
      <c r="DM44" s="9">
        <f t="shared" si="22"/>
        <v>26</v>
      </c>
      <c r="DN44" s="9">
        <v>70</v>
      </c>
      <c r="DO44" s="9">
        <v>49</v>
      </c>
      <c r="DP44">
        <f t="shared" si="23"/>
        <v>21.450000000000003</v>
      </c>
    </row>
    <row r="45" spans="10:120" x14ac:dyDescent="0.2">
      <c r="K45" s="9"/>
      <c r="Y45" s="34">
        <v>41</v>
      </c>
      <c r="Z45" s="34">
        <f>ROUND(VLOOKUP(Y45,刀数数据支持!$L:$Q,3,0)*(1+((Y45-1)*2+25)*0.01*(1+AB45/100)),2)</f>
        <v>129.86000000000001</v>
      </c>
      <c r="AA45" s="34">
        <f>ROUND(VLOOKUP(Y45,刀数数据支持!$L:$Q,6,0)*(1+((Y45-1)*5+25)*0.01)*(1+AB45/100),2)</f>
        <v>326.63</v>
      </c>
      <c r="AB45" s="34">
        <f>VLOOKUP(Y45,刀数数据支持!$S:$T,2,0)</f>
        <v>101</v>
      </c>
      <c r="AC45" s="34">
        <f>ROUND(刀数数据支持!AY43*(1-刀数数据支持!BA43/100),1)</f>
        <v>6831.4</v>
      </c>
      <c r="AD45" s="34" t="str">
        <f>刀数数据支持!AZ43</f>
        <v>火蛇Lv15</v>
      </c>
      <c r="AE45" s="34">
        <f t="shared" si="42"/>
        <v>255.56</v>
      </c>
      <c r="AF45" s="34">
        <f t="shared" si="43"/>
        <v>1.97</v>
      </c>
      <c r="AG45" s="34">
        <f t="shared" si="24"/>
        <v>0.79</v>
      </c>
      <c r="AH45" s="34">
        <f t="shared" si="25"/>
        <v>0.04</v>
      </c>
      <c r="BS45" s="34" t="e">
        <f>#REF!</f>
        <v>#REF!</v>
      </c>
      <c r="BT45" s="34" t="e">
        <f>#REF!</f>
        <v>#REF!</v>
      </c>
      <c r="BU45" s="34">
        <v>0</v>
      </c>
      <c r="BV45" s="34" t="e">
        <f>IF(VLOOKUP(BT45,#REF!,8,0)=0,"",VLOOKUP(BT45,#REF!,8,0))</f>
        <v>#REF!</v>
      </c>
      <c r="BW45" s="47" t="e">
        <f ca="1">IF(BU45=0,RANDBETWEEN(VLOOKUP(BT45,#REF!,13,0),VLOOKUP(BT45,#REF!,14,0)),RANDBETWEEN(VLOOKUP(BU45,$CO:$CR,2,0)/100*VLOOKUP(BT45,#REF!,13,0),VLOOKUP(BU45,$CO:$CR,2,0)/100*VLOOKUP(BT45,#REF!,14,0)))</f>
        <v>#REF!</v>
      </c>
      <c r="BX45" s="47" t="e">
        <f>VLOOKUP(BT45,#REF!,9,0)</f>
        <v>#REF!</v>
      </c>
      <c r="BY45" s="47" t="e">
        <f ca="1">IF(BU45=0,RANDBETWEEN(VLOOKUP(BT45,#REF!,26,0),VLOOKUP(BT45,#REF!,27,0)),RANDBETWEEN(VLOOKUP(BU45,$CO:$CR,3,0)/100*VLOOKUP(BT45,#REF!,26,0),VLOOKUP(BU45,$CO:$CR,3,0)/100*VLOOKUP(BT45,#REF!,27,0)))</f>
        <v>#REF!</v>
      </c>
      <c r="BZ45" s="47" t="e">
        <f>IF(VLOOKUP(BT45,#REF!,22,0)=0,"",VLOOKUP(BT45,#REF!,22,0))</f>
        <v>#REF!</v>
      </c>
      <c r="CA45" s="47" t="e">
        <f ca="1">IF(BU45=0,RANDBETWEEN(VLOOKUP(BT45,#REF!,39,0),VLOOKUP(BT45,#REF!,40,0)),RANDBETWEEN(VLOOKUP(BU45,$CO:$CR,4,0)/100*VLOOKUP(BT45,#REF!,39,0),VLOOKUP(BU45,$CO:$CR,4,0)/100*VLOOKUP(BT45,#REF!,40,0)))</f>
        <v>#REF!</v>
      </c>
      <c r="CB45" s="47" t="e">
        <f>IF(VLOOKUP(BT45,#REF!,35,0)=0,"",VLOOKUP(BT45,#REF!,35,0))</f>
        <v>#REF!</v>
      </c>
      <c r="CO45" s="50">
        <v>40</v>
      </c>
      <c r="CP45" s="50">
        <v>215</v>
      </c>
      <c r="CQ45" s="50">
        <v>661</v>
      </c>
      <c r="CR45" s="50">
        <v>1707</v>
      </c>
      <c r="CS45" s="52">
        <v>240</v>
      </c>
      <c r="CT45" s="52">
        <v>490</v>
      </c>
      <c r="CU45" s="52">
        <v>730</v>
      </c>
      <c r="CY45" t="str">
        <f t="shared" si="20"/>
        <v>单/双手</v>
      </c>
      <c r="CZ45" s="47">
        <v>20039</v>
      </c>
      <c r="DA45" s="34">
        <v>1</v>
      </c>
      <c r="DB45" s="54">
        <v>10</v>
      </c>
      <c r="DC45" s="34">
        <v>12</v>
      </c>
      <c r="DD45" s="34">
        <v>20</v>
      </c>
      <c r="DE45" s="34">
        <v>25</v>
      </c>
      <c r="DF45" s="34">
        <v>42</v>
      </c>
      <c r="DG45" s="34">
        <v>100</v>
      </c>
      <c r="DH45" s="34"/>
      <c r="DI45" t="s">
        <v>3783</v>
      </c>
      <c r="DJ45" t="s">
        <v>3909</v>
      </c>
      <c r="DK45" t="s">
        <v>3908</v>
      </c>
      <c r="DL45" s="9">
        <f t="shared" si="21"/>
        <v>25</v>
      </c>
      <c r="DM45" s="9">
        <f t="shared" si="22"/>
        <v>42</v>
      </c>
      <c r="DN45" s="9">
        <v>100</v>
      </c>
      <c r="DO45" s="9">
        <v>60</v>
      </c>
      <c r="DP45">
        <f t="shared" si="23"/>
        <v>30.150000000000002</v>
      </c>
    </row>
    <row r="46" spans="10:120" x14ac:dyDescent="0.2">
      <c r="K46" s="9"/>
      <c r="Y46" s="34">
        <v>42</v>
      </c>
      <c r="Z46" s="34">
        <f>ROUND(VLOOKUP(Y46,刀数数据支持!$L:$Q,3,0)*(1+((Y46-1)*2+25)*0.01*(1+AB46/100)),2)</f>
        <v>136.4</v>
      </c>
      <c r="AA46" s="34">
        <f>ROUND(VLOOKUP(Y46,刀数数据支持!$L:$Q,6,0)*(1+((Y46-1)*5+25)*0.01)*(1+AB46/100),2)</f>
        <v>347.34</v>
      </c>
      <c r="AB46" s="34">
        <f>VLOOKUP(Y46,刀数数据支持!$S:$T,2,0)</f>
        <v>103</v>
      </c>
      <c r="AC46" s="34">
        <f>ROUND(刀数数据支持!AY44*(1-刀数数据支持!BA44/100),1)</f>
        <v>6958.2</v>
      </c>
      <c r="AD46" s="34" t="str">
        <f>刀数数据支持!AZ44</f>
        <v>火蛇Lv16</v>
      </c>
      <c r="AE46" s="34">
        <f t="shared" si="42"/>
        <v>265.77999999999997</v>
      </c>
      <c r="AF46" s="34">
        <f t="shared" si="43"/>
        <v>1.95</v>
      </c>
      <c r="AG46" s="34">
        <f t="shared" si="24"/>
        <v>0.77</v>
      </c>
      <c r="AH46" s="34">
        <f t="shared" si="25"/>
        <v>0.04</v>
      </c>
      <c r="BS46" s="34" t="e">
        <f>#REF!</f>
        <v>#REF!</v>
      </c>
      <c r="BT46" s="34" t="e">
        <f>#REF!</f>
        <v>#REF!</v>
      </c>
      <c r="BU46" s="34">
        <v>0</v>
      </c>
      <c r="BV46" s="34" t="e">
        <f>IF(VLOOKUP(BT46,#REF!,8,0)=0,"",VLOOKUP(BT46,#REF!,8,0))</f>
        <v>#REF!</v>
      </c>
      <c r="BW46" s="47" t="e">
        <f ca="1">IF(BU46=0,RANDBETWEEN(VLOOKUP(BT46,#REF!,13,0),VLOOKUP(BT46,#REF!,14,0)),RANDBETWEEN(VLOOKUP(BU46,$CO:$CR,2,0)/100*VLOOKUP(BT46,#REF!,13,0),VLOOKUP(BU46,$CO:$CR,2,0)/100*VLOOKUP(BT46,#REF!,14,0)))</f>
        <v>#REF!</v>
      </c>
      <c r="BX46" s="47" t="e">
        <f>VLOOKUP(BT46,#REF!,9,0)</f>
        <v>#REF!</v>
      </c>
      <c r="BY46" s="47" t="e">
        <f ca="1">IF(BU46=0,RANDBETWEEN(VLOOKUP(BT46,#REF!,26,0),VLOOKUP(BT46,#REF!,27,0)),RANDBETWEEN(VLOOKUP(BU46,$CO:$CR,3,0)/100*VLOOKUP(BT46,#REF!,26,0),VLOOKUP(BU46,$CO:$CR,3,0)/100*VLOOKUP(BT46,#REF!,27,0)))</f>
        <v>#REF!</v>
      </c>
      <c r="BZ46" s="47" t="e">
        <f>IF(VLOOKUP(BT46,#REF!,22,0)=0,"",VLOOKUP(BT46,#REF!,22,0))</f>
        <v>#REF!</v>
      </c>
      <c r="CA46" s="47" t="e">
        <f ca="1">IF(BU46=0,RANDBETWEEN(VLOOKUP(BT46,#REF!,39,0),VLOOKUP(BT46,#REF!,40,0)),RANDBETWEEN(VLOOKUP(BU46,$CO:$CR,4,0)/100*VLOOKUP(BT46,#REF!,39,0),VLOOKUP(BU46,$CO:$CR,4,0)/100*VLOOKUP(BT46,#REF!,40,0)))</f>
        <v>#REF!</v>
      </c>
      <c r="CB46" s="47" t="e">
        <f>IF(VLOOKUP(BT46,#REF!,35,0)=0,"",VLOOKUP(BT46,#REF!,35,0))</f>
        <v>#REF!</v>
      </c>
      <c r="CO46" s="50">
        <v>41</v>
      </c>
      <c r="CP46" s="50">
        <v>225</v>
      </c>
      <c r="CQ46" s="50">
        <v>696</v>
      </c>
      <c r="CR46" s="50">
        <v>1730</v>
      </c>
      <c r="CS46" s="52">
        <v>246</v>
      </c>
      <c r="CT46" s="52">
        <v>500</v>
      </c>
      <c r="CU46" s="52">
        <v>745</v>
      </c>
      <c r="CY46" t="str">
        <f t="shared" si="20"/>
        <v>单</v>
      </c>
      <c r="CZ46" s="47">
        <v>20040</v>
      </c>
      <c r="DA46" s="34">
        <v>1</v>
      </c>
      <c r="DB46" s="54">
        <v>-20</v>
      </c>
      <c r="DC46" s="34">
        <v>1</v>
      </c>
      <c r="DD46" s="34">
        <v>4</v>
      </c>
      <c r="DE46" s="34"/>
      <c r="DF46" s="34"/>
      <c r="DG46" s="34">
        <v>75</v>
      </c>
      <c r="DH46" s="34">
        <v>75</v>
      </c>
      <c r="DI46" t="s">
        <v>3783</v>
      </c>
      <c r="DJ46" t="s">
        <v>3910</v>
      </c>
      <c r="DK46" t="s">
        <v>3908</v>
      </c>
      <c r="DL46" s="9">
        <f t="shared" si="21"/>
        <v>1</v>
      </c>
      <c r="DM46" s="9">
        <f t="shared" si="22"/>
        <v>4</v>
      </c>
      <c r="DP46">
        <f t="shared" si="23"/>
        <v>3</v>
      </c>
    </row>
    <row r="47" spans="10:120" x14ac:dyDescent="0.2">
      <c r="K47" s="9"/>
      <c r="Y47" s="34">
        <v>43</v>
      </c>
      <c r="Z47" s="34">
        <f>ROUND(VLOOKUP(Y47,刀数数据支持!$L:$Q,3,0)*(1+((Y47-1)*2+25)*0.01*(1+AB47/100)),2)</f>
        <v>141.51</v>
      </c>
      <c r="AA47" s="34">
        <f>ROUND(VLOOKUP(Y47,刀数数据支持!$L:$Q,6,0)*(1+((Y47-1)*5+25)*0.01)*(1+AB47/100),2)</f>
        <v>368.78</v>
      </c>
      <c r="AB47" s="34">
        <f>VLOOKUP(Y47,刀数数据支持!$S:$T,2,0)</f>
        <v>105</v>
      </c>
      <c r="AC47" s="34">
        <f>ROUND(刀数数据支持!AY45*(1-刀数数据支持!BA45/100),1)</f>
        <v>7204.6</v>
      </c>
      <c r="AD47" s="34" t="str">
        <f>刀数数据支持!AZ45</f>
        <v>火蛇Lv17</v>
      </c>
      <c r="AE47" s="34">
        <f t="shared" si="42"/>
        <v>276</v>
      </c>
      <c r="AF47" s="34">
        <f t="shared" si="43"/>
        <v>1.96</v>
      </c>
      <c r="AG47" s="34">
        <f t="shared" si="24"/>
        <v>0.75</v>
      </c>
      <c r="AH47" s="34">
        <f t="shared" si="25"/>
        <v>0.04</v>
      </c>
      <c r="BS47" s="34" t="e">
        <f>#REF!</f>
        <v>#REF!</v>
      </c>
      <c r="BT47" s="34" t="e">
        <f>#REF!</f>
        <v>#REF!</v>
      </c>
      <c r="BU47" s="34">
        <v>0</v>
      </c>
      <c r="BV47" s="34" t="e">
        <f>IF(VLOOKUP(BT47,#REF!,8,0)=0,"",VLOOKUP(BT47,#REF!,8,0))</f>
        <v>#REF!</v>
      </c>
      <c r="BW47" s="47" t="e">
        <f ca="1">IF(BU47=0,RANDBETWEEN(VLOOKUP(BT47,#REF!,13,0),VLOOKUP(BT47,#REF!,14,0)),RANDBETWEEN(VLOOKUP(BU47,$CO:$CR,2,0)/100*VLOOKUP(BT47,#REF!,13,0),VLOOKUP(BU47,$CO:$CR,2,0)/100*VLOOKUP(BT47,#REF!,14,0)))</f>
        <v>#REF!</v>
      </c>
      <c r="BX47" s="47" t="e">
        <f>VLOOKUP(BT47,#REF!,9,0)</f>
        <v>#REF!</v>
      </c>
      <c r="BY47" s="47" t="e">
        <f ca="1">IF(BU47=0,RANDBETWEEN(VLOOKUP(BT47,#REF!,26,0),VLOOKUP(BT47,#REF!,27,0)),RANDBETWEEN(VLOOKUP(BU47,$CO:$CR,3,0)/100*VLOOKUP(BT47,#REF!,26,0),VLOOKUP(BU47,$CO:$CR,3,0)/100*VLOOKUP(BT47,#REF!,27,0)))</f>
        <v>#REF!</v>
      </c>
      <c r="BZ47" s="47" t="e">
        <f>IF(VLOOKUP(BT47,#REF!,22,0)=0,"",VLOOKUP(BT47,#REF!,22,0))</f>
        <v>#REF!</v>
      </c>
      <c r="CA47" s="47" t="e">
        <f ca="1">IF(BU47=0,RANDBETWEEN(VLOOKUP(BT47,#REF!,39,0),VLOOKUP(BT47,#REF!,40,0)),RANDBETWEEN(VLOOKUP(BU47,$CO:$CR,4,0)/100*VLOOKUP(BT47,#REF!,39,0),VLOOKUP(BU47,$CO:$CR,4,0)/100*VLOOKUP(BT47,#REF!,40,0)))</f>
        <v>#REF!</v>
      </c>
      <c r="CB47" s="47" t="e">
        <f>IF(VLOOKUP(BT47,#REF!,35,0)=0,"",VLOOKUP(BT47,#REF!,35,0))</f>
        <v>#REF!</v>
      </c>
      <c r="CO47" s="50">
        <v>42</v>
      </c>
      <c r="CP47" s="50">
        <v>234</v>
      </c>
      <c r="CQ47" s="50">
        <v>729</v>
      </c>
      <c r="CR47" s="50">
        <v>1752</v>
      </c>
      <c r="CS47" s="52">
        <v>252</v>
      </c>
      <c r="CT47" s="52">
        <v>510</v>
      </c>
      <c r="CU47" s="52">
        <v>760</v>
      </c>
      <c r="CY47" t="str">
        <f t="shared" si="20"/>
        <v>单</v>
      </c>
      <c r="CZ47" s="47">
        <v>20041</v>
      </c>
      <c r="DA47" s="34">
        <v>1</v>
      </c>
      <c r="DB47" s="54"/>
      <c r="DC47" s="34">
        <v>3</v>
      </c>
      <c r="DD47" s="34">
        <v>9</v>
      </c>
      <c r="DE47" s="34"/>
      <c r="DF47" s="34"/>
      <c r="DG47" s="34">
        <v>75</v>
      </c>
      <c r="DH47" s="34">
        <v>75</v>
      </c>
      <c r="DI47" t="s">
        <v>3783</v>
      </c>
      <c r="DJ47" t="s">
        <v>3911</v>
      </c>
      <c r="DK47" t="s">
        <v>3908</v>
      </c>
      <c r="DL47" s="9">
        <f t="shared" si="21"/>
        <v>3</v>
      </c>
      <c r="DM47" s="9">
        <f t="shared" si="22"/>
        <v>9</v>
      </c>
      <c r="DO47" s="9">
        <v>25</v>
      </c>
      <c r="DP47">
        <f t="shared" si="23"/>
        <v>6</v>
      </c>
    </row>
    <row r="48" spans="10:120" x14ac:dyDescent="0.2">
      <c r="K48" s="9"/>
      <c r="Y48" s="34">
        <v>44</v>
      </c>
      <c r="Z48" s="34">
        <f>ROUND(VLOOKUP(Y48,刀数数据支持!$L:$Q,3,0)*(1+((Y48-1)*2+25)*0.01*(1+AB48/100)),2)</f>
        <v>146.75</v>
      </c>
      <c r="AA48" s="34">
        <f>ROUND(VLOOKUP(Y48,刀数数据支持!$L:$Q,6,0)*(1+((Y48-1)*5+25)*0.01)*(1+AB48/100),2)</f>
        <v>381.18</v>
      </c>
      <c r="AB48" s="34">
        <f>VLOOKUP(Y48,刀数数据支持!$S:$T,2,0)</f>
        <v>107</v>
      </c>
      <c r="AC48" s="34">
        <f>ROUND(刀数数据支持!AY46*(1-刀数数据支持!BA46/100),1)</f>
        <v>8164.7</v>
      </c>
      <c r="AD48" s="34" t="str">
        <f>刀数数据支持!AZ46</f>
        <v>火蛇Lv18</v>
      </c>
      <c r="AE48" s="34">
        <f t="shared" si="42"/>
        <v>287.36</v>
      </c>
      <c r="AF48" s="34">
        <f t="shared" si="43"/>
        <v>1.96</v>
      </c>
      <c r="AG48" s="34">
        <f t="shared" si="24"/>
        <v>0.76</v>
      </c>
      <c r="AH48" s="34">
        <f t="shared" si="25"/>
        <v>0.04</v>
      </c>
      <c r="BS48" s="34" t="e">
        <f>#REF!</f>
        <v>#REF!</v>
      </c>
      <c r="BT48" s="34" t="e">
        <f>#REF!</f>
        <v>#REF!</v>
      </c>
      <c r="BU48" s="34">
        <v>0</v>
      </c>
      <c r="BV48" s="34" t="e">
        <f>IF(VLOOKUP(BT48,#REF!,8,0)=0,"",VLOOKUP(BT48,#REF!,8,0))</f>
        <v>#REF!</v>
      </c>
      <c r="BW48" s="47" t="e">
        <f ca="1">IF(BU48=0,RANDBETWEEN(VLOOKUP(BT48,#REF!,13,0),VLOOKUP(BT48,#REF!,14,0)),RANDBETWEEN(VLOOKUP(BU48,$CO:$CR,2,0)/100*VLOOKUP(BT48,#REF!,13,0),VLOOKUP(BU48,$CO:$CR,2,0)/100*VLOOKUP(BT48,#REF!,14,0)))</f>
        <v>#REF!</v>
      </c>
      <c r="BX48" s="47" t="e">
        <f>VLOOKUP(BT48,#REF!,9,0)</f>
        <v>#REF!</v>
      </c>
      <c r="BY48" s="47" t="e">
        <f ca="1">IF(BU48=0,RANDBETWEEN(VLOOKUP(BT48,#REF!,26,0),VLOOKUP(BT48,#REF!,27,0)),RANDBETWEEN(VLOOKUP(BU48,$CO:$CR,3,0)/100*VLOOKUP(BT48,#REF!,26,0),VLOOKUP(BU48,$CO:$CR,3,0)/100*VLOOKUP(BT48,#REF!,27,0)))</f>
        <v>#REF!</v>
      </c>
      <c r="BZ48" s="47" t="e">
        <f>IF(VLOOKUP(BT48,#REF!,22,0)=0,"",VLOOKUP(BT48,#REF!,22,0))</f>
        <v>#REF!</v>
      </c>
      <c r="CA48" s="47" t="e">
        <f ca="1">IF(BU48=0,RANDBETWEEN(VLOOKUP(BT48,#REF!,39,0),VLOOKUP(BT48,#REF!,40,0)),RANDBETWEEN(VLOOKUP(BU48,$CO:$CR,4,0)/100*VLOOKUP(BT48,#REF!,39,0),VLOOKUP(BU48,$CO:$CR,4,0)/100*VLOOKUP(BT48,#REF!,40,0)))</f>
        <v>#REF!</v>
      </c>
      <c r="CB48" s="47" t="e">
        <f>IF(VLOOKUP(BT48,#REF!,35,0)=0,"",VLOOKUP(BT48,#REF!,35,0))</f>
        <v>#REF!</v>
      </c>
      <c r="CO48" s="50">
        <v>43</v>
      </c>
      <c r="CP48" s="50">
        <v>243</v>
      </c>
      <c r="CQ48" s="50">
        <v>764</v>
      </c>
      <c r="CR48" s="50">
        <v>1775</v>
      </c>
      <c r="CS48" s="52">
        <v>258</v>
      </c>
      <c r="CT48" s="52">
        <v>520</v>
      </c>
      <c r="CU48" s="52">
        <v>775</v>
      </c>
      <c r="CY48" t="str">
        <f t="shared" si="20"/>
        <v>单</v>
      </c>
      <c r="CZ48" s="47">
        <v>20042</v>
      </c>
      <c r="DA48" s="34">
        <v>1</v>
      </c>
      <c r="DB48" s="54">
        <v>-20</v>
      </c>
      <c r="DC48" s="34">
        <v>2</v>
      </c>
      <c r="DD48" s="34">
        <v>11</v>
      </c>
      <c r="DE48" s="34"/>
      <c r="DF48" s="34"/>
      <c r="DG48" s="34">
        <v>75</v>
      </c>
      <c r="DH48" s="34">
        <v>75</v>
      </c>
      <c r="DI48" t="s">
        <v>3783</v>
      </c>
      <c r="DJ48" t="s">
        <v>3912</v>
      </c>
      <c r="DK48" t="s">
        <v>3913</v>
      </c>
      <c r="DL48" s="9">
        <f t="shared" si="21"/>
        <v>2</v>
      </c>
      <c r="DM48" s="9">
        <f t="shared" si="22"/>
        <v>11</v>
      </c>
      <c r="DO48" s="9">
        <v>45</v>
      </c>
      <c r="DP48">
        <f t="shared" si="23"/>
        <v>7.8</v>
      </c>
    </row>
    <row r="49" spans="11:120" x14ac:dyDescent="0.2">
      <c r="K49" s="9"/>
      <c r="Y49" s="34">
        <v>45</v>
      </c>
      <c r="Z49" s="34">
        <f>ROUND(VLOOKUP(Y49,刀数数据支持!$L:$Q,3,0)*(1+((Y49-1)*2+25)*0.01*(1+AB49/100)),2)</f>
        <v>152.12</v>
      </c>
      <c r="AA49" s="34">
        <f>ROUND(VLOOKUP(Y49,刀数数据支持!$L:$Q,6,0)*(1+((Y49-1)*5+25)*0.01)*(1+AB49/100),2)</f>
        <v>393.84</v>
      </c>
      <c r="AB49" s="34">
        <f>VLOOKUP(Y49,刀数数据支持!$S:$T,2,0)</f>
        <v>109</v>
      </c>
      <c r="AC49" s="34">
        <f>ROUND(刀数数据支持!AY47*(1-刀数数据支持!BA47/100),1)</f>
        <v>8536.2000000000007</v>
      </c>
      <c r="AD49" s="34" t="str">
        <f>刀数数据支持!AZ47</f>
        <v>火蛇Lv19</v>
      </c>
      <c r="AE49" s="34">
        <f t="shared" si="42"/>
        <v>297.58</v>
      </c>
      <c r="AF49" s="34">
        <f t="shared" si="43"/>
        <v>1.96</v>
      </c>
      <c r="AG49" s="34">
        <f t="shared" si="24"/>
        <v>0.76</v>
      </c>
      <c r="AH49" s="34">
        <f t="shared" si="25"/>
        <v>0.03</v>
      </c>
      <c r="BS49" s="34" t="e">
        <f>#REF!</f>
        <v>#REF!</v>
      </c>
      <c r="BT49" s="34" t="e">
        <f>#REF!</f>
        <v>#REF!</v>
      </c>
      <c r="BU49" s="34">
        <v>0</v>
      </c>
      <c r="BV49" s="34" t="e">
        <f>IF(VLOOKUP(BT49,#REF!,8,0)=0,"",VLOOKUP(BT49,#REF!,8,0))</f>
        <v>#REF!</v>
      </c>
      <c r="BW49" s="47" t="e">
        <f ca="1">IF(BU49=0,RANDBETWEEN(VLOOKUP(BT49,#REF!,13,0),VLOOKUP(BT49,#REF!,14,0)),RANDBETWEEN(VLOOKUP(BU49,$CO:$CR,2,0)/100*VLOOKUP(BT49,#REF!,13,0),VLOOKUP(BU49,$CO:$CR,2,0)/100*VLOOKUP(BT49,#REF!,14,0)))</f>
        <v>#REF!</v>
      </c>
      <c r="BX49" s="47" t="e">
        <f>VLOOKUP(BT49,#REF!,9,0)</f>
        <v>#REF!</v>
      </c>
      <c r="BY49" s="47" t="e">
        <f ca="1">IF(BU49=0,RANDBETWEEN(VLOOKUP(BT49,#REF!,26,0),VLOOKUP(BT49,#REF!,27,0)),RANDBETWEEN(VLOOKUP(BU49,$CO:$CR,3,0)/100*VLOOKUP(BT49,#REF!,26,0),VLOOKUP(BU49,$CO:$CR,3,0)/100*VLOOKUP(BT49,#REF!,27,0)))</f>
        <v>#REF!</v>
      </c>
      <c r="BZ49" s="47" t="e">
        <f>IF(VLOOKUP(BT49,#REF!,22,0)=0,"",VLOOKUP(BT49,#REF!,22,0))</f>
        <v>#REF!</v>
      </c>
      <c r="CA49" s="47" t="e">
        <f ca="1">IF(BU49=0,RANDBETWEEN(VLOOKUP(BT49,#REF!,39,0),VLOOKUP(BT49,#REF!,40,0)),RANDBETWEEN(VLOOKUP(BU49,$CO:$CR,4,0)/100*VLOOKUP(BT49,#REF!,39,0),VLOOKUP(BU49,$CO:$CR,4,0)/100*VLOOKUP(BT49,#REF!,40,0)))</f>
        <v>#REF!</v>
      </c>
      <c r="CB49" s="47" t="e">
        <f>IF(VLOOKUP(BT49,#REF!,35,0)=0,"",VLOOKUP(BT49,#REF!,35,0))</f>
        <v>#REF!</v>
      </c>
      <c r="CO49" s="50">
        <v>44</v>
      </c>
      <c r="CP49" s="50">
        <v>253</v>
      </c>
      <c r="CQ49" s="50">
        <v>797</v>
      </c>
      <c r="CR49" s="50">
        <v>1797</v>
      </c>
      <c r="CS49" s="52">
        <v>264</v>
      </c>
      <c r="CT49" s="52">
        <v>530</v>
      </c>
      <c r="CU49" s="52">
        <v>791</v>
      </c>
      <c r="CY49" t="str">
        <f t="shared" si="20"/>
        <v>单</v>
      </c>
      <c r="CZ49" s="47">
        <v>20043</v>
      </c>
      <c r="DA49" s="34">
        <v>1</v>
      </c>
      <c r="DB49" s="54">
        <v>-10</v>
      </c>
      <c r="DC49" s="34">
        <v>4</v>
      </c>
      <c r="DD49" s="34">
        <v>15</v>
      </c>
      <c r="DE49" s="34"/>
      <c r="DF49" s="34"/>
      <c r="DG49" s="34">
        <v>75</v>
      </c>
      <c r="DH49" s="34">
        <v>75</v>
      </c>
      <c r="DI49" t="s">
        <v>3783</v>
      </c>
      <c r="DJ49" t="s">
        <v>3914</v>
      </c>
      <c r="DK49" t="s">
        <v>3915</v>
      </c>
      <c r="DL49" s="9">
        <f t="shared" si="21"/>
        <v>4</v>
      </c>
      <c r="DM49" s="9">
        <f t="shared" si="22"/>
        <v>15</v>
      </c>
      <c r="DN49" s="9">
        <v>35</v>
      </c>
      <c r="DO49" s="9">
        <v>51</v>
      </c>
      <c r="DP49">
        <f t="shared" si="23"/>
        <v>10.450000000000001</v>
      </c>
    </row>
    <row r="50" spans="11:120" x14ac:dyDescent="0.2">
      <c r="K50" s="9"/>
      <c r="Y50" s="34">
        <v>46</v>
      </c>
      <c r="Z50" s="34">
        <f>ROUND(VLOOKUP(Y50,刀数数据支持!$L:$Q,3,0)*(1+((Y50-1)*2+25)*0.01*(1+AB50/100)),2)</f>
        <v>157.62</v>
      </c>
      <c r="AA50" s="34">
        <f>ROUND(VLOOKUP(Y50,刀数数据支持!$L:$Q,6,0)*(1+((Y50-1)*5+25)*0.01)*(1+AB50/100),2)</f>
        <v>406.77</v>
      </c>
      <c r="AB50" s="34">
        <f>VLOOKUP(Y50,刀数数据支持!$S:$T,2,0)</f>
        <v>111</v>
      </c>
      <c r="AC50" s="34">
        <f>ROUND(刀数数据支持!AY48*(1-刀数数据支持!BA48/100),1)</f>
        <v>9040.7000000000007</v>
      </c>
      <c r="AD50" s="34" t="str">
        <f>刀数数据支持!AZ48</f>
        <v>火蛇Lv20</v>
      </c>
      <c r="AE50" s="34">
        <f t="shared" si="42"/>
        <v>307.8</v>
      </c>
      <c r="AF50" s="34">
        <f t="shared" si="43"/>
        <v>1.96</v>
      </c>
      <c r="AG50" s="34">
        <f t="shared" si="24"/>
        <v>0.76</v>
      </c>
      <c r="AH50" s="34">
        <f t="shared" si="25"/>
        <v>0.03</v>
      </c>
      <c r="BS50" s="34" t="e">
        <f>#REF!</f>
        <v>#REF!</v>
      </c>
      <c r="BT50" s="34" t="e">
        <f>#REF!</f>
        <v>#REF!</v>
      </c>
      <c r="BU50" s="34">
        <v>0</v>
      </c>
      <c r="BV50" s="34" t="e">
        <f>IF(VLOOKUP(BT50,#REF!,8,0)=0,"",VLOOKUP(BT50,#REF!,8,0))</f>
        <v>#REF!</v>
      </c>
      <c r="BW50" s="47" t="e">
        <f ca="1">IF(BU50=0,RANDBETWEEN(VLOOKUP(BT50,#REF!,13,0),VLOOKUP(BT50,#REF!,14,0)),RANDBETWEEN(VLOOKUP(BU50,$CO:$CR,2,0)/100*VLOOKUP(BT50,#REF!,13,0),VLOOKUP(BU50,$CO:$CR,2,0)/100*VLOOKUP(BT50,#REF!,14,0)))</f>
        <v>#REF!</v>
      </c>
      <c r="BX50" s="47" t="e">
        <f>VLOOKUP(BT50,#REF!,9,0)</f>
        <v>#REF!</v>
      </c>
      <c r="BY50" s="47" t="e">
        <f ca="1">IF(BU50=0,RANDBETWEEN(VLOOKUP(BT50,#REF!,26,0),VLOOKUP(BT50,#REF!,27,0)),RANDBETWEEN(VLOOKUP(BU50,$CO:$CR,3,0)/100*VLOOKUP(BT50,#REF!,26,0),VLOOKUP(BU50,$CO:$CR,3,0)/100*VLOOKUP(BT50,#REF!,27,0)))</f>
        <v>#REF!</v>
      </c>
      <c r="BZ50" s="47" t="e">
        <f>IF(VLOOKUP(BT50,#REF!,22,0)=0,"",VLOOKUP(BT50,#REF!,22,0))</f>
        <v>#REF!</v>
      </c>
      <c r="CA50" s="47" t="e">
        <f ca="1">IF(BU50=0,RANDBETWEEN(VLOOKUP(BT50,#REF!,39,0),VLOOKUP(BT50,#REF!,40,0)),RANDBETWEEN(VLOOKUP(BU50,$CO:$CR,4,0)/100*VLOOKUP(BT50,#REF!,39,0),VLOOKUP(BU50,$CO:$CR,4,0)/100*VLOOKUP(BT50,#REF!,40,0)))</f>
        <v>#REF!</v>
      </c>
      <c r="CB50" s="47" t="e">
        <f>IF(VLOOKUP(BT50,#REF!,35,0)=0,"",VLOOKUP(BT50,#REF!,35,0))</f>
        <v>#REF!</v>
      </c>
      <c r="CO50" s="50">
        <v>45</v>
      </c>
      <c r="CP50" s="50">
        <v>262</v>
      </c>
      <c r="CQ50" s="50">
        <v>832</v>
      </c>
      <c r="CR50" s="50">
        <v>1820</v>
      </c>
      <c r="CS50" s="52">
        <v>270</v>
      </c>
      <c r="CT50" s="52">
        <v>541</v>
      </c>
      <c r="CU50" s="52">
        <v>805</v>
      </c>
      <c r="CY50" t="str">
        <f t="shared" si="20"/>
        <v>单</v>
      </c>
      <c r="CZ50" s="47">
        <v>20044</v>
      </c>
      <c r="DA50" s="34">
        <v>1</v>
      </c>
      <c r="DB50" s="54"/>
      <c r="DC50" s="34">
        <v>2</v>
      </c>
      <c r="DD50" s="34">
        <v>3</v>
      </c>
      <c r="DE50" s="34"/>
      <c r="DF50" s="34"/>
      <c r="DG50" s="34">
        <v>75</v>
      </c>
      <c r="DH50" s="34">
        <v>75</v>
      </c>
      <c r="DI50" t="s">
        <v>3783</v>
      </c>
      <c r="DJ50" t="s">
        <v>3916</v>
      </c>
      <c r="DK50" t="s">
        <v>3913</v>
      </c>
      <c r="DL50" s="9">
        <f t="shared" si="21"/>
        <v>2</v>
      </c>
      <c r="DM50" s="9">
        <f t="shared" si="22"/>
        <v>3</v>
      </c>
      <c r="DO50" s="9">
        <v>21</v>
      </c>
      <c r="DP50">
        <f t="shared" si="23"/>
        <v>2.5</v>
      </c>
    </row>
    <row r="51" spans="11:120" x14ac:dyDescent="0.2">
      <c r="K51" s="9"/>
      <c r="Y51" s="34">
        <v>47</v>
      </c>
      <c r="Z51" s="34">
        <f>ROUND(VLOOKUP(Y51,刀数数据支持!$L:$Q,3,0)*(1+((Y51-1)*2+25)*0.01*(1+AB51/100)),2)</f>
        <v>162.97999999999999</v>
      </c>
      <c r="AA51" s="34">
        <f>ROUND(VLOOKUP(Y51,刀数数据支持!$L:$Q,6,0)*(1+((Y51-1)*5+25)*0.01)*(1+AB51/100),2)</f>
        <v>419.97</v>
      </c>
      <c r="AB51" s="34">
        <f>VLOOKUP(Y51,刀数数据支持!$S:$T,2,0)</f>
        <v>113</v>
      </c>
      <c r="AC51" s="34">
        <f>ROUND(刀数数据支持!AY49*(1-刀数数据支持!BA49/100),1)</f>
        <v>9461.2000000000007</v>
      </c>
      <c r="AD51" s="34" t="str">
        <f>刀数数据支持!AZ49</f>
        <v>火蛇Lv21</v>
      </c>
      <c r="AE51" s="34">
        <f t="shared" si="42"/>
        <v>319.16000000000003</v>
      </c>
      <c r="AF51" s="34">
        <f t="shared" si="43"/>
        <v>1.96</v>
      </c>
      <c r="AG51" s="34">
        <f t="shared" si="24"/>
        <v>0.76</v>
      </c>
      <c r="AH51" s="34">
        <f t="shared" si="25"/>
        <v>0.03</v>
      </c>
      <c r="BS51" s="34" t="e">
        <f>#REF!</f>
        <v>#REF!</v>
      </c>
      <c r="BT51" s="34" t="e">
        <f>#REF!</f>
        <v>#REF!</v>
      </c>
      <c r="BU51" s="34">
        <v>0</v>
      </c>
      <c r="BV51" s="34" t="e">
        <f>IF(VLOOKUP(BT51,#REF!,8,0)=0,"",VLOOKUP(BT51,#REF!,8,0))</f>
        <v>#REF!</v>
      </c>
      <c r="BW51" s="47" t="e">
        <f ca="1">IF(BU51=0,RANDBETWEEN(VLOOKUP(BT51,#REF!,13,0),VLOOKUP(BT51,#REF!,14,0)),RANDBETWEEN(VLOOKUP(BU51,$CO:$CR,2,0)/100*VLOOKUP(BT51,#REF!,13,0),VLOOKUP(BU51,$CO:$CR,2,0)/100*VLOOKUP(BT51,#REF!,14,0)))</f>
        <v>#REF!</v>
      </c>
      <c r="BX51" s="47" t="e">
        <f>VLOOKUP(BT51,#REF!,9,0)</f>
        <v>#REF!</v>
      </c>
      <c r="BY51" s="47" t="e">
        <f ca="1">IF(BU51=0,RANDBETWEEN(VLOOKUP(BT51,#REF!,26,0),VLOOKUP(BT51,#REF!,27,0)),RANDBETWEEN(VLOOKUP(BU51,$CO:$CR,3,0)/100*VLOOKUP(BT51,#REF!,26,0),VLOOKUP(BU51,$CO:$CR,3,0)/100*VLOOKUP(BT51,#REF!,27,0)))</f>
        <v>#REF!</v>
      </c>
      <c r="BZ51" s="47" t="e">
        <f>IF(VLOOKUP(BT51,#REF!,22,0)=0,"",VLOOKUP(BT51,#REF!,22,0))</f>
        <v>#REF!</v>
      </c>
      <c r="CA51" s="47" t="e">
        <f ca="1">IF(BU51=0,RANDBETWEEN(VLOOKUP(BT51,#REF!,39,0),VLOOKUP(BT51,#REF!,40,0)),RANDBETWEEN(VLOOKUP(BU51,$CO:$CR,4,0)/100*VLOOKUP(BT51,#REF!,39,0),VLOOKUP(BU51,$CO:$CR,4,0)/100*VLOOKUP(BT51,#REF!,40,0)))</f>
        <v>#REF!</v>
      </c>
      <c r="CB51" s="47" t="e">
        <f>IF(VLOOKUP(BT51,#REF!,35,0)=0,"",VLOOKUP(BT51,#REF!,35,0))</f>
        <v>#REF!</v>
      </c>
      <c r="CO51" s="50">
        <v>46</v>
      </c>
      <c r="CP51" s="50">
        <v>271</v>
      </c>
      <c r="CQ51" s="50">
        <v>867</v>
      </c>
      <c r="CR51" s="50">
        <v>1842</v>
      </c>
      <c r="CS51" s="52">
        <v>276</v>
      </c>
      <c r="CT51" s="52">
        <v>551</v>
      </c>
      <c r="CU51" s="52">
        <v>820</v>
      </c>
      <c r="CY51" t="str">
        <f t="shared" si="20"/>
        <v>单</v>
      </c>
      <c r="CZ51" s="47">
        <v>20045</v>
      </c>
      <c r="DA51" s="34">
        <v>1</v>
      </c>
      <c r="DB51" s="54">
        <v>10</v>
      </c>
      <c r="DC51" s="34">
        <v>4</v>
      </c>
      <c r="DD51" s="34">
        <v>7</v>
      </c>
      <c r="DE51" s="34"/>
      <c r="DF51" s="34"/>
      <c r="DG51" s="34">
        <v>75</v>
      </c>
      <c r="DH51" s="34">
        <v>75</v>
      </c>
      <c r="DI51" t="s">
        <v>3783</v>
      </c>
      <c r="DJ51" t="s">
        <v>3917</v>
      </c>
      <c r="DK51" t="s">
        <v>3915</v>
      </c>
      <c r="DL51" s="9">
        <f t="shared" si="21"/>
        <v>4</v>
      </c>
      <c r="DM51" s="9">
        <f t="shared" si="22"/>
        <v>7</v>
      </c>
      <c r="DO51" s="9">
        <v>40</v>
      </c>
      <c r="DP51">
        <f t="shared" si="23"/>
        <v>4.95</v>
      </c>
    </row>
    <row r="52" spans="11:120" x14ac:dyDescent="0.2">
      <c r="K52" s="9"/>
      <c r="Y52" s="34">
        <v>48</v>
      </c>
      <c r="Z52" s="34">
        <f>ROUND(VLOOKUP(Y52,刀数数据支持!$L:$Q,3,0)*(1+((Y52-1)*2+25)*0.01*(1+AB52/100)),2)</f>
        <v>168.42</v>
      </c>
      <c r="AA52" s="34">
        <f>ROUND(VLOOKUP(Y52,刀数数据支持!$L:$Q,6,0)*(1+((Y52-1)*5+25)*0.01)*(1+AB52/100),2)</f>
        <v>433.44</v>
      </c>
      <c r="AB52" s="34">
        <f>VLOOKUP(Y52,刀数数据支持!$S:$T,2,0)</f>
        <v>115</v>
      </c>
      <c r="AC52" s="34">
        <f>ROUND(刀数数据支持!AY50*(1-刀数数据支持!BA50/100),1)</f>
        <v>9499.2000000000007</v>
      </c>
      <c r="AD52" s="34" t="str">
        <f>刀数数据支持!AZ50</f>
        <v>火蛇Lv22</v>
      </c>
      <c r="AE52" s="34">
        <f t="shared" si="42"/>
        <v>329.38</v>
      </c>
      <c r="AF52" s="34">
        <f t="shared" si="43"/>
        <v>1.96</v>
      </c>
      <c r="AG52" s="34">
        <f t="shared" si="24"/>
        <v>0.76</v>
      </c>
      <c r="AH52" s="34">
        <f t="shared" si="25"/>
        <v>0.03</v>
      </c>
      <c r="BS52" s="34" t="e">
        <f>#REF!</f>
        <v>#REF!</v>
      </c>
      <c r="BT52" s="34" t="e">
        <f>#REF!</f>
        <v>#REF!</v>
      </c>
      <c r="BU52" s="34">
        <v>0</v>
      </c>
      <c r="BV52" s="34" t="e">
        <f>IF(VLOOKUP(BT52,#REF!,8,0)=0,"",VLOOKUP(BT52,#REF!,8,0))</f>
        <v>#REF!</v>
      </c>
      <c r="BW52" s="47" t="e">
        <f ca="1">IF(BU52=0,RANDBETWEEN(VLOOKUP(BT52,#REF!,13,0),VLOOKUP(BT52,#REF!,14,0)),RANDBETWEEN(VLOOKUP(BU52,$CO:$CR,2,0)/100*VLOOKUP(BT52,#REF!,13,0),VLOOKUP(BU52,$CO:$CR,2,0)/100*VLOOKUP(BT52,#REF!,14,0)))</f>
        <v>#REF!</v>
      </c>
      <c r="BX52" s="47" t="e">
        <f>VLOOKUP(BT52,#REF!,9,0)</f>
        <v>#REF!</v>
      </c>
      <c r="BY52" s="47" t="e">
        <f ca="1">IF(BU52=0,RANDBETWEEN(VLOOKUP(BT52,#REF!,26,0),VLOOKUP(BT52,#REF!,27,0)),RANDBETWEEN(VLOOKUP(BU52,$CO:$CR,3,0)/100*VLOOKUP(BT52,#REF!,26,0),VLOOKUP(BU52,$CO:$CR,3,0)/100*VLOOKUP(BT52,#REF!,27,0)))</f>
        <v>#REF!</v>
      </c>
      <c r="BZ52" s="47" t="e">
        <f>IF(VLOOKUP(BT52,#REF!,22,0)=0,"",VLOOKUP(BT52,#REF!,22,0))</f>
        <v>#REF!</v>
      </c>
      <c r="CA52" s="47" t="e">
        <f ca="1">IF(BU52=0,RANDBETWEEN(VLOOKUP(BT52,#REF!,39,0),VLOOKUP(BT52,#REF!,40,0)),RANDBETWEEN(VLOOKUP(BU52,$CO:$CR,4,0)/100*VLOOKUP(BT52,#REF!,39,0),VLOOKUP(BU52,$CO:$CR,4,0)/100*VLOOKUP(BT52,#REF!,40,0)))</f>
        <v>#REF!</v>
      </c>
      <c r="CB52" s="47" t="e">
        <f>IF(VLOOKUP(BT52,#REF!,35,0)=0,"",VLOOKUP(BT52,#REF!,35,0))</f>
        <v>#REF!</v>
      </c>
      <c r="CO52" s="50">
        <v>47</v>
      </c>
      <c r="CP52" s="50">
        <v>281</v>
      </c>
      <c r="CQ52" s="50">
        <v>900</v>
      </c>
      <c r="CR52" s="50">
        <v>1865</v>
      </c>
      <c r="CS52" s="52">
        <v>282</v>
      </c>
      <c r="CT52" s="52">
        <v>561</v>
      </c>
      <c r="CU52" s="52">
        <v>835</v>
      </c>
      <c r="CY52" t="str">
        <f t="shared" si="20"/>
        <v>单</v>
      </c>
      <c r="CZ52" s="47">
        <v>20046</v>
      </c>
      <c r="DA52" s="34">
        <v>1</v>
      </c>
      <c r="DB52" s="54">
        <v>-20</v>
      </c>
      <c r="DC52" s="34">
        <v>1</v>
      </c>
      <c r="DD52" s="34">
        <v>8</v>
      </c>
      <c r="DE52" s="34"/>
      <c r="DF52" s="34"/>
      <c r="DG52" s="34">
        <v>75</v>
      </c>
      <c r="DH52" s="34">
        <v>75</v>
      </c>
      <c r="DI52" t="s">
        <v>3783</v>
      </c>
      <c r="DJ52" t="s">
        <v>3918</v>
      </c>
      <c r="DK52" t="s">
        <v>3919</v>
      </c>
      <c r="DL52" s="9">
        <f t="shared" si="21"/>
        <v>1</v>
      </c>
      <c r="DM52" s="9">
        <f t="shared" si="22"/>
        <v>8</v>
      </c>
      <c r="DO52" s="9">
        <v>51</v>
      </c>
      <c r="DP52">
        <f t="shared" si="23"/>
        <v>5.3999999999999995</v>
      </c>
    </row>
    <row r="53" spans="11:120" x14ac:dyDescent="0.2">
      <c r="K53" s="9"/>
      <c r="Y53" s="34">
        <v>49</v>
      </c>
      <c r="Z53" s="34">
        <f>ROUND(VLOOKUP(Y53,刀数数据支持!$L:$Q,3,0)*(1+((Y53-1)*2+25)*0.01*(1+AB53/100)),2)</f>
        <v>174.03</v>
      </c>
      <c r="AA53" s="34">
        <f>ROUND(VLOOKUP(Y53,刀数数据支持!$L:$Q,6,0)*(1+((Y53-1)*5+25)*0.01)*(1+AB53/100),2)</f>
        <v>459.39</v>
      </c>
      <c r="AB53" s="34">
        <f>VLOOKUP(Y53,刀数数据支持!$S:$T,2,0)</f>
        <v>117</v>
      </c>
      <c r="AC53" s="34">
        <f>ROUND(刀数数据支持!AY51*(1-刀数数据支持!BA51/100),1)</f>
        <v>9756.7999999999993</v>
      </c>
      <c r="AD53" s="34" t="str">
        <f>刀数数据支持!AZ51</f>
        <v>火蛇Lv23</v>
      </c>
      <c r="AE53" s="34">
        <f t="shared" si="42"/>
        <v>339.6</v>
      </c>
      <c r="AF53" s="34">
        <f t="shared" si="43"/>
        <v>1.96</v>
      </c>
      <c r="AG53" s="34">
        <f t="shared" si="24"/>
        <v>0.74</v>
      </c>
      <c r="AH53" s="34">
        <f t="shared" si="25"/>
        <v>0.03</v>
      </c>
      <c r="BS53" s="34" t="e">
        <f>#REF!</f>
        <v>#REF!</v>
      </c>
      <c r="BT53" s="34" t="e">
        <f>#REF!</f>
        <v>#REF!</v>
      </c>
      <c r="BU53" s="34">
        <v>0</v>
      </c>
      <c r="BV53" s="34" t="e">
        <f>IF(VLOOKUP(BT53,#REF!,8,0)=0,"",VLOOKUP(BT53,#REF!,8,0))</f>
        <v>#REF!</v>
      </c>
      <c r="BW53" s="47" t="e">
        <f ca="1">IF(BU53=0,RANDBETWEEN(VLOOKUP(BT53,#REF!,13,0),VLOOKUP(BT53,#REF!,14,0)),RANDBETWEEN(VLOOKUP(BU53,$CO:$CR,2,0)/100*VLOOKUP(BT53,#REF!,13,0),VLOOKUP(BU53,$CO:$CR,2,0)/100*VLOOKUP(BT53,#REF!,14,0)))</f>
        <v>#REF!</v>
      </c>
      <c r="BX53" s="47" t="e">
        <f>VLOOKUP(BT53,#REF!,9,0)</f>
        <v>#REF!</v>
      </c>
      <c r="BY53" s="47" t="e">
        <f ca="1">IF(BU53=0,RANDBETWEEN(VLOOKUP(BT53,#REF!,26,0),VLOOKUP(BT53,#REF!,27,0)),RANDBETWEEN(VLOOKUP(BU53,$CO:$CR,3,0)/100*VLOOKUP(BT53,#REF!,26,0),VLOOKUP(BU53,$CO:$CR,3,0)/100*VLOOKUP(BT53,#REF!,27,0)))</f>
        <v>#REF!</v>
      </c>
      <c r="BZ53" s="47" t="e">
        <f>IF(VLOOKUP(BT53,#REF!,22,0)=0,"",VLOOKUP(BT53,#REF!,22,0))</f>
        <v>#REF!</v>
      </c>
      <c r="CA53" s="47" t="e">
        <f ca="1">IF(BU53=0,RANDBETWEEN(VLOOKUP(BT53,#REF!,39,0),VLOOKUP(BT53,#REF!,40,0)),RANDBETWEEN(VLOOKUP(BU53,$CO:$CR,4,0)/100*VLOOKUP(BT53,#REF!,39,0),VLOOKUP(BU53,$CO:$CR,4,0)/100*VLOOKUP(BT53,#REF!,40,0)))</f>
        <v>#REF!</v>
      </c>
      <c r="CB53" s="47" t="e">
        <f>IF(VLOOKUP(BT53,#REF!,35,0)=0,"",VLOOKUP(BT53,#REF!,35,0))</f>
        <v>#REF!</v>
      </c>
      <c r="CO53" s="50">
        <v>48</v>
      </c>
      <c r="CP53" s="50">
        <v>290</v>
      </c>
      <c r="CQ53" s="50">
        <v>935</v>
      </c>
      <c r="CR53" s="50">
        <v>1887</v>
      </c>
      <c r="CS53" s="52">
        <v>288</v>
      </c>
      <c r="CT53" s="52">
        <v>571</v>
      </c>
      <c r="CU53" s="52">
        <v>850</v>
      </c>
      <c r="CY53" t="str">
        <f t="shared" si="20"/>
        <v>单</v>
      </c>
      <c r="CZ53" s="47">
        <v>20047</v>
      </c>
      <c r="DA53" s="34">
        <v>1</v>
      </c>
      <c r="DB53" s="54">
        <v>-10</v>
      </c>
      <c r="DC53" s="34">
        <v>5</v>
      </c>
      <c r="DD53" s="34">
        <v>10</v>
      </c>
      <c r="DE53" s="34"/>
      <c r="DF53" s="34"/>
      <c r="DG53" s="34">
        <v>75</v>
      </c>
      <c r="DH53" s="34">
        <v>75</v>
      </c>
      <c r="DI53" t="s">
        <v>3783</v>
      </c>
      <c r="DJ53" t="s">
        <v>3920</v>
      </c>
      <c r="DK53" t="s">
        <v>3919</v>
      </c>
      <c r="DL53" s="9">
        <f t="shared" si="21"/>
        <v>5</v>
      </c>
      <c r="DM53" s="9">
        <f t="shared" si="22"/>
        <v>10</v>
      </c>
      <c r="DO53" s="9">
        <v>57</v>
      </c>
      <c r="DP53">
        <f t="shared" si="23"/>
        <v>8.25</v>
      </c>
    </row>
    <row r="54" spans="11:120" x14ac:dyDescent="0.2">
      <c r="K54" s="9"/>
      <c r="Y54" s="34">
        <v>50</v>
      </c>
      <c r="Z54" s="34">
        <f>ROUND(VLOOKUP(Y54,刀数数据支持!$L:$Q,3,0)*(1+((Y54-1)*2+25)*0.01*(1+AB54/100)),2)</f>
        <v>179.77</v>
      </c>
      <c r="AA54" s="34">
        <f>ROUND(VLOOKUP(Y54,刀数数据支持!$L:$Q,6,0)*(1+((Y54-1)*5+25)*0.01)*(1+AB54/100),2)</f>
        <v>486.18</v>
      </c>
      <c r="AB54" s="34">
        <f>VLOOKUP(Y54,刀数数据支持!$S:$T,2,0)</f>
        <v>119</v>
      </c>
      <c r="AC54" s="34">
        <f>ROUND(刀数数据支持!AY52*(1-刀数数据支持!BA52/100),1)</f>
        <v>9514.7000000000007</v>
      </c>
      <c r="AD54" s="34" t="str">
        <f>刀数数据支持!AZ52</f>
        <v>火蛇Lv25</v>
      </c>
      <c r="AE54" s="34">
        <f t="shared" si="42"/>
        <v>352.1</v>
      </c>
      <c r="AF54" s="34">
        <f t="shared" si="43"/>
        <v>1.96</v>
      </c>
      <c r="AG54" s="34">
        <f t="shared" si="24"/>
        <v>0.73</v>
      </c>
      <c r="AH54" s="34">
        <f t="shared" si="25"/>
        <v>0.04</v>
      </c>
      <c r="BS54" s="34" t="e">
        <f>#REF!</f>
        <v>#REF!</v>
      </c>
      <c r="BT54" s="34" t="e">
        <f>#REF!</f>
        <v>#REF!</v>
      </c>
      <c r="BU54" s="34">
        <v>0</v>
      </c>
      <c r="BV54" s="34" t="e">
        <f>IF(VLOOKUP(BT54,#REF!,8,0)=0,"",VLOOKUP(BT54,#REF!,8,0))</f>
        <v>#REF!</v>
      </c>
      <c r="BW54" s="47" t="e">
        <f ca="1">IF(BU54=0,RANDBETWEEN(VLOOKUP(BT54,#REF!,13,0),VLOOKUP(BT54,#REF!,14,0)),RANDBETWEEN(VLOOKUP(BU54,$CO:$CR,2,0)/100*VLOOKUP(BT54,#REF!,13,0),VLOOKUP(BU54,$CO:$CR,2,0)/100*VLOOKUP(BT54,#REF!,14,0)))</f>
        <v>#REF!</v>
      </c>
      <c r="BX54" s="47" t="e">
        <f>VLOOKUP(BT54,#REF!,9,0)</f>
        <v>#REF!</v>
      </c>
      <c r="BY54" s="47" t="e">
        <f ca="1">IF(BU54=0,RANDBETWEEN(VLOOKUP(BT54,#REF!,26,0),VLOOKUP(BT54,#REF!,27,0)),RANDBETWEEN(VLOOKUP(BU54,$CO:$CR,3,0)/100*VLOOKUP(BT54,#REF!,26,0),VLOOKUP(BU54,$CO:$CR,3,0)/100*VLOOKUP(BT54,#REF!,27,0)))</f>
        <v>#REF!</v>
      </c>
      <c r="BZ54" s="47" t="e">
        <f>IF(VLOOKUP(BT54,#REF!,22,0)=0,"",VLOOKUP(BT54,#REF!,22,0))</f>
        <v>#REF!</v>
      </c>
      <c r="CA54" s="47" t="e">
        <f ca="1">IF(BU54=0,RANDBETWEEN(VLOOKUP(BT54,#REF!,39,0),VLOOKUP(BT54,#REF!,40,0)),RANDBETWEEN(VLOOKUP(BU54,$CO:$CR,4,0)/100*VLOOKUP(BT54,#REF!,39,0),VLOOKUP(BU54,$CO:$CR,4,0)/100*VLOOKUP(BT54,#REF!,40,0)))</f>
        <v>#REF!</v>
      </c>
      <c r="CB54" s="47" t="e">
        <f>IF(VLOOKUP(BT54,#REF!,35,0)=0,"",VLOOKUP(BT54,#REF!,35,0))</f>
        <v>#REF!</v>
      </c>
      <c r="CO54" s="50">
        <v>49</v>
      </c>
      <c r="CP54" s="50">
        <v>299</v>
      </c>
      <c r="CQ54" s="50">
        <v>968</v>
      </c>
      <c r="CR54" s="50">
        <v>1910</v>
      </c>
      <c r="CS54" s="52">
        <v>294</v>
      </c>
      <c r="CT54" s="52">
        <v>581</v>
      </c>
      <c r="CU54" s="52">
        <v>865</v>
      </c>
      <c r="CY54" t="str">
        <f t="shared" si="20"/>
        <v>单</v>
      </c>
      <c r="CZ54" s="47">
        <v>20048</v>
      </c>
      <c r="DA54" s="34">
        <v>1</v>
      </c>
      <c r="DB54" s="54">
        <v>-10</v>
      </c>
      <c r="DC54" s="34">
        <v>1</v>
      </c>
      <c r="DD54" s="34">
        <v>5</v>
      </c>
      <c r="DE54" s="34"/>
      <c r="DF54" s="34"/>
      <c r="DG54" s="34">
        <v>75</v>
      </c>
      <c r="DH54" s="34">
        <v>75</v>
      </c>
      <c r="DI54" t="s">
        <v>3783</v>
      </c>
      <c r="DJ54" t="s">
        <v>3921</v>
      </c>
      <c r="DK54" t="s">
        <v>3919</v>
      </c>
      <c r="DL54" s="9">
        <f t="shared" si="21"/>
        <v>1</v>
      </c>
      <c r="DM54" s="9">
        <f t="shared" si="22"/>
        <v>5</v>
      </c>
      <c r="DP54">
        <f t="shared" si="23"/>
        <v>3.3000000000000003</v>
      </c>
    </row>
    <row r="55" spans="11:120" x14ac:dyDescent="0.2">
      <c r="K55" s="9"/>
      <c r="Y55" s="34">
        <v>51</v>
      </c>
      <c r="Z55" s="34">
        <f>ROUND(VLOOKUP(Y55,刀数数据支持!$L:$Q,3,0)*(1+((Y55-1)*2+25)*0.01*(1+AB55/100)),2)</f>
        <v>185.6</v>
      </c>
      <c r="AA55" s="34">
        <f>ROUND(VLOOKUP(Y55,刀数数据支持!$L:$Q,6,0)*(1+((Y55-1)*5+25)*0.01)*(1+AB55/100),2)</f>
        <v>513.83000000000004</v>
      </c>
      <c r="AB55" s="34">
        <f>VLOOKUP(Y55,刀数数据支持!$S:$T,2,0)</f>
        <v>121</v>
      </c>
      <c r="AC55" s="34">
        <f>ROUND(刀数数据支持!AY53*(1-刀数数据支持!BA53/100),1)</f>
        <v>9723.1</v>
      </c>
      <c r="AD55" s="34" t="str">
        <f>刀数数据支持!AZ53</f>
        <v>火蛇Lv25</v>
      </c>
      <c r="AE55" s="34">
        <f t="shared" si="42"/>
        <v>364.59</v>
      </c>
      <c r="AF55" s="34">
        <f t="shared" si="43"/>
        <v>1.97</v>
      </c>
      <c r="AG55" s="34">
        <f t="shared" si="24"/>
        <v>0.71</v>
      </c>
      <c r="AH55" s="34">
        <f t="shared" si="25"/>
        <v>0.04</v>
      </c>
      <c r="BS55" s="34" t="e">
        <f>#REF!</f>
        <v>#REF!</v>
      </c>
      <c r="BT55" s="34" t="e">
        <f>#REF!</f>
        <v>#REF!</v>
      </c>
      <c r="BU55" s="34">
        <v>0</v>
      </c>
      <c r="BV55" s="34" t="e">
        <f>IF(VLOOKUP(BT55,#REF!,8,0)=0,"",VLOOKUP(BT55,#REF!,8,0))</f>
        <v>#REF!</v>
      </c>
      <c r="BW55" s="47" t="e">
        <f ca="1">IF(BU55=0,RANDBETWEEN(VLOOKUP(BT55,#REF!,13,0),VLOOKUP(BT55,#REF!,14,0)),RANDBETWEEN(VLOOKUP(BU55,$CO:$CR,2,0)/100*VLOOKUP(BT55,#REF!,13,0),VLOOKUP(BU55,$CO:$CR,2,0)/100*VLOOKUP(BT55,#REF!,14,0)))</f>
        <v>#REF!</v>
      </c>
      <c r="BX55" s="47" t="e">
        <f>VLOOKUP(BT55,#REF!,9,0)</f>
        <v>#REF!</v>
      </c>
      <c r="BY55" s="47" t="e">
        <f ca="1">IF(BU55=0,RANDBETWEEN(VLOOKUP(BT55,#REF!,26,0),VLOOKUP(BT55,#REF!,27,0)),RANDBETWEEN(VLOOKUP(BU55,$CO:$CR,3,0)/100*VLOOKUP(BT55,#REF!,26,0),VLOOKUP(BU55,$CO:$CR,3,0)/100*VLOOKUP(BT55,#REF!,27,0)))</f>
        <v>#REF!</v>
      </c>
      <c r="BZ55" s="47" t="e">
        <f>IF(VLOOKUP(BT55,#REF!,22,0)=0,"",VLOOKUP(BT55,#REF!,22,0))</f>
        <v>#REF!</v>
      </c>
      <c r="CA55" s="47" t="e">
        <f ca="1">IF(BU55=0,RANDBETWEEN(VLOOKUP(BT55,#REF!,39,0),VLOOKUP(BT55,#REF!,40,0)),RANDBETWEEN(VLOOKUP(BU55,$CO:$CR,4,0)/100*VLOOKUP(BT55,#REF!,39,0),VLOOKUP(BU55,$CO:$CR,4,0)/100*VLOOKUP(BT55,#REF!,40,0)))</f>
        <v>#REF!</v>
      </c>
      <c r="CB55" s="47" t="e">
        <f>IF(VLOOKUP(BT55,#REF!,35,0)=0,"",VLOOKUP(BT55,#REF!,35,0))</f>
        <v>#REF!</v>
      </c>
      <c r="CO55" s="50">
        <v>50</v>
      </c>
      <c r="CP55" s="50">
        <v>310</v>
      </c>
      <c r="CQ55" s="50">
        <v>1003</v>
      </c>
      <c r="CR55" s="50">
        <v>1932</v>
      </c>
      <c r="CS55" s="52">
        <v>300</v>
      </c>
      <c r="CT55" s="52">
        <v>592</v>
      </c>
      <c r="CU55" s="52">
        <v>880</v>
      </c>
      <c r="CY55" t="str">
        <f t="shared" si="20"/>
        <v>单</v>
      </c>
      <c r="CZ55" s="47">
        <v>20049</v>
      </c>
      <c r="DA55" s="34">
        <v>1</v>
      </c>
      <c r="DB55" s="54"/>
      <c r="DC55" s="34">
        <v>4</v>
      </c>
      <c r="DD55" s="34">
        <v>9</v>
      </c>
      <c r="DE55" s="34"/>
      <c r="DF55" s="34"/>
      <c r="DG55" s="34">
        <v>75</v>
      </c>
      <c r="DH55" s="34">
        <v>75</v>
      </c>
      <c r="DI55" t="s">
        <v>3783</v>
      </c>
      <c r="DJ55" t="s">
        <v>3922</v>
      </c>
      <c r="DK55" t="s">
        <v>3919</v>
      </c>
      <c r="DL55" s="9">
        <f t="shared" si="21"/>
        <v>4</v>
      </c>
      <c r="DM55" s="9">
        <f t="shared" si="22"/>
        <v>9</v>
      </c>
      <c r="DO55" s="9">
        <v>45</v>
      </c>
      <c r="DP55">
        <f t="shared" si="23"/>
        <v>6.5</v>
      </c>
    </row>
    <row r="56" spans="11:120" x14ac:dyDescent="0.2">
      <c r="K56" s="9"/>
      <c r="Y56" s="34">
        <v>52</v>
      </c>
      <c r="Z56" s="34">
        <f>ROUND(VLOOKUP(Y56,刀数数据支持!$L:$Q,3,0)*(1+((Y56-1)*2+25)*0.01*(1+AB56/100)),2)</f>
        <v>191.61</v>
      </c>
      <c r="AA56" s="34">
        <f>ROUND(VLOOKUP(Y56,刀数数据支持!$L:$Q,6,0)*(1+((Y56-1)*5+25)*0.01)*(1+AB56/100),2)</f>
        <v>542.34</v>
      </c>
      <c r="AB56" s="34">
        <f>VLOOKUP(Y56,刀数数据支持!$S:$T,2,0)</f>
        <v>123</v>
      </c>
      <c r="AC56" s="34">
        <f>ROUND(刀数数据支持!AY54*(1-刀数数据支持!BA54/100),1)</f>
        <v>10248.700000000001</v>
      </c>
      <c r="AD56" s="34" t="str">
        <f>刀数数据支持!AZ54</f>
        <v>火蛇Lv25</v>
      </c>
      <c r="AE56" s="34">
        <f t="shared" si="42"/>
        <v>375.95</v>
      </c>
      <c r="AF56" s="34">
        <f t="shared" si="43"/>
        <v>1.97</v>
      </c>
      <c r="AG56" s="34">
        <f t="shared" si="24"/>
        <v>0.7</v>
      </c>
      <c r="AH56" s="34">
        <f t="shared" si="25"/>
        <v>0.04</v>
      </c>
      <c r="BS56" s="34" t="e">
        <f>#REF!</f>
        <v>#REF!</v>
      </c>
      <c r="BT56" s="34" t="e">
        <f>#REF!</f>
        <v>#REF!</v>
      </c>
      <c r="BU56" s="34">
        <v>0</v>
      </c>
      <c r="BV56" s="34" t="e">
        <f>IF(VLOOKUP(BT56,#REF!,8,0)=0,"",VLOOKUP(BT56,#REF!,8,0))</f>
        <v>#REF!</v>
      </c>
      <c r="BW56" s="47" t="e">
        <f ca="1">IF(BU56=0,RANDBETWEEN(VLOOKUP(BT56,#REF!,13,0),VLOOKUP(BT56,#REF!,14,0)),RANDBETWEEN(VLOOKUP(BU56,$CO:$CR,2,0)/100*VLOOKUP(BT56,#REF!,13,0),VLOOKUP(BU56,$CO:$CR,2,0)/100*VLOOKUP(BT56,#REF!,14,0)))</f>
        <v>#REF!</v>
      </c>
      <c r="BX56" s="47" t="e">
        <f>VLOOKUP(BT56,#REF!,9,0)</f>
        <v>#REF!</v>
      </c>
      <c r="BY56" s="47" t="e">
        <f ca="1">IF(BU56=0,RANDBETWEEN(VLOOKUP(BT56,#REF!,26,0),VLOOKUP(BT56,#REF!,27,0)),RANDBETWEEN(VLOOKUP(BU56,$CO:$CR,3,0)/100*VLOOKUP(BT56,#REF!,26,0),VLOOKUP(BU56,$CO:$CR,3,0)/100*VLOOKUP(BT56,#REF!,27,0)))</f>
        <v>#REF!</v>
      </c>
      <c r="BZ56" s="47" t="e">
        <f>IF(VLOOKUP(BT56,#REF!,22,0)=0,"",VLOOKUP(BT56,#REF!,22,0))</f>
        <v>#REF!</v>
      </c>
      <c r="CA56" s="47" t="e">
        <f ca="1">IF(BU56=0,RANDBETWEEN(VLOOKUP(BT56,#REF!,39,0),VLOOKUP(BT56,#REF!,40,0)),RANDBETWEEN(VLOOKUP(BU56,$CO:$CR,4,0)/100*VLOOKUP(BT56,#REF!,39,0),VLOOKUP(BU56,$CO:$CR,4,0)/100*VLOOKUP(BT56,#REF!,40,0)))</f>
        <v>#REF!</v>
      </c>
      <c r="CB56" s="47" t="e">
        <f>IF(VLOOKUP(BT56,#REF!,35,0)=0,"",VLOOKUP(BT56,#REF!,35,0))</f>
        <v>#REF!</v>
      </c>
      <c r="CO56" s="50">
        <v>51</v>
      </c>
      <c r="CP56" s="50">
        <v>321</v>
      </c>
      <c r="CQ56" s="50">
        <v>1037</v>
      </c>
      <c r="CR56" s="50">
        <v>1955</v>
      </c>
      <c r="CS56" s="52">
        <v>306</v>
      </c>
      <c r="CT56" s="52">
        <v>602</v>
      </c>
      <c r="CU56" s="52">
        <v>895</v>
      </c>
      <c r="CY56" t="str">
        <f t="shared" si="20"/>
        <v>单</v>
      </c>
      <c r="CZ56" s="47">
        <v>20050</v>
      </c>
      <c r="DA56" s="34">
        <v>1</v>
      </c>
      <c r="DB56" s="54">
        <v>10</v>
      </c>
      <c r="DC56" s="34">
        <v>2</v>
      </c>
      <c r="DD56" s="34">
        <v>13</v>
      </c>
      <c r="DE56" s="34"/>
      <c r="DF56" s="34"/>
      <c r="DG56" s="34">
        <v>75</v>
      </c>
      <c r="DH56" s="34">
        <v>75</v>
      </c>
      <c r="DI56" t="s">
        <v>3783</v>
      </c>
      <c r="DJ56" t="s">
        <v>3923</v>
      </c>
      <c r="DK56" t="s">
        <v>3919</v>
      </c>
      <c r="DL56" s="9">
        <f t="shared" si="21"/>
        <v>2</v>
      </c>
      <c r="DM56" s="9">
        <f t="shared" si="22"/>
        <v>13</v>
      </c>
      <c r="DN56" s="9">
        <v>40</v>
      </c>
      <c r="DO56" s="9">
        <v>40</v>
      </c>
      <c r="DP56">
        <f t="shared" si="23"/>
        <v>6.75</v>
      </c>
    </row>
    <row r="57" spans="11:120" x14ac:dyDescent="0.2">
      <c r="K57" s="9"/>
      <c r="Y57" s="34">
        <v>53</v>
      </c>
      <c r="Z57" s="34">
        <f>ROUND(VLOOKUP(Y57,刀数数据支持!$L:$Q,3,0)*(1+((Y57-1)*2+25)*0.01*(1+AB57/100)),2)</f>
        <v>197.74</v>
      </c>
      <c r="AA57" s="34">
        <f>ROUND(VLOOKUP(Y57,刀数数据支持!$L:$Q,6,0)*(1+((Y57-1)*5+25)*0.01)*(1+AB57/100),2)</f>
        <v>571.73</v>
      </c>
      <c r="AB57" s="34">
        <f>VLOOKUP(Y57,刀数数据支持!$S:$T,2,0)</f>
        <v>125</v>
      </c>
      <c r="AC57" s="34">
        <f>ROUND(刀数数据支持!AY55*(1-刀数数据支持!BA55/100),1)</f>
        <v>10402.700000000001</v>
      </c>
      <c r="AD57" s="34" t="str">
        <f>刀数数据支持!AZ55</f>
        <v>火蛇Lv25</v>
      </c>
      <c r="AE57" s="34">
        <f t="shared" si="42"/>
        <v>388.44</v>
      </c>
      <c r="AF57" s="34">
        <f t="shared" si="43"/>
        <v>1.97</v>
      </c>
      <c r="AG57" s="34">
        <f t="shared" si="24"/>
        <v>0.68</v>
      </c>
      <c r="AH57" s="34">
        <f t="shared" si="25"/>
        <v>0.04</v>
      </c>
      <c r="BS57" s="34" t="e">
        <f>#REF!</f>
        <v>#REF!</v>
      </c>
      <c r="BT57" s="34" t="e">
        <f>#REF!</f>
        <v>#REF!</v>
      </c>
      <c r="BU57" s="34">
        <v>0</v>
      </c>
      <c r="BV57" s="34" t="e">
        <f>IF(VLOOKUP(BT57,#REF!,8,0)=0,"",VLOOKUP(BT57,#REF!,8,0))</f>
        <v>#REF!</v>
      </c>
      <c r="BW57" s="47" t="e">
        <f ca="1">IF(BU57=0,RANDBETWEEN(VLOOKUP(BT57,#REF!,13,0),VLOOKUP(BT57,#REF!,14,0)),RANDBETWEEN(VLOOKUP(BU57,$CO:$CR,2,0)/100*VLOOKUP(BT57,#REF!,13,0),VLOOKUP(BU57,$CO:$CR,2,0)/100*VLOOKUP(BT57,#REF!,14,0)))</f>
        <v>#REF!</v>
      </c>
      <c r="BX57" s="47" t="e">
        <f>VLOOKUP(BT57,#REF!,9,0)</f>
        <v>#REF!</v>
      </c>
      <c r="BY57" s="47" t="e">
        <f ca="1">IF(BU57=0,RANDBETWEEN(VLOOKUP(BT57,#REF!,26,0),VLOOKUP(BT57,#REF!,27,0)),RANDBETWEEN(VLOOKUP(BU57,$CO:$CR,3,0)/100*VLOOKUP(BT57,#REF!,26,0),VLOOKUP(BU57,$CO:$CR,3,0)/100*VLOOKUP(BT57,#REF!,27,0)))</f>
        <v>#REF!</v>
      </c>
      <c r="BZ57" s="47" t="e">
        <f>IF(VLOOKUP(BT57,#REF!,22,0)=0,"",VLOOKUP(BT57,#REF!,22,0))</f>
        <v>#REF!</v>
      </c>
      <c r="CA57" s="47" t="e">
        <f ca="1">IF(BU57=0,RANDBETWEEN(VLOOKUP(BT57,#REF!,39,0),VLOOKUP(BT57,#REF!,40,0)),RANDBETWEEN(VLOOKUP(BU57,$CO:$CR,4,0)/100*VLOOKUP(BT57,#REF!,39,0),VLOOKUP(BU57,$CO:$CR,4,0)/100*VLOOKUP(BT57,#REF!,40,0)))</f>
        <v>#REF!</v>
      </c>
      <c r="CB57" s="47" t="e">
        <f>IF(VLOOKUP(BT57,#REF!,35,0)=0,"",VLOOKUP(BT57,#REF!,35,0))</f>
        <v>#REF!</v>
      </c>
      <c r="CO57" s="50">
        <v>52</v>
      </c>
      <c r="CP57" s="50">
        <v>331</v>
      </c>
      <c r="CQ57" s="50">
        <v>1071</v>
      </c>
      <c r="CR57" s="50">
        <v>1977</v>
      </c>
      <c r="CS57" s="52">
        <v>312</v>
      </c>
      <c r="CT57" s="52">
        <v>612</v>
      </c>
      <c r="CU57" s="52">
        <v>910</v>
      </c>
      <c r="CY57" t="str">
        <f t="shared" si="20"/>
        <v>单</v>
      </c>
      <c r="CZ57" s="47">
        <v>20051</v>
      </c>
      <c r="DA57" s="34">
        <v>1</v>
      </c>
      <c r="DB57" s="54">
        <v>20</v>
      </c>
      <c r="DC57" s="34">
        <v>5</v>
      </c>
      <c r="DD57" s="34">
        <v>17</v>
      </c>
      <c r="DE57" s="34"/>
      <c r="DF57" s="34"/>
      <c r="DG57" s="34">
        <v>75</v>
      </c>
      <c r="DH57" s="34">
        <v>75</v>
      </c>
      <c r="DI57" t="s">
        <v>3783</v>
      </c>
      <c r="DJ57" t="s">
        <v>3924</v>
      </c>
      <c r="DK57" t="s">
        <v>3925</v>
      </c>
      <c r="DL57" s="9">
        <f t="shared" si="21"/>
        <v>5</v>
      </c>
      <c r="DM57" s="9">
        <f t="shared" si="22"/>
        <v>17</v>
      </c>
      <c r="DN57" s="9">
        <v>52</v>
      </c>
      <c r="DO57" s="9">
        <v>35</v>
      </c>
      <c r="DP57">
        <f t="shared" si="23"/>
        <v>8.8000000000000007</v>
      </c>
    </row>
    <row r="58" spans="11:120" x14ac:dyDescent="0.2">
      <c r="K58" s="9"/>
      <c r="Y58" s="34">
        <v>54</v>
      </c>
      <c r="Z58" s="34">
        <f>ROUND(VLOOKUP(Y58,刀数数据支持!$L:$Q,3,0)*(1+((Y58-1)*2+25)*0.01*(1+AB58/100)),2)</f>
        <v>203.97</v>
      </c>
      <c r="AA58" s="34">
        <f>ROUND(VLOOKUP(Y58,刀数数据支持!$L:$Q,6,0)*(1+((Y58-1)*5+25)*0.01)*(1+AB58/100),2)</f>
        <v>602</v>
      </c>
      <c r="AB58" s="34">
        <f>VLOOKUP(Y58,刀数数据支持!$S:$T,2,0)</f>
        <v>127</v>
      </c>
      <c r="AC58" s="34">
        <f>ROUND(刀数数据支持!AY56*(1-刀数数据支持!BA56/100),1)</f>
        <v>10910.1</v>
      </c>
      <c r="AD58" s="34" t="str">
        <f>刀数数据支持!AZ56</f>
        <v>火蛇Lv25</v>
      </c>
      <c r="AE58" s="34">
        <f t="shared" si="42"/>
        <v>399.8</v>
      </c>
      <c r="AF58" s="34">
        <f t="shared" si="43"/>
        <v>1.97</v>
      </c>
      <c r="AG58" s="34">
        <f t="shared" si="24"/>
        <v>0.67</v>
      </c>
      <c r="AH58" s="34">
        <f t="shared" si="25"/>
        <v>0.04</v>
      </c>
      <c r="BS58" s="34" t="e">
        <f>#REF!</f>
        <v>#REF!</v>
      </c>
      <c r="BT58" s="34" t="e">
        <f>#REF!</f>
        <v>#REF!</v>
      </c>
      <c r="BU58" s="34">
        <v>0</v>
      </c>
      <c r="BV58" s="34" t="e">
        <f>IF(VLOOKUP(BT58,#REF!,8,0)=0,"",VLOOKUP(BT58,#REF!,8,0))</f>
        <v>#REF!</v>
      </c>
      <c r="BW58" s="47" t="e">
        <f ca="1">IF(BU58=0,RANDBETWEEN(VLOOKUP(BT58,#REF!,13,0),VLOOKUP(BT58,#REF!,14,0)),RANDBETWEEN(VLOOKUP(BU58,$CO:$CR,2,0)/100*VLOOKUP(BT58,#REF!,13,0),VLOOKUP(BU58,$CO:$CR,2,0)/100*VLOOKUP(BT58,#REF!,14,0)))</f>
        <v>#REF!</v>
      </c>
      <c r="BX58" s="47" t="e">
        <f>VLOOKUP(BT58,#REF!,9,0)</f>
        <v>#REF!</v>
      </c>
      <c r="BY58" s="47" t="e">
        <f ca="1">IF(BU58=0,RANDBETWEEN(VLOOKUP(BT58,#REF!,26,0),VLOOKUP(BT58,#REF!,27,0)),RANDBETWEEN(VLOOKUP(BU58,$CO:$CR,3,0)/100*VLOOKUP(BT58,#REF!,26,0),VLOOKUP(BU58,$CO:$CR,3,0)/100*VLOOKUP(BT58,#REF!,27,0)))</f>
        <v>#REF!</v>
      </c>
      <c r="BZ58" s="47" t="e">
        <f>IF(VLOOKUP(BT58,#REF!,22,0)=0,"",VLOOKUP(BT58,#REF!,22,0))</f>
        <v>#REF!</v>
      </c>
      <c r="CA58" s="47" t="e">
        <f ca="1">IF(BU58=0,RANDBETWEEN(VLOOKUP(BT58,#REF!,39,0),VLOOKUP(BT58,#REF!,40,0)),RANDBETWEEN(VLOOKUP(BU58,$CO:$CR,4,0)/100*VLOOKUP(BT58,#REF!,39,0),VLOOKUP(BU58,$CO:$CR,4,0)/100*VLOOKUP(BT58,#REF!,40,0)))</f>
        <v>#REF!</v>
      </c>
      <c r="CB58" s="47" t="e">
        <f>IF(VLOOKUP(BT58,#REF!,35,0)=0,"",VLOOKUP(BT58,#REF!,35,0))</f>
        <v>#REF!</v>
      </c>
      <c r="CO58" s="50">
        <v>53</v>
      </c>
      <c r="CP58" s="50">
        <v>342</v>
      </c>
      <c r="CQ58" s="50">
        <v>1105</v>
      </c>
      <c r="CR58" s="50">
        <v>2000</v>
      </c>
      <c r="CS58" s="52">
        <v>318</v>
      </c>
      <c r="CT58" s="52">
        <v>622</v>
      </c>
      <c r="CU58" s="52">
        <v>925</v>
      </c>
      <c r="CY58" t="str">
        <f t="shared" si="20"/>
        <v>单</v>
      </c>
      <c r="CZ58" s="47">
        <v>20052</v>
      </c>
      <c r="DA58" s="34">
        <v>1</v>
      </c>
      <c r="DB58" s="54">
        <v>-10</v>
      </c>
      <c r="DC58" s="34">
        <v>5</v>
      </c>
      <c r="DD58" s="34">
        <v>15</v>
      </c>
      <c r="DE58" s="34"/>
      <c r="DF58" s="34"/>
      <c r="DG58" s="34">
        <v>75</v>
      </c>
      <c r="DH58" s="34">
        <v>75</v>
      </c>
      <c r="DI58" t="s">
        <v>3783</v>
      </c>
      <c r="DJ58" t="s">
        <v>3926</v>
      </c>
      <c r="DK58" t="s">
        <v>3925</v>
      </c>
      <c r="DL58" s="9">
        <f t="shared" si="21"/>
        <v>5</v>
      </c>
      <c r="DM58" s="9">
        <f t="shared" si="22"/>
        <v>15</v>
      </c>
      <c r="DO58" s="9">
        <v>65</v>
      </c>
      <c r="DP58">
        <f t="shared" si="23"/>
        <v>11</v>
      </c>
    </row>
    <row r="59" spans="11:120" x14ac:dyDescent="0.2">
      <c r="K59" s="9"/>
      <c r="Y59" s="34">
        <v>55</v>
      </c>
      <c r="Z59" s="34">
        <f>ROUND(VLOOKUP(Y59,刀数数据支持!$L:$Q,3,0)*(1+((Y59-1)*2+25)*0.01*(1+AB59/100)),2)</f>
        <v>210.38</v>
      </c>
      <c r="AA59" s="34">
        <f>ROUND(VLOOKUP(Y59,刀数数据支持!$L:$Q,6,0)*(1+((Y59-1)*5+25)*0.01)*(1+AB59/100),2)</f>
        <v>633.19000000000005</v>
      </c>
      <c r="AB59" s="34">
        <f>VLOOKUP(Y59,刀数数据支持!$S:$T,2,0)</f>
        <v>129</v>
      </c>
      <c r="AC59" s="34">
        <f>ROUND(刀数数据支持!AY57*(1-刀数数据支持!BA57/100),1)</f>
        <v>11009.8</v>
      </c>
      <c r="AD59" s="34" t="str">
        <f>刀数数据支持!AZ57</f>
        <v>火蛇Lv25</v>
      </c>
      <c r="AE59" s="34">
        <f t="shared" si="42"/>
        <v>412.3</v>
      </c>
      <c r="AF59" s="34">
        <f t="shared" si="43"/>
        <v>1.96</v>
      </c>
      <c r="AG59" s="34">
        <f t="shared" si="24"/>
        <v>0.66</v>
      </c>
      <c r="AH59" s="34">
        <f t="shared" si="25"/>
        <v>0.04</v>
      </c>
      <c r="BS59" s="34" t="e">
        <f>#REF!</f>
        <v>#REF!</v>
      </c>
      <c r="BT59" s="34" t="e">
        <f>#REF!</f>
        <v>#REF!</v>
      </c>
      <c r="BU59" s="34">
        <v>0</v>
      </c>
      <c r="BV59" s="34" t="e">
        <f>IF(VLOOKUP(BT59,#REF!,8,0)=0,"",VLOOKUP(BT59,#REF!,8,0))</f>
        <v>#REF!</v>
      </c>
      <c r="BW59" s="47" t="e">
        <f ca="1">IF(BU59=0,RANDBETWEEN(VLOOKUP(BT59,#REF!,13,0),VLOOKUP(BT59,#REF!,14,0)),RANDBETWEEN(VLOOKUP(BU59,$CO:$CR,2,0)/100*VLOOKUP(BT59,#REF!,13,0),VLOOKUP(BU59,$CO:$CR,2,0)/100*VLOOKUP(BT59,#REF!,14,0)))</f>
        <v>#REF!</v>
      </c>
      <c r="BX59" s="47" t="e">
        <f>VLOOKUP(BT59,#REF!,9,0)</f>
        <v>#REF!</v>
      </c>
      <c r="BY59" s="47" t="e">
        <f ca="1">IF(BU59=0,RANDBETWEEN(VLOOKUP(BT59,#REF!,26,0),VLOOKUP(BT59,#REF!,27,0)),RANDBETWEEN(VLOOKUP(BU59,$CO:$CR,3,0)/100*VLOOKUP(BT59,#REF!,26,0),VLOOKUP(BU59,$CO:$CR,3,0)/100*VLOOKUP(BT59,#REF!,27,0)))</f>
        <v>#REF!</v>
      </c>
      <c r="BZ59" s="47" t="e">
        <f>IF(VLOOKUP(BT59,#REF!,22,0)=0,"",VLOOKUP(BT59,#REF!,22,0))</f>
        <v>#REF!</v>
      </c>
      <c r="CA59" s="47" t="e">
        <f ca="1">IF(BU59=0,RANDBETWEEN(VLOOKUP(BT59,#REF!,39,0),VLOOKUP(BT59,#REF!,40,0)),RANDBETWEEN(VLOOKUP(BU59,$CO:$CR,4,0)/100*VLOOKUP(BT59,#REF!,39,0),VLOOKUP(BU59,$CO:$CR,4,0)/100*VLOOKUP(BT59,#REF!,40,0)))</f>
        <v>#REF!</v>
      </c>
      <c r="CB59" s="47" t="e">
        <f>IF(VLOOKUP(BT59,#REF!,35,0)=0,"",VLOOKUP(BT59,#REF!,35,0))</f>
        <v>#REF!</v>
      </c>
      <c r="CO59" s="50">
        <v>54</v>
      </c>
      <c r="CP59" s="50">
        <v>352</v>
      </c>
      <c r="CQ59" s="50">
        <v>1139</v>
      </c>
      <c r="CR59" s="50">
        <v>2030</v>
      </c>
      <c r="CS59" s="52">
        <v>324</v>
      </c>
      <c r="CT59" s="52">
        <v>632</v>
      </c>
      <c r="CU59" s="52">
        <v>940</v>
      </c>
      <c r="CY59" t="str">
        <f t="shared" si="20"/>
        <v>双手</v>
      </c>
      <c r="CZ59" s="47">
        <v>20053</v>
      </c>
      <c r="DA59" s="34">
        <v>1</v>
      </c>
      <c r="DB59" s="54">
        <v>-10</v>
      </c>
      <c r="DC59" s="34"/>
      <c r="DD59" s="34"/>
      <c r="DE59" s="34">
        <v>3</v>
      </c>
      <c r="DF59" s="34">
        <v>15</v>
      </c>
      <c r="DG59" s="34">
        <v>100</v>
      </c>
      <c r="DH59" s="34"/>
      <c r="DI59" t="s">
        <v>3783</v>
      </c>
      <c r="DJ59" t="s">
        <v>3927</v>
      </c>
      <c r="DK59" t="s">
        <v>3925</v>
      </c>
      <c r="DL59" s="9">
        <f t="shared" si="21"/>
        <v>3</v>
      </c>
      <c r="DM59" s="9">
        <f t="shared" si="22"/>
        <v>15</v>
      </c>
      <c r="DO59" s="9">
        <v>20</v>
      </c>
      <c r="DP59">
        <f t="shared" si="23"/>
        <v>9.9</v>
      </c>
    </row>
    <row r="60" spans="11:120" x14ac:dyDescent="0.2">
      <c r="K60" s="9"/>
      <c r="Y60" s="34">
        <v>56</v>
      </c>
      <c r="Z60" s="34">
        <f>ROUND(VLOOKUP(Y60,刀数数据支持!$L:$Q,3,0)*(1+((Y60-1)*2+25)*0.01*(1+AB60/100)),2)</f>
        <v>216.92</v>
      </c>
      <c r="AA60" s="34">
        <f>ROUND(VLOOKUP(Y60,刀数数据支持!$L:$Q,6,0)*(1+((Y60-1)*5+25)*0.01)*(1+AB60/100),2)</f>
        <v>665.28</v>
      </c>
      <c r="AB60" s="34">
        <f>VLOOKUP(Y60,刀数数据支持!$S:$T,2,0)</f>
        <v>131</v>
      </c>
      <c r="AC60" s="34">
        <f>ROUND(刀数数据支持!AY58*(1-刀数数据支持!BA58/100),1)</f>
        <v>12477.8</v>
      </c>
      <c r="AD60" s="34" t="str">
        <f>刀数数据支持!AZ58</f>
        <v>火蛇Lv25</v>
      </c>
      <c r="AE60" s="34">
        <f t="shared" si="42"/>
        <v>424.79</v>
      </c>
      <c r="AF60" s="34">
        <f t="shared" si="43"/>
        <v>1.96</v>
      </c>
      <c r="AG60" s="34">
        <f t="shared" si="24"/>
        <v>0.64</v>
      </c>
      <c r="AH60" s="34">
        <f t="shared" si="25"/>
        <v>0.03</v>
      </c>
      <c r="BS60" s="34" t="e">
        <f>#REF!</f>
        <v>#REF!</v>
      </c>
      <c r="BT60" s="34" t="e">
        <f>#REF!</f>
        <v>#REF!</v>
      </c>
      <c r="BU60" s="34">
        <v>0</v>
      </c>
      <c r="BV60" s="34" t="e">
        <f>IF(VLOOKUP(BT60,#REF!,8,0)=0,"",VLOOKUP(BT60,#REF!,8,0))</f>
        <v>#REF!</v>
      </c>
      <c r="BW60" s="47" t="e">
        <f ca="1">IF(BU60=0,RANDBETWEEN(VLOOKUP(BT60,#REF!,13,0),VLOOKUP(BT60,#REF!,14,0)),RANDBETWEEN(VLOOKUP(BU60,$CO:$CR,2,0)/100*VLOOKUP(BT60,#REF!,13,0),VLOOKUP(BU60,$CO:$CR,2,0)/100*VLOOKUP(BT60,#REF!,14,0)))</f>
        <v>#REF!</v>
      </c>
      <c r="BX60" s="47" t="e">
        <f>VLOOKUP(BT60,#REF!,9,0)</f>
        <v>#REF!</v>
      </c>
      <c r="BY60" s="47" t="e">
        <f ca="1">IF(BU60=0,RANDBETWEEN(VLOOKUP(BT60,#REF!,26,0),VLOOKUP(BT60,#REF!,27,0)),RANDBETWEEN(VLOOKUP(BU60,$CO:$CR,3,0)/100*VLOOKUP(BT60,#REF!,26,0),VLOOKUP(BU60,$CO:$CR,3,0)/100*VLOOKUP(BT60,#REF!,27,0)))</f>
        <v>#REF!</v>
      </c>
      <c r="BZ60" s="47" t="e">
        <f>IF(VLOOKUP(BT60,#REF!,22,0)=0,"",VLOOKUP(BT60,#REF!,22,0))</f>
        <v>#REF!</v>
      </c>
      <c r="CA60" s="47" t="e">
        <f ca="1">IF(BU60=0,RANDBETWEEN(VLOOKUP(BT60,#REF!,39,0),VLOOKUP(BT60,#REF!,40,0)),RANDBETWEEN(VLOOKUP(BU60,$CO:$CR,4,0)/100*VLOOKUP(BT60,#REF!,39,0),VLOOKUP(BU60,$CO:$CR,4,0)/100*VLOOKUP(BT60,#REF!,40,0)))</f>
        <v>#REF!</v>
      </c>
      <c r="CB60" s="47" t="e">
        <f>IF(VLOOKUP(BT60,#REF!,35,0)=0,"",VLOOKUP(BT60,#REF!,35,0))</f>
        <v>#REF!</v>
      </c>
      <c r="CO60" s="50">
        <v>55</v>
      </c>
      <c r="CP60" s="50">
        <v>363</v>
      </c>
      <c r="CQ60" s="50">
        <v>1173</v>
      </c>
      <c r="CR60" s="50">
        <v>2075</v>
      </c>
      <c r="CS60" s="52">
        <v>330</v>
      </c>
      <c r="CT60" s="52">
        <v>643</v>
      </c>
      <c r="CU60" s="52">
        <v>955</v>
      </c>
      <c r="CY60" t="str">
        <f t="shared" si="20"/>
        <v>双手</v>
      </c>
      <c r="CZ60" s="47">
        <v>20054</v>
      </c>
      <c r="DA60" s="34">
        <v>1</v>
      </c>
      <c r="DB60" s="54"/>
      <c r="DC60" s="34"/>
      <c r="DD60" s="34"/>
      <c r="DE60" s="34">
        <v>9</v>
      </c>
      <c r="DF60" s="34">
        <v>15</v>
      </c>
      <c r="DG60" s="34">
        <v>100</v>
      </c>
      <c r="DH60" s="34"/>
      <c r="DI60" t="s">
        <v>3783</v>
      </c>
      <c r="DJ60" t="s">
        <v>3928</v>
      </c>
      <c r="DK60" t="s">
        <v>3925</v>
      </c>
      <c r="DL60" s="9">
        <f t="shared" si="21"/>
        <v>9</v>
      </c>
      <c r="DM60" s="9">
        <f t="shared" si="22"/>
        <v>15</v>
      </c>
      <c r="DN60" s="9">
        <v>38</v>
      </c>
      <c r="DO60" s="9">
        <v>24</v>
      </c>
      <c r="DP60">
        <f t="shared" si="23"/>
        <v>12</v>
      </c>
    </row>
    <row r="61" spans="11:120" x14ac:dyDescent="0.2">
      <c r="K61" s="9"/>
      <c r="Y61" s="34">
        <v>57</v>
      </c>
      <c r="Z61" s="34">
        <f>ROUND(VLOOKUP(Y61,刀数数据支持!$L:$Q,3,0)*(1+((Y61-1)*2+25)*0.01*(1+AB61/100)),2)</f>
        <v>223.81</v>
      </c>
      <c r="AA61" s="34">
        <f>ROUND(VLOOKUP(Y61,刀数数据支持!$L:$Q,6,0)*(1+((Y61-1)*5+25)*0.01)*(1+AB61/100),2)</f>
        <v>699.32</v>
      </c>
      <c r="AB61" s="34">
        <f>VLOOKUP(Y61,刀数数据支持!$S:$T,2,0)</f>
        <v>133.34</v>
      </c>
      <c r="AC61" s="34">
        <f>ROUND(刀数数据支持!AY59*(1-刀数数据支持!BA59/100),1)</f>
        <v>12486.9</v>
      </c>
      <c r="AD61" s="34" t="str">
        <f>刀数数据支持!AZ59</f>
        <v>火蛇Lv25</v>
      </c>
      <c r="AE61" s="34">
        <f t="shared" si="42"/>
        <v>436.15</v>
      </c>
      <c r="AF61" s="34">
        <f t="shared" si="43"/>
        <v>1.95</v>
      </c>
      <c r="AG61" s="34">
        <f t="shared" si="24"/>
        <v>0.63</v>
      </c>
      <c r="AH61" s="34">
        <f t="shared" si="25"/>
        <v>0.03</v>
      </c>
      <c r="BS61" s="34" t="e">
        <f>#REF!</f>
        <v>#REF!</v>
      </c>
      <c r="BT61" s="34" t="e">
        <f>#REF!</f>
        <v>#REF!</v>
      </c>
      <c r="BU61" s="34">
        <v>0</v>
      </c>
      <c r="BV61" s="34" t="e">
        <f>IF(VLOOKUP(BT61,#REF!,8,0)=0,"",VLOOKUP(BT61,#REF!,8,0))</f>
        <v>#REF!</v>
      </c>
      <c r="BW61" s="47" t="e">
        <f ca="1">IF(BU61=0,RANDBETWEEN(VLOOKUP(BT61,#REF!,13,0),VLOOKUP(BT61,#REF!,14,0)),RANDBETWEEN(VLOOKUP(BU61,$CO:$CR,2,0)/100*VLOOKUP(BT61,#REF!,13,0),VLOOKUP(BU61,$CO:$CR,2,0)/100*VLOOKUP(BT61,#REF!,14,0)))</f>
        <v>#REF!</v>
      </c>
      <c r="BX61" s="47" t="e">
        <f>VLOOKUP(BT61,#REF!,9,0)</f>
        <v>#REF!</v>
      </c>
      <c r="BY61" s="47" t="e">
        <f ca="1">IF(BU61=0,RANDBETWEEN(VLOOKUP(BT61,#REF!,26,0),VLOOKUP(BT61,#REF!,27,0)),RANDBETWEEN(VLOOKUP(BU61,$CO:$CR,3,0)/100*VLOOKUP(BT61,#REF!,26,0),VLOOKUP(BU61,$CO:$CR,3,0)/100*VLOOKUP(BT61,#REF!,27,0)))</f>
        <v>#REF!</v>
      </c>
      <c r="BZ61" s="47" t="e">
        <f>IF(VLOOKUP(BT61,#REF!,22,0)=0,"",VLOOKUP(BT61,#REF!,22,0))</f>
        <v>#REF!</v>
      </c>
      <c r="CA61" s="47" t="e">
        <f ca="1">IF(BU61=0,RANDBETWEEN(VLOOKUP(BT61,#REF!,39,0),VLOOKUP(BT61,#REF!,40,0)),RANDBETWEEN(VLOOKUP(BU61,$CO:$CR,4,0)/100*VLOOKUP(BT61,#REF!,39,0),VLOOKUP(BU61,$CO:$CR,4,0)/100*VLOOKUP(BT61,#REF!,40,0)))</f>
        <v>#REF!</v>
      </c>
      <c r="CB61" s="47" t="e">
        <f>IF(VLOOKUP(BT61,#REF!,35,0)=0,"",VLOOKUP(BT61,#REF!,35,0))</f>
        <v>#REF!</v>
      </c>
      <c r="CO61" s="50">
        <v>56</v>
      </c>
      <c r="CP61" s="50">
        <v>374</v>
      </c>
      <c r="CQ61" s="50">
        <v>1208</v>
      </c>
      <c r="CR61" s="50">
        <v>2135</v>
      </c>
      <c r="CS61" s="52">
        <v>336</v>
      </c>
      <c r="CT61" s="52">
        <v>653</v>
      </c>
      <c r="CU61" s="52">
        <v>970</v>
      </c>
      <c r="CY61" t="str">
        <f t="shared" si="20"/>
        <v>双手</v>
      </c>
      <c r="CZ61" s="47">
        <v>20055</v>
      </c>
      <c r="DA61" s="34">
        <v>1</v>
      </c>
      <c r="DB61" s="54">
        <v>-20</v>
      </c>
      <c r="DC61" s="34"/>
      <c r="DD61" s="34"/>
      <c r="DE61" s="34">
        <v>7</v>
      </c>
      <c r="DF61" s="34">
        <v>17</v>
      </c>
      <c r="DG61" s="34">
        <v>100</v>
      </c>
      <c r="DH61" s="34"/>
      <c r="DI61" t="s">
        <v>3783</v>
      </c>
      <c r="DJ61" t="s">
        <v>3929</v>
      </c>
      <c r="DK61" t="s">
        <v>3925</v>
      </c>
      <c r="DL61" s="9">
        <f t="shared" si="21"/>
        <v>7</v>
      </c>
      <c r="DM61" s="9">
        <f t="shared" si="22"/>
        <v>17</v>
      </c>
      <c r="DN61" s="9">
        <v>40</v>
      </c>
      <c r="DO61" s="9">
        <v>50</v>
      </c>
      <c r="DP61">
        <f t="shared" si="23"/>
        <v>14.399999999999999</v>
      </c>
    </row>
    <row r="62" spans="11:120" x14ac:dyDescent="0.2">
      <c r="K62" s="9"/>
      <c r="Y62" s="34">
        <v>58</v>
      </c>
      <c r="Z62" s="34">
        <f>ROUND(VLOOKUP(Y62,刀数数据支持!$L:$Q,3,0)*(1+((Y62-1)*2+25)*0.01*(1+AB62/100)),2)</f>
        <v>230.9</v>
      </c>
      <c r="AA62" s="34">
        <f>ROUND(VLOOKUP(Y62,刀数数据支持!$L:$Q,6,0)*(1+((Y62-1)*5+25)*0.01)*(1+AB62/100),2)</f>
        <v>734.38</v>
      </c>
      <c r="AB62" s="34">
        <f>VLOOKUP(Y62,刀数数据支持!$S:$T,2,0)</f>
        <v>135.68</v>
      </c>
      <c r="AC62" s="34">
        <f>ROUND(刀数数据支持!AY60*(1-刀数数据支持!BA60/100),1)</f>
        <v>12958.1</v>
      </c>
      <c r="AD62" s="34" t="str">
        <f>刀数数据支持!AZ60</f>
        <v>火蛇Lv25</v>
      </c>
      <c r="AE62" s="34">
        <f t="shared" si="42"/>
        <v>448.64</v>
      </c>
      <c r="AF62" s="34">
        <f t="shared" si="43"/>
        <v>1.95</v>
      </c>
      <c r="AG62" s="34">
        <f t="shared" si="24"/>
        <v>0.62</v>
      </c>
      <c r="AH62" s="34">
        <f t="shared" si="25"/>
        <v>0.03</v>
      </c>
      <c r="BS62" s="34" t="e">
        <f>#REF!</f>
        <v>#REF!</v>
      </c>
      <c r="BT62" s="34" t="e">
        <f>#REF!</f>
        <v>#REF!</v>
      </c>
      <c r="BU62" s="34">
        <v>0</v>
      </c>
      <c r="BV62" s="34" t="e">
        <f>IF(VLOOKUP(BT62,#REF!,8,0)=0,"",VLOOKUP(BT62,#REF!,8,0))</f>
        <v>#REF!</v>
      </c>
      <c r="BW62" s="47" t="e">
        <f ca="1">IF(BU62=0,RANDBETWEEN(VLOOKUP(BT62,#REF!,13,0),VLOOKUP(BT62,#REF!,14,0)),RANDBETWEEN(VLOOKUP(BU62,$CO:$CR,2,0)/100*VLOOKUP(BT62,#REF!,13,0),VLOOKUP(BU62,$CO:$CR,2,0)/100*VLOOKUP(BT62,#REF!,14,0)))</f>
        <v>#REF!</v>
      </c>
      <c r="BX62" s="47" t="e">
        <f>VLOOKUP(BT62,#REF!,9,0)</f>
        <v>#REF!</v>
      </c>
      <c r="BY62" s="47" t="e">
        <f ca="1">IF(BU62=0,RANDBETWEEN(VLOOKUP(BT62,#REF!,26,0),VLOOKUP(BT62,#REF!,27,0)),RANDBETWEEN(VLOOKUP(BU62,$CO:$CR,3,0)/100*VLOOKUP(BT62,#REF!,26,0),VLOOKUP(BU62,$CO:$CR,3,0)/100*VLOOKUP(BT62,#REF!,27,0)))</f>
        <v>#REF!</v>
      </c>
      <c r="BZ62" s="47" t="e">
        <f>IF(VLOOKUP(BT62,#REF!,22,0)=0,"",VLOOKUP(BT62,#REF!,22,0))</f>
        <v>#REF!</v>
      </c>
      <c r="CA62" s="47" t="e">
        <f ca="1">IF(BU62=0,RANDBETWEEN(VLOOKUP(BT62,#REF!,39,0),VLOOKUP(BT62,#REF!,40,0)),RANDBETWEEN(VLOOKUP(BU62,$CO:$CR,4,0)/100*VLOOKUP(BT62,#REF!,39,0),VLOOKUP(BU62,$CO:$CR,4,0)/100*VLOOKUP(BT62,#REF!,40,0)))</f>
        <v>#REF!</v>
      </c>
      <c r="CB62" s="47" t="e">
        <f>IF(VLOOKUP(BT62,#REF!,35,0)=0,"",VLOOKUP(BT62,#REF!,35,0))</f>
        <v>#REF!</v>
      </c>
      <c r="CO62" s="50">
        <v>57</v>
      </c>
      <c r="CP62" s="50">
        <v>384</v>
      </c>
      <c r="CQ62" s="50">
        <v>1241</v>
      </c>
      <c r="CR62" s="50">
        <v>2222</v>
      </c>
      <c r="CS62" s="52">
        <v>342</v>
      </c>
      <c r="CT62" s="52">
        <v>663</v>
      </c>
      <c r="CU62" s="52">
        <v>984</v>
      </c>
      <c r="CY62" t="str">
        <f t="shared" si="20"/>
        <v>双手</v>
      </c>
      <c r="CZ62" s="47">
        <v>20056</v>
      </c>
      <c r="DA62" s="34">
        <v>1</v>
      </c>
      <c r="DB62" s="54"/>
      <c r="DC62" s="34"/>
      <c r="DD62" s="34"/>
      <c r="DE62" s="34">
        <v>15</v>
      </c>
      <c r="DF62" s="34">
        <v>23</v>
      </c>
      <c r="DG62" s="34">
        <v>100</v>
      </c>
      <c r="DH62" s="34"/>
      <c r="DI62" t="s">
        <v>3783</v>
      </c>
      <c r="DJ62" t="s">
        <v>3930</v>
      </c>
      <c r="DK62" t="s">
        <v>3931</v>
      </c>
      <c r="DL62" s="9">
        <f t="shared" si="21"/>
        <v>15</v>
      </c>
      <c r="DM62" s="9">
        <f t="shared" si="22"/>
        <v>23</v>
      </c>
      <c r="DN62" s="9">
        <v>54</v>
      </c>
      <c r="DO62" s="9">
        <v>35</v>
      </c>
      <c r="DP62">
        <f t="shared" si="23"/>
        <v>19</v>
      </c>
    </row>
    <row r="63" spans="11:120" x14ac:dyDescent="0.2">
      <c r="K63" s="9"/>
      <c r="Y63" s="34">
        <v>59</v>
      </c>
      <c r="Z63" s="34">
        <f>ROUND(VLOOKUP(Y63,刀数数据支持!$L:$Q,3,0)*(1+((Y63-1)*2+25)*0.01*(1+AB63/100)),2)</f>
        <v>238.15</v>
      </c>
      <c r="AA63" s="34">
        <f>ROUND(VLOOKUP(Y63,刀数数据支持!$L:$Q,6,0)*(1+((Y63-1)*5+25)*0.01)*(1+AB63/100),2)</f>
        <v>770.47</v>
      </c>
      <c r="AB63" s="34">
        <f>VLOOKUP(Y63,刀数数据支持!$S:$T,2,0)</f>
        <v>138.02000000000001</v>
      </c>
      <c r="AC63" s="34">
        <f>ROUND(刀数数据支持!AY61*(1-刀数数据支持!BA61/100),1)</f>
        <v>12912.8</v>
      </c>
      <c r="AD63" s="34" t="str">
        <f>刀数数据支持!AZ61</f>
        <v>火蛇Lv25</v>
      </c>
      <c r="AE63" s="34">
        <f t="shared" si="42"/>
        <v>461.13</v>
      </c>
      <c r="AF63" s="34">
        <f t="shared" si="43"/>
        <v>1.94</v>
      </c>
      <c r="AG63" s="34">
        <f t="shared" si="24"/>
        <v>0.6</v>
      </c>
      <c r="AH63" s="34">
        <f t="shared" si="25"/>
        <v>0.04</v>
      </c>
      <c r="BS63" s="34" t="e">
        <f>#REF!</f>
        <v>#REF!</v>
      </c>
      <c r="BT63" s="34" t="e">
        <f>#REF!</f>
        <v>#REF!</v>
      </c>
      <c r="BU63" s="34">
        <v>0</v>
      </c>
      <c r="BV63" s="34" t="e">
        <f>IF(VLOOKUP(BT63,#REF!,8,0)=0,"",VLOOKUP(BT63,#REF!,8,0))</f>
        <v>#REF!</v>
      </c>
      <c r="BW63" s="47" t="e">
        <f ca="1">IF(BU63=0,RANDBETWEEN(VLOOKUP(BT63,#REF!,13,0),VLOOKUP(BT63,#REF!,14,0)),RANDBETWEEN(VLOOKUP(BU63,$CO:$CR,2,0)/100*VLOOKUP(BT63,#REF!,13,0),VLOOKUP(BU63,$CO:$CR,2,0)/100*VLOOKUP(BT63,#REF!,14,0)))</f>
        <v>#REF!</v>
      </c>
      <c r="BX63" s="47" t="e">
        <f>VLOOKUP(BT63,#REF!,9,0)</f>
        <v>#REF!</v>
      </c>
      <c r="BY63" s="47" t="e">
        <f ca="1">IF(BU63=0,RANDBETWEEN(VLOOKUP(BT63,#REF!,26,0),VLOOKUP(BT63,#REF!,27,0)),RANDBETWEEN(VLOOKUP(BU63,$CO:$CR,3,0)/100*VLOOKUP(BT63,#REF!,26,0),VLOOKUP(BU63,$CO:$CR,3,0)/100*VLOOKUP(BT63,#REF!,27,0)))</f>
        <v>#REF!</v>
      </c>
      <c r="BZ63" s="47" t="e">
        <f>IF(VLOOKUP(BT63,#REF!,22,0)=0,"",VLOOKUP(BT63,#REF!,22,0))</f>
        <v>#REF!</v>
      </c>
      <c r="CA63" s="47" t="e">
        <f ca="1">IF(BU63=0,RANDBETWEEN(VLOOKUP(BT63,#REF!,39,0),VLOOKUP(BT63,#REF!,40,0)),RANDBETWEEN(VLOOKUP(BU63,$CO:$CR,4,0)/100*VLOOKUP(BT63,#REF!,39,0),VLOOKUP(BU63,$CO:$CR,4,0)/100*VLOOKUP(BT63,#REF!,40,0)))</f>
        <v>#REF!</v>
      </c>
      <c r="CB63" s="47" t="e">
        <f>IF(VLOOKUP(BT63,#REF!,35,0)=0,"",VLOOKUP(BT63,#REF!,35,0))</f>
        <v>#REF!</v>
      </c>
      <c r="CO63" s="50">
        <v>58</v>
      </c>
      <c r="CP63" s="50">
        <v>395</v>
      </c>
      <c r="CQ63" s="50">
        <v>1276</v>
      </c>
      <c r="CR63" s="50">
        <v>2308</v>
      </c>
      <c r="CS63" s="52">
        <v>348</v>
      </c>
      <c r="CT63" s="52">
        <v>673</v>
      </c>
      <c r="CU63" s="52">
        <v>1000</v>
      </c>
      <c r="CY63" t="str">
        <f t="shared" si="20"/>
        <v>双手</v>
      </c>
      <c r="CZ63" s="47">
        <v>20057</v>
      </c>
      <c r="DA63" s="34">
        <v>1</v>
      </c>
      <c r="DB63" s="54">
        <v>20</v>
      </c>
      <c r="DC63" s="34"/>
      <c r="DD63" s="34"/>
      <c r="DE63" s="34">
        <v>14</v>
      </c>
      <c r="DF63" s="34">
        <v>63</v>
      </c>
      <c r="DG63" s="34">
        <v>100</v>
      </c>
      <c r="DH63" s="34"/>
      <c r="DI63" t="s">
        <v>3783</v>
      </c>
      <c r="DJ63" t="s">
        <v>3932</v>
      </c>
      <c r="DK63" t="s">
        <v>3931</v>
      </c>
      <c r="DL63" s="9">
        <f t="shared" si="21"/>
        <v>14</v>
      </c>
      <c r="DM63" s="9">
        <f t="shared" si="22"/>
        <v>63</v>
      </c>
      <c r="DN63" s="9">
        <v>60</v>
      </c>
      <c r="DO63" s="9">
        <v>45</v>
      </c>
      <c r="DP63">
        <f t="shared" si="23"/>
        <v>30.8</v>
      </c>
    </row>
    <row r="64" spans="11:120" x14ac:dyDescent="0.2">
      <c r="K64" s="9"/>
      <c r="Y64" s="34">
        <v>60</v>
      </c>
      <c r="Z64" s="34">
        <f>ROUND(VLOOKUP(Y64,刀数数据支持!$L:$Q,3,0)*(1+((Y64-1)*2+25)*0.01*(1+AB64/100)),2)</f>
        <v>245.51</v>
      </c>
      <c r="AA64" s="34">
        <f>ROUND(VLOOKUP(Y64,刀数数据支持!$L:$Q,6,0)*(1+((Y64-1)*5+25)*0.01)*(1+AB64/100),2)</f>
        <v>807.61</v>
      </c>
      <c r="AB64" s="34">
        <f>VLOOKUP(Y64,刀数数据支持!$S:$T,2,0)</f>
        <v>140.36000000000001</v>
      </c>
      <c r="AC64" s="34">
        <f>ROUND(刀数数据支持!AY62*(1-刀数数据支持!BA62/100),1)</f>
        <v>13681.1</v>
      </c>
      <c r="AD64" s="34" t="str">
        <f>刀数数据支持!AZ62</f>
        <v>火蛇Lv27</v>
      </c>
      <c r="AE64" s="34">
        <f t="shared" si="42"/>
        <v>474.76</v>
      </c>
      <c r="AF64" s="34">
        <f t="shared" si="43"/>
        <v>1.94</v>
      </c>
      <c r="AG64" s="34">
        <f t="shared" si="24"/>
        <v>0.59</v>
      </c>
      <c r="AH64" s="34">
        <f t="shared" si="25"/>
        <v>0.03</v>
      </c>
      <c r="BS64" s="34" t="e">
        <f>#REF!</f>
        <v>#REF!</v>
      </c>
      <c r="BT64" s="34" t="e">
        <f>#REF!</f>
        <v>#REF!</v>
      </c>
      <c r="BU64" s="34">
        <v>0</v>
      </c>
      <c r="BV64" s="34" t="e">
        <f>IF(VLOOKUP(BT64,#REF!,8,0)=0,"",VLOOKUP(BT64,#REF!,8,0))</f>
        <v>#REF!</v>
      </c>
      <c r="BW64" s="47" t="e">
        <f ca="1">IF(BU64=0,RANDBETWEEN(VLOOKUP(BT64,#REF!,13,0),VLOOKUP(BT64,#REF!,14,0)),RANDBETWEEN(VLOOKUP(BU64,$CO:$CR,2,0)/100*VLOOKUP(BT64,#REF!,13,0),VLOOKUP(BU64,$CO:$CR,2,0)/100*VLOOKUP(BT64,#REF!,14,0)))</f>
        <v>#REF!</v>
      </c>
      <c r="BX64" s="47" t="e">
        <f>VLOOKUP(BT64,#REF!,9,0)</f>
        <v>#REF!</v>
      </c>
      <c r="BY64" s="47" t="e">
        <f ca="1">IF(BU64=0,RANDBETWEEN(VLOOKUP(BT64,#REF!,26,0),VLOOKUP(BT64,#REF!,27,0)),RANDBETWEEN(VLOOKUP(BU64,$CO:$CR,3,0)/100*VLOOKUP(BT64,#REF!,26,0),VLOOKUP(BU64,$CO:$CR,3,0)/100*VLOOKUP(BT64,#REF!,27,0)))</f>
        <v>#REF!</v>
      </c>
      <c r="BZ64" s="47" t="e">
        <f>IF(VLOOKUP(BT64,#REF!,22,0)=0,"",VLOOKUP(BT64,#REF!,22,0))</f>
        <v>#REF!</v>
      </c>
      <c r="CA64" s="47" t="e">
        <f ca="1">IF(BU64=0,RANDBETWEEN(VLOOKUP(BT64,#REF!,39,0),VLOOKUP(BT64,#REF!,40,0)),RANDBETWEEN(VLOOKUP(BU64,$CO:$CR,4,0)/100*VLOOKUP(BT64,#REF!,39,0),VLOOKUP(BU64,$CO:$CR,4,0)/100*VLOOKUP(BT64,#REF!,40,0)))</f>
        <v>#REF!</v>
      </c>
      <c r="CB64" s="47" t="e">
        <f>IF(VLOOKUP(BT64,#REF!,35,0)=0,"",VLOOKUP(BT64,#REF!,35,0))</f>
        <v>#REF!</v>
      </c>
      <c r="CO64" s="50">
        <v>59</v>
      </c>
      <c r="CP64" s="50">
        <v>406</v>
      </c>
      <c r="CQ64" s="50">
        <v>1309</v>
      </c>
      <c r="CR64" s="50">
        <v>2394</v>
      </c>
      <c r="CS64" s="52">
        <v>354</v>
      </c>
      <c r="CT64" s="52">
        <v>683</v>
      </c>
      <c r="CU64" s="52">
        <v>1015</v>
      </c>
      <c r="CY64" t="str">
        <f t="shared" si="20"/>
        <v>双手</v>
      </c>
      <c r="CZ64" s="47">
        <v>20058</v>
      </c>
      <c r="DA64" s="34">
        <v>1</v>
      </c>
      <c r="DB64" s="54">
        <v>10</v>
      </c>
      <c r="DC64" s="34"/>
      <c r="DD64" s="34"/>
      <c r="DE64" s="34">
        <v>1</v>
      </c>
      <c r="DF64" s="34">
        <v>27</v>
      </c>
      <c r="DG64" s="34">
        <v>100</v>
      </c>
      <c r="DH64" s="34"/>
      <c r="DI64" t="s">
        <v>3783</v>
      </c>
      <c r="DJ64" t="s">
        <v>3933</v>
      </c>
      <c r="DK64" t="s">
        <v>3931</v>
      </c>
      <c r="DL64" s="9">
        <f t="shared" si="21"/>
        <v>1</v>
      </c>
      <c r="DM64" s="9">
        <f t="shared" si="22"/>
        <v>27</v>
      </c>
      <c r="DN64" s="9">
        <v>40</v>
      </c>
      <c r="DP64">
        <f t="shared" si="23"/>
        <v>12.6</v>
      </c>
    </row>
    <row r="65" spans="11:120" x14ac:dyDescent="0.2">
      <c r="K65" s="9"/>
      <c r="Y65" s="34">
        <v>61</v>
      </c>
      <c r="Z65" s="34">
        <f>ROUND(VLOOKUP(Y65,刀数数据支持!$L:$Q,3,0)*(1+((Y65-1)*2+25)*0.01*(1+AB65/100)),2)</f>
        <v>253.07</v>
      </c>
      <c r="AA65" s="34">
        <f>ROUND(VLOOKUP(Y65,刀数数据支持!$L:$Q,6,0)*(1+((Y65-1)*5+25)*0.01)*(1+AB65/100),2)</f>
        <v>836.32</v>
      </c>
      <c r="AB65" s="34">
        <f>VLOOKUP(Y65,刀数数据支持!$S:$T,2,0)</f>
        <v>142.69999999999999</v>
      </c>
      <c r="AC65" s="34">
        <f>ROUND(刀数数据支持!AY63*(1-刀数数据支持!BA63/100),1)</f>
        <v>13648.9</v>
      </c>
      <c r="AD65" s="34" t="str">
        <f>刀数数据支持!AZ63</f>
        <v>火蛇Lv27</v>
      </c>
      <c r="AE65" s="34">
        <f t="shared" si="42"/>
        <v>488.39</v>
      </c>
      <c r="AF65" s="34">
        <f t="shared" si="43"/>
        <v>1.93</v>
      </c>
      <c r="AG65" s="34">
        <f t="shared" si="24"/>
        <v>0.59</v>
      </c>
      <c r="AH65" s="34">
        <f t="shared" si="25"/>
        <v>0.04</v>
      </c>
      <c r="BS65" s="34" t="e">
        <f>#REF!</f>
        <v>#REF!</v>
      </c>
      <c r="BT65" s="34" t="e">
        <f>#REF!</f>
        <v>#REF!</v>
      </c>
      <c r="BU65" s="34">
        <v>0</v>
      </c>
      <c r="BV65" s="34" t="e">
        <f>IF(VLOOKUP(BT65,#REF!,8,0)=0,"",VLOOKUP(BT65,#REF!,8,0))</f>
        <v>#REF!</v>
      </c>
      <c r="BW65" s="47" t="e">
        <f ca="1">IF(BU65=0,RANDBETWEEN(VLOOKUP(BT65,#REF!,13,0),VLOOKUP(BT65,#REF!,14,0)),RANDBETWEEN(VLOOKUP(BU65,$CO:$CR,2,0)/100*VLOOKUP(BT65,#REF!,13,0),VLOOKUP(BU65,$CO:$CR,2,0)/100*VLOOKUP(BT65,#REF!,14,0)))</f>
        <v>#REF!</v>
      </c>
      <c r="BX65" s="47" t="e">
        <f>VLOOKUP(BT65,#REF!,9,0)</f>
        <v>#REF!</v>
      </c>
      <c r="BY65" s="47" t="e">
        <f ca="1">IF(BU65=0,RANDBETWEEN(VLOOKUP(BT65,#REF!,26,0),VLOOKUP(BT65,#REF!,27,0)),RANDBETWEEN(VLOOKUP(BU65,$CO:$CR,3,0)/100*VLOOKUP(BT65,#REF!,26,0),VLOOKUP(BU65,$CO:$CR,3,0)/100*VLOOKUP(BT65,#REF!,27,0)))</f>
        <v>#REF!</v>
      </c>
      <c r="BZ65" s="47" t="e">
        <f>IF(VLOOKUP(BT65,#REF!,22,0)=0,"",VLOOKUP(BT65,#REF!,22,0))</f>
        <v>#REF!</v>
      </c>
      <c r="CA65" s="47" t="e">
        <f ca="1">IF(BU65=0,RANDBETWEEN(VLOOKUP(BT65,#REF!,39,0),VLOOKUP(BT65,#REF!,40,0)),RANDBETWEEN(VLOOKUP(BU65,$CO:$CR,4,0)/100*VLOOKUP(BT65,#REF!,39,0),VLOOKUP(BU65,$CO:$CR,4,0)/100*VLOOKUP(BT65,#REF!,40,0)))</f>
        <v>#REF!</v>
      </c>
      <c r="CB65" s="47" t="e">
        <f>IF(VLOOKUP(BT65,#REF!,35,0)=0,"",VLOOKUP(BT65,#REF!,35,0))</f>
        <v>#REF!</v>
      </c>
      <c r="CO65" s="50">
        <v>60</v>
      </c>
      <c r="CP65" s="50">
        <v>418</v>
      </c>
      <c r="CQ65" s="50">
        <v>1344</v>
      </c>
      <c r="CR65" s="50">
        <v>2480</v>
      </c>
      <c r="CS65" s="52">
        <v>360</v>
      </c>
      <c r="CT65" s="52">
        <v>694</v>
      </c>
      <c r="CU65" s="52">
        <v>1029</v>
      </c>
      <c r="CY65" t="str">
        <f t="shared" si="20"/>
        <v>双手</v>
      </c>
      <c r="CZ65" s="47">
        <v>20059</v>
      </c>
      <c r="DA65" s="34">
        <v>1</v>
      </c>
      <c r="DB65" s="54"/>
      <c r="DC65" s="34"/>
      <c r="DD65" s="34"/>
      <c r="DE65" s="34">
        <v>6</v>
      </c>
      <c r="DF65" s="34">
        <v>21</v>
      </c>
      <c r="DG65" s="34">
        <v>100</v>
      </c>
      <c r="DH65" s="34"/>
      <c r="DI65" t="s">
        <v>3783</v>
      </c>
      <c r="DJ65" t="s">
        <v>3934</v>
      </c>
      <c r="DK65" t="s">
        <v>3931</v>
      </c>
      <c r="DL65" s="9">
        <f t="shared" si="21"/>
        <v>6</v>
      </c>
      <c r="DM65" s="9">
        <f t="shared" si="22"/>
        <v>21</v>
      </c>
      <c r="DN65" s="9">
        <v>50</v>
      </c>
      <c r="DP65">
        <f t="shared" si="23"/>
        <v>13.5</v>
      </c>
    </row>
    <row r="66" spans="11:120" x14ac:dyDescent="0.2">
      <c r="K66" s="9"/>
      <c r="Y66" s="34">
        <v>62</v>
      </c>
      <c r="Z66" s="34">
        <f>ROUND(VLOOKUP(Y66,刀数数据支持!$L:$Q,3,0)*(1+((Y66-1)*2+25)*0.01*(1+AB66/100)),2)</f>
        <v>260.8</v>
      </c>
      <c r="AA66" s="34">
        <f>ROUND(VLOOKUP(Y66,刀数数据支持!$L:$Q,6,0)*(1+((Y66-1)*5+25)*0.01)*(1+AB66/100),2)</f>
        <v>865.8</v>
      </c>
      <c r="AB66" s="34">
        <f>VLOOKUP(Y66,刀数数据支持!$S:$T,2,0)</f>
        <v>145.04</v>
      </c>
      <c r="AC66" s="34">
        <f>ROUND(刀数数据支持!AY64*(1-刀数数据支持!BA64/100),1)</f>
        <v>14164</v>
      </c>
      <c r="AD66" s="34" t="str">
        <f>刀数数据支持!AZ64</f>
        <v>火蛇Lv27</v>
      </c>
      <c r="AE66" s="34">
        <f t="shared" si="42"/>
        <v>502.02</v>
      </c>
      <c r="AF66" s="34">
        <f t="shared" si="43"/>
        <v>1.93</v>
      </c>
      <c r="AG66" s="34">
        <f t="shared" si="24"/>
        <v>0.57999999999999996</v>
      </c>
      <c r="AH66" s="34">
        <f t="shared" si="25"/>
        <v>0.04</v>
      </c>
      <c r="BS66" s="34" t="e">
        <f>#REF!</f>
        <v>#REF!</v>
      </c>
      <c r="BT66" s="34" t="e">
        <f>#REF!</f>
        <v>#REF!</v>
      </c>
      <c r="BU66" s="34">
        <v>0</v>
      </c>
      <c r="BV66" s="34" t="e">
        <f>IF(VLOOKUP(BT66,#REF!,8,0)=0,"",VLOOKUP(BT66,#REF!,8,0))</f>
        <v>#REF!</v>
      </c>
      <c r="BW66" s="47" t="e">
        <f ca="1">IF(BU66=0,RANDBETWEEN(VLOOKUP(BT66,#REF!,13,0),VLOOKUP(BT66,#REF!,14,0)),RANDBETWEEN(VLOOKUP(BU66,$CO:$CR,2,0)/100*VLOOKUP(BT66,#REF!,13,0),VLOOKUP(BU66,$CO:$CR,2,0)/100*VLOOKUP(BT66,#REF!,14,0)))</f>
        <v>#REF!</v>
      </c>
      <c r="BX66" s="47" t="e">
        <f>VLOOKUP(BT66,#REF!,9,0)</f>
        <v>#REF!</v>
      </c>
      <c r="BY66" s="47" t="e">
        <f ca="1">IF(BU66=0,RANDBETWEEN(VLOOKUP(BT66,#REF!,26,0),VLOOKUP(BT66,#REF!,27,0)),RANDBETWEEN(VLOOKUP(BU66,$CO:$CR,3,0)/100*VLOOKUP(BT66,#REF!,26,0),VLOOKUP(BU66,$CO:$CR,3,0)/100*VLOOKUP(BT66,#REF!,27,0)))</f>
        <v>#REF!</v>
      </c>
      <c r="BZ66" s="47" t="e">
        <f>IF(VLOOKUP(BT66,#REF!,22,0)=0,"",VLOOKUP(BT66,#REF!,22,0))</f>
        <v>#REF!</v>
      </c>
      <c r="CA66" s="47" t="e">
        <f ca="1">IF(BU66=0,RANDBETWEEN(VLOOKUP(BT66,#REF!,39,0),VLOOKUP(BT66,#REF!,40,0)),RANDBETWEEN(VLOOKUP(BU66,$CO:$CR,4,0)/100*VLOOKUP(BT66,#REF!,39,0),VLOOKUP(BU66,$CO:$CR,4,0)/100*VLOOKUP(BT66,#REF!,40,0)))</f>
        <v>#REF!</v>
      </c>
      <c r="CB66" s="47" t="e">
        <f>IF(VLOOKUP(BT66,#REF!,35,0)=0,"",VLOOKUP(BT66,#REF!,35,0))</f>
        <v>#REF!</v>
      </c>
      <c r="CO66" s="50">
        <v>61</v>
      </c>
      <c r="CP66" s="50">
        <v>430</v>
      </c>
      <c r="CQ66" s="50">
        <v>1379</v>
      </c>
      <c r="CR66" s="50">
        <v>2567</v>
      </c>
      <c r="CS66" s="52">
        <v>366</v>
      </c>
      <c r="CT66" s="52">
        <v>704</v>
      </c>
      <c r="CU66" s="52">
        <v>1045</v>
      </c>
      <c r="CY66" t="str">
        <f t="shared" si="20"/>
        <v>双手</v>
      </c>
      <c r="CZ66" s="47">
        <v>20060</v>
      </c>
      <c r="DA66" s="34">
        <v>1</v>
      </c>
      <c r="DB66" s="54">
        <v>-10</v>
      </c>
      <c r="DC66" s="34"/>
      <c r="DD66" s="34"/>
      <c r="DE66" s="34">
        <v>8</v>
      </c>
      <c r="DF66" s="34">
        <v>20</v>
      </c>
      <c r="DG66" s="34">
        <v>100</v>
      </c>
      <c r="DH66" s="34"/>
      <c r="DI66" t="s">
        <v>3783</v>
      </c>
      <c r="DJ66" t="s">
        <v>3935</v>
      </c>
      <c r="DK66" t="s">
        <v>3931</v>
      </c>
      <c r="DL66" s="9">
        <f t="shared" si="21"/>
        <v>8</v>
      </c>
      <c r="DM66" s="9">
        <f t="shared" si="22"/>
        <v>20</v>
      </c>
      <c r="DN66" s="9">
        <v>41</v>
      </c>
      <c r="DO66" s="9">
        <v>41</v>
      </c>
      <c r="DP66">
        <f t="shared" si="23"/>
        <v>15.400000000000002</v>
      </c>
    </row>
    <row r="67" spans="11:120" x14ac:dyDescent="0.2">
      <c r="K67" s="9"/>
      <c r="Y67" s="34">
        <v>63</v>
      </c>
      <c r="Z67" s="34">
        <f>ROUND(VLOOKUP(Y67,刀数数据支持!$L:$Q,3,0)*(1+((Y67-1)*2+25)*0.01*(1+AB67/100)),2)</f>
        <v>268.64999999999998</v>
      </c>
      <c r="AA67" s="34">
        <f>ROUND(VLOOKUP(Y67,刀数数据支持!$L:$Q,6,0)*(1+((Y67-1)*5+25)*0.01)*(1+AB67/100),2)</f>
        <v>895.86</v>
      </c>
      <c r="AB67" s="34">
        <f>VLOOKUP(Y67,刀数数据支持!$S:$T,2,0)</f>
        <v>147.38</v>
      </c>
      <c r="AC67" s="34">
        <f>ROUND(刀数数据支持!AY65*(1-刀数数据支持!BA65/100),1)</f>
        <v>14067.4</v>
      </c>
      <c r="AD67" s="34" t="str">
        <f>刀数数据支持!AZ65</f>
        <v>火蛇Lv27</v>
      </c>
      <c r="AE67" s="34">
        <f t="shared" si="42"/>
        <v>515.65</v>
      </c>
      <c r="AF67" s="34">
        <f t="shared" si="43"/>
        <v>1.92</v>
      </c>
      <c r="AG67" s="34">
        <f t="shared" si="24"/>
        <v>0.57999999999999996</v>
      </c>
      <c r="AH67" s="34">
        <f t="shared" si="25"/>
        <v>0.04</v>
      </c>
      <c r="BS67" s="34" t="e">
        <f>#REF!</f>
        <v>#REF!</v>
      </c>
      <c r="BT67" s="34" t="e">
        <f>#REF!</f>
        <v>#REF!</v>
      </c>
      <c r="BU67" s="34">
        <v>0</v>
      </c>
      <c r="BV67" s="34" t="e">
        <f>IF(VLOOKUP(BT67,#REF!,8,0)=0,"",VLOOKUP(BT67,#REF!,8,0))</f>
        <v>#REF!</v>
      </c>
      <c r="BW67" s="47" t="e">
        <f ca="1">IF(BU67=0,RANDBETWEEN(VLOOKUP(BT67,#REF!,13,0),VLOOKUP(BT67,#REF!,14,0)),RANDBETWEEN(VLOOKUP(BU67,$CO:$CR,2,0)/100*VLOOKUP(BT67,#REF!,13,0),VLOOKUP(BU67,$CO:$CR,2,0)/100*VLOOKUP(BT67,#REF!,14,0)))</f>
        <v>#REF!</v>
      </c>
      <c r="BX67" s="47" t="e">
        <f>VLOOKUP(BT67,#REF!,9,0)</f>
        <v>#REF!</v>
      </c>
      <c r="BY67" s="47" t="e">
        <f ca="1">IF(BU67=0,RANDBETWEEN(VLOOKUP(BT67,#REF!,26,0),VLOOKUP(BT67,#REF!,27,0)),RANDBETWEEN(VLOOKUP(BU67,$CO:$CR,3,0)/100*VLOOKUP(BT67,#REF!,26,0),VLOOKUP(BU67,$CO:$CR,3,0)/100*VLOOKUP(BT67,#REF!,27,0)))</f>
        <v>#REF!</v>
      </c>
      <c r="BZ67" s="47" t="e">
        <f>IF(VLOOKUP(BT67,#REF!,22,0)=0,"",VLOOKUP(BT67,#REF!,22,0))</f>
        <v>#REF!</v>
      </c>
      <c r="CA67" s="47" t="e">
        <f ca="1">IF(BU67=0,RANDBETWEEN(VLOOKUP(BT67,#REF!,39,0),VLOOKUP(BT67,#REF!,40,0)),RANDBETWEEN(VLOOKUP(BU67,$CO:$CR,4,0)/100*VLOOKUP(BT67,#REF!,39,0),VLOOKUP(BU67,$CO:$CR,4,0)/100*VLOOKUP(BT67,#REF!,40,0)))</f>
        <v>#REF!</v>
      </c>
      <c r="CB67" s="47" t="e">
        <f>IF(VLOOKUP(BT67,#REF!,35,0)=0,"",VLOOKUP(BT67,#REF!,35,0))</f>
        <v>#REF!</v>
      </c>
      <c r="CO67" s="50">
        <v>62</v>
      </c>
      <c r="CP67" s="50">
        <v>442</v>
      </c>
      <c r="CQ67" s="50">
        <v>1412</v>
      </c>
      <c r="CR67" s="50">
        <v>2653</v>
      </c>
      <c r="CS67" s="52">
        <v>372</v>
      </c>
      <c r="CT67" s="52">
        <v>714</v>
      </c>
      <c r="CU67" s="52">
        <v>1059</v>
      </c>
      <c r="CY67" t="str">
        <f t="shared" si="20"/>
        <v>双手</v>
      </c>
      <c r="CZ67" s="47">
        <v>20061</v>
      </c>
      <c r="DA67" s="34">
        <v>1</v>
      </c>
      <c r="DB67" s="54">
        <v>10</v>
      </c>
      <c r="DC67" s="34"/>
      <c r="DD67" s="34"/>
      <c r="DE67" s="34">
        <v>18</v>
      </c>
      <c r="DF67" s="34">
        <v>39</v>
      </c>
      <c r="DG67" s="34">
        <v>100</v>
      </c>
      <c r="DH67" s="34"/>
      <c r="DI67" t="s">
        <v>3783</v>
      </c>
      <c r="DJ67" t="s">
        <v>3936</v>
      </c>
      <c r="DK67" t="s">
        <v>3931</v>
      </c>
      <c r="DL67" s="9">
        <f t="shared" si="21"/>
        <v>18</v>
      </c>
      <c r="DM67" s="9">
        <f t="shared" si="22"/>
        <v>39</v>
      </c>
      <c r="DN67" s="9">
        <v>62</v>
      </c>
      <c r="DP67">
        <f t="shared" si="23"/>
        <v>25.650000000000002</v>
      </c>
    </row>
    <row r="68" spans="11:120" x14ac:dyDescent="0.2">
      <c r="K68" s="9"/>
      <c r="Y68" s="34">
        <v>64</v>
      </c>
      <c r="Z68" s="34">
        <f>ROUND(VLOOKUP(Y68,刀数数据支持!$L:$Q,3,0)*(1+((Y68-1)*2+25)*0.01*(1+AB68/100)),2)</f>
        <v>276.7</v>
      </c>
      <c r="AA68" s="34">
        <f>ROUND(VLOOKUP(Y68,刀数数据支持!$L:$Q,6,0)*(1+((Y68-1)*5+25)*0.01)*(1+AB68/100),2)</f>
        <v>926.59</v>
      </c>
      <c r="AB68" s="34">
        <f>VLOOKUP(Y68,刀数数据支持!$S:$T,2,0)</f>
        <v>149.72</v>
      </c>
      <c r="AC68" s="34">
        <f>ROUND(刀数数据支持!AY66*(1-刀数数据支持!BA66/100),1)</f>
        <v>14561</v>
      </c>
      <c r="AD68" s="34" t="str">
        <f>刀数数据支持!AZ66</f>
        <v>火蛇Lv27</v>
      </c>
      <c r="AE68" s="34">
        <f t="shared" si="42"/>
        <v>529.28</v>
      </c>
      <c r="AF68" s="34">
        <f t="shared" si="43"/>
        <v>1.92</v>
      </c>
      <c r="AG68" s="34">
        <f t="shared" si="24"/>
        <v>0.57999999999999996</v>
      </c>
      <c r="AH68" s="34">
        <f t="shared" si="25"/>
        <v>0.04</v>
      </c>
      <c r="BS68" s="34" t="e">
        <f>#REF!</f>
        <v>#REF!</v>
      </c>
      <c r="BT68" s="34" t="e">
        <f>#REF!</f>
        <v>#REF!</v>
      </c>
      <c r="BU68" s="34">
        <v>0</v>
      </c>
      <c r="BV68" s="34" t="e">
        <f>IF(VLOOKUP(BT68,#REF!,8,0)=0,"",VLOOKUP(BT68,#REF!,8,0))</f>
        <v>#REF!</v>
      </c>
      <c r="BW68" s="47" t="e">
        <f ca="1">IF(BU68=0,RANDBETWEEN(VLOOKUP(BT68,#REF!,13,0),VLOOKUP(BT68,#REF!,14,0)),RANDBETWEEN(VLOOKUP(BU68,$CO:$CR,2,0)/100*VLOOKUP(BT68,#REF!,13,0),VLOOKUP(BU68,$CO:$CR,2,0)/100*VLOOKUP(BT68,#REF!,14,0)))</f>
        <v>#REF!</v>
      </c>
      <c r="BX68" s="47" t="e">
        <f>VLOOKUP(BT68,#REF!,9,0)</f>
        <v>#REF!</v>
      </c>
      <c r="BY68" s="47" t="e">
        <f ca="1">IF(BU68=0,RANDBETWEEN(VLOOKUP(BT68,#REF!,26,0),VLOOKUP(BT68,#REF!,27,0)),RANDBETWEEN(VLOOKUP(BU68,$CO:$CR,3,0)/100*VLOOKUP(BT68,#REF!,26,0),VLOOKUP(BU68,$CO:$CR,3,0)/100*VLOOKUP(BT68,#REF!,27,0)))</f>
        <v>#REF!</v>
      </c>
      <c r="BZ68" s="47" t="e">
        <f>IF(VLOOKUP(BT68,#REF!,22,0)=0,"",VLOOKUP(BT68,#REF!,22,0))</f>
        <v>#REF!</v>
      </c>
      <c r="CA68" s="47" t="e">
        <f ca="1">IF(BU68=0,RANDBETWEEN(VLOOKUP(BT68,#REF!,39,0),VLOOKUP(BT68,#REF!,40,0)),RANDBETWEEN(VLOOKUP(BU68,$CO:$CR,4,0)/100*VLOOKUP(BT68,#REF!,39,0),VLOOKUP(BU68,$CO:$CR,4,0)/100*VLOOKUP(BT68,#REF!,40,0)))</f>
        <v>#REF!</v>
      </c>
      <c r="CB68" s="47" t="e">
        <f>IF(VLOOKUP(BT68,#REF!,35,0)=0,"",VLOOKUP(BT68,#REF!,35,0))</f>
        <v>#REF!</v>
      </c>
      <c r="CO68" s="50">
        <v>63</v>
      </c>
      <c r="CP68" s="50">
        <v>454</v>
      </c>
      <c r="CQ68" s="50">
        <v>1447</v>
      </c>
      <c r="CR68" s="50">
        <v>2739</v>
      </c>
      <c r="CS68" s="52">
        <v>378</v>
      </c>
      <c r="CT68" s="52">
        <v>724</v>
      </c>
      <c r="CU68" s="52">
        <v>1074</v>
      </c>
      <c r="CY68" t="str">
        <f t="shared" si="20"/>
        <v>双手</v>
      </c>
      <c r="CZ68" s="47">
        <v>20062</v>
      </c>
      <c r="DA68" s="34">
        <v>1</v>
      </c>
      <c r="DB68" s="54"/>
      <c r="DC68" s="34"/>
      <c r="DD68" s="34"/>
      <c r="DE68" s="34">
        <v>12</v>
      </c>
      <c r="DF68" s="34">
        <v>45</v>
      </c>
      <c r="DG68" s="34">
        <v>100</v>
      </c>
      <c r="DH68" s="34"/>
      <c r="DI68" t="s">
        <v>3783</v>
      </c>
      <c r="DJ68" t="s">
        <v>3937</v>
      </c>
      <c r="DK68" t="s">
        <v>3938</v>
      </c>
      <c r="DL68" s="9">
        <f t="shared" si="21"/>
        <v>12</v>
      </c>
      <c r="DM68" s="9">
        <f t="shared" si="22"/>
        <v>45</v>
      </c>
      <c r="DN68" s="9">
        <v>75</v>
      </c>
      <c r="DO68" s="9">
        <v>47</v>
      </c>
      <c r="DP68">
        <f t="shared" si="23"/>
        <v>28.5</v>
      </c>
    </row>
    <row r="69" spans="11:120" x14ac:dyDescent="0.2">
      <c r="K69" s="9"/>
      <c r="Y69" s="34">
        <v>65</v>
      </c>
      <c r="Z69" s="34">
        <f>ROUND(VLOOKUP(Y69,刀数数据支持!$L:$Q,3,0)*(1+((Y69-1)*2+25)*0.01*(1+AB69/100)),2)</f>
        <v>284.11</v>
      </c>
      <c r="AA69" s="34">
        <f>ROUND(VLOOKUP(Y69,刀数数据支持!$L:$Q,6,0)*(1+((Y69-1)*5+25)*0.01)*(1+AB69/100),2)</f>
        <v>958.13</v>
      </c>
      <c r="AB69" s="34">
        <f>VLOOKUP(Y69,刀数数据支持!$S:$T,2,0)</f>
        <v>152.06</v>
      </c>
      <c r="AC69" s="34">
        <f>ROUND(刀数数据支持!AY67*(1-刀数数据支持!BA67/100),1)</f>
        <v>14400.1</v>
      </c>
      <c r="AD69" s="34" t="str">
        <f>刀数数据支持!AZ67</f>
        <v>火蛇Lv27</v>
      </c>
      <c r="AE69" s="34">
        <f t="shared" ref="AE69:AE103" si="44">ROUND(113.58*VLOOKUP(Y69,$CO:$CR,2,0)/100,2)</f>
        <v>541.78</v>
      </c>
      <c r="AF69" s="34">
        <f t="shared" ref="AF69:AF100" si="45">ROUNDUP(AE69/Z69,2)</f>
        <v>1.91</v>
      </c>
      <c r="AG69" s="34">
        <f t="shared" si="24"/>
        <v>0.57000000000000006</v>
      </c>
      <c r="AH69" s="34">
        <f t="shared" si="25"/>
        <v>0.04</v>
      </c>
      <c r="BS69" s="34" t="e">
        <f>#REF!</f>
        <v>#REF!</v>
      </c>
      <c r="BT69" s="34" t="e">
        <f>#REF!</f>
        <v>#REF!</v>
      </c>
      <c r="BU69" s="34">
        <v>0</v>
      </c>
      <c r="BV69" s="34" t="e">
        <f>IF(VLOOKUP(BT69,#REF!,8,0)=0,"",VLOOKUP(BT69,#REF!,8,0))</f>
        <v>#REF!</v>
      </c>
      <c r="BW69" s="47" t="e">
        <f ca="1">IF(BU69=0,RANDBETWEEN(VLOOKUP(BT69,#REF!,13,0),VLOOKUP(BT69,#REF!,14,0)),RANDBETWEEN(VLOOKUP(BU69,$CO:$CR,2,0)/100*VLOOKUP(BT69,#REF!,13,0),VLOOKUP(BU69,$CO:$CR,2,0)/100*VLOOKUP(BT69,#REF!,14,0)))</f>
        <v>#REF!</v>
      </c>
      <c r="BX69" s="47" t="e">
        <f>VLOOKUP(BT69,#REF!,9,0)</f>
        <v>#REF!</v>
      </c>
      <c r="BY69" s="47" t="e">
        <f ca="1">IF(BU69=0,RANDBETWEEN(VLOOKUP(BT69,#REF!,26,0),VLOOKUP(BT69,#REF!,27,0)),RANDBETWEEN(VLOOKUP(BU69,$CO:$CR,3,0)/100*VLOOKUP(BT69,#REF!,26,0),VLOOKUP(BU69,$CO:$CR,3,0)/100*VLOOKUP(BT69,#REF!,27,0)))</f>
        <v>#REF!</v>
      </c>
      <c r="BZ69" s="47" t="e">
        <f>IF(VLOOKUP(BT69,#REF!,22,0)=0,"",VLOOKUP(BT69,#REF!,22,0))</f>
        <v>#REF!</v>
      </c>
      <c r="CA69" s="47" t="e">
        <f ca="1">IF(BU69=0,RANDBETWEEN(VLOOKUP(BT69,#REF!,39,0),VLOOKUP(BT69,#REF!,40,0)),RANDBETWEEN(VLOOKUP(BU69,$CO:$CR,4,0)/100*VLOOKUP(BT69,#REF!,39,0),VLOOKUP(BU69,$CO:$CR,4,0)/100*VLOOKUP(BT69,#REF!,40,0)))</f>
        <v>#REF!</v>
      </c>
      <c r="CB69" s="47" t="e">
        <f>IF(VLOOKUP(BT69,#REF!,35,0)=0,"",VLOOKUP(BT69,#REF!,35,0))</f>
        <v>#REF!</v>
      </c>
      <c r="CO69" s="50">
        <v>64</v>
      </c>
      <c r="CP69" s="50">
        <v>466</v>
      </c>
      <c r="CQ69" s="50">
        <v>1480</v>
      </c>
      <c r="CR69" s="50">
        <v>2825</v>
      </c>
      <c r="CS69" s="52">
        <v>384</v>
      </c>
      <c r="CT69" s="52">
        <v>734</v>
      </c>
      <c r="CU69" s="52">
        <v>1090</v>
      </c>
      <c r="CY69" t="str">
        <f t="shared" ref="CY69:CY132" si="46">IF(DC69=0,"双手",IF(DE69=0,"单","单/双手"))</f>
        <v>双手</v>
      </c>
      <c r="CZ69" s="47">
        <v>20063</v>
      </c>
      <c r="DA69" s="34">
        <v>1</v>
      </c>
      <c r="DB69" s="54">
        <v>-10</v>
      </c>
      <c r="DC69" s="34"/>
      <c r="DD69" s="34"/>
      <c r="DE69" s="34">
        <v>15</v>
      </c>
      <c r="DF69" s="34">
        <v>36</v>
      </c>
      <c r="DG69" s="34">
        <v>100</v>
      </c>
      <c r="DH69" s="34"/>
      <c r="DI69" t="s">
        <v>3783</v>
      </c>
      <c r="DJ69" t="s">
        <v>3939</v>
      </c>
      <c r="DK69" t="s">
        <v>3938</v>
      </c>
      <c r="DL69" s="9">
        <f t="shared" ref="DL69:DL132" si="47">IF(DE69,DE69,DC69)</f>
        <v>15</v>
      </c>
      <c r="DM69" s="9">
        <f t="shared" ref="DM69:DM132" si="48">IF(DF69,DF69,DD69)</f>
        <v>36</v>
      </c>
      <c r="DN69" s="9">
        <v>80</v>
      </c>
      <c r="DO69" s="9">
        <v>80</v>
      </c>
      <c r="DP69">
        <f t="shared" ref="DP69:DP132" si="49">(DL69+DM69)/2*((100-DB69)/100)</f>
        <v>28.05</v>
      </c>
    </row>
    <row r="70" spans="11:120" x14ac:dyDescent="0.2">
      <c r="K70" s="9"/>
      <c r="Y70" s="34">
        <v>66</v>
      </c>
      <c r="Z70" s="34">
        <f>ROUND(VLOOKUP(Y70,刀数数据支持!$L:$Q,3,0)*(1+((Y70-1)*2+25)*0.01*(1+AB70/100)),2)</f>
        <v>291.64999999999998</v>
      </c>
      <c r="AA70" s="34">
        <f>ROUND(VLOOKUP(Y70,刀数数据支持!$L:$Q,6,0)*(1+((Y70-1)*5+25)*0.01)*(1+AB70/100),2)</f>
        <v>990.25</v>
      </c>
      <c r="AB70" s="34">
        <f>VLOOKUP(Y70,刀数数据支持!$S:$T,2,0)</f>
        <v>154.4</v>
      </c>
      <c r="AC70" s="34">
        <f>ROUND(刀数数据支持!AY68*(1-刀数数据支持!BA68/100),1)</f>
        <v>14872.2</v>
      </c>
      <c r="AD70" s="34" t="str">
        <f>刀数数据支持!AZ68</f>
        <v>火蛇Lv27</v>
      </c>
      <c r="AE70" s="34">
        <f t="shared" si="44"/>
        <v>555.41</v>
      </c>
      <c r="AF70" s="34">
        <f t="shared" si="45"/>
        <v>1.91</v>
      </c>
      <c r="AG70" s="34">
        <f t="shared" ref="AG70:AG103" si="50">ROUNDUP(AE70/AA70,2)</f>
        <v>0.57000000000000006</v>
      </c>
      <c r="AH70" s="34">
        <f t="shared" ref="AH70:AH103" si="51">ROUND(AE70/AC70,2)</f>
        <v>0.04</v>
      </c>
      <c r="BS70" s="34" t="e">
        <f>#REF!</f>
        <v>#REF!</v>
      </c>
      <c r="BT70" s="34" t="e">
        <f>#REF!</f>
        <v>#REF!</v>
      </c>
      <c r="BU70" s="34">
        <v>0</v>
      </c>
      <c r="BV70" s="34" t="e">
        <f>IF(VLOOKUP(BT70,#REF!,8,0)=0,"",VLOOKUP(BT70,#REF!,8,0))</f>
        <v>#REF!</v>
      </c>
      <c r="BW70" s="47" t="e">
        <f ca="1">IF(BU70=0,RANDBETWEEN(VLOOKUP(BT70,#REF!,13,0),VLOOKUP(BT70,#REF!,14,0)),RANDBETWEEN(VLOOKUP(BU70,$CO:$CR,2,0)/100*VLOOKUP(BT70,#REF!,13,0),VLOOKUP(BU70,$CO:$CR,2,0)/100*VLOOKUP(BT70,#REF!,14,0)))</f>
        <v>#REF!</v>
      </c>
      <c r="BX70" s="47" t="e">
        <f>VLOOKUP(BT70,#REF!,9,0)</f>
        <v>#REF!</v>
      </c>
      <c r="BY70" s="47" t="e">
        <f ca="1">IF(BU70=0,RANDBETWEEN(VLOOKUP(BT70,#REF!,26,0),VLOOKUP(BT70,#REF!,27,0)),RANDBETWEEN(VLOOKUP(BU70,$CO:$CR,3,0)/100*VLOOKUP(BT70,#REF!,26,0),VLOOKUP(BU70,$CO:$CR,3,0)/100*VLOOKUP(BT70,#REF!,27,0)))</f>
        <v>#REF!</v>
      </c>
      <c r="BZ70" s="47" t="e">
        <f>IF(VLOOKUP(BT70,#REF!,22,0)=0,"",VLOOKUP(BT70,#REF!,22,0))</f>
        <v>#REF!</v>
      </c>
      <c r="CA70" s="47" t="e">
        <f ca="1">IF(BU70=0,RANDBETWEEN(VLOOKUP(BT70,#REF!,39,0),VLOOKUP(BT70,#REF!,40,0)),RANDBETWEEN(VLOOKUP(BU70,$CO:$CR,4,0)/100*VLOOKUP(BT70,#REF!,39,0),VLOOKUP(BU70,$CO:$CR,4,0)/100*VLOOKUP(BT70,#REF!,40,0)))</f>
        <v>#REF!</v>
      </c>
      <c r="CB70" s="47" t="e">
        <f>IF(VLOOKUP(BT70,#REF!,35,0)=0,"",VLOOKUP(BT70,#REF!,35,0))</f>
        <v>#REF!</v>
      </c>
      <c r="CO70" s="50">
        <v>65</v>
      </c>
      <c r="CP70" s="50">
        <v>477</v>
      </c>
      <c r="CQ70" s="50">
        <v>1515</v>
      </c>
      <c r="CR70" s="50">
        <v>2912</v>
      </c>
      <c r="CS70" s="52">
        <v>390</v>
      </c>
      <c r="CT70" s="52">
        <v>745</v>
      </c>
      <c r="CU70" s="52">
        <v>1104</v>
      </c>
      <c r="CY70" t="str">
        <f t="shared" si="46"/>
        <v>双手</v>
      </c>
      <c r="CZ70" s="47">
        <v>20064</v>
      </c>
      <c r="DA70" s="34">
        <v>1</v>
      </c>
      <c r="DB70" s="54">
        <v>-10</v>
      </c>
      <c r="DC70" s="34"/>
      <c r="DD70" s="34"/>
      <c r="DE70" s="34">
        <v>1</v>
      </c>
      <c r="DF70" s="34">
        <v>5</v>
      </c>
      <c r="DG70" s="34">
        <v>100</v>
      </c>
      <c r="DH70" s="34"/>
      <c r="DI70" t="s">
        <v>3783</v>
      </c>
      <c r="DJ70" t="s">
        <v>3940</v>
      </c>
      <c r="DK70" t="s">
        <v>3938</v>
      </c>
      <c r="DL70" s="9">
        <f t="shared" si="47"/>
        <v>1</v>
      </c>
      <c r="DM70" s="9">
        <f t="shared" si="48"/>
        <v>5</v>
      </c>
      <c r="DP70">
        <f t="shared" si="49"/>
        <v>3.3000000000000003</v>
      </c>
    </row>
    <row r="71" spans="11:120" x14ac:dyDescent="0.2">
      <c r="K71" s="9"/>
      <c r="Y71" s="34">
        <v>67</v>
      </c>
      <c r="Z71" s="34">
        <f>ROUND(VLOOKUP(Y71,刀数数据支持!$L:$Q,3,0)*(1+((Y71-1)*2+25)*0.01*(1+AB71/100)),2)</f>
        <v>299.33</v>
      </c>
      <c r="AA71" s="34">
        <f>ROUND(VLOOKUP(Y71,刀数数据支持!$L:$Q,6,0)*(1+((Y71-1)*5+25)*0.01)*(1+AB71/100),2)</f>
        <v>1025.77</v>
      </c>
      <c r="AB71" s="34">
        <f>VLOOKUP(Y71,刀数数据支持!$S:$T,2,0)</f>
        <v>156.74</v>
      </c>
      <c r="AC71" s="34">
        <f>ROUND(刀数数据支持!AY69*(1-刀数数据支持!BA69/100),1)</f>
        <v>15818.6</v>
      </c>
      <c r="AD71" s="34" t="str">
        <f>刀数数据支持!AZ69</f>
        <v>火蛇Lv27</v>
      </c>
      <c r="AE71" s="34">
        <f t="shared" si="44"/>
        <v>569.04</v>
      </c>
      <c r="AF71" s="34">
        <f t="shared" si="45"/>
        <v>1.91</v>
      </c>
      <c r="AG71" s="34">
        <f t="shared" si="50"/>
        <v>0.56000000000000005</v>
      </c>
      <c r="AH71" s="34">
        <f t="shared" si="51"/>
        <v>0.04</v>
      </c>
      <c r="BS71" s="34" t="e">
        <f>#REF!</f>
        <v>#REF!</v>
      </c>
      <c r="BT71" s="34" t="e">
        <f>#REF!</f>
        <v>#REF!</v>
      </c>
      <c r="BU71" s="34">
        <v>0</v>
      </c>
      <c r="BV71" s="34" t="e">
        <f>IF(VLOOKUP(BT71,#REF!,8,0)=0,"",VLOOKUP(BT71,#REF!,8,0))</f>
        <v>#REF!</v>
      </c>
      <c r="BW71" s="47" t="e">
        <f ca="1">IF(BU71=0,RANDBETWEEN(VLOOKUP(BT71,#REF!,13,0),VLOOKUP(BT71,#REF!,14,0)),RANDBETWEEN(VLOOKUP(BU71,$CO:$CR,2,0)/100*VLOOKUP(BT71,#REF!,13,0),VLOOKUP(BU71,$CO:$CR,2,0)/100*VLOOKUP(BT71,#REF!,14,0)))</f>
        <v>#REF!</v>
      </c>
      <c r="BX71" s="47" t="e">
        <f>VLOOKUP(BT71,#REF!,9,0)</f>
        <v>#REF!</v>
      </c>
      <c r="BY71" s="47" t="e">
        <f ca="1">IF(BU71=0,RANDBETWEEN(VLOOKUP(BT71,#REF!,26,0),VLOOKUP(BT71,#REF!,27,0)),RANDBETWEEN(VLOOKUP(BU71,$CO:$CR,3,0)/100*VLOOKUP(BT71,#REF!,26,0),VLOOKUP(BU71,$CO:$CR,3,0)/100*VLOOKUP(BT71,#REF!,27,0)))</f>
        <v>#REF!</v>
      </c>
      <c r="BZ71" s="47" t="e">
        <f>IF(VLOOKUP(BT71,#REF!,22,0)=0,"",VLOOKUP(BT71,#REF!,22,0))</f>
        <v>#REF!</v>
      </c>
      <c r="CA71" s="47" t="e">
        <f ca="1">IF(BU71=0,RANDBETWEEN(VLOOKUP(BT71,#REF!,39,0),VLOOKUP(BT71,#REF!,40,0)),RANDBETWEEN(VLOOKUP(BU71,$CO:$CR,4,0)/100*VLOOKUP(BT71,#REF!,39,0),VLOOKUP(BU71,$CO:$CR,4,0)/100*VLOOKUP(BT71,#REF!,40,0)))</f>
        <v>#REF!</v>
      </c>
      <c r="CB71" s="47" t="e">
        <f>IF(VLOOKUP(BT71,#REF!,35,0)=0,"",VLOOKUP(BT71,#REF!,35,0))</f>
        <v>#REF!</v>
      </c>
      <c r="CO71" s="50">
        <v>66</v>
      </c>
      <c r="CP71" s="50">
        <v>489</v>
      </c>
      <c r="CQ71" s="50">
        <v>1549</v>
      </c>
      <c r="CR71" s="50">
        <v>2998</v>
      </c>
      <c r="CS71" s="52">
        <v>396</v>
      </c>
      <c r="CT71" s="52">
        <v>755</v>
      </c>
      <c r="CU71" s="52">
        <v>1119</v>
      </c>
      <c r="CY71" t="str">
        <f t="shared" si="46"/>
        <v>双手</v>
      </c>
      <c r="CZ71" s="47">
        <v>20065</v>
      </c>
      <c r="DA71" s="34">
        <v>1</v>
      </c>
      <c r="DB71" s="54"/>
      <c r="DC71" s="34"/>
      <c r="DD71" s="34"/>
      <c r="DE71" s="34">
        <v>2</v>
      </c>
      <c r="DF71" s="34">
        <v>8</v>
      </c>
      <c r="DG71" s="34">
        <v>100</v>
      </c>
      <c r="DH71" s="34"/>
      <c r="DI71" t="s">
        <v>3783</v>
      </c>
      <c r="DJ71" t="s">
        <v>3941</v>
      </c>
      <c r="DK71" t="s">
        <v>3938</v>
      </c>
      <c r="DL71" s="9">
        <f t="shared" si="47"/>
        <v>2</v>
      </c>
      <c r="DM71" s="9">
        <f t="shared" si="48"/>
        <v>8</v>
      </c>
      <c r="DP71">
        <f t="shared" si="49"/>
        <v>5</v>
      </c>
    </row>
    <row r="72" spans="11:120" x14ac:dyDescent="0.2">
      <c r="K72" s="9"/>
      <c r="Y72" s="34">
        <v>68</v>
      </c>
      <c r="Z72" s="34">
        <f>ROUND(VLOOKUP(Y72,刀数数据支持!$L:$Q,3,0)*(1+((Y72-1)*2+25)*0.01*(1+AB72/100)),2)</f>
        <v>307.16000000000003</v>
      </c>
      <c r="AA72" s="34">
        <f>ROUND(VLOOKUP(Y72,刀数数据支持!$L:$Q,6,0)*(1+((Y72-1)*5+25)*0.01)*(1+AB72/100),2)</f>
        <v>1062.0999999999999</v>
      </c>
      <c r="AB72" s="34">
        <f>VLOOKUP(Y72,刀数数据支持!$S:$T,2,0)</f>
        <v>159.08000000000001</v>
      </c>
      <c r="AC72" s="34">
        <f>ROUND(刀数数据支持!AY70*(1-刀数数据支持!BA70/100),1)</f>
        <v>16990.400000000001</v>
      </c>
      <c r="AD72" s="34" t="str">
        <f>刀数数据支持!AZ70</f>
        <v>火蛇Lv27</v>
      </c>
      <c r="AE72" s="34">
        <f t="shared" si="44"/>
        <v>582.66999999999996</v>
      </c>
      <c r="AF72" s="34">
        <f t="shared" si="45"/>
        <v>1.9</v>
      </c>
      <c r="AG72" s="34">
        <f t="shared" si="50"/>
        <v>0.55000000000000004</v>
      </c>
      <c r="AH72" s="34">
        <f t="shared" si="51"/>
        <v>0.03</v>
      </c>
      <c r="BS72" s="34" t="e">
        <f>#REF!</f>
        <v>#REF!</v>
      </c>
      <c r="BT72" s="34" t="e">
        <f>#REF!</f>
        <v>#REF!</v>
      </c>
      <c r="BU72" s="34">
        <v>0</v>
      </c>
      <c r="BV72" s="34" t="e">
        <f>IF(VLOOKUP(BT72,#REF!,8,0)=0,"",VLOOKUP(BT72,#REF!,8,0))</f>
        <v>#REF!</v>
      </c>
      <c r="BW72" s="47" t="e">
        <f ca="1">IF(BU72=0,RANDBETWEEN(VLOOKUP(BT72,#REF!,13,0),VLOOKUP(BT72,#REF!,14,0)),RANDBETWEEN(VLOOKUP(BU72,$CO:$CR,2,0)/100*VLOOKUP(BT72,#REF!,13,0),VLOOKUP(BU72,$CO:$CR,2,0)/100*VLOOKUP(BT72,#REF!,14,0)))</f>
        <v>#REF!</v>
      </c>
      <c r="BX72" s="47" t="e">
        <f>VLOOKUP(BT72,#REF!,9,0)</f>
        <v>#REF!</v>
      </c>
      <c r="BY72" s="47" t="e">
        <f ca="1">IF(BU72=0,RANDBETWEEN(VLOOKUP(BT72,#REF!,26,0),VLOOKUP(BT72,#REF!,27,0)),RANDBETWEEN(VLOOKUP(BU72,$CO:$CR,3,0)/100*VLOOKUP(BT72,#REF!,26,0),VLOOKUP(BU72,$CO:$CR,3,0)/100*VLOOKUP(BT72,#REF!,27,0)))</f>
        <v>#REF!</v>
      </c>
      <c r="BZ72" s="47" t="e">
        <f>IF(VLOOKUP(BT72,#REF!,22,0)=0,"",VLOOKUP(BT72,#REF!,22,0))</f>
        <v>#REF!</v>
      </c>
      <c r="CA72" s="47" t="e">
        <f ca="1">IF(BU72=0,RANDBETWEEN(VLOOKUP(BT72,#REF!,39,0),VLOOKUP(BT72,#REF!,40,0)),RANDBETWEEN(VLOOKUP(BU72,$CO:$CR,4,0)/100*VLOOKUP(BT72,#REF!,39,0),VLOOKUP(BU72,$CO:$CR,4,0)/100*VLOOKUP(BT72,#REF!,40,0)))</f>
        <v>#REF!</v>
      </c>
      <c r="CB72" s="47" t="e">
        <f>IF(VLOOKUP(BT72,#REF!,35,0)=0,"",VLOOKUP(BT72,#REF!,35,0))</f>
        <v>#REF!</v>
      </c>
      <c r="CO72" s="50">
        <v>67</v>
      </c>
      <c r="CP72" s="50">
        <v>501</v>
      </c>
      <c r="CQ72" s="50">
        <v>1583</v>
      </c>
      <c r="CR72" s="50">
        <v>3084</v>
      </c>
      <c r="CS72" s="52">
        <v>402</v>
      </c>
      <c r="CT72" s="52">
        <v>765</v>
      </c>
      <c r="CU72" s="52">
        <v>1134</v>
      </c>
      <c r="CY72" t="str">
        <f t="shared" si="46"/>
        <v>双手</v>
      </c>
      <c r="CZ72" s="47">
        <v>20066</v>
      </c>
      <c r="DA72" s="34">
        <v>1</v>
      </c>
      <c r="DB72" s="54">
        <v>10</v>
      </c>
      <c r="DC72" s="34"/>
      <c r="DD72" s="34"/>
      <c r="DE72" s="34">
        <v>4</v>
      </c>
      <c r="DF72" s="34">
        <v>12</v>
      </c>
      <c r="DG72" s="34">
        <v>100</v>
      </c>
      <c r="DH72" s="34"/>
      <c r="DI72" t="s">
        <v>3783</v>
      </c>
      <c r="DJ72" t="s">
        <v>3942</v>
      </c>
      <c r="DK72" t="s">
        <v>3938</v>
      </c>
      <c r="DL72" s="9">
        <f t="shared" si="47"/>
        <v>4</v>
      </c>
      <c r="DM72" s="9">
        <f t="shared" si="48"/>
        <v>12</v>
      </c>
      <c r="DP72">
        <f t="shared" si="49"/>
        <v>7.2</v>
      </c>
    </row>
    <row r="73" spans="11:120" x14ac:dyDescent="0.2">
      <c r="K73" s="9"/>
      <c r="Y73" s="34">
        <v>69</v>
      </c>
      <c r="Z73" s="34">
        <f>ROUND(VLOOKUP(Y73,刀数数据支持!$L:$Q,3,0)*(1+((Y73-1)*2+25)*0.01*(1+AB73/100)),2)</f>
        <v>315.14</v>
      </c>
      <c r="AA73" s="34">
        <f>ROUND(VLOOKUP(Y73,刀数数据支持!$L:$Q,6,0)*(1+((Y73-1)*5+25)*0.01)*(1+AB73/100),2)</f>
        <v>1099.27</v>
      </c>
      <c r="AB73" s="34">
        <f>VLOOKUP(Y73,刀数数据支持!$S:$T,2,0)</f>
        <v>161.41999999999999</v>
      </c>
      <c r="AC73" s="34">
        <f>ROUND(刀数数据支持!AY71*(1-刀数数据支持!BA71/100),1)</f>
        <v>17297.3</v>
      </c>
      <c r="AD73" s="34" t="str">
        <f>刀数数据支持!AZ71</f>
        <v>火蛇Lv27</v>
      </c>
      <c r="AE73" s="34">
        <f t="shared" si="44"/>
        <v>596.29999999999995</v>
      </c>
      <c r="AF73" s="34">
        <f t="shared" si="45"/>
        <v>1.9</v>
      </c>
      <c r="AG73" s="34">
        <f t="shared" si="50"/>
        <v>0.55000000000000004</v>
      </c>
      <c r="AH73" s="34">
        <f t="shared" si="51"/>
        <v>0.03</v>
      </c>
      <c r="BS73" s="34" t="e">
        <f>#REF!</f>
        <v>#REF!</v>
      </c>
      <c r="BT73" s="34" t="e">
        <f>#REF!</f>
        <v>#REF!</v>
      </c>
      <c r="BU73" s="34">
        <v>0</v>
      </c>
      <c r="BV73" s="34" t="e">
        <f>IF(VLOOKUP(BT73,#REF!,8,0)=0,"",VLOOKUP(BT73,#REF!,8,0))</f>
        <v>#REF!</v>
      </c>
      <c r="BW73" s="47" t="e">
        <f ca="1">IF(BU73=0,RANDBETWEEN(VLOOKUP(BT73,#REF!,13,0),VLOOKUP(BT73,#REF!,14,0)),RANDBETWEEN(VLOOKUP(BU73,$CO:$CR,2,0)/100*VLOOKUP(BT73,#REF!,13,0),VLOOKUP(BU73,$CO:$CR,2,0)/100*VLOOKUP(BT73,#REF!,14,0)))</f>
        <v>#REF!</v>
      </c>
      <c r="BX73" s="47" t="e">
        <f>VLOOKUP(BT73,#REF!,9,0)</f>
        <v>#REF!</v>
      </c>
      <c r="BY73" s="47" t="e">
        <f ca="1">IF(BU73=0,RANDBETWEEN(VLOOKUP(BT73,#REF!,26,0),VLOOKUP(BT73,#REF!,27,0)),RANDBETWEEN(VLOOKUP(BU73,$CO:$CR,3,0)/100*VLOOKUP(BT73,#REF!,26,0),VLOOKUP(BU73,$CO:$CR,3,0)/100*VLOOKUP(BT73,#REF!,27,0)))</f>
        <v>#REF!</v>
      </c>
      <c r="BZ73" s="47" t="e">
        <f>IF(VLOOKUP(BT73,#REF!,22,0)=0,"",VLOOKUP(BT73,#REF!,22,0))</f>
        <v>#REF!</v>
      </c>
      <c r="CA73" s="47" t="e">
        <f ca="1">IF(BU73=0,RANDBETWEEN(VLOOKUP(BT73,#REF!,39,0),VLOOKUP(BT73,#REF!,40,0)),RANDBETWEEN(VLOOKUP(BU73,$CO:$CR,4,0)/100*VLOOKUP(BT73,#REF!,39,0),VLOOKUP(BU73,$CO:$CR,4,0)/100*VLOOKUP(BT73,#REF!,40,0)))</f>
        <v>#REF!</v>
      </c>
      <c r="CB73" s="47" t="e">
        <f>IF(VLOOKUP(BT73,#REF!,35,0)=0,"",VLOOKUP(BT73,#REF!,35,0))</f>
        <v>#REF!</v>
      </c>
      <c r="CO73" s="50">
        <v>68</v>
      </c>
      <c r="CP73" s="50">
        <v>513</v>
      </c>
      <c r="CQ73" s="50">
        <v>1617</v>
      </c>
      <c r="CR73" s="50">
        <v>3170</v>
      </c>
      <c r="CS73" s="52">
        <v>408</v>
      </c>
      <c r="CT73" s="52">
        <v>775</v>
      </c>
      <c r="CU73" s="52">
        <v>1149</v>
      </c>
      <c r="CY73" t="str">
        <f t="shared" si="46"/>
        <v>双手</v>
      </c>
      <c r="CZ73" s="47">
        <v>20067</v>
      </c>
      <c r="DA73" s="34">
        <v>1</v>
      </c>
      <c r="DB73" s="54"/>
      <c r="DC73" s="34"/>
      <c r="DD73" s="34"/>
      <c r="DE73" s="34">
        <v>6</v>
      </c>
      <c r="DF73" s="34">
        <v>13</v>
      </c>
      <c r="DG73" s="34">
        <v>100</v>
      </c>
      <c r="DH73" s="34"/>
      <c r="DI73" t="s">
        <v>3783</v>
      </c>
      <c r="DJ73" t="s">
        <v>3943</v>
      </c>
      <c r="DK73" t="s">
        <v>3944</v>
      </c>
      <c r="DL73" s="9">
        <f t="shared" si="47"/>
        <v>6</v>
      </c>
      <c r="DM73" s="9">
        <f t="shared" si="48"/>
        <v>13</v>
      </c>
      <c r="DP73">
        <f t="shared" si="49"/>
        <v>9.5</v>
      </c>
    </row>
    <row r="74" spans="11:120" x14ac:dyDescent="0.2">
      <c r="K74" s="9"/>
      <c r="Y74" s="34">
        <v>70</v>
      </c>
      <c r="Z74" s="34">
        <f>ROUND(VLOOKUP(Y74,刀数数据支持!$L:$Q,3,0)*(1+((Y74-1)*2+25)*0.01*(1+AB74/100)),2)</f>
        <v>323.26</v>
      </c>
      <c r="AA74" s="34">
        <f>ROUND(VLOOKUP(Y74,刀数数据支持!$L:$Q,6,0)*(1+((Y74-1)*5+25)*0.01)*(1+AB74/100),2)</f>
        <v>1137.28</v>
      </c>
      <c r="AB74" s="34">
        <f>VLOOKUP(Y74,刀数数据支持!$S:$T,2,0)</f>
        <v>163.76</v>
      </c>
      <c r="AC74" s="34">
        <f>ROUND(刀数数据支持!AY72*(1-刀数数据支持!BA72/100),1)</f>
        <v>16937.5</v>
      </c>
      <c r="AD74" s="34" t="str">
        <f>刀数数据支持!AZ72</f>
        <v>火蛇Lv29</v>
      </c>
      <c r="AE74" s="34">
        <f t="shared" si="44"/>
        <v>612.20000000000005</v>
      </c>
      <c r="AF74" s="34">
        <f t="shared" si="45"/>
        <v>1.9</v>
      </c>
      <c r="AG74" s="34">
        <f t="shared" si="50"/>
        <v>0.54</v>
      </c>
      <c r="AH74" s="34">
        <f t="shared" si="51"/>
        <v>0.04</v>
      </c>
      <c r="BS74" s="34" t="e">
        <f>#REF!</f>
        <v>#REF!</v>
      </c>
      <c r="BT74" s="34" t="e">
        <f>#REF!</f>
        <v>#REF!</v>
      </c>
      <c r="BU74" s="34">
        <v>0</v>
      </c>
      <c r="BV74" s="34" t="e">
        <f>IF(VLOOKUP(BT74,#REF!,8,0)=0,"",VLOOKUP(BT74,#REF!,8,0))</f>
        <v>#REF!</v>
      </c>
      <c r="BW74" s="47" t="e">
        <f ca="1">IF(BU74=0,RANDBETWEEN(VLOOKUP(BT74,#REF!,13,0),VLOOKUP(BT74,#REF!,14,0)),RANDBETWEEN(VLOOKUP(BU74,$CO:$CR,2,0)/100*VLOOKUP(BT74,#REF!,13,0),VLOOKUP(BU74,$CO:$CR,2,0)/100*VLOOKUP(BT74,#REF!,14,0)))</f>
        <v>#REF!</v>
      </c>
      <c r="BX74" s="47" t="e">
        <f>VLOOKUP(BT74,#REF!,9,0)</f>
        <v>#REF!</v>
      </c>
      <c r="BY74" s="47" t="e">
        <f ca="1">IF(BU74=0,RANDBETWEEN(VLOOKUP(BT74,#REF!,26,0),VLOOKUP(BT74,#REF!,27,0)),RANDBETWEEN(VLOOKUP(BU74,$CO:$CR,3,0)/100*VLOOKUP(BT74,#REF!,26,0),VLOOKUP(BU74,$CO:$CR,3,0)/100*VLOOKUP(BT74,#REF!,27,0)))</f>
        <v>#REF!</v>
      </c>
      <c r="BZ74" s="47" t="e">
        <f>IF(VLOOKUP(BT74,#REF!,22,0)=0,"",VLOOKUP(BT74,#REF!,22,0))</f>
        <v>#REF!</v>
      </c>
      <c r="CA74" s="47" t="e">
        <f ca="1">IF(BU74=0,RANDBETWEEN(VLOOKUP(BT74,#REF!,39,0),VLOOKUP(BT74,#REF!,40,0)),RANDBETWEEN(VLOOKUP(BU74,$CO:$CR,4,0)/100*VLOOKUP(BT74,#REF!,39,0),VLOOKUP(BU74,$CO:$CR,4,0)/100*VLOOKUP(BT74,#REF!,40,0)))</f>
        <v>#REF!</v>
      </c>
      <c r="CB74" s="47" t="e">
        <f>IF(VLOOKUP(BT74,#REF!,35,0)=0,"",VLOOKUP(BT74,#REF!,35,0))</f>
        <v>#REF!</v>
      </c>
      <c r="CO74" s="50">
        <v>69</v>
      </c>
      <c r="CP74" s="50">
        <v>525</v>
      </c>
      <c r="CQ74" s="50">
        <v>1651</v>
      </c>
      <c r="CR74" s="50">
        <v>3257</v>
      </c>
      <c r="CS74" s="52">
        <v>414</v>
      </c>
      <c r="CT74" s="52">
        <v>785</v>
      </c>
      <c r="CU74" s="52">
        <v>1165</v>
      </c>
      <c r="CY74" t="str">
        <f t="shared" si="46"/>
        <v>双手</v>
      </c>
      <c r="CZ74" s="47">
        <v>20068</v>
      </c>
      <c r="DA74" s="34">
        <v>1</v>
      </c>
      <c r="DB74" s="54">
        <v>20</v>
      </c>
      <c r="DC74" s="34"/>
      <c r="DD74" s="34"/>
      <c r="DE74" s="34">
        <v>12</v>
      </c>
      <c r="DF74" s="34">
        <v>28</v>
      </c>
      <c r="DG74" s="34">
        <v>100</v>
      </c>
      <c r="DH74" s="34"/>
      <c r="DI74" t="s">
        <v>3783</v>
      </c>
      <c r="DJ74" t="s">
        <v>3945</v>
      </c>
      <c r="DK74" t="s">
        <v>3944</v>
      </c>
      <c r="DL74" s="9">
        <f t="shared" si="47"/>
        <v>12</v>
      </c>
      <c r="DM74" s="9">
        <f t="shared" si="48"/>
        <v>28</v>
      </c>
      <c r="DP74">
        <f t="shared" si="49"/>
        <v>16</v>
      </c>
    </row>
    <row r="75" spans="11:120" x14ac:dyDescent="0.2">
      <c r="K75" s="9"/>
      <c r="Y75" s="34">
        <v>71</v>
      </c>
      <c r="Z75" s="34">
        <f>ROUND(VLOOKUP(Y75,刀数数据支持!$L:$Q,3,0)*(1+((Y75-1)*2+25)*0.01*(1+AB75/100)),2)</f>
        <v>331.52</v>
      </c>
      <c r="AA75" s="34">
        <f>ROUND(VLOOKUP(Y75,刀数数据支持!$L:$Q,6,0)*(1+((Y75-1)*5+25)*0.01)*(1+AB75/100),2)</f>
        <v>1176.1300000000001</v>
      </c>
      <c r="AB75" s="34">
        <f>VLOOKUP(Y75,刀数数据支持!$S:$T,2,0)</f>
        <v>166.1</v>
      </c>
      <c r="AC75" s="34">
        <f>ROUND(刀数数据支持!AY73*(1-刀数数据支持!BA73/100),1)</f>
        <v>17377.900000000001</v>
      </c>
      <c r="AD75" s="34" t="str">
        <f>刀数数据支持!AZ73</f>
        <v>火蛇Lv29</v>
      </c>
      <c r="AE75" s="34">
        <f t="shared" si="44"/>
        <v>626.96</v>
      </c>
      <c r="AF75" s="34">
        <f t="shared" si="45"/>
        <v>1.9</v>
      </c>
      <c r="AG75" s="34">
        <f t="shared" si="50"/>
        <v>0.54</v>
      </c>
      <c r="AH75" s="34">
        <f t="shared" si="51"/>
        <v>0.04</v>
      </c>
      <c r="BS75" s="34" t="e">
        <f>#REF!</f>
        <v>#REF!</v>
      </c>
      <c r="BT75" s="34" t="e">
        <f>#REF!</f>
        <v>#REF!</v>
      </c>
      <c r="BU75" s="34">
        <v>0</v>
      </c>
      <c r="BV75" s="34" t="e">
        <f>IF(VLOOKUP(BT75,#REF!,8,0)=0,"",VLOOKUP(BT75,#REF!,8,0))</f>
        <v>#REF!</v>
      </c>
      <c r="BW75" s="47" t="e">
        <f ca="1">IF(BU75=0,RANDBETWEEN(VLOOKUP(BT75,#REF!,13,0),VLOOKUP(BT75,#REF!,14,0)),RANDBETWEEN(VLOOKUP(BU75,$CO:$CR,2,0)/100*VLOOKUP(BT75,#REF!,13,0),VLOOKUP(BU75,$CO:$CR,2,0)/100*VLOOKUP(BT75,#REF!,14,0)))</f>
        <v>#REF!</v>
      </c>
      <c r="BX75" s="47" t="e">
        <f>VLOOKUP(BT75,#REF!,9,0)</f>
        <v>#REF!</v>
      </c>
      <c r="BY75" s="47" t="e">
        <f ca="1">IF(BU75=0,RANDBETWEEN(VLOOKUP(BT75,#REF!,26,0),VLOOKUP(BT75,#REF!,27,0)),RANDBETWEEN(VLOOKUP(BU75,$CO:$CR,3,0)/100*VLOOKUP(BT75,#REF!,26,0),VLOOKUP(BU75,$CO:$CR,3,0)/100*VLOOKUP(BT75,#REF!,27,0)))</f>
        <v>#REF!</v>
      </c>
      <c r="BZ75" s="47" t="e">
        <f>IF(VLOOKUP(BT75,#REF!,22,0)=0,"",VLOOKUP(BT75,#REF!,22,0))</f>
        <v>#REF!</v>
      </c>
      <c r="CA75" s="47" t="e">
        <f ca="1">IF(BU75=0,RANDBETWEEN(VLOOKUP(BT75,#REF!,39,0),VLOOKUP(BT75,#REF!,40,0)),RANDBETWEEN(VLOOKUP(BU75,$CO:$CR,4,0)/100*VLOOKUP(BT75,#REF!,39,0),VLOOKUP(BU75,$CO:$CR,4,0)/100*VLOOKUP(BT75,#REF!,40,0)))</f>
        <v>#REF!</v>
      </c>
      <c r="CB75" s="47" t="e">
        <f>IF(VLOOKUP(BT75,#REF!,35,0)=0,"",VLOOKUP(BT75,#REF!,35,0))</f>
        <v>#REF!</v>
      </c>
      <c r="CO75" s="50">
        <v>70</v>
      </c>
      <c r="CP75" s="50">
        <v>539</v>
      </c>
      <c r="CQ75" s="50">
        <v>1685</v>
      </c>
      <c r="CR75" s="50">
        <v>3343</v>
      </c>
      <c r="CS75" s="52">
        <v>420</v>
      </c>
      <c r="CT75" s="52">
        <v>796</v>
      </c>
      <c r="CU75" s="52">
        <v>1179</v>
      </c>
      <c r="CY75" t="str">
        <f t="shared" si="46"/>
        <v>双手</v>
      </c>
      <c r="CZ75" s="47">
        <v>20069</v>
      </c>
      <c r="DA75" s="34">
        <v>1</v>
      </c>
      <c r="DB75" s="54">
        <v>5</v>
      </c>
      <c r="DC75" s="34"/>
      <c r="DD75" s="34"/>
      <c r="DE75" s="34">
        <v>1</v>
      </c>
      <c r="DF75" s="34">
        <v>4</v>
      </c>
      <c r="DG75" s="34"/>
      <c r="DH75" s="34">
        <v>100</v>
      </c>
      <c r="DI75" t="s">
        <v>3783</v>
      </c>
      <c r="DJ75" t="s">
        <v>3946</v>
      </c>
      <c r="DK75" t="s">
        <v>3944</v>
      </c>
      <c r="DL75" s="9">
        <f t="shared" si="47"/>
        <v>1</v>
      </c>
      <c r="DM75" s="9">
        <f t="shared" si="48"/>
        <v>4</v>
      </c>
      <c r="DO75" s="9">
        <v>15</v>
      </c>
      <c r="DP75">
        <f t="shared" si="49"/>
        <v>2.375</v>
      </c>
    </row>
    <row r="76" spans="11:120" x14ac:dyDescent="0.2">
      <c r="K76" s="9"/>
      <c r="Y76" s="34">
        <v>72</v>
      </c>
      <c r="Z76" s="34">
        <f>ROUND(VLOOKUP(Y76,刀数数据支持!$L:$Q,3,0)*(1+((Y76-1)*2+25)*0.01*(1+AB76/100)),2)</f>
        <v>339.94</v>
      </c>
      <c r="AA76" s="34">
        <f>ROUND(VLOOKUP(Y76,刀数数据支持!$L:$Q,6,0)*(1+((Y76-1)*5+25)*0.01)*(1+AB76/100),2)</f>
        <v>1215.8399999999999</v>
      </c>
      <c r="AB76" s="34">
        <f>VLOOKUP(Y76,刀数数据支持!$S:$T,2,0)</f>
        <v>168.44</v>
      </c>
      <c r="AC76" s="34">
        <f>ROUND(刀数数据支持!AY74*(1-刀数数据支持!BA74/100),1)</f>
        <v>18665.099999999999</v>
      </c>
      <c r="AD76" s="34" t="str">
        <f>刀数数据支持!AZ74</f>
        <v>火蛇Lv29</v>
      </c>
      <c r="AE76" s="34">
        <f t="shared" si="44"/>
        <v>641.73</v>
      </c>
      <c r="AF76" s="34">
        <f t="shared" si="45"/>
        <v>1.89</v>
      </c>
      <c r="AG76" s="34">
        <f t="shared" si="50"/>
        <v>0.53</v>
      </c>
      <c r="AH76" s="34">
        <f t="shared" si="51"/>
        <v>0.03</v>
      </c>
      <c r="BS76" s="34" t="e">
        <f>#REF!</f>
        <v>#REF!</v>
      </c>
      <c r="BT76" s="34" t="e">
        <f>#REF!</f>
        <v>#REF!</v>
      </c>
      <c r="BU76" s="34">
        <v>0</v>
      </c>
      <c r="BV76" s="34" t="e">
        <f>IF(VLOOKUP(BT76,#REF!,8,0)=0,"",VLOOKUP(BT76,#REF!,8,0))</f>
        <v>#REF!</v>
      </c>
      <c r="BW76" s="47" t="e">
        <f ca="1">IF(BU76=0,RANDBETWEEN(VLOOKUP(BT76,#REF!,13,0),VLOOKUP(BT76,#REF!,14,0)),RANDBETWEEN(VLOOKUP(BU76,$CO:$CR,2,0)/100*VLOOKUP(BT76,#REF!,13,0),VLOOKUP(BU76,$CO:$CR,2,0)/100*VLOOKUP(BT76,#REF!,14,0)))</f>
        <v>#REF!</v>
      </c>
      <c r="BX76" s="47" t="e">
        <f>VLOOKUP(BT76,#REF!,9,0)</f>
        <v>#REF!</v>
      </c>
      <c r="BY76" s="47" t="e">
        <f ca="1">IF(BU76=0,RANDBETWEEN(VLOOKUP(BT76,#REF!,26,0),VLOOKUP(BT76,#REF!,27,0)),RANDBETWEEN(VLOOKUP(BU76,$CO:$CR,3,0)/100*VLOOKUP(BT76,#REF!,26,0),VLOOKUP(BU76,$CO:$CR,3,0)/100*VLOOKUP(BT76,#REF!,27,0)))</f>
        <v>#REF!</v>
      </c>
      <c r="BZ76" s="47" t="e">
        <f>IF(VLOOKUP(BT76,#REF!,22,0)=0,"",VLOOKUP(BT76,#REF!,22,0))</f>
        <v>#REF!</v>
      </c>
      <c r="CA76" s="47" t="e">
        <f ca="1">IF(BU76=0,RANDBETWEEN(VLOOKUP(BT76,#REF!,39,0),VLOOKUP(BT76,#REF!,40,0)),RANDBETWEEN(VLOOKUP(BU76,$CO:$CR,4,0)/100*VLOOKUP(BT76,#REF!,39,0),VLOOKUP(BU76,$CO:$CR,4,0)/100*VLOOKUP(BT76,#REF!,40,0)))</f>
        <v>#REF!</v>
      </c>
      <c r="CB76" s="47" t="e">
        <f>IF(VLOOKUP(BT76,#REF!,35,0)=0,"",VLOOKUP(BT76,#REF!,35,0))</f>
        <v>#REF!</v>
      </c>
      <c r="CO76" s="50">
        <v>71</v>
      </c>
      <c r="CP76" s="50">
        <v>552</v>
      </c>
      <c r="CQ76" s="50">
        <v>1720</v>
      </c>
      <c r="CR76" s="50">
        <v>3429</v>
      </c>
      <c r="CS76" s="52">
        <v>426</v>
      </c>
      <c r="CT76" s="52">
        <v>806</v>
      </c>
      <c r="CU76" s="52">
        <v>1194</v>
      </c>
      <c r="CY76" t="str">
        <f t="shared" si="46"/>
        <v>双手</v>
      </c>
      <c r="CZ76" s="47">
        <v>20070</v>
      </c>
      <c r="DA76" s="34">
        <v>1</v>
      </c>
      <c r="DB76" s="54">
        <v>-10</v>
      </c>
      <c r="DC76" s="34"/>
      <c r="DD76" s="34"/>
      <c r="DE76" s="34">
        <v>2</v>
      </c>
      <c r="DF76" s="34">
        <v>6</v>
      </c>
      <c r="DG76" s="34"/>
      <c r="DH76" s="34">
        <v>100</v>
      </c>
      <c r="DI76" t="s">
        <v>3783</v>
      </c>
      <c r="DJ76" t="s">
        <v>3947</v>
      </c>
      <c r="DK76" t="s">
        <v>3944</v>
      </c>
      <c r="DL76" s="9">
        <f t="shared" si="47"/>
        <v>2</v>
      </c>
      <c r="DM76" s="9">
        <f t="shared" si="48"/>
        <v>6</v>
      </c>
      <c r="DO76" s="9">
        <v>28</v>
      </c>
      <c r="DP76">
        <f t="shared" si="49"/>
        <v>4.4000000000000004</v>
      </c>
    </row>
    <row r="77" spans="11:120" x14ac:dyDescent="0.2">
      <c r="K77" s="9"/>
      <c r="Y77" s="34">
        <v>73</v>
      </c>
      <c r="Z77" s="34">
        <f>ROUND(VLOOKUP(Y77,刀数数据支持!$L:$Q,3,0)*(1+((Y77-1)*2+25)*0.01*(1+AB77/100)),2)</f>
        <v>348.51</v>
      </c>
      <c r="AA77" s="34">
        <f>ROUND(VLOOKUP(Y77,刀数数据支持!$L:$Q,6,0)*(1+((Y77-1)*5+25)*0.01)*(1+AB77/100),2)</f>
        <v>1256.42</v>
      </c>
      <c r="AB77" s="34">
        <f>VLOOKUP(Y77,刀数数据支持!$S:$T,2,0)</f>
        <v>170.78</v>
      </c>
      <c r="AC77" s="34">
        <f>ROUND(刀数数据支持!AY75*(1-刀数数据支持!BA75/100),1)</f>
        <v>18902.3</v>
      </c>
      <c r="AD77" s="34" t="str">
        <f>刀数数据支持!AZ75</f>
        <v>火蛇Lv29</v>
      </c>
      <c r="AE77" s="34">
        <f t="shared" si="44"/>
        <v>657.63</v>
      </c>
      <c r="AF77" s="34">
        <f t="shared" si="45"/>
        <v>1.89</v>
      </c>
      <c r="AG77" s="34">
        <f t="shared" si="50"/>
        <v>0.53</v>
      </c>
      <c r="AH77" s="34">
        <f t="shared" si="51"/>
        <v>0.03</v>
      </c>
      <c r="BS77" s="34" t="e">
        <f>#REF!</f>
        <v>#REF!</v>
      </c>
      <c r="BT77" s="34" t="e">
        <f>#REF!</f>
        <v>#REF!</v>
      </c>
      <c r="BU77" s="34">
        <v>0</v>
      </c>
      <c r="BV77" s="34" t="e">
        <f>IF(VLOOKUP(BT77,#REF!,8,0)=0,"",VLOOKUP(BT77,#REF!,8,0))</f>
        <v>#REF!</v>
      </c>
      <c r="BW77" s="47" t="e">
        <f ca="1">IF(BU77=0,RANDBETWEEN(VLOOKUP(BT77,#REF!,13,0),VLOOKUP(BT77,#REF!,14,0)),RANDBETWEEN(VLOOKUP(BU77,$CO:$CR,2,0)/100*VLOOKUP(BT77,#REF!,13,0),VLOOKUP(BU77,$CO:$CR,2,0)/100*VLOOKUP(BT77,#REF!,14,0)))</f>
        <v>#REF!</v>
      </c>
      <c r="BX77" s="47" t="e">
        <f>VLOOKUP(BT77,#REF!,9,0)</f>
        <v>#REF!</v>
      </c>
      <c r="BY77" s="47" t="e">
        <f ca="1">IF(BU77=0,RANDBETWEEN(VLOOKUP(BT77,#REF!,26,0),VLOOKUP(BT77,#REF!,27,0)),RANDBETWEEN(VLOOKUP(BU77,$CO:$CR,3,0)/100*VLOOKUP(BT77,#REF!,26,0),VLOOKUP(BU77,$CO:$CR,3,0)/100*VLOOKUP(BT77,#REF!,27,0)))</f>
        <v>#REF!</v>
      </c>
      <c r="BZ77" s="47" t="e">
        <f>IF(VLOOKUP(BT77,#REF!,22,0)=0,"",VLOOKUP(BT77,#REF!,22,0))</f>
        <v>#REF!</v>
      </c>
      <c r="CA77" s="47" t="e">
        <f ca="1">IF(BU77=0,RANDBETWEEN(VLOOKUP(BT77,#REF!,39,0),VLOOKUP(BT77,#REF!,40,0)),RANDBETWEEN(VLOOKUP(BU77,$CO:$CR,4,0)/100*VLOOKUP(BT77,#REF!,39,0),VLOOKUP(BU77,$CO:$CR,4,0)/100*VLOOKUP(BT77,#REF!,40,0)))</f>
        <v>#REF!</v>
      </c>
      <c r="CB77" s="47" t="e">
        <f>IF(VLOOKUP(BT77,#REF!,35,0)=0,"",VLOOKUP(BT77,#REF!,35,0))</f>
        <v>#REF!</v>
      </c>
      <c r="CO77" s="50">
        <v>72</v>
      </c>
      <c r="CP77" s="50">
        <v>565</v>
      </c>
      <c r="CQ77" s="50">
        <v>1753</v>
      </c>
      <c r="CR77" s="50">
        <v>3515</v>
      </c>
      <c r="CS77" s="52">
        <v>432</v>
      </c>
      <c r="CT77" s="52">
        <v>816</v>
      </c>
      <c r="CU77" s="52">
        <v>1209</v>
      </c>
      <c r="CY77" t="str">
        <f t="shared" si="46"/>
        <v>双手</v>
      </c>
      <c r="CZ77" s="47">
        <v>20071</v>
      </c>
      <c r="DA77" s="34">
        <v>1</v>
      </c>
      <c r="DB77" s="54"/>
      <c r="DC77" s="34"/>
      <c r="DD77" s="34"/>
      <c r="DE77" s="34">
        <v>3</v>
      </c>
      <c r="DF77" s="34">
        <v>10</v>
      </c>
      <c r="DG77" s="34"/>
      <c r="DH77" s="34">
        <v>100</v>
      </c>
      <c r="DI77" t="s">
        <v>3783</v>
      </c>
      <c r="DJ77" t="s">
        <v>3948</v>
      </c>
      <c r="DK77" t="s">
        <v>3944</v>
      </c>
      <c r="DL77" s="9">
        <f t="shared" si="47"/>
        <v>3</v>
      </c>
      <c r="DM77" s="9">
        <f t="shared" si="48"/>
        <v>10</v>
      </c>
      <c r="DN77" s="9">
        <v>22</v>
      </c>
      <c r="DO77" s="9">
        <v>19</v>
      </c>
      <c r="DP77">
        <f t="shared" si="49"/>
        <v>6.5</v>
      </c>
    </row>
    <row r="78" spans="11:120" x14ac:dyDescent="0.2">
      <c r="K78" s="9"/>
      <c r="Y78" s="34">
        <v>74</v>
      </c>
      <c r="Z78" s="34">
        <f>ROUND(VLOOKUP(Y78,刀数数据支持!$L:$Q,3,0)*(1+((Y78-1)*2+25)*0.01*(1+AB78/100)),2)</f>
        <v>357.23</v>
      </c>
      <c r="AA78" s="34">
        <f>ROUND(VLOOKUP(Y78,刀数数据支持!$L:$Q,6,0)*(1+((Y78-1)*5+25)*0.01)*(1+AB78/100),2)</f>
        <v>1297.8699999999999</v>
      </c>
      <c r="AB78" s="34">
        <f>VLOOKUP(Y78,刀数数据支持!$S:$T,2,0)</f>
        <v>173.12</v>
      </c>
      <c r="AC78" s="34">
        <f>ROUND(刀数数据支持!AY76*(1-刀数数据支持!BA76/100),1)</f>
        <v>20121.8</v>
      </c>
      <c r="AD78" s="34" t="str">
        <f>刀数数据支持!AZ76</f>
        <v>火蛇Lv29</v>
      </c>
      <c r="AE78" s="34">
        <f t="shared" si="44"/>
        <v>672.39</v>
      </c>
      <c r="AF78" s="34">
        <f t="shared" si="45"/>
        <v>1.89</v>
      </c>
      <c r="AG78" s="34">
        <f t="shared" si="50"/>
        <v>0.52</v>
      </c>
      <c r="AH78" s="34">
        <f t="shared" si="51"/>
        <v>0.03</v>
      </c>
      <c r="BS78" s="34" t="e">
        <f>#REF!</f>
        <v>#REF!</v>
      </c>
      <c r="BT78" s="34" t="e">
        <f>#REF!</f>
        <v>#REF!</v>
      </c>
      <c r="BU78" s="34">
        <v>0</v>
      </c>
      <c r="BV78" s="34" t="e">
        <f>IF(VLOOKUP(BT78,#REF!,8,0)=0,"",VLOOKUP(BT78,#REF!,8,0))</f>
        <v>#REF!</v>
      </c>
      <c r="BW78" s="47" t="e">
        <f ca="1">IF(BU78=0,RANDBETWEEN(VLOOKUP(BT78,#REF!,13,0),VLOOKUP(BT78,#REF!,14,0)),RANDBETWEEN(VLOOKUP(BU78,$CO:$CR,2,0)/100*VLOOKUP(BT78,#REF!,13,0),VLOOKUP(BU78,$CO:$CR,2,0)/100*VLOOKUP(BT78,#REF!,14,0)))</f>
        <v>#REF!</v>
      </c>
      <c r="BX78" s="47" t="e">
        <f>VLOOKUP(BT78,#REF!,9,0)</f>
        <v>#REF!</v>
      </c>
      <c r="BY78" s="47" t="e">
        <f ca="1">IF(BU78=0,RANDBETWEEN(VLOOKUP(BT78,#REF!,26,0),VLOOKUP(BT78,#REF!,27,0)),RANDBETWEEN(VLOOKUP(BU78,$CO:$CR,3,0)/100*VLOOKUP(BT78,#REF!,26,0),VLOOKUP(BU78,$CO:$CR,3,0)/100*VLOOKUP(BT78,#REF!,27,0)))</f>
        <v>#REF!</v>
      </c>
      <c r="BZ78" s="47" t="e">
        <f>IF(VLOOKUP(BT78,#REF!,22,0)=0,"",VLOOKUP(BT78,#REF!,22,0))</f>
        <v>#REF!</v>
      </c>
      <c r="CA78" s="47" t="e">
        <f ca="1">IF(BU78=0,RANDBETWEEN(VLOOKUP(BT78,#REF!,39,0),VLOOKUP(BT78,#REF!,40,0)),RANDBETWEEN(VLOOKUP(BU78,$CO:$CR,4,0)/100*VLOOKUP(BT78,#REF!,39,0),VLOOKUP(BU78,$CO:$CR,4,0)/100*VLOOKUP(BT78,#REF!,40,0)))</f>
        <v>#REF!</v>
      </c>
      <c r="CB78" s="47" t="e">
        <f>IF(VLOOKUP(BT78,#REF!,35,0)=0,"",VLOOKUP(BT78,#REF!,35,0))</f>
        <v>#REF!</v>
      </c>
      <c r="CO78" s="50">
        <v>73</v>
      </c>
      <c r="CP78" s="50">
        <v>579</v>
      </c>
      <c r="CQ78" s="50">
        <v>1788</v>
      </c>
      <c r="CR78" s="50">
        <v>3602</v>
      </c>
      <c r="CS78" s="52">
        <v>438</v>
      </c>
      <c r="CT78" s="52">
        <v>826</v>
      </c>
      <c r="CU78" s="52">
        <v>1224</v>
      </c>
      <c r="CY78" t="str">
        <f t="shared" si="46"/>
        <v>双手</v>
      </c>
      <c r="CZ78" s="47">
        <v>20072</v>
      </c>
      <c r="DA78" s="34">
        <v>1</v>
      </c>
      <c r="DB78" s="54">
        <v>-10</v>
      </c>
      <c r="DC78" s="34"/>
      <c r="DD78" s="34"/>
      <c r="DE78" s="34">
        <v>4</v>
      </c>
      <c r="DF78" s="34">
        <v>8</v>
      </c>
      <c r="DG78" s="34"/>
      <c r="DH78" s="34">
        <v>100</v>
      </c>
      <c r="DI78" t="s">
        <v>3783</v>
      </c>
      <c r="DJ78" t="s">
        <v>3949</v>
      </c>
      <c r="DK78" t="s">
        <v>3944</v>
      </c>
      <c r="DL78" s="9">
        <f t="shared" si="47"/>
        <v>4</v>
      </c>
      <c r="DM78" s="9">
        <f t="shared" si="48"/>
        <v>8</v>
      </c>
      <c r="DN78" s="9">
        <v>25</v>
      </c>
      <c r="DO78" s="9">
        <v>35</v>
      </c>
      <c r="DP78">
        <f t="shared" si="49"/>
        <v>6.6000000000000005</v>
      </c>
    </row>
    <row r="79" spans="11:120" ht="16.5" x14ac:dyDescent="0.35">
      <c r="K79" s="9"/>
      <c r="Y79" s="34">
        <v>75</v>
      </c>
      <c r="Z79" s="34">
        <f>ROUND(VLOOKUP(Y79,刀数数据支持!$L:$Q,3,0)*(1+((Y79-1)*2+25)*0.01*(1+AB79/100)),2)</f>
        <v>366.11</v>
      </c>
      <c r="AA79" s="34">
        <f>ROUND(VLOOKUP(Y79,刀数数据支持!$L:$Q,6,0)*(1+((Y79-1)*5+25)*0.01)*(1+AB79/100),2)</f>
        <v>1340.35</v>
      </c>
      <c r="AB79" s="34">
        <f>VLOOKUP(Y79,刀数数据支持!$S:$T,2,0)</f>
        <v>175.46</v>
      </c>
      <c r="AC79" s="34">
        <f>ROUND(刀数数据支持!AY77*(1-刀数数据支持!BA77/100),1)</f>
        <v>21307.4</v>
      </c>
      <c r="AD79" s="34" t="str">
        <f>刀数数据支持!AZ77</f>
        <v>火蛇Lv29</v>
      </c>
      <c r="AE79" s="34">
        <f t="shared" si="44"/>
        <v>687.16</v>
      </c>
      <c r="AF79" s="34">
        <f t="shared" si="45"/>
        <v>1.8800000000000001</v>
      </c>
      <c r="AG79" s="34">
        <f t="shared" si="50"/>
        <v>0.52</v>
      </c>
      <c r="AH79" s="34">
        <f t="shared" si="51"/>
        <v>0.03</v>
      </c>
      <c r="BR79" s="43" t="s">
        <v>3950</v>
      </c>
      <c r="BS79" s="34" t="e">
        <f>#REF!</f>
        <v>#REF!</v>
      </c>
      <c r="BT79" s="34" t="e">
        <f>#REF!</f>
        <v>#REF!</v>
      </c>
      <c r="BU79" s="34">
        <v>0</v>
      </c>
      <c r="BV79" s="34" t="e">
        <f>IF(VLOOKUP(BT79,#REF!,8,0)=0,"",VLOOKUP(BT79,#REF!,8,0))</f>
        <v>#REF!</v>
      </c>
      <c r="BW79" s="47" t="e">
        <f ca="1">IF(BU79=0,RANDBETWEEN(VLOOKUP(BT79,#REF!,13,0),VLOOKUP(BT79,#REF!,14,0)),RANDBETWEEN(VLOOKUP(BU79,$CO:$CR,2,0)/100*VLOOKUP(BT79,#REF!,13,0),VLOOKUP(BU79,$CO:$CR,2,0)/100*VLOOKUP(BT79,#REF!,14,0)))</f>
        <v>#REF!</v>
      </c>
      <c r="BX79" s="47" t="e">
        <f>VLOOKUP(BT79,#REF!,9,0)</f>
        <v>#REF!</v>
      </c>
      <c r="BY79" s="47" t="e">
        <f ca="1">IF(BU79=0,RANDBETWEEN(VLOOKUP(BT79,#REF!,26,0),VLOOKUP(BT79,#REF!,27,0)),RANDBETWEEN(VLOOKUP(BU79,$CO:$CR,3,0)/100*VLOOKUP(BT79,#REF!,26,0),VLOOKUP(BU79,$CO:$CR,3,0)/100*VLOOKUP(BT79,#REF!,27,0)))</f>
        <v>#REF!</v>
      </c>
      <c r="BZ79" s="47" t="e">
        <f>IF(VLOOKUP(BT79,#REF!,22,0)=0,"",VLOOKUP(BT79,#REF!,22,0))</f>
        <v>#REF!</v>
      </c>
      <c r="CA79" s="47" t="e">
        <f ca="1">IF(BU79=0,RANDBETWEEN(VLOOKUP(BT79,#REF!,39,0),VLOOKUP(BT79,#REF!,40,0)),RANDBETWEEN(VLOOKUP(BU79,$CO:$CR,4,0)/100*VLOOKUP(BT79,#REF!,39,0),VLOOKUP(BU79,$CO:$CR,4,0)/100*VLOOKUP(BT79,#REF!,40,0)))</f>
        <v>#REF!</v>
      </c>
      <c r="CB79" s="47" t="e">
        <f>IF(VLOOKUP(BT79,#REF!,35,0)=0,"",VLOOKUP(BT79,#REF!,35,0))</f>
        <v>#REF!</v>
      </c>
      <c r="CO79" s="50">
        <v>74</v>
      </c>
      <c r="CP79" s="50">
        <v>592</v>
      </c>
      <c r="CQ79" s="50">
        <v>1821</v>
      </c>
      <c r="CR79" s="50">
        <v>3688</v>
      </c>
      <c r="CS79" s="52">
        <v>444</v>
      </c>
      <c r="CT79" s="52">
        <v>836</v>
      </c>
      <c r="CU79" s="52">
        <v>1239</v>
      </c>
      <c r="CY79" t="str">
        <f t="shared" si="46"/>
        <v>双手</v>
      </c>
      <c r="CZ79" s="47">
        <v>20073</v>
      </c>
      <c r="DA79" s="34">
        <v>1</v>
      </c>
      <c r="DB79" s="54"/>
      <c r="DC79" s="34"/>
      <c r="DD79" s="34"/>
      <c r="DE79" s="34">
        <v>5</v>
      </c>
      <c r="DF79" s="34">
        <v>11</v>
      </c>
      <c r="DG79" s="34"/>
      <c r="DH79" s="34">
        <v>100</v>
      </c>
      <c r="DI79" t="s">
        <v>3783</v>
      </c>
      <c r="DJ79" t="s">
        <v>3951</v>
      </c>
      <c r="DK79" t="s">
        <v>3944</v>
      </c>
      <c r="DL79" s="9">
        <f t="shared" si="47"/>
        <v>5</v>
      </c>
      <c r="DM79" s="9">
        <f t="shared" si="48"/>
        <v>11</v>
      </c>
      <c r="DN79" s="9">
        <v>30</v>
      </c>
      <c r="DO79" s="9">
        <v>40</v>
      </c>
      <c r="DP79">
        <f t="shared" si="49"/>
        <v>8</v>
      </c>
    </row>
    <row r="80" spans="11:120" x14ac:dyDescent="0.2">
      <c r="K80" s="9"/>
      <c r="Y80" s="34">
        <v>76</v>
      </c>
      <c r="Z80" s="34">
        <f>ROUND(VLOOKUP(Y80,刀数数据支持!$L:$Q,3,0)*(1+((Y80-1)*2+25)*0.01*(1+AB80/100)),2)</f>
        <v>375.14</v>
      </c>
      <c r="AA80" s="34">
        <f>ROUND(VLOOKUP(Y80,刀数数据支持!$L:$Q,6,0)*(1+((Y80-1)*5+25)*0.01)*(1+AB80/100),2)</f>
        <v>1383.58</v>
      </c>
      <c r="AB80" s="34">
        <f>VLOOKUP(Y80,刀数数据支持!$S:$T,2,0)</f>
        <v>177.8</v>
      </c>
      <c r="AC80" s="34">
        <f>ROUND(刀数数据支持!AY78*(1-刀数数据支持!BA78/100),1)</f>
        <v>22459.1</v>
      </c>
      <c r="AD80" s="34" t="str">
        <f>刀数数据支持!AZ78</f>
        <v>火蛇Lv29</v>
      </c>
      <c r="AE80" s="34">
        <f t="shared" si="44"/>
        <v>701.92</v>
      </c>
      <c r="AF80" s="34">
        <f t="shared" si="45"/>
        <v>1.8800000000000001</v>
      </c>
      <c r="AG80" s="34">
        <f t="shared" si="50"/>
        <v>0.51</v>
      </c>
      <c r="AH80" s="34">
        <f t="shared" si="51"/>
        <v>0.03</v>
      </c>
      <c r="BS80" s="34" t="e">
        <f>#REF!</f>
        <v>#REF!</v>
      </c>
      <c r="BT80" s="34" t="e">
        <f>#REF!</f>
        <v>#REF!</v>
      </c>
      <c r="BU80" s="34">
        <v>0</v>
      </c>
      <c r="BV80" s="34" t="e">
        <f>IF(VLOOKUP(BT80,#REF!,8,0)=0,"",VLOOKUP(BT80,#REF!,8,0))</f>
        <v>#REF!</v>
      </c>
      <c r="BW80" s="47" t="e">
        <f ca="1">IF(BU80=0,RANDBETWEEN(VLOOKUP(BT80,#REF!,13,0),VLOOKUP(BT80,#REF!,14,0)),RANDBETWEEN(VLOOKUP(BU80,$CO:$CR,2,0)/100*VLOOKUP(BT80,#REF!,13,0),VLOOKUP(BU80,$CO:$CR,2,0)/100*VLOOKUP(BT80,#REF!,14,0)))</f>
        <v>#REF!</v>
      </c>
      <c r="BX80" s="47" t="e">
        <f>VLOOKUP(BT80,#REF!,9,0)</f>
        <v>#REF!</v>
      </c>
      <c r="BY80" s="47" t="e">
        <f ca="1">IF(BU80=0,RANDBETWEEN(VLOOKUP(BT80,#REF!,26,0),VLOOKUP(BT80,#REF!,27,0)),RANDBETWEEN(VLOOKUP(BU80,$CO:$CR,3,0)/100*VLOOKUP(BT80,#REF!,26,0),VLOOKUP(BU80,$CO:$CR,3,0)/100*VLOOKUP(BT80,#REF!,27,0)))</f>
        <v>#REF!</v>
      </c>
      <c r="BZ80" s="47" t="e">
        <f>IF(VLOOKUP(BT80,#REF!,22,0)=0,"",VLOOKUP(BT80,#REF!,22,0))</f>
        <v>#REF!</v>
      </c>
      <c r="CA80" s="47" t="e">
        <f ca="1">IF(BU80=0,RANDBETWEEN(VLOOKUP(BT80,#REF!,39,0),VLOOKUP(BT80,#REF!,40,0)),RANDBETWEEN(VLOOKUP(BU80,$CO:$CR,4,0)/100*VLOOKUP(BT80,#REF!,39,0),VLOOKUP(BU80,$CO:$CR,4,0)/100*VLOOKUP(BT80,#REF!,40,0)))</f>
        <v>#REF!</v>
      </c>
      <c r="CB80" s="47" t="e">
        <f>IF(VLOOKUP(BT80,#REF!,35,0)=0,"",VLOOKUP(BT80,#REF!,35,0))</f>
        <v>#REF!</v>
      </c>
      <c r="CO80" s="50">
        <v>75</v>
      </c>
      <c r="CP80" s="50">
        <v>605</v>
      </c>
      <c r="CQ80" s="50">
        <v>1856</v>
      </c>
      <c r="CR80" s="50">
        <v>3774</v>
      </c>
      <c r="CS80" s="52">
        <v>450</v>
      </c>
      <c r="CT80" s="52">
        <v>847</v>
      </c>
      <c r="CU80" s="52">
        <v>1254</v>
      </c>
      <c r="CY80" t="str">
        <f t="shared" si="46"/>
        <v>双手</v>
      </c>
      <c r="CZ80" s="47">
        <v>20074</v>
      </c>
      <c r="DA80" s="34">
        <v>1</v>
      </c>
      <c r="DB80" s="54">
        <v>10</v>
      </c>
      <c r="DC80" s="34"/>
      <c r="DD80" s="34"/>
      <c r="DE80" s="34">
        <v>3</v>
      </c>
      <c r="DF80" s="34">
        <v>18</v>
      </c>
      <c r="DG80" s="34"/>
      <c r="DH80" s="34">
        <v>100</v>
      </c>
      <c r="DI80" t="s">
        <v>3783</v>
      </c>
      <c r="DJ80" t="s">
        <v>3952</v>
      </c>
      <c r="DK80" t="s">
        <v>3944</v>
      </c>
      <c r="DL80" s="9">
        <f t="shared" si="47"/>
        <v>3</v>
      </c>
      <c r="DM80" s="9">
        <f t="shared" si="48"/>
        <v>18</v>
      </c>
      <c r="DN80" s="9">
        <v>40</v>
      </c>
      <c r="DO80" s="9">
        <v>50</v>
      </c>
      <c r="DP80">
        <f t="shared" si="49"/>
        <v>9.4500000000000011</v>
      </c>
    </row>
    <row r="81" spans="11:120" x14ac:dyDescent="0.2">
      <c r="K81" s="9"/>
      <c r="Y81" s="34">
        <v>77</v>
      </c>
      <c r="Z81" s="34">
        <f>ROUND(VLOOKUP(Y81,刀数数据支持!$L:$Q,3,0)*(1+((Y81-1)*2+25)*0.01*(1+AB81/100)),2)</f>
        <v>384.32</v>
      </c>
      <c r="AA81" s="34">
        <f>ROUND(VLOOKUP(Y81,刀数数据支持!$L:$Q,6,0)*(1+((Y81-1)*5+25)*0.01)*(1+AB81/100),2)</f>
        <v>1427.72</v>
      </c>
      <c r="AB81" s="34">
        <f>VLOOKUP(Y81,刀数数据支持!$S:$T,2,0)</f>
        <v>180.14</v>
      </c>
      <c r="AC81" s="34">
        <f>ROUND(刀数数据支持!AY79*(1-刀数数据支持!BA79/100),1)</f>
        <v>22222</v>
      </c>
      <c r="AD81" s="34" t="str">
        <f>刀数数据支持!AZ79</f>
        <v>火蛇Lv29</v>
      </c>
      <c r="AE81" s="34">
        <f t="shared" si="44"/>
        <v>717.83</v>
      </c>
      <c r="AF81" s="34">
        <f t="shared" si="45"/>
        <v>1.87</v>
      </c>
      <c r="AG81" s="34">
        <f t="shared" si="50"/>
        <v>0.51</v>
      </c>
      <c r="AH81" s="34">
        <f t="shared" si="51"/>
        <v>0.03</v>
      </c>
      <c r="BS81" s="34" t="e">
        <f>#REF!</f>
        <v>#REF!</v>
      </c>
      <c r="BT81" s="34" t="e">
        <f>#REF!</f>
        <v>#REF!</v>
      </c>
      <c r="BU81" s="34">
        <v>0</v>
      </c>
      <c r="BV81" s="34" t="e">
        <f>IF(VLOOKUP(BT81,#REF!,8,0)=0,"",VLOOKUP(BT81,#REF!,8,0))</f>
        <v>#REF!</v>
      </c>
      <c r="BW81" s="47" t="e">
        <f ca="1">IF(BU81=0,RANDBETWEEN(VLOOKUP(BT81,#REF!,13,0),VLOOKUP(BT81,#REF!,14,0)),RANDBETWEEN(VLOOKUP(BU81,$CO:$CR,2,0)/100*VLOOKUP(BT81,#REF!,13,0),VLOOKUP(BU81,$CO:$CR,2,0)/100*VLOOKUP(BT81,#REF!,14,0)))</f>
        <v>#REF!</v>
      </c>
      <c r="BX81" s="47" t="e">
        <f>VLOOKUP(BT81,#REF!,9,0)</f>
        <v>#REF!</v>
      </c>
      <c r="BY81" s="47" t="e">
        <f ca="1">IF(BU81=0,RANDBETWEEN(VLOOKUP(BT81,#REF!,26,0),VLOOKUP(BT81,#REF!,27,0)),RANDBETWEEN(VLOOKUP(BU81,$CO:$CR,3,0)/100*VLOOKUP(BT81,#REF!,26,0),VLOOKUP(BU81,$CO:$CR,3,0)/100*VLOOKUP(BT81,#REF!,27,0)))</f>
        <v>#REF!</v>
      </c>
      <c r="BZ81" s="47" t="e">
        <f>IF(VLOOKUP(BT81,#REF!,22,0)=0,"",VLOOKUP(BT81,#REF!,22,0))</f>
        <v>#REF!</v>
      </c>
      <c r="CA81" s="47" t="e">
        <f ca="1">IF(BU81=0,RANDBETWEEN(VLOOKUP(BT81,#REF!,39,0),VLOOKUP(BT81,#REF!,40,0)),RANDBETWEEN(VLOOKUP(BU81,$CO:$CR,4,0)/100*VLOOKUP(BT81,#REF!,39,0),VLOOKUP(BU81,$CO:$CR,4,0)/100*VLOOKUP(BT81,#REF!,40,0)))</f>
        <v>#REF!</v>
      </c>
      <c r="CB81" s="47" t="e">
        <f>IF(VLOOKUP(BT81,#REF!,35,0)=0,"",VLOOKUP(BT81,#REF!,35,0))</f>
        <v>#REF!</v>
      </c>
      <c r="CO81" s="50">
        <v>76</v>
      </c>
      <c r="CP81" s="50">
        <v>618</v>
      </c>
      <c r="CQ81" s="50">
        <v>1891</v>
      </c>
      <c r="CR81" s="50">
        <v>3860</v>
      </c>
      <c r="CS81" s="52">
        <v>456</v>
      </c>
      <c r="CT81" s="52">
        <v>857</v>
      </c>
      <c r="CU81" s="52">
        <v>1269</v>
      </c>
      <c r="CY81" t="str">
        <f t="shared" si="46"/>
        <v>双手</v>
      </c>
      <c r="CZ81" s="47">
        <v>20075</v>
      </c>
      <c r="DA81" s="34">
        <v>1</v>
      </c>
      <c r="DB81" s="54"/>
      <c r="DC81" s="34"/>
      <c r="DD81" s="34"/>
      <c r="DE81" s="34">
        <v>6</v>
      </c>
      <c r="DF81" s="34">
        <v>14</v>
      </c>
      <c r="DG81" s="34"/>
      <c r="DH81" s="34">
        <v>100</v>
      </c>
      <c r="DI81" t="s">
        <v>3783</v>
      </c>
      <c r="DJ81" t="s">
        <v>3953</v>
      </c>
      <c r="DK81" t="s">
        <v>3954</v>
      </c>
      <c r="DL81" s="9">
        <f t="shared" si="47"/>
        <v>6</v>
      </c>
      <c r="DM81" s="9">
        <f t="shared" si="48"/>
        <v>14</v>
      </c>
      <c r="DN81" s="9">
        <v>35</v>
      </c>
      <c r="DO81" s="9">
        <v>55</v>
      </c>
      <c r="DP81">
        <f t="shared" si="49"/>
        <v>10</v>
      </c>
    </row>
    <row r="82" spans="11:120" x14ac:dyDescent="0.2">
      <c r="K82" s="9"/>
      <c r="Y82" s="34">
        <v>78</v>
      </c>
      <c r="Z82" s="34">
        <f>ROUND(VLOOKUP(Y82,刀数数据支持!$L:$Q,3,0)*(1+((Y82-1)*2+25)*0.01*(1+AB82/100)),2)</f>
        <v>393.67</v>
      </c>
      <c r="AA82" s="34">
        <f>ROUND(VLOOKUP(Y82,刀数数据支持!$L:$Q,6,0)*(1+((Y82-1)*5+25)*0.01)*(1+AB82/100),2)</f>
        <v>1472.77</v>
      </c>
      <c r="AB82" s="34">
        <f>VLOOKUP(Y82,刀数数据支持!$S:$T,2,0)</f>
        <v>182.48</v>
      </c>
      <c r="AC82" s="34">
        <f>ROUND(刀数数据支持!AY80*(1-刀数数据支持!BA80/100),1)</f>
        <v>23306</v>
      </c>
      <c r="AD82" s="34" t="str">
        <f>刀数数据支持!AZ80</f>
        <v>火蛇Lv29</v>
      </c>
      <c r="AE82" s="34">
        <f t="shared" si="44"/>
        <v>732.59</v>
      </c>
      <c r="AF82" s="34">
        <f t="shared" si="45"/>
        <v>1.87</v>
      </c>
      <c r="AG82" s="34">
        <f t="shared" si="50"/>
        <v>0.5</v>
      </c>
      <c r="AH82" s="34">
        <f t="shared" si="51"/>
        <v>0.03</v>
      </c>
      <c r="BS82" s="34" t="e">
        <f>#REF!</f>
        <v>#REF!</v>
      </c>
      <c r="BT82" s="34" t="e">
        <f>#REF!</f>
        <v>#REF!</v>
      </c>
      <c r="BU82" s="34">
        <v>0</v>
      </c>
      <c r="BV82" s="34" t="e">
        <f>IF(VLOOKUP(BT82,#REF!,8,0)=0,"",VLOOKUP(BT82,#REF!,8,0))</f>
        <v>#REF!</v>
      </c>
      <c r="BW82" s="47" t="e">
        <f ca="1">IF(BU82=0,RANDBETWEEN(VLOOKUP(BT82,#REF!,13,0),VLOOKUP(BT82,#REF!,14,0)),RANDBETWEEN(VLOOKUP(BU82,$CO:$CR,2,0)/100*VLOOKUP(BT82,#REF!,13,0),VLOOKUP(BU82,$CO:$CR,2,0)/100*VLOOKUP(BT82,#REF!,14,0)))</f>
        <v>#REF!</v>
      </c>
      <c r="BX82" s="47" t="e">
        <f>VLOOKUP(BT82,#REF!,9,0)</f>
        <v>#REF!</v>
      </c>
      <c r="BY82" s="47" t="e">
        <f ca="1">IF(BU82=0,RANDBETWEEN(VLOOKUP(BT82,#REF!,26,0),VLOOKUP(BT82,#REF!,27,0)),RANDBETWEEN(VLOOKUP(BU82,$CO:$CR,3,0)/100*VLOOKUP(BT82,#REF!,26,0),VLOOKUP(BU82,$CO:$CR,3,0)/100*VLOOKUP(BT82,#REF!,27,0)))</f>
        <v>#REF!</v>
      </c>
      <c r="BZ82" s="47" t="e">
        <f>IF(VLOOKUP(BT82,#REF!,22,0)=0,"",VLOOKUP(BT82,#REF!,22,0))</f>
        <v>#REF!</v>
      </c>
      <c r="CA82" s="47" t="e">
        <f ca="1">IF(BU82=0,RANDBETWEEN(VLOOKUP(BT82,#REF!,39,0),VLOOKUP(BT82,#REF!,40,0)),RANDBETWEEN(VLOOKUP(BU82,$CO:$CR,4,0)/100*VLOOKUP(BT82,#REF!,39,0),VLOOKUP(BU82,$CO:$CR,4,0)/100*VLOOKUP(BT82,#REF!,40,0)))</f>
        <v>#REF!</v>
      </c>
      <c r="CB82" s="47" t="e">
        <f>IF(VLOOKUP(BT82,#REF!,35,0)=0,"",VLOOKUP(BT82,#REF!,35,0))</f>
        <v>#REF!</v>
      </c>
      <c r="CO82" s="50">
        <v>77</v>
      </c>
      <c r="CP82" s="50">
        <v>632</v>
      </c>
      <c r="CQ82" s="50">
        <v>1924</v>
      </c>
      <c r="CR82" s="50">
        <v>3947</v>
      </c>
      <c r="CS82" s="52">
        <v>462</v>
      </c>
      <c r="CT82" s="52">
        <v>867</v>
      </c>
      <c r="CU82" s="52">
        <v>1284</v>
      </c>
      <c r="CY82" t="str">
        <f t="shared" si="46"/>
        <v>双手</v>
      </c>
      <c r="CZ82" s="47">
        <v>20076</v>
      </c>
      <c r="DA82" s="34">
        <v>1</v>
      </c>
      <c r="DB82" s="54">
        <v>10</v>
      </c>
      <c r="DC82" s="34"/>
      <c r="DD82" s="34"/>
      <c r="DE82" s="34">
        <v>3</v>
      </c>
      <c r="DF82" s="34">
        <v>23</v>
      </c>
      <c r="DG82" s="34"/>
      <c r="DH82" s="34">
        <v>100</v>
      </c>
      <c r="DI82" t="s">
        <v>3783</v>
      </c>
      <c r="DJ82" t="s">
        <v>3955</v>
      </c>
      <c r="DK82" t="s">
        <v>3954</v>
      </c>
      <c r="DL82" s="9">
        <f t="shared" si="47"/>
        <v>3</v>
      </c>
      <c r="DM82" s="9">
        <f t="shared" si="48"/>
        <v>23</v>
      </c>
      <c r="DN82" s="9">
        <v>50</v>
      </c>
      <c r="DO82" s="9">
        <v>65</v>
      </c>
      <c r="DP82">
        <f t="shared" si="49"/>
        <v>11.700000000000001</v>
      </c>
    </row>
    <row r="83" spans="11:120" x14ac:dyDescent="0.2">
      <c r="K83" s="9"/>
      <c r="Y83" s="34">
        <v>79</v>
      </c>
      <c r="Z83" s="34">
        <f>ROUND(VLOOKUP(Y83,刀数数据支持!$L:$Q,3,0)*(1+((Y83-1)*2+25)*0.01*(1+AB83/100)),2)</f>
        <v>403.17</v>
      </c>
      <c r="AA83" s="34">
        <f>ROUND(VLOOKUP(Y83,刀数数据支持!$L:$Q,6,0)*(1+((Y83-1)*5+25)*0.01)*(1+AB83/100),2)</f>
        <v>1518.75</v>
      </c>
      <c r="AB83" s="34">
        <f>VLOOKUP(Y83,刀数数据支持!$S:$T,2,0)</f>
        <v>184.82</v>
      </c>
      <c r="AC83" s="34">
        <f>ROUND(刀数数据支持!AY81*(1-刀数数据支持!BA81/100),1)</f>
        <v>22865.599999999999</v>
      </c>
      <c r="AD83" s="34" t="str">
        <f>刀数数据支持!AZ81</f>
        <v>火蛇Lv29</v>
      </c>
      <c r="AE83" s="34">
        <f t="shared" si="44"/>
        <v>747.36</v>
      </c>
      <c r="AF83" s="34">
        <f t="shared" si="45"/>
        <v>1.86</v>
      </c>
      <c r="AG83" s="34">
        <f t="shared" si="50"/>
        <v>0.5</v>
      </c>
      <c r="AH83" s="34">
        <f t="shared" si="51"/>
        <v>0.03</v>
      </c>
      <c r="BS83" s="34" t="e">
        <f>#REF!</f>
        <v>#REF!</v>
      </c>
      <c r="BT83" s="34" t="e">
        <f>#REF!</f>
        <v>#REF!</v>
      </c>
      <c r="BU83" s="34">
        <v>0</v>
      </c>
      <c r="BV83" s="34" t="e">
        <f>IF(VLOOKUP(BT83,#REF!,8,0)=0,"",VLOOKUP(BT83,#REF!,8,0))</f>
        <v>#REF!</v>
      </c>
      <c r="BW83" s="47" t="e">
        <f ca="1">IF(BU83=0,RANDBETWEEN(VLOOKUP(BT83,#REF!,13,0),VLOOKUP(BT83,#REF!,14,0)),RANDBETWEEN(VLOOKUP(BU83,$CO:$CR,2,0)/100*VLOOKUP(BT83,#REF!,13,0),VLOOKUP(BU83,$CO:$CR,2,0)/100*VLOOKUP(BT83,#REF!,14,0)))</f>
        <v>#REF!</v>
      </c>
      <c r="BX83" s="47" t="e">
        <f>VLOOKUP(BT83,#REF!,9,0)</f>
        <v>#REF!</v>
      </c>
      <c r="BY83" s="47" t="e">
        <f ca="1">IF(BU83=0,RANDBETWEEN(VLOOKUP(BT83,#REF!,26,0),VLOOKUP(BT83,#REF!,27,0)),RANDBETWEEN(VLOOKUP(BU83,$CO:$CR,3,0)/100*VLOOKUP(BT83,#REF!,26,0),VLOOKUP(BU83,$CO:$CR,3,0)/100*VLOOKUP(BT83,#REF!,27,0)))</f>
        <v>#REF!</v>
      </c>
      <c r="BZ83" s="47" t="e">
        <f>IF(VLOOKUP(BT83,#REF!,22,0)=0,"",VLOOKUP(BT83,#REF!,22,0))</f>
        <v>#REF!</v>
      </c>
      <c r="CA83" s="47" t="e">
        <f ca="1">IF(BU83=0,RANDBETWEEN(VLOOKUP(BT83,#REF!,39,0),VLOOKUP(BT83,#REF!,40,0)),RANDBETWEEN(VLOOKUP(BU83,$CO:$CR,4,0)/100*VLOOKUP(BT83,#REF!,39,0),VLOOKUP(BU83,$CO:$CR,4,0)/100*VLOOKUP(BT83,#REF!,40,0)))</f>
        <v>#REF!</v>
      </c>
      <c r="CB83" s="47" t="e">
        <f>IF(VLOOKUP(BT83,#REF!,35,0)=0,"",VLOOKUP(BT83,#REF!,35,0))</f>
        <v>#REF!</v>
      </c>
      <c r="CO83" s="50">
        <v>78</v>
      </c>
      <c r="CP83" s="50">
        <v>645</v>
      </c>
      <c r="CQ83" s="50">
        <v>1959</v>
      </c>
      <c r="CR83" s="50">
        <v>4033</v>
      </c>
      <c r="CS83" s="52">
        <v>468</v>
      </c>
      <c r="CT83" s="52">
        <v>877</v>
      </c>
      <c r="CU83" s="52">
        <v>1299</v>
      </c>
      <c r="CY83" t="str">
        <f t="shared" si="46"/>
        <v>双手</v>
      </c>
      <c r="CZ83" s="47">
        <v>20077</v>
      </c>
      <c r="DA83" s="34">
        <v>1</v>
      </c>
      <c r="DB83" s="54">
        <v>-10</v>
      </c>
      <c r="DC83" s="34"/>
      <c r="DD83" s="34"/>
      <c r="DE83" s="34">
        <v>6</v>
      </c>
      <c r="DF83" s="34">
        <v>9</v>
      </c>
      <c r="DG83" s="34"/>
      <c r="DH83" s="34">
        <v>100</v>
      </c>
      <c r="DI83" t="s">
        <v>3783</v>
      </c>
      <c r="DJ83" t="s">
        <v>3956</v>
      </c>
      <c r="DK83" t="s">
        <v>3954</v>
      </c>
      <c r="DL83" s="9">
        <f t="shared" si="47"/>
        <v>6</v>
      </c>
      <c r="DM83" s="9">
        <f t="shared" si="48"/>
        <v>9</v>
      </c>
      <c r="DN83" s="9">
        <v>21</v>
      </c>
      <c r="DO83" s="9">
        <v>27</v>
      </c>
      <c r="DP83">
        <f t="shared" si="49"/>
        <v>8.25</v>
      </c>
    </row>
    <row r="84" spans="11:120" x14ac:dyDescent="0.2">
      <c r="K84" s="9"/>
      <c r="Y84" s="34">
        <v>80</v>
      </c>
      <c r="Z84" s="34">
        <f>ROUND(VLOOKUP(Y84,刀数数据支持!$L:$Q,3,0)*(1+((Y84-1)*2+25)*0.01*(1+AB84/100)),2)</f>
        <v>412.83</v>
      </c>
      <c r="AA84" s="34">
        <f>ROUND(VLOOKUP(Y84,刀数数据支持!$L:$Q,6,0)*(1+((Y84-1)*5+25)*0.01)*(1+AB84/100),2)</f>
        <v>1565.65</v>
      </c>
      <c r="AB84" s="34">
        <f>VLOOKUP(Y84,刀数数据支持!$S:$T,2,0)</f>
        <v>187.16</v>
      </c>
      <c r="AC84" s="34">
        <f>ROUND(刀数数据支持!AY82*(1-刀数数据支持!BA82/100),1)</f>
        <v>24372.400000000001</v>
      </c>
      <c r="AD84" s="34" t="str">
        <f>刀数数据支持!AZ82</f>
        <v>火蛇Lv30</v>
      </c>
      <c r="AE84" s="34">
        <f t="shared" si="44"/>
        <v>764.39</v>
      </c>
      <c r="AF84" s="34">
        <f t="shared" si="45"/>
        <v>1.86</v>
      </c>
      <c r="AG84" s="34">
        <f t="shared" si="50"/>
        <v>0.49</v>
      </c>
      <c r="AH84" s="34">
        <f t="shared" si="51"/>
        <v>0.03</v>
      </c>
      <c r="BS84" s="34" t="e">
        <f>#REF!</f>
        <v>#REF!</v>
      </c>
      <c r="BT84" s="34" t="e">
        <f>#REF!</f>
        <v>#REF!</v>
      </c>
      <c r="BU84" s="34">
        <v>0</v>
      </c>
      <c r="BV84" s="34" t="e">
        <f>IF(VLOOKUP(BT84,#REF!,8,0)=0,"",VLOOKUP(BT84,#REF!,8,0))</f>
        <v>#REF!</v>
      </c>
      <c r="BW84" s="47" t="e">
        <f ca="1">IF(BU84=0,RANDBETWEEN(VLOOKUP(BT84,#REF!,13,0),VLOOKUP(BT84,#REF!,14,0)),RANDBETWEEN(VLOOKUP(BU84,$CO:$CR,2,0)/100*VLOOKUP(BT84,#REF!,13,0),VLOOKUP(BU84,$CO:$CR,2,0)/100*VLOOKUP(BT84,#REF!,14,0)))</f>
        <v>#REF!</v>
      </c>
      <c r="BX84" s="47" t="e">
        <f>VLOOKUP(BT84,#REF!,9,0)</f>
        <v>#REF!</v>
      </c>
      <c r="BY84" s="47" t="e">
        <f ca="1">IF(BU84=0,RANDBETWEEN(VLOOKUP(BT84,#REF!,26,0),VLOOKUP(BT84,#REF!,27,0)),RANDBETWEEN(VLOOKUP(BU84,$CO:$CR,3,0)/100*VLOOKUP(BT84,#REF!,26,0),VLOOKUP(BU84,$CO:$CR,3,0)/100*VLOOKUP(BT84,#REF!,27,0)))</f>
        <v>#REF!</v>
      </c>
      <c r="BZ84" s="47" t="e">
        <f>IF(VLOOKUP(BT84,#REF!,22,0)=0,"",VLOOKUP(BT84,#REF!,22,0))</f>
        <v>#REF!</v>
      </c>
      <c r="CA84" s="47" t="e">
        <f ca="1">IF(BU84=0,RANDBETWEEN(VLOOKUP(BT84,#REF!,39,0),VLOOKUP(BT84,#REF!,40,0)),RANDBETWEEN(VLOOKUP(BU84,$CO:$CR,4,0)/100*VLOOKUP(BT84,#REF!,39,0),VLOOKUP(BU84,$CO:$CR,4,0)/100*VLOOKUP(BT84,#REF!,40,0)))</f>
        <v>#REF!</v>
      </c>
      <c r="CB84" s="47" t="e">
        <f>IF(VLOOKUP(BT84,#REF!,35,0)=0,"",VLOOKUP(BT84,#REF!,35,0))</f>
        <v>#REF!</v>
      </c>
      <c r="CO84" s="50">
        <v>79</v>
      </c>
      <c r="CP84" s="50">
        <v>658</v>
      </c>
      <c r="CQ84" s="50">
        <v>1992</v>
      </c>
      <c r="CR84" s="50">
        <v>4119</v>
      </c>
      <c r="CS84" s="52">
        <v>474</v>
      </c>
      <c r="CT84" s="52">
        <v>887</v>
      </c>
      <c r="CU84" s="52">
        <v>1314</v>
      </c>
      <c r="CY84" t="str">
        <f t="shared" si="46"/>
        <v>双手</v>
      </c>
      <c r="CZ84" s="47">
        <v>20078</v>
      </c>
      <c r="DA84" s="34">
        <v>1</v>
      </c>
      <c r="DB84" s="54"/>
      <c r="DC84" s="34"/>
      <c r="DD84" s="34"/>
      <c r="DE84" s="34">
        <v>9</v>
      </c>
      <c r="DF84" s="34">
        <v>16</v>
      </c>
      <c r="DG84" s="34"/>
      <c r="DH84" s="34">
        <v>100</v>
      </c>
      <c r="DI84" t="s">
        <v>3783</v>
      </c>
      <c r="DJ84" t="s">
        <v>3957</v>
      </c>
      <c r="DK84" t="s">
        <v>3954</v>
      </c>
      <c r="DL84" s="9">
        <f t="shared" si="47"/>
        <v>9</v>
      </c>
      <c r="DM84" s="9">
        <f t="shared" si="48"/>
        <v>16</v>
      </c>
      <c r="DN84" s="9">
        <v>40</v>
      </c>
      <c r="DO84" s="9">
        <v>33</v>
      </c>
      <c r="DP84">
        <f t="shared" si="49"/>
        <v>12.5</v>
      </c>
    </row>
    <row r="85" spans="11:120" x14ac:dyDescent="0.2">
      <c r="K85" s="9"/>
      <c r="Y85" s="34">
        <v>81</v>
      </c>
      <c r="Z85" s="34">
        <f>ROUND(VLOOKUP(Y85,刀数数据支持!$L:$Q,3,0)*(1+((Y85-1)*2+25)*0.01*(1+AB85/100)),2)</f>
        <v>422.66</v>
      </c>
      <c r="AA85" s="34">
        <f>ROUND(VLOOKUP(Y85,刀数数据支持!$L:$Q,6,0)*(1+((Y85-1)*5+25)*0.01)*(1+AB85/100),2)</f>
        <v>1613.5</v>
      </c>
      <c r="AB85" s="34">
        <f>VLOOKUP(Y85,刀数数据支持!$S:$T,2,0)</f>
        <v>189.5</v>
      </c>
      <c r="AC85" s="34">
        <f>ROUND(刀数数据支持!AY83*(1-刀数数据支持!BA83/100),1)</f>
        <v>23805.599999999999</v>
      </c>
      <c r="AD85" s="34" t="str">
        <f>刀数数据支持!AZ83</f>
        <v>火蛇Lv30</v>
      </c>
      <c r="AE85" s="34">
        <f t="shared" si="44"/>
        <v>781.43</v>
      </c>
      <c r="AF85" s="34">
        <f t="shared" si="45"/>
        <v>1.85</v>
      </c>
      <c r="AG85" s="34">
        <f t="shared" si="50"/>
        <v>0.49</v>
      </c>
      <c r="AH85" s="34">
        <f t="shared" si="51"/>
        <v>0.03</v>
      </c>
      <c r="BS85" s="34" t="e">
        <f>#REF!</f>
        <v>#REF!</v>
      </c>
      <c r="BT85" s="34" t="e">
        <f>#REF!</f>
        <v>#REF!</v>
      </c>
      <c r="BU85" s="34">
        <v>0</v>
      </c>
      <c r="BV85" s="34" t="e">
        <f>IF(VLOOKUP(BT85,#REF!,8,0)=0,"",VLOOKUP(BT85,#REF!,8,0))</f>
        <v>#REF!</v>
      </c>
      <c r="BW85" s="47" t="e">
        <f ca="1">IF(BU85=0,RANDBETWEEN(VLOOKUP(BT85,#REF!,13,0),VLOOKUP(BT85,#REF!,14,0)),RANDBETWEEN(VLOOKUP(BU85,$CO:$CR,2,0)/100*VLOOKUP(BT85,#REF!,13,0),VLOOKUP(BU85,$CO:$CR,2,0)/100*VLOOKUP(BT85,#REF!,14,0)))</f>
        <v>#REF!</v>
      </c>
      <c r="BX85" s="47" t="e">
        <f>VLOOKUP(BT85,#REF!,9,0)</f>
        <v>#REF!</v>
      </c>
      <c r="BY85" s="47" t="e">
        <f ca="1">IF(BU85=0,RANDBETWEEN(VLOOKUP(BT85,#REF!,26,0),VLOOKUP(BT85,#REF!,27,0)),RANDBETWEEN(VLOOKUP(BU85,$CO:$CR,3,0)/100*VLOOKUP(BT85,#REF!,26,0),VLOOKUP(BU85,$CO:$CR,3,0)/100*VLOOKUP(BT85,#REF!,27,0)))</f>
        <v>#REF!</v>
      </c>
      <c r="BZ85" s="47" t="e">
        <f>IF(VLOOKUP(BT85,#REF!,22,0)=0,"",VLOOKUP(BT85,#REF!,22,0))</f>
        <v>#REF!</v>
      </c>
      <c r="CA85" s="47" t="e">
        <f ca="1">IF(BU85=0,RANDBETWEEN(VLOOKUP(BT85,#REF!,39,0),VLOOKUP(BT85,#REF!,40,0)),RANDBETWEEN(VLOOKUP(BU85,$CO:$CR,4,0)/100*VLOOKUP(BT85,#REF!,39,0),VLOOKUP(BU85,$CO:$CR,4,0)/100*VLOOKUP(BT85,#REF!,40,0)))</f>
        <v>#REF!</v>
      </c>
      <c r="CB85" s="47" t="e">
        <f>IF(VLOOKUP(BT85,#REF!,35,0)=0,"",VLOOKUP(BT85,#REF!,35,0))</f>
        <v>#REF!</v>
      </c>
      <c r="CO85" s="50">
        <v>80</v>
      </c>
      <c r="CP85" s="50">
        <v>673</v>
      </c>
      <c r="CQ85" s="50">
        <v>2027</v>
      </c>
      <c r="CR85" s="50">
        <v>4205</v>
      </c>
      <c r="CS85" s="52">
        <v>480</v>
      </c>
      <c r="CT85" s="52">
        <v>898</v>
      </c>
      <c r="CU85" s="52">
        <v>1329</v>
      </c>
      <c r="CY85" t="str">
        <f t="shared" si="46"/>
        <v>双手</v>
      </c>
      <c r="CZ85" s="47">
        <v>20079</v>
      </c>
      <c r="DA85" s="34">
        <v>1</v>
      </c>
      <c r="DB85" s="54">
        <v>10</v>
      </c>
      <c r="DC85" s="34"/>
      <c r="DD85" s="34"/>
      <c r="DE85" s="34">
        <v>14</v>
      </c>
      <c r="DF85" s="34">
        <v>26</v>
      </c>
      <c r="DG85" s="34"/>
      <c r="DH85" s="34">
        <v>100</v>
      </c>
      <c r="DI85" t="s">
        <v>3783</v>
      </c>
      <c r="DJ85" t="s">
        <v>3958</v>
      </c>
      <c r="DK85" t="s">
        <v>3959</v>
      </c>
      <c r="DL85" s="9">
        <f t="shared" si="47"/>
        <v>14</v>
      </c>
      <c r="DM85" s="9">
        <f t="shared" si="48"/>
        <v>26</v>
      </c>
      <c r="DN85" s="9">
        <v>60</v>
      </c>
      <c r="DO85" s="9">
        <v>40</v>
      </c>
      <c r="DP85">
        <f t="shared" si="49"/>
        <v>18</v>
      </c>
    </row>
    <row r="86" spans="11:120" x14ac:dyDescent="0.2">
      <c r="K86" s="9"/>
      <c r="Y86" s="34">
        <v>82</v>
      </c>
      <c r="Z86" s="34">
        <f>ROUND(VLOOKUP(Y86,刀数数据支持!$L:$Q,3,0)*(1+((Y86-1)*2+25)*0.01*(1+AB86/100)),2)</f>
        <v>432.65</v>
      </c>
      <c r="AA86" s="34">
        <f>ROUND(VLOOKUP(Y86,刀数数据支持!$L:$Q,6,0)*(1+((Y86-1)*5+25)*0.01)*(1+AB86/100),2)</f>
        <v>1662.29</v>
      </c>
      <c r="AB86" s="34">
        <f>VLOOKUP(Y86,刀数数据支持!$S:$T,2,0)</f>
        <v>191.84</v>
      </c>
      <c r="AC86" s="34">
        <f>ROUND(刀数数据支持!AY84*(1-刀数数据支持!BA84/100),1)</f>
        <v>24863.599999999999</v>
      </c>
      <c r="AD86" s="34" t="str">
        <f>刀数数据支持!AZ84</f>
        <v>火蛇Lv30</v>
      </c>
      <c r="AE86" s="34">
        <f t="shared" si="44"/>
        <v>797.33</v>
      </c>
      <c r="AF86" s="34">
        <f t="shared" si="45"/>
        <v>1.85</v>
      </c>
      <c r="AG86" s="34">
        <f t="shared" si="50"/>
        <v>0.48</v>
      </c>
      <c r="AH86" s="34">
        <f t="shared" si="51"/>
        <v>0.03</v>
      </c>
      <c r="BS86" s="34" t="e">
        <f>#REF!</f>
        <v>#REF!</v>
      </c>
      <c r="BT86" s="34" t="e">
        <f>#REF!</f>
        <v>#REF!</v>
      </c>
      <c r="BU86" s="34">
        <v>0</v>
      </c>
      <c r="BV86" s="34" t="e">
        <f>IF(VLOOKUP(BT86,#REF!,8,0)=0,"",VLOOKUP(BT86,#REF!,8,0))</f>
        <v>#REF!</v>
      </c>
      <c r="BW86" s="47" t="e">
        <f ca="1">IF(BU86=0,RANDBETWEEN(VLOOKUP(BT86,#REF!,13,0),VLOOKUP(BT86,#REF!,14,0)),RANDBETWEEN(VLOOKUP(BU86,$CO:$CR,2,0)/100*VLOOKUP(BT86,#REF!,13,0),VLOOKUP(BU86,$CO:$CR,2,0)/100*VLOOKUP(BT86,#REF!,14,0)))</f>
        <v>#REF!</v>
      </c>
      <c r="BX86" s="47" t="e">
        <f>VLOOKUP(BT86,#REF!,9,0)</f>
        <v>#REF!</v>
      </c>
      <c r="BY86" s="47" t="e">
        <f ca="1">IF(BU86=0,RANDBETWEEN(VLOOKUP(BT86,#REF!,26,0),VLOOKUP(BT86,#REF!,27,0)),RANDBETWEEN(VLOOKUP(BU86,$CO:$CR,3,0)/100*VLOOKUP(BT86,#REF!,26,0),VLOOKUP(BU86,$CO:$CR,3,0)/100*VLOOKUP(BT86,#REF!,27,0)))</f>
        <v>#REF!</v>
      </c>
      <c r="BZ86" s="47" t="e">
        <f>IF(VLOOKUP(BT86,#REF!,22,0)=0,"",VLOOKUP(BT86,#REF!,22,0))</f>
        <v>#REF!</v>
      </c>
      <c r="CA86" s="47" t="e">
        <f ca="1">IF(BU86=0,RANDBETWEEN(VLOOKUP(BT86,#REF!,39,0),VLOOKUP(BT86,#REF!,40,0)),RANDBETWEEN(VLOOKUP(BU86,$CO:$CR,4,0)/100*VLOOKUP(BT86,#REF!,39,0),VLOOKUP(BU86,$CO:$CR,4,0)/100*VLOOKUP(BT86,#REF!,40,0)))</f>
        <v>#REF!</v>
      </c>
      <c r="CB86" s="47" t="e">
        <f>IF(VLOOKUP(BT86,#REF!,35,0)=0,"",VLOOKUP(BT86,#REF!,35,0))</f>
        <v>#REF!</v>
      </c>
      <c r="CO86" s="50">
        <v>81</v>
      </c>
      <c r="CP86" s="50">
        <v>688</v>
      </c>
      <c r="CQ86" s="50">
        <v>2061</v>
      </c>
      <c r="CR86" s="50">
        <v>4292</v>
      </c>
      <c r="CS86" s="52">
        <v>486</v>
      </c>
      <c r="CT86" s="52">
        <v>908</v>
      </c>
      <c r="CU86" s="52">
        <v>1344</v>
      </c>
      <c r="CY86" t="str">
        <f t="shared" si="46"/>
        <v>双手</v>
      </c>
      <c r="CZ86" s="47">
        <v>20080</v>
      </c>
      <c r="DA86" s="34">
        <v>1</v>
      </c>
      <c r="DB86" s="54">
        <v>-40</v>
      </c>
      <c r="DC86" s="34"/>
      <c r="DD86" s="34"/>
      <c r="DE86" s="34">
        <v>6</v>
      </c>
      <c r="DF86" s="34">
        <v>12</v>
      </c>
      <c r="DG86" s="34"/>
      <c r="DH86" s="34">
        <v>100</v>
      </c>
      <c r="DI86" t="s">
        <v>3783</v>
      </c>
      <c r="DJ86" t="s">
        <v>3960</v>
      </c>
      <c r="DK86" t="s">
        <v>3959</v>
      </c>
      <c r="DL86" s="9">
        <f t="shared" si="47"/>
        <v>6</v>
      </c>
      <c r="DM86" s="9">
        <f t="shared" si="48"/>
        <v>12</v>
      </c>
      <c r="DN86" s="9">
        <v>40</v>
      </c>
      <c r="DO86" s="9">
        <v>50</v>
      </c>
      <c r="DP86">
        <f t="shared" si="49"/>
        <v>12.6</v>
      </c>
    </row>
    <row r="87" spans="11:120" x14ac:dyDescent="0.2">
      <c r="K87" s="9"/>
      <c r="Y87" s="34">
        <v>83</v>
      </c>
      <c r="Z87" s="34">
        <f>ROUND(VLOOKUP(Y87,刀数数据支持!$L:$Q,3,0)*(1+((Y87-1)*2+25)*0.01*(1+AB87/100)),2)</f>
        <v>442.8</v>
      </c>
      <c r="AA87" s="34">
        <f>ROUND(VLOOKUP(Y87,刀数数据支持!$L:$Q,6,0)*(1+((Y87-1)*5+25)*0.01)*(1+AB87/100),2)</f>
        <v>1712.05</v>
      </c>
      <c r="AB87" s="34">
        <f>VLOOKUP(Y87,刀数数据支持!$S:$T,2,0)</f>
        <v>194.18</v>
      </c>
      <c r="AC87" s="34">
        <f>ROUND(刀数数据支持!AY85*(1-刀数数据支持!BA85/100),1)</f>
        <v>26035</v>
      </c>
      <c r="AD87" s="34" t="str">
        <f>刀数数据支持!AZ85</f>
        <v>火蛇Lv30</v>
      </c>
      <c r="AE87" s="34">
        <f t="shared" si="44"/>
        <v>814.37</v>
      </c>
      <c r="AF87" s="34">
        <f t="shared" si="45"/>
        <v>1.84</v>
      </c>
      <c r="AG87" s="34">
        <f t="shared" si="50"/>
        <v>0.48</v>
      </c>
      <c r="AH87" s="34">
        <f t="shared" si="51"/>
        <v>0.03</v>
      </c>
      <c r="BS87" s="34" t="e">
        <f>#REF!</f>
        <v>#REF!</v>
      </c>
      <c r="BT87" s="34" t="e">
        <f>#REF!</f>
        <v>#REF!</v>
      </c>
      <c r="BU87" s="34">
        <v>0</v>
      </c>
      <c r="BV87" s="34" t="e">
        <f>IF(VLOOKUP(BT87,#REF!,8,0)=0,"",VLOOKUP(BT87,#REF!,8,0))</f>
        <v>#REF!</v>
      </c>
      <c r="BW87" s="47" t="e">
        <f ca="1">IF(BU87=0,RANDBETWEEN(VLOOKUP(BT87,#REF!,13,0),VLOOKUP(BT87,#REF!,14,0)),RANDBETWEEN(VLOOKUP(BU87,$CO:$CR,2,0)/100*VLOOKUP(BT87,#REF!,13,0),VLOOKUP(BU87,$CO:$CR,2,0)/100*VLOOKUP(BT87,#REF!,14,0)))</f>
        <v>#REF!</v>
      </c>
      <c r="BX87" s="47" t="e">
        <f>VLOOKUP(BT87,#REF!,9,0)</f>
        <v>#REF!</v>
      </c>
      <c r="BY87" s="47" t="e">
        <f ca="1">IF(BU87=0,RANDBETWEEN(VLOOKUP(BT87,#REF!,26,0),VLOOKUP(BT87,#REF!,27,0)),RANDBETWEEN(VLOOKUP(BU87,$CO:$CR,3,0)/100*VLOOKUP(BT87,#REF!,26,0),VLOOKUP(BU87,$CO:$CR,3,0)/100*VLOOKUP(BT87,#REF!,27,0)))</f>
        <v>#REF!</v>
      </c>
      <c r="BZ87" s="47" t="e">
        <f>IF(VLOOKUP(BT87,#REF!,22,0)=0,"",VLOOKUP(BT87,#REF!,22,0))</f>
        <v>#REF!</v>
      </c>
      <c r="CA87" s="47" t="e">
        <f ca="1">IF(BU87=0,RANDBETWEEN(VLOOKUP(BT87,#REF!,39,0),VLOOKUP(BT87,#REF!,40,0)),RANDBETWEEN(VLOOKUP(BU87,$CO:$CR,4,0)/100*VLOOKUP(BT87,#REF!,39,0),VLOOKUP(BU87,$CO:$CR,4,0)/100*VLOOKUP(BT87,#REF!,40,0)))</f>
        <v>#REF!</v>
      </c>
      <c r="CB87" s="47" t="e">
        <f>IF(VLOOKUP(BT87,#REF!,35,0)=0,"",VLOOKUP(BT87,#REF!,35,0))</f>
        <v>#REF!</v>
      </c>
      <c r="CO87" s="50">
        <v>82</v>
      </c>
      <c r="CP87" s="50">
        <v>702</v>
      </c>
      <c r="CQ87" s="50">
        <v>2095</v>
      </c>
      <c r="CR87" s="50">
        <v>4378</v>
      </c>
      <c r="CS87" s="52">
        <v>492</v>
      </c>
      <c r="CT87" s="52">
        <v>918</v>
      </c>
      <c r="CU87" s="52">
        <v>1358</v>
      </c>
      <c r="CY87" t="str">
        <f t="shared" si="46"/>
        <v>双手</v>
      </c>
      <c r="CZ87" s="47">
        <v>20086</v>
      </c>
      <c r="DA87" s="34">
        <v>1</v>
      </c>
      <c r="DB87" s="54"/>
      <c r="DC87" s="34">
        <v>0</v>
      </c>
      <c r="DD87" s="34">
        <v>1</v>
      </c>
      <c r="DE87" s="34"/>
      <c r="DF87" s="34"/>
      <c r="DG87" s="34"/>
      <c r="DH87" s="34"/>
      <c r="DI87" t="s">
        <v>3961</v>
      </c>
      <c r="DJ87" t="s">
        <v>3962</v>
      </c>
      <c r="DK87" t="s">
        <v>3959</v>
      </c>
      <c r="DL87" s="9">
        <f t="shared" si="47"/>
        <v>0</v>
      </c>
      <c r="DM87" s="9">
        <f t="shared" si="48"/>
        <v>1</v>
      </c>
      <c r="DP87">
        <f t="shared" si="49"/>
        <v>0.5</v>
      </c>
    </row>
    <row r="88" spans="11:120" x14ac:dyDescent="0.2">
      <c r="K88" s="9"/>
      <c r="Y88" s="34">
        <v>84</v>
      </c>
      <c r="Z88" s="34">
        <f>ROUND(VLOOKUP(Y88,刀数数据支持!$L:$Q,3,0)*(1+((Y88-1)*2+25)*0.01*(1+AB88/100)),2)</f>
        <v>453.12</v>
      </c>
      <c r="AA88" s="34">
        <f>ROUND(VLOOKUP(Y88,刀数数据支持!$L:$Q,6,0)*(1+((Y88-1)*5+25)*0.01)*(1+AB88/100),2)</f>
        <v>1762.77</v>
      </c>
      <c r="AB88" s="34">
        <f>VLOOKUP(Y88,刀数数据支持!$S:$T,2,0)</f>
        <v>196.52</v>
      </c>
      <c r="AC88" s="34">
        <f>ROUND(刀数数据支持!AY86*(1-刀数数据支持!BA86/100),1)</f>
        <v>27017.5</v>
      </c>
      <c r="AD88" s="34" t="str">
        <f>刀数数据支持!AZ86</f>
        <v>火蛇Lv30</v>
      </c>
      <c r="AE88" s="34">
        <f t="shared" si="44"/>
        <v>831.41</v>
      </c>
      <c r="AF88" s="34">
        <f t="shared" si="45"/>
        <v>1.84</v>
      </c>
      <c r="AG88" s="34">
        <f t="shared" si="50"/>
        <v>0.48</v>
      </c>
      <c r="AH88" s="34">
        <f t="shared" si="51"/>
        <v>0.03</v>
      </c>
      <c r="BS88" s="34" t="e">
        <f>#REF!</f>
        <v>#REF!</v>
      </c>
      <c r="BT88" s="34" t="e">
        <f>#REF!</f>
        <v>#REF!</v>
      </c>
      <c r="BU88" s="34">
        <v>0</v>
      </c>
      <c r="BV88" s="34" t="e">
        <f>IF(VLOOKUP(BT88,#REF!,8,0)=0,"",VLOOKUP(BT88,#REF!,8,0))</f>
        <v>#REF!</v>
      </c>
      <c r="BW88" s="47" t="e">
        <f ca="1">IF(BU88=0,RANDBETWEEN(VLOOKUP(BT88,#REF!,13,0),VLOOKUP(BT88,#REF!,14,0)),RANDBETWEEN(VLOOKUP(BU88,$CO:$CR,2,0)/100*VLOOKUP(BT88,#REF!,13,0),VLOOKUP(BU88,$CO:$CR,2,0)/100*VLOOKUP(BT88,#REF!,14,0)))</f>
        <v>#REF!</v>
      </c>
      <c r="BX88" s="47" t="e">
        <f>VLOOKUP(BT88,#REF!,9,0)</f>
        <v>#REF!</v>
      </c>
      <c r="BY88" s="47" t="e">
        <f ca="1">IF(BU88=0,RANDBETWEEN(VLOOKUP(BT88,#REF!,26,0),VLOOKUP(BT88,#REF!,27,0)),RANDBETWEEN(VLOOKUP(BU88,$CO:$CR,3,0)/100*VLOOKUP(BT88,#REF!,26,0),VLOOKUP(BU88,$CO:$CR,3,0)/100*VLOOKUP(BT88,#REF!,27,0)))</f>
        <v>#REF!</v>
      </c>
      <c r="BZ88" s="47" t="e">
        <f>IF(VLOOKUP(BT88,#REF!,22,0)=0,"",VLOOKUP(BT88,#REF!,22,0))</f>
        <v>#REF!</v>
      </c>
      <c r="CA88" s="47" t="e">
        <f ca="1">IF(BU88=0,RANDBETWEEN(VLOOKUP(BT88,#REF!,39,0),VLOOKUP(BT88,#REF!,40,0)),RANDBETWEEN(VLOOKUP(BU88,$CO:$CR,4,0)/100*VLOOKUP(BT88,#REF!,39,0),VLOOKUP(BU88,$CO:$CR,4,0)/100*VLOOKUP(BT88,#REF!,40,0)))</f>
        <v>#REF!</v>
      </c>
      <c r="CB88" s="47" t="e">
        <f>IF(VLOOKUP(BT88,#REF!,35,0)=0,"",VLOOKUP(BT88,#REF!,35,0))</f>
        <v>#REF!</v>
      </c>
      <c r="CO88" s="50">
        <v>83</v>
      </c>
      <c r="CP88" s="50">
        <v>717</v>
      </c>
      <c r="CQ88" s="50">
        <v>2129</v>
      </c>
      <c r="CR88" s="50">
        <v>4464</v>
      </c>
      <c r="CS88" s="52">
        <v>498</v>
      </c>
      <c r="CT88" s="52">
        <v>928</v>
      </c>
      <c r="CU88" s="52">
        <v>1374</v>
      </c>
      <c r="CY88" t="str">
        <f t="shared" si="46"/>
        <v>单</v>
      </c>
      <c r="CZ88" s="47">
        <v>20087</v>
      </c>
      <c r="DA88" s="34">
        <v>1</v>
      </c>
      <c r="DB88" s="54">
        <v>-20</v>
      </c>
      <c r="DC88" s="34">
        <v>1</v>
      </c>
      <c r="DD88" s="34">
        <v>2</v>
      </c>
      <c r="DE88" s="34"/>
      <c r="DF88" s="34"/>
      <c r="DG88" s="34">
        <v>100</v>
      </c>
      <c r="DH88" s="34"/>
      <c r="DI88" t="s">
        <v>3961</v>
      </c>
      <c r="DJ88" t="s">
        <v>3963</v>
      </c>
      <c r="DK88" t="s">
        <v>3959</v>
      </c>
      <c r="DL88" s="9">
        <f t="shared" si="47"/>
        <v>1</v>
      </c>
      <c r="DM88" s="9">
        <f t="shared" si="48"/>
        <v>2</v>
      </c>
      <c r="DN88" s="9">
        <v>15</v>
      </c>
      <c r="DO88" s="9">
        <v>20</v>
      </c>
      <c r="DP88">
        <f t="shared" si="49"/>
        <v>1.7999999999999998</v>
      </c>
    </row>
    <row r="89" spans="11:120" x14ac:dyDescent="0.2">
      <c r="K89" s="9"/>
      <c r="Y89" s="34">
        <v>85</v>
      </c>
      <c r="Z89" s="34">
        <f>ROUND(VLOOKUP(Y89,刀数数据支持!$L:$Q,3,0)*(1+((Y89-1)*2+25)*0.01*(1+AB89/100)),2)</f>
        <v>463.61</v>
      </c>
      <c r="AA89" s="34">
        <f>ROUND(VLOOKUP(Y89,刀数数据支持!$L:$Q,6,0)*(1+((Y89-1)*5+25)*0.01)*(1+AB89/100),2)</f>
        <v>1814.47</v>
      </c>
      <c r="AB89" s="34">
        <f>VLOOKUP(Y89,刀数数据支持!$S:$T,2,0)</f>
        <v>198.86</v>
      </c>
      <c r="AC89" s="34">
        <f>ROUND(刀数数据支持!AY87*(1-刀数数据支持!BA87/100),1)</f>
        <v>27195.4</v>
      </c>
      <c r="AD89" s="34" t="str">
        <f>刀数数据支持!AZ87</f>
        <v>火蛇Lv32</v>
      </c>
      <c r="AE89" s="34">
        <f t="shared" si="44"/>
        <v>847.31</v>
      </c>
      <c r="AF89" s="34">
        <f t="shared" si="45"/>
        <v>1.83</v>
      </c>
      <c r="AG89" s="34">
        <f t="shared" si="50"/>
        <v>0.47000000000000003</v>
      </c>
      <c r="AH89" s="34">
        <f t="shared" si="51"/>
        <v>0.03</v>
      </c>
      <c r="BS89" s="34" t="e">
        <f>#REF!</f>
        <v>#REF!</v>
      </c>
      <c r="BT89" s="34" t="e">
        <f>#REF!</f>
        <v>#REF!</v>
      </c>
      <c r="BU89" s="34">
        <v>0</v>
      </c>
      <c r="BV89" s="34" t="e">
        <f>IF(VLOOKUP(BT89,#REF!,8,0)=0,"",VLOOKUP(BT89,#REF!,8,0))</f>
        <v>#REF!</v>
      </c>
      <c r="BW89" s="47" t="e">
        <f ca="1">IF(BU89=0,RANDBETWEEN(VLOOKUP(BT89,#REF!,13,0),VLOOKUP(BT89,#REF!,14,0)),RANDBETWEEN(VLOOKUP(BU89,$CO:$CR,2,0)/100*VLOOKUP(BT89,#REF!,13,0),VLOOKUP(BU89,$CO:$CR,2,0)/100*VLOOKUP(BT89,#REF!,14,0)))</f>
        <v>#REF!</v>
      </c>
      <c r="BX89" s="47" t="e">
        <f>VLOOKUP(BT89,#REF!,9,0)</f>
        <v>#REF!</v>
      </c>
      <c r="BY89" s="47" t="e">
        <f ca="1">IF(BU89=0,RANDBETWEEN(VLOOKUP(BT89,#REF!,26,0),VLOOKUP(BT89,#REF!,27,0)),RANDBETWEEN(VLOOKUP(BU89,$CO:$CR,3,0)/100*VLOOKUP(BT89,#REF!,26,0),VLOOKUP(BU89,$CO:$CR,3,0)/100*VLOOKUP(BT89,#REF!,27,0)))</f>
        <v>#REF!</v>
      </c>
      <c r="BZ89" s="47" t="e">
        <f>IF(VLOOKUP(BT89,#REF!,22,0)=0,"",VLOOKUP(BT89,#REF!,22,0))</f>
        <v>#REF!</v>
      </c>
      <c r="CA89" s="47" t="e">
        <f ca="1">IF(BU89=0,RANDBETWEEN(VLOOKUP(BT89,#REF!,39,0),VLOOKUP(BT89,#REF!,40,0)),RANDBETWEEN(VLOOKUP(BU89,$CO:$CR,4,0)/100*VLOOKUP(BT89,#REF!,39,0),VLOOKUP(BU89,$CO:$CR,4,0)/100*VLOOKUP(BT89,#REF!,40,0)))</f>
        <v>#REF!</v>
      </c>
      <c r="CB89" s="47" t="e">
        <f>IF(VLOOKUP(BT89,#REF!,35,0)=0,"",VLOOKUP(BT89,#REF!,35,0))</f>
        <v>#REF!</v>
      </c>
      <c r="CO89" s="50">
        <v>84</v>
      </c>
      <c r="CP89" s="50">
        <v>732</v>
      </c>
      <c r="CQ89" s="50">
        <v>2163</v>
      </c>
      <c r="CR89" s="50">
        <v>4550</v>
      </c>
      <c r="CS89" s="52">
        <v>504</v>
      </c>
      <c r="CT89" s="52">
        <v>938</v>
      </c>
      <c r="CU89" s="52">
        <v>1389</v>
      </c>
      <c r="CY89" t="str">
        <f t="shared" si="46"/>
        <v>单</v>
      </c>
      <c r="CZ89" s="47">
        <v>20088</v>
      </c>
      <c r="DA89" s="34">
        <v>1</v>
      </c>
      <c r="DB89" s="54">
        <v>-20</v>
      </c>
      <c r="DC89" s="34">
        <v>3</v>
      </c>
      <c r="DD89" s="34">
        <v>7</v>
      </c>
      <c r="DE89" s="34"/>
      <c r="DF89" s="34"/>
      <c r="DG89" s="34">
        <v>100</v>
      </c>
      <c r="DH89" s="34"/>
      <c r="DI89" t="s">
        <v>3961</v>
      </c>
      <c r="DJ89" t="s">
        <v>3964</v>
      </c>
      <c r="DK89" t="s">
        <v>3959</v>
      </c>
      <c r="DL89" s="9">
        <f t="shared" si="47"/>
        <v>3</v>
      </c>
      <c r="DM89" s="9">
        <f t="shared" si="48"/>
        <v>7</v>
      </c>
      <c r="DN89" s="9">
        <v>15</v>
      </c>
      <c r="DO89" s="9">
        <v>25</v>
      </c>
      <c r="DP89">
        <f t="shared" si="49"/>
        <v>6</v>
      </c>
    </row>
    <row r="90" spans="11:120" x14ac:dyDescent="0.2">
      <c r="K90" s="9"/>
      <c r="Y90" s="34">
        <v>86</v>
      </c>
      <c r="Z90" s="34">
        <f>ROUND(VLOOKUP(Y90,刀数数据支持!$L:$Q,3,0)*(1+((Y90-1)*2+25)*0.01*(1+AB90/100)),2)</f>
        <v>474.26</v>
      </c>
      <c r="AA90" s="34">
        <f>ROUND(VLOOKUP(Y90,刀数数据支持!$L:$Q,6,0)*(1+((Y90-1)*5+25)*0.01)*(1+AB90/100),2)</f>
        <v>1867.15</v>
      </c>
      <c r="AB90" s="34">
        <f>VLOOKUP(Y90,刀数数据支持!$S:$T,2,0)</f>
        <v>201.2</v>
      </c>
      <c r="AC90" s="34">
        <f>ROUND(刀数数据支持!AY88*(1-刀数数据支持!BA88/100),1)</f>
        <v>28305.5</v>
      </c>
      <c r="AD90" s="34" t="str">
        <f>刀数数据支持!AZ88</f>
        <v>火蛇Lv32</v>
      </c>
      <c r="AE90" s="34">
        <f t="shared" si="44"/>
        <v>864.34</v>
      </c>
      <c r="AF90" s="34">
        <f t="shared" si="45"/>
        <v>1.83</v>
      </c>
      <c r="AG90" s="34">
        <f t="shared" si="50"/>
        <v>0.47000000000000003</v>
      </c>
      <c r="AH90" s="34">
        <f t="shared" si="51"/>
        <v>0.03</v>
      </c>
      <c r="BS90" s="34" t="e">
        <f>#REF!</f>
        <v>#REF!</v>
      </c>
      <c r="BT90" s="34" t="e">
        <f>#REF!</f>
        <v>#REF!</v>
      </c>
      <c r="BU90" s="34">
        <v>0</v>
      </c>
      <c r="BV90" s="34" t="e">
        <f>IF(VLOOKUP(BT90,#REF!,8,0)=0,"",VLOOKUP(BT90,#REF!,8,0))</f>
        <v>#REF!</v>
      </c>
      <c r="BW90" s="47" t="e">
        <f ca="1">IF(BU90=0,RANDBETWEEN(VLOOKUP(BT90,#REF!,13,0),VLOOKUP(BT90,#REF!,14,0)),RANDBETWEEN(VLOOKUP(BU90,$CO:$CR,2,0)/100*VLOOKUP(BT90,#REF!,13,0),VLOOKUP(BU90,$CO:$CR,2,0)/100*VLOOKUP(BT90,#REF!,14,0)))</f>
        <v>#REF!</v>
      </c>
      <c r="BX90" s="47" t="e">
        <f>VLOOKUP(BT90,#REF!,9,0)</f>
        <v>#REF!</v>
      </c>
      <c r="BY90" s="47" t="e">
        <f ca="1">IF(BU90=0,RANDBETWEEN(VLOOKUP(BT90,#REF!,26,0),VLOOKUP(BT90,#REF!,27,0)),RANDBETWEEN(VLOOKUP(BU90,$CO:$CR,3,0)/100*VLOOKUP(BT90,#REF!,26,0),VLOOKUP(BU90,$CO:$CR,3,0)/100*VLOOKUP(BT90,#REF!,27,0)))</f>
        <v>#REF!</v>
      </c>
      <c r="BZ90" s="47" t="e">
        <f>IF(VLOOKUP(BT90,#REF!,22,0)=0,"",VLOOKUP(BT90,#REF!,22,0))</f>
        <v>#REF!</v>
      </c>
      <c r="CA90" s="47" t="e">
        <f ca="1">IF(BU90=0,RANDBETWEEN(VLOOKUP(BT90,#REF!,39,0),VLOOKUP(BT90,#REF!,40,0)),RANDBETWEEN(VLOOKUP(BU90,$CO:$CR,4,0)/100*VLOOKUP(BT90,#REF!,39,0),VLOOKUP(BU90,$CO:$CR,4,0)/100*VLOOKUP(BT90,#REF!,40,0)))</f>
        <v>#REF!</v>
      </c>
      <c r="CB90" s="47" t="e">
        <f>IF(VLOOKUP(BT90,#REF!,35,0)=0,"",VLOOKUP(BT90,#REF!,35,0))</f>
        <v>#REF!</v>
      </c>
      <c r="CO90" s="50">
        <v>85</v>
      </c>
      <c r="CP90" s="50">
        <v>746</v>
      </c>
      <c r="CQ90" s="50">
        <v>2197</v>
      </c>
      <c r="CR90" s="50">
        <v>4637</v>
      </c>
      <c r="CS90" s="52">
        <v>510</v>
      </c>
      <c r="CT90" s="52">
        <v>949</v>
      </c>
      <c r="CU90" s="52">
        <v>1403</v>
      </c>
      <c r="CY90" t="str">
        <f t="shared" si="46"/>
        <v>单</v>
      </c>
      <c r="CZ90" s="47">
        <v>20089</v>
      </c>
      <c r="DA90" s="34">
        <v>1</v>
      </c>
      <c r="DB90" s="54">
        <v>-10</v>
      </c>
      <c r="DC90" s="34">
        <v>2</v>
      </c>
      <c r="DD90" s="34">
        <v>8</v>
      </c>
      <c r="DE90" s="34"/>
      <c r="DF90" s="34"/>
      <c r="DG90" s="34">
        <v>100</v>
      </c>
      <c r="DH90" s="34"/>
      <c r="DI90" t="s">
        <v>3961</v>
      </c>
      <c r="DJ90" t="s">
        <v>3965</v>
      </c>
      <c r="DK90" t="s">
        <v>3959</v>
      </c>
      <c r="DL90" s="9">
        <f t="shared" si="47"/>
        <v>2</v>
      </c>
      <c r="DM90" s="9">
        <f t="shared" si="48"/>
        <v>8</v>
      </c>
      <c r="DP90">
        <f t="shared" si="49"/>
        <v>5.5</v>
      </c>
    </row>
    <row r="91" spans="11:120" x14ac:dyDescent="0.2">
      <c r="K91" s="9"/>
      <c r="Y91" s="34">
        <v>87</v>
      </c>
      <c r="Z91" s="34">
        <f>ROUND(VLOOKUP(Y91,刀数数据支持!$L:$Q,3,0)*(1+((Y91-1)*2+25)*0.01*(1+AB91/100)),2)</f>
        <v>485.09</v>
      </c>
      <c r="AA91" s="34">
        <f>ROUND(VLOOKUP(Y91,刀数数据支持!$L:$Q,6,0)*(1+((Y91-1)*5+25)*0.01)*(1+AB91/100),2)</f>
        <v>1920.83</v>
      </c>
      <c r="AB91" s="34">
        <f>VLOOKUP(Y91,刀数数据支持!$S:$T,2,0)</f>
        <v>203.54</v>
      </c>
      <c r="AC91" s="34">
        <f>ROUND(刀数数据支持!AY89*(1-刀数数据支持!BA89/100),1)</f>
        <v>26964.2</v>
      </c>
      <c r="AD91" s="34" t="str">
        <f>刀数数据支持!AZ89</f>
        <v>火蛇Lv32</v>
      </c>
      <c r="AE91" s="34">
        <f t="shared" si="44"/>
        <v>880.25</v>
      </c>
      <c r="AF91" s="34">
        <f t="shared" si="45"/>
        <v>1.82</v>
      </c>
      <c r="AG91" s="34">
        <f t="shared" si="50"/>
        <v>0.46</v>
      </c>
      <c r="AH91" s="34">
        <f t="shared" si="51"/>
        <v>0.03</v>
      </c>
      <c r="BS91" s="34" t="e">
        <f>#REF!</f>
        <v>#REF!</v>
      </c>
      <c r="BT91" s="34" t="e">
        <f>#REF!</f>
        <v>#REF!</v>
      </c>
      <c r="BU91" s="34">
        <v>0</v>
      </c>
      <c r="BV91" s="34" t="e">
        <f>IF(VLOOKUP(BT91,#REF!,8,0)=0,"",VLOOKUP(BT91,#REF!,8,0))</f>
        <v>#REF!</v>
      </c>
      <c r="BW91" s="47" t="e">
        <f ca="1">IF(BU91=0,RANDBETWEEN(VLOOKUP(BT91,#REF!,13,0),VLOOKUP(BT91,#REF!,14,0)),RANDBETWEEN(VLOOKUP(BU91,$CO:$CR,2,0)/100*VLOOKUP(BT91,#REF!,13,0),VLOOKUP(BU91,$CO:$CR,2,0)/100*VLOOKUP(BT91,#REF!,14,0)))</f>
        <v>#REF!</v>
      </c>
      <c r="BX91" s="47" t="e">
        <f>VLOOKUP(BT91,#REF!,9,0)</f>
        <v>#REF!</v>
      </c>
      <c r="BY91" s="47" t="e">
        <f ca="1">IF(BU91=0,RANDBETWEEN(VLOOKUP(BT91,#REF!,26,0),VLOOKUP(BT91,#REF!,27,0)),RANDBETWEEN(VLOOKUP(BU91,$CO:$CR,3,0)/100*VLOOKUP(BT91,#REF!,26,0),VLOOKUP(BU91,$CO:$CR,3,0)/100*VLOOKUP(BT91,#REF!,27,0)))</f>
        <v>#REF!</v>
      </c>
      <c r="BZ91" s="47" t="e">
        <f>IF(VLOOKUP(BT91,#REF!,22,0)=0,"",VLOOKUP(BT91,#REF!,22,0))</f>
        <v>#REF!</v>
      </c>
      <c r="CA91" s="47" t="e">
        <f ca="1">IF(BU91=0,RANDBETWEEN(VLOOKUP(BT91,#REF!,39,0),VLOOKUP(BT91,#REF!,40,0)),RANDBETWEEN(VLOOKUP(BU91,$CO:$CR,4,0)/100*VLOOKUP(BT91,#REF!,39,0),VLOOKUP(BU91,$CO:$CR,4,0)/100*VLOOKUP(BT91,#REF!,40,0)))</f>
        <v>#REF!</v>
      </c>
      <c r="CB91" s="47" t="e">
        <f>IF(VLOOKUP(BT91,#REF!,35,0)=0,"",VLOOKUP(BT91,#REF!,35,0))</f>
        <v>#REF!</v>
      </c>
      <c r="CO91" s="50">
        <v>86</v>
      </c>
      <c r="CP91" s="50">
        <v>761</v>
      </c>
      <c r="CQ91" s="50">
        <v>2232</v>
      </c>
      <c r="CR91" s="50">
        <v>4723</v>
      </c>
      <c r="CS91" s="52">
        <v>516</v>
      </c>
      <c r="CT91" s="52">
        <v>959</v>
      </c>
      <c r="CU91" s="52">
        <v>1419</v>
      </c>
      <c r="CY91" t="str">
        <f t="shared" si="46"/>
        <v>单</v>
      </c>
      <c r="CZ91" s="47">
        <v>20090</v>
      </c>
      <c r="DA91" s="34">
        <v>1</v>
      </c>
      <c r="DB91" s="54">
        <v>20</v>
      </c>
      <c r="DC91" s="34">
        <v>6</v>
      </c>
      <c r="DD91" s="34">
        <v>15</v>
      </c>
      <c r="DE91" s="34"/>
      <c r="DF91" s="34"/>
      <c r="DG91" s="34">
        <v>100</v>
      </c>
      <c r="DH91" s="34"/>
      <c r="DI91" t="s">
        <v>3961</v>
      </c>
      <c r="DJ91" t="s">
        <v>3966</v>
      </c>
      <c r="DK91" t="s">
        <v>3908</v>
      </c>
      <c r="DL91" s="9">
        <f t="shared" si="47"/>
        <v>6</v>
      </c>
      <c r="DM91" s="9">
        <f t="shared" si="48"/>
        <v>15</v>
      </c>
      <c r="DN91" s="9">
        <v>15</v>
      </c>
      <c r="DO91" s="9">
        <v>15</v>
      </c>
      <c r="DP91">
        <f t="shared" si="49"/>
        <v>8.4</v>
      </c>
    </row>
    <row r="92" spans="11:120" x14ac:dyDescent="0.2">
      <c r="K92" s="9"/>
      <c r="Y92" s="34">
        <v>88</v>
      </c>
      <c r="Z92" s="34">
        <f>ROUND(VLOOKUP(Y92,刀数数据支持!$L:$Q,3,0)*(1+((Y92-1)*2+25)*0.01*(1+AB92/100)),2)</f>
        <v>496.09</v>
      </c>
      <c r="AA92" s="34">
        <f>ROUND(VLOOKUP(Y92,刀数数据支持!$L:$Q,6,0)*(1+((Y92-1)*5+25)*0.01)*(1+AB92/100),2)</f>
        <v>1975.52</v>
      </c>
      <c r="AB92" s="34">
        <f>VLOOKUP(Y92,刀数数据支持!$S:$T,2,0)</f>
        <v>205.88</v>
      </c>
      <c r="AC92" s="34">
        <f>ROUND(刀数数据支持!AY90*(1-刀数数据支持!BA90/100),1)</f>
        <v>27981.7</v>
      </c>
      <c r="AD92" s="34" t="str">
        <f>刀数数据支持!AZ90</f>
        <v>火蛇Lv32</v>
      </c>
      <c r="AE92" s="34">
        <f t="shared" si="44"/>
        <v>897.28</v>
      </c>
      <c r="AF92" s="34">
        <f t="shared" si="45"/>
        <v>1.81</v>
      </c>
      <c r="AG92" s="34">
        <f t="shared" si="50"/>
        <v>0.46</v>
      </c>
      <c r="AH92" s="34">
        <f t="shared" si="51"/>
        <v>0.03</v>
      </c>
      <c r="BS92" s="34" t="e">
        <f>#REF!</f>
        <v>#REF!</v>
      </c>
      <c r="BT92" s="34" t="e">
        <f>#REF!</f>
        <v>#REF!</v>
      </c>
      <c r="BU92" s="34">
        <v>0</v>
      </c>
      <c r="BV92" s="34" t="e">
        <f>IF(VLOOKUP(BT92,#REF!,8,0)=0,"",VLOOKUP(BT92,#REF!,8,0))</f>
        <v>#REF!</v>
      </c>
      <c r="BW92" s="47" t="e">
        <f ca="1">IF(BU92=0,RANDBETWEEN(VLOOKUP(BT92,#REF!,13,0),VLOOKUP(BT92,#REF!,14,0)),RANDBETWEEN(VLOOKUP(BU92,$CO:$CR,2,0)/100*VLOOKUP(BT92,#REF!,13,0),VLOOKUP(BU92,$CO:$CR,2,0)/100*VLOOKUP(BT92,#REF!,14,0)))</f>
        <v>#REF!</v>
      </c>
      <c r="BX92" s="47" t="e">
        <f>VLOOKUP(BT92,#REF!,9,0)</f>
        <v>#REF!</v>
      </c>
      <c r="BY92" s="47" t="e">
        <f ca="1">IF(BU92=0,RANDBETWEEN(VLOOKUP(BT92,#REF!,26,0),VLOOKUP(BT92,#REF!,27,0)),RANDBETWEEN(VLOOKUP(BU92,$CO:$CR,3,0)/100*VLOOKUP(BT92,#REF!,26,0),VLOOKUP(BU92,$CO:$CR,3,0)/100*VLOOKUP(BT92,#REF!,27,0)))</f>
        <v>#REF!</v>
      </c>
      <c r="BZ92" s="47" t="e">
        <f>IF(VLOOKUP(BT92,#REF!,22,0)=0,"",VLOOKUP(BT92,#REF!,22,0))</f>
        <v>#REF!</v>
      </c>
      <c r="CA92" s="47" t="e">
        <f ca="1">IF(BU92=0,RANDBETWEEN(VLOOKUP(BT92,#REF!,39,0),VLOOKUP(BT92,#REF!,40,0)),RANDBETWEEN(VLOOKUP(BU92,$CO:$CR,4,0)/100*VLOOKUP(BT92,#REF!,39,0),VLOOKUP(BU92,$CO:$CR,4,0)/100*VLOOKUP(BT92,#REF!,40,0)))</f>
        <v>#REF!</v>
      </c>
      <c r="CB92" s="47" t="e">
        <f>IF(VLOOKUP(BT92,#REF!,35,0)=0,"",VLOOKUP(BT92,#REF!,35,0))</f>
        <v>#REF!</v>
      </c>
      <c r="CO92" s="50">
        <v>87</v>
      </c>
      <c r="CP92" s="50">
        <v>775</v>
      </c>
      <c r="CQ92" s="50">
        <v>2265</v>
      </c>
      <c r="CR92" s="50">
        <v>4809</v>
      </c>
      <c r="CS92" s="52">
        <v>522</v>
      </c>
      <c r="CT92" s="52">
        <v>969</v>
      </c>
      <c r="CU92" s="52">
        <v>1433</v>
      </c>
      <c r="CY92" t="str">
        <f t="shared" si="46"/>
        <v>单</v>
      </c>
      <c r="CZ92" s="47">
        <v>20091</v>
      </c>
      <c r="DA92" s="34">
        <v>1</v>
      </c>
      <c r="DB92" s="54"/>
      <c r="DC92" s="34">
        <v>6</v>
      </c>
      <c r="DD92" s="34">
        <v>15</v>
      </c>
      <c r="DE92" s="34"/>
      <c r="DF92" s="34"/>
      <c r="DG92" s="34">
        <v>100</v>
      </c>
      <c r="DH92" s="34"/>
      <c r="DI92" t="s">
        <v>3961</v>
      </c>
      <c r="DJ92" t="s">
        <v>3967</v>
      </c>
      <c r="DK92" t="s">
        <v>3908</v>
      </c>
      <c r="DL92" s="9">
        <f t="shared" si="47"/>
        <v>6</v>
      </c>
      <c r="DM92" s="9">
        <f t="shared" si="48"/>
        <v>15</v>
      </c>
      <c r="DP92">
        <f t="shared" si="49"/>
        <v>10.5</v>
      </c>
    </row>
    <row r="93" spans="11:120" x14ac:dyDescent="0.2">
      <c r="K93" s="9"/>
      <c r="Y93" s="34">
        <v>89</v>
      </c>
      <c r="Z93" s="34">
        <f>ROUND(VLOOKUP(Y93,刀数数据支持!$L:$Q,3,0)*(1+((Y93-1)*2+25)*0.01*(1+AB93/100)),2)</f>
        <v>507.26</v>
      </c>
      <c r="AA93" s="34">
        <f>ROUND(VLOOKUP(Y93,刀数数据支持!$L:$Q,6,0)*(1+((Y93-1)*5+25)*0.01)*(1+AB93/100),2)</f>
        <v>2031.22</v>
      </c>
      <c r="AB93" s="34">
        <f>VLOOKUP(Y93,刀数数据支持!$S:$T,2,0)</f>
        <v>208.22</v>
      </c>
      <c r="AC93" s="34">
        <f>ROUND(刀数数据支持!AY91*(1-刀数数据支持!BA91/100),1)</f>
        <v>26362.9</v>
      </c>
      <c r="AD93" s="34" t="str">
        <f>刀数数据支持!AZ91</f>
        <v>火蛇Lv32</v>
      </c>
      <c r="AE93" s="34">
        <f t="shared" si="44"/>
        <v>914.32</v>
      </c>
      <c r="AF93" s="34">
        <f t="shared" si="45"/>
        <v>1.81</v>
      </c>
      <c r="AG93" s="34">
        <f t="shared" si="50"/>
        <v>0.46</v>
      </c>
      <c r="AH93" s="34">
        <f t="shared" si="51"/>
        <v>0.03</v>
      </c>
      <c r="BS93" s="34" t="e">
        <f>#REF!</f>
        <v>#REF!</v>
      </c>
      <c r="BT93" s="34" t="e">
        <f>#REF!</f>
        <v>#REF!</v>
      </c>
      <c r="BU93" s="34">
        <v>0</v>
      </c>
      <c r="BV93" s="34" t="e">
        <f>IF(VLOOKUP(BT93,#REF!,8,0)=0,"",VLOOKUP(BT93,#REF!,8,0))</f>
        <v>#REF!</v>
      </c>
      <c r="BW93" s="47" t="e">
        <f ca="1">IF(BU93=0,RANDBETWEEN(VLOOKUP(BT93,#REF!,13,0),VLOOKUP(BT93,#REF!,14,0)),RANDBETWEEN(VLOOKUP(BU93,$CO:$CR,2,0)/100*VLOOKUP(BT93,#REF!,13,0),VLOOKUP(BU93,$CO:$CR,2,0)/100*VLOOKUP(BT93,#REF!,14,0)))</f>
        <v>#REF!</v>
      </c>
      <c r="BX93" s="47" t="e">
        <f>VLOOKUP(BT93,#REF!,9,0)</f>
        <v>#REF!</v>
      </c>
      <c r="BY93" s="47" t="e">
        <f ca="1">IF(BU93=0,RANDBETWEEN(VLOOKUP(BT93,#REF!,26,0),VLOOKUP(BT93,#REF!,27,0)),RANDBETWEEN(VLOOKUP(BU93,$CO:$CR,3,0)/100*VLOOKUP(BT93,#REF!,26,0),VLOOKUP(BU93,$CO:$CR,3,0)/100*VLOOKUP(BT93,#REF!,27,0)))</f>
        <v>#REF!</v>
      </c>
      <c r="BZ93" s="47" t="e">
        <f>IF(VLOOKUP(BT93,#REF!,22,0)=0,"",VLOOKUP(BT93,#REF!,22,0))</f>
        <v>#REF!</v>
      </c>
      <c r="CA93" s="47" t="e">
        <f ca="1">IF(BU93=0,RANDBETWEEN(VLOOKUP(BT93,#REF!,39,0),VLOOKUP(BT93,#REF!,40,0)),RANDBETWEEN(VLOOKUP(BU93,$CO:$CR,4,0)/100*VLOOKUP(BT93,#REF!,39,0),VLOOKUP(BU93,$CO:$CR,4,0)/100*VLOOKUP(BT93,#REF!,40,0)))</f>
        <v>#REF!</v>
      </c>
      <c r="CB93" s="47" t="e">
        <f>IF(VLOOKUP(BT93,#REF!,35,0)=0,"",VLOOKUP(BT93,#REF!,35,0))</f>
        <v>#REF!</v>
      </c>
      <c r="CO93" s="50">
        <v>88</v>
      </c>
      <c r="CP93" s="50">
        <v>790</v>
      </c>
      <c r="CQ93" s="50">
        <v>2300</v>
      </c>
      <c r="CR93" s="50">
        <v>4895</v>
      </c>
      <c r="CS93" s="52">
        <v>528</v>
      </c>
      <c r="CT93" s="52">
        <v>979</v>
      </c>
      <c r="CU93" s="52">
        <v>1448</v>
      </c>
      <c r="CY93" t="str">
        <f t="shared" si="46"/>
        <v>双手</v>
      </c>
      <c r="CZ93" s="47">
        <v>20092</v>
      </c>
      <c r="DA93" s="34">
        <v>1</v>
      </c>
      <c r="DB93" s="54"/>
      <c r="DC93" s="34"/>
      <c r="DD93" s="34"/>
      <c r="DE93" s="34">
        <v>12</v>
      </c>
      <c r="DF93" s="34">
        <v>20</v>
      </c>
      <c r="DG93" s="34">
        <v>100</v>
      </c>
      <c r="DH93" s="34"/>
      <c r="DI93" t="s">
        <v>3961</v>
      </c>
      <c r="DJ93" t="s">
        <v>3968</v>
      </c>
      <c r="DK93" t="s">
        <v>3844</v>
      </c>
      <c r="DL93" s="9">
        <f t="shared" si="47"/>
        <v>12</v>
      </c>
      <c r="DM93" s="9">
        <f t="shared" si="48"/>
        <v>20</v>
      </c>
      <c r="DN93" s="9">
        <v>30</v>
      </c>
      <c r="DP93">
        <f t="shared" si="49"/>
        <v>16</v>
      </c>
    </row>
    <row r="94" spans="11:120" x14ac:dyDescent="0.2">
      <c r="K94" s="9"/>
      <c r="Y94" s="34">
        <v>90</v>
      </c>
      <c r="Z94" s="34">
        <f>ROUND(VLOOKUP(Y94,刀数数据支持!$L:$Q,3,0)*(1+((Y94-1)*2+25)*0.01*(1+AB94/100)),2)</f>
        <v>518.61</v>
      </c>
      <c r="AA94" s="34">
        <f>ROUND(VLOOKUP(Y94,刀数数据支持!$L:$Q,6,0)*(1+((Y94-1)*5+25)*0.01)*(1+AB94/100),2)</f>
        <v>2087.94</v>
      </c>
      <c r="AB94" s="34">
        <f>VLOOKUP(Y94,刀数数据支持!$S:$T,2,0)</f>
        <v>210.56</v>
      </c>
      <c r="AC94" s="34">
        <f>ROUND(刀数数据支持!AY92*(1-刀数数据支持!BA92/100),1)</f>
        <v>28340.2</v>
      </c>
      <c r="AD94" s="34" t="str">
        <f>刀数数据支持!AZ92</f>
        <v>火蛇Lv34</v>
      </c>
      <c r="AE94" s="34">
        <f t="shared" si="44"/>
        <v>932.49</v>
      </c>
      <c r="AF94" s="34">
        <f t="shared" si="45"/>
        <v>1.8</v>
      </c>
      <c r="AG94" s="34">
        <f t="shared" si="50"/>
        <v>0.45</v>
      </c>
      <c r="AH94" s="34">
        <f t="shared" si="51"/>
        <v>0.03</v>
      </c>
      <c r="BS94" s="34" t="e">
        <f>#REF!</f>
        <v>#REF!</v>
      </c>
      <c r="BT94" s="34" t="e">
        <f>#REF!</f>
        <v>#REF!</v>
      </c>
      <c r="BU94" s="34">
        <v>0</v>
      </c>
      <c r="BV94" s="34" t="e">
        <f>IF(VLOOKUP(BT94,#REF!,8,0)=0,"",VLOOKUP(BT94,#REF!,8,0))</f>
        <v>#REF!</v>
      </c>
      <c r="BW94" s="47" t="e">
        <f ca="1">IF(BU94=0,RANDBETWEEN(VLOOKUP(BT94,#REF!,13,0),VLOOKUP(BT94,#REF!,14,0)),RANDBETWEEN(VLOOKUP(BU94,$CO:$CR,2,0)/100*VLOOKUP(BT94,#REF!,13,0),VLOOKUP(BU94,$CO:$CR,2,0)/100*VLOOKUP(BT94,#REF!,14,0)))</f>
        <v>#REF!</v>
      </c>
      <c r="BX94" s="47" t="e">
        <f>VLOOKUP(BT94,#REF!,9,0)</f>
        <v>#REF!</v>
      </c>
      <c r="BY94" s="47" t="e">
        <f ca="1">IF(BU94=0,RANDBETWEEN(VLOOKUP(BT94,#REF!,26,0),VLOOKUP(BT94,#REF!,27,0)),RANDBETWEEN(VLOOKUP(BU94,$CO:$CR,3,0)/100*VLOOKUP(BT94,#REF!,26,0),VLOOKUP(BU94,$CO:$CR,3,0)/100*VLOOKUP(BT94,#REF!,27,0)))</f>
        <v>#REF!</v>
      </c>
      <c r="BZ94" s="47" t="e">
        <f>IF(VLOOKUP(BT94,#REF!,22,0)=0,"",VLOOKUP(BT94,#REF!,22,0))</f>
        <v>#REF!</v>
      </c>
      <c r="CA94" s="47" t="e">
        <f ca="1">IF(BU94=0,RANDBETWEEN(VLOOKUP(BT94,#REF!,39,0),VLOOKUP(BT94,#REF!,40,0)),RANDBETWEEN(VLOOKUP(BU94,$CO:$CR,4,0)/100*VLOOKUP(BT94,#REF!,39,0),VLOOKUP(BU94,$CO:$CR,4,0)/100*VLOOKUP(BT94,#REF!,40,0)))</f>
        <v>#REF!</v>
      </c>
      <c r="CB94" s="47" t="e">
        <f>IF(VLOOKUP(BT94,#REF!,35,0)=0,"",VLOOKUP(BT94,#REF!,35,0))</f>
        <v>#REF!</v>
      </c>
      <c r="CO94" s="50">
        <v>89</v>
      </c>
      <c r="CP94" s="50">
        <v>805</v>
      </c>
      <c r="CQ94" s="50">
        <v>2333</v>
      </c>
      <c r="CR94" s="50">
        <v>4982</v>
      </c>
      <c r="CS94" s="52">
        <v>534</v>
      </c>
      <c r="CT94" s="52">
        <v>989</v>
      </c>
      <c r="CU94" s="52">
        <v>1464</v>
      </c>
      <c r="CY94" t="str">
        <f t="shared" si="46"/>
        <v>双手</v>
      </c>
      <c r="CZ94" s="47">
        <v>20093</v>
      </c>
      <c r="DA94" s="34">
        <v>1</v>
      </c>
      <c r="DB94" s="54"/>
      <c r="DC94" s="34"/>
      <c r="DD94" s="34"/>
      <c r="DE94" s="34">
        <v>10</v>
      </c>
      <c r="DF94" s="34">
        <v>15</v>
      </c>
      <c r="DG94" s="34">
        <v>100</v>
      </c>
      <c r="DH94" s="34"/>
      <c r="DI94" t="s">
        <v>3961</v>
      </c>
      <c r="DJ94" t="s">
        <v>3969</v>
      </c>
      <c r="DK94" t="s">
        <v>3871</v>
      </c>
      <c r="DL94" s="9">
        <f t="shared" si="47"/>
        <v>10</v>
      </c>
      <c r="DM94" s="9">
        <f t="shared" si="48"/>
        <v>15</v>
      </c>
      <c r="DN94" s="9">
        <v>25</v>
      </c>
      <c r="DP94">
        <f t="shared" si="49"/>
        <v>12.5</v>
      </c>
    </row>
    <row r="95" spans="11:120" x14ac:dyDescent="0.2">
      <c r="K95" s="9"/>
      <c r="Y95" s="34">
        <v>91</v>
      </c>
      <c r="Z95" s="34">
        <f>ROUND(VLOOKUP(Y95,刀数数据支持!$L:$Q,3,0)*(1+((Y95-1)*2+25)*0.01*(1+AB95/100)),2)</f>
        <v>530.13</v>
      </c>
      <c r="AA95" s="34">
        <f>ROUND(VLOOKUP(Y95,刀数数据支持!$L:$Q,6,0)*(1+((Y95-1)*5+25)*0.01)*(1+AB95/100),2)</f>
        <v>2145.88</v>
      </c>
      <c r="AB95" s="34">
        <f>VLOOKUP(Y95,刀数数据支持!$S:$T,2,0)</f>
        <v>212.9</v>
      </c>
      <c r="AC95" s="34">
        <f>ROUND(刀数数据支持!AY93*(1-刀数数据支持!BA93/100),1)</f>
        <v>26506.400000000001</v>
      </c>
      <c r="AD95" s="34" t="str">
        <f>刀数数据支持!AZ93</f>
        <v>火蛇Lv34</v>
      </c>
      <c r="AE95" s="34">
        <f t="shared" si="44"/>
        <v>950.66</v>
      </c>
      <c r="AF95" s="34">
        <f t="shared" si="45"/>
        <v>1.8</v>
      </c>
      <c r="AG95" s="34">
        <f t="shared" si="50"/>
        <v>0.45</v>
      </c>
      <c r="AH95" s="34">
        <f t="shared" si="51"/>
        <v>0.04</v>
      </c>
      <c r="BS95" s="34" t="e">
        <f>#REF!</f>
        <v>#REF!</v>
      </c>
      <c r="BT95" s="34" t="e">
        <f>#REF!</f>
        <v>#REF!</v>
      </c>
      <c r="BU95" s="34">
        <v>0</v>
      </c>
      <c r="BV95" s="34" t="e">
        <f>IF(VLOOKUP(BT95,#REF!,8,0)=0,"",VLOOKUP(BT95,#REF!,8,0))</f>
        <v>#REF!</v>
      </c>
      <c r="BW95" s="47" t="e">
        <f ca="1">IF(BU95=0,RANDBETWEEN(VLOOKUP(BT95,#REF!,13,0),VLOOKUP(BT95,#REF!,14,0)),RANDBETWEEN(VLOOKUP(BU95,$CO:$CR,2,0)/100*VLOOKUP(BT95,#REF!,13,0),VLOOKUP(BU95,$CO:$CR,2,0)/100*VLOOKUP(BT95,#REF!,14,0)))</f>
        <v>#REF!</v>
      </c>
      <c r="BX95" s="47" t="e">
        <f>VLOOKUP(BT95,#REF!,9,0)</f>
        <v>#REF!</v>
      </c>
      <c r="BY95" s="47" t="e">
        <f ca="1">IF(BU95=0,RANDBETWEEN(VLOOKUP(BT95,#REF!,26,0),VLOOKUP(BT95,#REF!,27,0)),RANDBETWEEN(VLOOKUP(BU95,$CO:$CR,3,0)/100*VLOOKUP(BT95,#REF!,26,0),VLOOKUP(BU95,$CO:$CR,3,0)/100*VLOOKUP(BT95,#REF!,27,0)))</f>
        <v>#REF!</v>
      </c>
      <c r="BZ95" s="47" t="e">
        <f>IF(VLOOKUP(BT95,#REF!,22,0)=0,"",VLOOKUP(BT95,#REF!,22,0))</f>
        <v>#REF!</v>
      </c>
      <c r="CA95" s="47" t="e">
        <f ca="1">IF(BU95=0,RANDBETWEEN(VLOOKUP(BT95,#REF!,39,0),VLOOKUP(BT95,#REF!,40,0)),RANDBETWEEN(VLOOKUP(BU95,$CO:$CR,4,0)/100*VLOOKUP(BT95,#REF!,39,0),VLOOKUP(BU95,$CO:$CR,4,0)/100*VLOOKUP(BT95,#REF!,40,0)))</f>
        <v>#REF!</v>
      </c>
      <c r="CB95" s="47" t="e">
        <f>IF(VLOOKUP(BT95,#REF!,35,0)=0,"",VLOOKUP(BT95,#REF!,35,0))</f>
        <v>#REF!</v>
      </c>
      <c r="CO95" s="50">
        <v>90</v>
      </c>
      <c r="CP95" s="50">
        <v>821</v>
      </c>
      <c r="CQ95" s="50">
        <v>2368</v>
      </c>
      <c r="CR95" s="50">
        <v>5068</v>
      </c>
      <c r="CS95" s="52">
        <v>540</v>
      </c>
      <c r="CT95" s="52">
        <v>1000</v>
      </c>
      <c r="CU95" s="52">
        <v>1478</v>
      </c>
      <c r="CY95" t="str">
        <f t="shared" si="46"/>
        <v>单</v>
      </c>
      <c r="CZ95" s="47">
        <v>20174</v>
      </c>
      <c r="DA95" s="34">
        <v>1</v>
      </c>
      <c r="DB95" s="54">
        <v>-10</v>
      </c>
      <c r="DC95" s="34">
        <v>1</v>
      </c>
      <c r="DD95" s="34">
        <v>15</v>
      </c>
      <c r="DE95" s="34"/>
      <c r="DF95" s="34"/>
      <c r="DG95" s="34">
        <v>100</v>
      </c>
      <c r="DH95" s="34"/>
      <c r="DI95" t="s">
        <v>3961</v>
      </c>
      <c r="DJ95" t="s">
        <v>3970</v>
      </c>
      <c r="DK95" t="s">
        <v>3871</v>
      </c>
      <c r="DL95" s="9">
        <f t="shared" si="47"/>
        <v>1</v>
      </c>
      <c r="DM95" s="9">
        <f t="shared" si="48"/>
        <v>15</v>
      </c>
      <c r="DN95" s="9">
        <v>41</v>
      </c>
      <c r="DO95" s="9">
        <v>35</v>
      </c>
      <c r="DP95">
        <f t="shared" si="49"/>
        <v>8.8000000000000007</v>
      </c>
    </row>
    <row r="96" spans="11:120" x14ac:dyDescent="0.2">
      <c r="K96" s="9"/>
      <c r="Y96" s="34">
        <v>92</v>
      </c>
      <c r="Z96" s="34">
        <f>ROUND(VLOOKUP(Y96,刀数数据支持!$L:$Q,3,0)*(1+((Y96-1)*2+25)*0.01*(1+AB96/100)),2)</f>
        <v>541.83000000000004</v>
      </c>
      <c r="AA96" s="34">
        <f>ROUND(VLOOKUP(Y96,刀数数据支持!$L:$Q,6,0)*(1+((Y96-1)*5+25)*0.01)*(1+AB96/100),2)</f>
        <v>2204.6799999999998</v>
      </c>
      <c r="AB96" s="34">
        <f>VLOOKUP(Y96,刀数数据支持!$S:$T,2,0)</f>
        <v>215.24</v>
      </c>
      <c r="AC96" s="34">
        <f>ROUND(刀数数据支持!AY94*(1-刀数数据支持!BA94/100),1)</f>
        <v>27506.7</v>
      </c>
      <c r="AD96" s="34" t="str">
        <f>刀数数据支持!AZ94</f>
        <v>火蛇Lv34</v>
      </c>
      <c r="AE96" s="34">
        <f t="shared" si="44"/>
        <v>968.84</v>
      </c>
      <c r="AF96" s="34">
        <f t="shared" si="45"/>
        <v>1.79</v>
      </c>
      <c r="AG96" s="34">
        <f t="shared" si="50"/>
        <v>0.44</v>
      </c>
      <c r="AH96" s="34">
        <f t="shared" si="51"/>
        <v>0.04</v>
      </c>
      <c r="BS96" s="34" t="e">
        <f>#REF!</f>
        <v>#REF!</v>
      </c>
      <c r="BT96" s="34" t="e">
        <f>#REF!</f>
        <v>#REF!</v>
      </c>
      <c r="BU96" s="34">
        <v>0</v>
      </c>
      <c r="BV96" s="34" t="e">
        <f>IF(VLOOKUP(BT96,#REF!,8,0)=0,"",VLOOKUP(BT96,#REF!,8,0))</f>
        <v>#REF!</v>
      </c>
      <c r="BW96" s="47" t="e">
        <f ca="1">IF(BU96=0,RANDBETWEEN(VLOOKUP(BT96,#REF!,13,0),VLOOKUP(BT96,#REF!,14,0)),RANDBETWEEN(VLOOKUP(BU96,$CO:$CR,2,0)/100*VLOOKUP(BT96,#REF!,13,0),VLOOKUP(BU96,$CO:$CR,2,0)/100*VLOOKUP(BT96,#REF!,14,0)))</f>
        <v>#REF!</v>
      </c>
      <c r="BX96" s="47" t="e">
        <f>VLOOKUP(BT96,#REF!,9,0)</f>
        <v>#REF!</v>
      </c>
      <c r="BY96" s="47" t="e">
        <f ca="1">IF(BU96=0,RANDBETWEEN(VLOOKUP(BT96,#REF!,26,0),VLOOKUP(BT96,#REF!,27,0)),RANDBETWEEN(VLOOKUP(BU96,$CO:$CR,3,0)/100*VLOOKUP(BT96,#REF!,26,0),VLOOKUP(BU96,$CO:$CR,3,0)/100*VLOOKUP(BT96,#REF!,27,0)))</f>
        <v>#REF!</v>
      </c>
      <c r="BZ96" s="47" t="e">
        <f>IF(VLOOKUP(BT96,#REF!,22,0)=0,"",VLOOKUP(BT96,#REF!,22,0))</f>
        <v>#REF!</v>
      </c>
      <c r="CA96" s="47" t="e">
        <f ca="1">IF(BU96=0,RANDBETWEEN(VLOOKUP(BT96,#REF!,39,0),VLOOKUP(BT96,#REF!,40,0)),RANDBETWEEN(VLOOKUP(BU96,$CO:$CR,4,0)/100*VLOOKUP(BT96,#REF!,39,0),VLOOKUP(BU96,$CO:$CR,4,0)/100*VLOOKUP(BT96,#REF!,40,0)))</f>
        <v>#REF!</v>
      </c>
      <c r="CB96" s="47" t="e">
        <f>IF(VLOOKUP(BT96,#REF!,35,0)=0,"",VLOOKUP(BT96,#REF!,35,0))</f>
        <v>#REF!</v>
      </c>
      <c r="CO96" s="50">
        <v>91</v>
      </c>
      <c r="CP96" s="50">
        <v>837</v>
      </c>
      <c r="CQ96" s="50">
        <v>2403</v>
      </c>
      <c r="CR96" s="50">
        <v>5154</v>
      </c>
      <c r="CS96" s="52">
        <v>546</v>
      </c>
      <c r="CT96" s="52">
        <v>1010</v>
      </c>
      <c r="CU96" s="52">
        <v>1493</v>
      </c>
      <c r="CY96" t="str">
        <f t="shared" si="46"/>
        <v>单</v>
      </c>
      <c r="CZ96" s="47">
        <v>20175</v>
      </c>
      <c r="DA96" s="34">
        <v>1</v>
      </c>
      <c r="DB96" s="54">
        <v>-10</v>
      </c>
      <c r="DC96" s="34">
        <v>1</v>
      </c>
      <c r="DD96" s="34">
        <v>15</v>
      </c>
      <c r="DE96" s="34"/>
      <c r="DF96" s="34"/>
      <c r="DG96" s="34">
        <v>100</v>
      </c>
      <c r="DH96" s="34"/>
      <c r="DI96" t="s">
        <v>3961</v>
      </c>
      <c r="DJ96" t="s">
        <v>3971</v>
      </c>
      <c r="DK96" t="s">
        <v>3938</v>
      </c>
      <c r="DL96" s="9">
        <f t="shared" si="47"/>
        <v>1</v>
      </c>
      <c r="DM96" s="9">
        <f t="shared" si="48"/>
        <v>15</v>
      </c>
      <c r="DP96">
        <f t="shared" si="49"/>
        <v>8.8000000000000007</v>
      </c>
    </row>
    <row r="97" spans="11:120" x14ac:dyDescent="0.2">
      <c r="K97" s="9"/>
      <c r="Y97" s="34">
        <v>93</v>
      </c>
      <c r="Z97" s="34">
        <f>ROUND(VLOOKUP(Y97,刀数数据支持!$L:$Q,3,0)*(1+((Y97-1)*2+25)*0.01*(1+AB97/100)),2)</f>
        <v>553.71</v>
      </c>
      <c r="AA97" s="34">
        <f>ROUND(VLOOKUP(Y97,刀数数据支持!$L:$Q,6,0)*(1+((Y97-1)*5+25)*0.01)*(1+AB97/100),2)</f>
        <v>2264.52</v>
      </c>
      <c r="AB97" s="34">
        <f>VLOOKUP(Y97,刀数数据支持!$S:$T,2,0)</f>
        <v>217.58</v>
      </c>
      <c r="AC97" s="34">
        <f>ROUND(刀数数据支持!AY95*(1-刀数数据支持!BA95/100),1)</f>
        <v>25339.5</v>
      </c>
      <c r="AD97" s="34" t="str">
        <f>刀数数据支持!AZ95</f>
        <v>火蛇Lv34</v>
      </c>
      <c r="AE97" s="34">
        <f t="shared" si="44"/>
        <v>985.87</v>
      </c>
      <c r="AF97" s="34">
        <f t="shared" si="45"/>
        <v>1.79</v>
      </c>
      <c r="AG97" s="34">
        <f t="shared" si="50"/>
        <v>0.44</v>
      </c>
      <c r="AH97" s="34">
        <f t="shared" si="51"/>
        <v>0.04</v>
      </c>
      <c r="BS97" s="34" t="e">
        <f>#REF!</f>
        <v>#REF!</v>
      </c>
      <c r="BT97" s="34" t="e">
        <f>#REF!</f>
        <v>#REF!</v>
      </c>
      <c r="BU97" s="34">
        <v>0</v>
      </c>
      <c r="BV97" s="34" t="e">
        <f>IF(VLOOKUP(BT97,#REF!,8,0)=0,"",VLOOKUP(BT97,#REF!,8,0))</f>
        <v>#REF!</v>
      </c>
      <c r="BW97" s="47" t="e">
        <f ca="1">IF(BU97=0,RANDBETWEEN(VLOOKUP(BT97,#REF!,13,0),VLOOKUP(BT97,#REF!,14,0)),RANDBETWEEN(VLOOKUP(BU97,$CO:$CR,2,0)/100*VLOOKUP(BT97,#REF!,13,0),VLOOKUP(BU97,$CO:$CR,2,0)/100*VLOOKUP(BT97,#REF!,14,0)))</f>
        <v>#REF!</v>
      </c>
      <c r="BX97" s="47" t="e">
        <f>VLOOKUP(BT97,#REF!,9,0)</f>
        <v>#REF!</v>
      </c>
      <c r="BY97" s="47" t="e">
        <f ca="1">IF(BU97=0,RANDBETWEEN(VLOOKUP(BT97,#REF!,26,0),VLOOKUP(BT97,#REF!,27,0)),RANDBETWEEN(VLOOKUP(BU97,$CO:$CR,3,0)/100*VLOOKUP(BT97,#REF!,26,0),VLOOKUP(BU97,$CO:$CR,3,0)/100*VLOOKUP(BT97,#REF!,27,0)))</f>
        <v>#REF!</v>
      </c>
      <c r="BZ97" s="47" t="e">
        <f>IF(VLOOKUP(BT97,#REF!,22,0)=0,"",VLOOKUP(BT97,#REF!,22,0))</f>
        <v>#REF!</v>
      </c>
      <c r="CA97" s="47" t="e">
        <f ca="1">IF(BU97=0,RANDBETWEEN(VLOOKUP(BT97,#REF!,39,0),VLOOKUP(BT97,#REF!,40,0)),RANDBETWEEN(VLOOKUP(BU97,$CO:$CR,4,0)/100*VLOOKUP(BT97,#REF!,39,0),VLOOKUP(BU97,$CO:$CR,4,0)/100*VLOOKUP(BT97,#REF!,40,0)))</f>
        <v>#REF!</v>
      </c>
      <c r="CB97" s="47" t="e">
        <f>IF(VLOOKUP(BT97,#REF!,35,0)=0,"",VLOOKUP(BT97,#REF!,35,0))</f>
        <v>#REF!</v>
      </c>
      <c r="CO97" s="50">
        <v>92</v>
      </c>
      <c r="CP97" s="50">
        <v>853</v>
      </c>
      <c r="CQ97" s="50">
        <v>2436</v>
      </c>
      <c r="CR97" s="50">
        <v>5240</v>
      </c>
      <c r="CS97" s="52">
        <v>552</v>
      </c>
      <c r="CT97" s="52">
        <v>1020</v>
      </c>
      <c r="CU97" s="52">
        <v>1508</v>
      </c>
      <c r="CY97" t="str">
        <f t="shared" si="46"/>
        <v>单</v>
      </c>
      <c r="CZ97" s="47">
        <v>20176</v>
      </c>
      <c r="DA97" s="34">
        <v>1</v>
      </c>
      <c r="DB97" s="54">
        <v>-10</v>
      </c>
      <c r="DC97" s="34">
        <v>4</v>
      </c>
      <c r="DD97" s="34">
        <v>7</v>
      </c>
      <c r="DE97" s="34"/>
      <c r="DF97" s="34"/>
      <c r="DG97" s="34">
        <v>75</v>
      </c>
      <c r="DH97" s="34">
        <v>75</v>
      </c>
      <c r="DI97" t="s">
        <v>3783</v>
      </c>
      <c r="DJ97" t="s">
        <v>3972</v>
      </c>
      <c r="DK97" t="s">
        <v>3938</v>
      </c>
      <c r="DL97" s="9">
        <f t="shared" si="47"/>
        <v>4</v>
      </c>
      <c r="DM97" s="9">
        <f t="shared" si="48"/>
        <v>7</v>
      </c>
      <c r="DN97" s="9">
        <v>20</v>
      </c>
      <c r="DO97" s="9">
        <v>20</v>
      </c>
      <c r="DP97">
        <f t="shared" si="49"/>
        <v>6.0500000000000007</v>
      </c>
    </row>
    <row r="98" spans="11:120" x14ac:dyDescent="0.2">
      <c r="K98" s="9"/>
      <c r="Y98" s="34">
        <v>94</v>
      </c>
      <c r="Z98" s="34">
        <f>ROUND(VLOOKUP(Y98,刀数数据支持!$L:$Q,3,0)*(1+((Y98-1)*2+25)*0.01*(1+AB98/100)),2)</f>
        <v>565.77</v>
      </c>
      <c r="AA98" s="34">
        <f>ROUND(VLOOKUP(Y98,刀数数据支持!$L:$Q,6,0)*(1+((Y98-1)*5+25)*0.01)*(1+AB98/100),2)</f>
        <v>2325.4299999999998</v>
      </c>
      <c r="AB98" s="34">
        <f>VLOOKUP(Y98,刀数数据支持!$S:$T,2,0)</f>
        <v>219.92</v>
      </c>
      <c r="AC98" s="34">
        <f>ROUND(刀数数据支持!AY96*(1-刀数数据支持!BA96/100),1)</f>
        <v>26228.6</v>
      </c>
      <c r="AD98" s="34" t="str">
        <f>刀数数据支持!AZ96</f>
        <v>火蛇Lv34</v>
      </c>
      <c r="AE98" s="34">
        <f t="shared" si="44"/>
        <v>1004.05</v>
      </c>
      <c r="AF98" s="34">
        <f t="shared" si="45"/>
        <v>1.78</v>
      </c>
      <c r="AG98" s="34">
        <f t="shared" si="50"/>
        <v>0.44</v>
      </c>
      <c r="AH98" s="34">
        <f t="shared" si="51"/>
        <v>0.04</v>
      </c>
      <c r="BS98" s="34" t="e">
        <f>#REF!</f>
        <v>#REF!</v>
      </c>
      <c r="BT98" s="34" t="e">
        <f>#REF!</f>
        <v>#REF!</v>
      </c>
      <c r="BU98" s="34">
        <v>0</v>
      </c>
      <c r="BV98" s="34" t="e">
        <f>IF(VLOOKUP(BT98,#REF!,8,0)=0,"",VLOOKUP(BT98,#REF!,8,0))</f>
        <v>#REF!</v>
      </c>
      <c r="BW98" s="47" t="e">
        <f ca="1">IF(BU98=0,RANDBETWEEN(VLOOKUP(BT98,#REF!,13,0),VLOOKUP(BT98,#REF!,14,0)),RANDBETWEEN(VLOOKUP(BU98,$CO:$CR,2,0)/100*VLOOKUP(BT98,#REF!,13,0),VLOOKUP(BU98,$CO:$CR,2,0)/100*VLOOKUP(BT98,#REF!,14,0)))</f>
        <v>#REF!</v>
      </c>
      <c r="BX98" s="47" t="e">
        <f>VLOOKUP(BT98,#REF!,9,0)</f>
        <v>#REF!</v>
      </c>
      <c r="BY98" s="47" t="e">
        <f ca="1">IF(BU98=0,RANDBETWEEN(VLOOKUP(BT98,#REF!,26,0),VLOOKUP(BT98,#REF!,27,0)),RANDBETWEEN(VLOOKUP(BU98,$CO:$CR,3,0)/100*VLOOKUP(BT98,#REF!,26,0),VLOOKUP(BU98,$CO:$CR,3,0)/100*VLOOKUP(BT98,#REF!,27,0)))</f>
        <v>#REF!</v>
      </c>
      <c r="BZ98" s="47" t="e">
        <f>IF(VLOOKUP(BT98,#REF!,22,0)=0,"",VLOOKUP(BT98,#REF!,22,0))</f>
        <v>#REF!</v>
      </c>
      <c r="CA98" s="47" t="e">
        <f ca="1">IF(BU98=0,RANDBETWEEN(VLOOKUP(BT98,#REF!,39,0),VLOOKUP(BT98,#REF!,40,0)),RANDBETWEEN(VLOOKUP(BU98,$CO:$CR,4,0)/100*VLOOKUP(BT98,#REF!,39,0),VLOOKUP(BU98,$CO:$CR,4,0)/100*VLOOKUP(BT98,#REF!,40,0)))</f>
        <v>#REF!</v>
      </c>
      <c r="CB98" s="47" t="e">
        <f>IF(VLOOKUP(BT98,#REF!,35,0)=0,"",VLOOKUP(BT98,#REF!,35,0))</f>
        <v>#REF!</v>
      </c>
      <c r="CO98" s="50">
        <v>93</v>
      </c>
      <c r="CP98" s="50">
        <v>868</v>
      </c>
      <c r="CQ98" s="50">
        <v>2471</v>
      </c>
      <c r="CR98" s="50">
        <v>5327</v>
      </c>
      <c r="CS98" s="52">
        <v>558</v>
      </c>
      <c r="CT98" s="52">
        <v>1030</v>
      </c>
      <c r="CU98" s="52">
        <v>1523</v>
      </c>
      <c r="CY98" t="str">
        <f t="shared" si="46"/>
        <v>单</v>
      </c>
      <c r="CZ98" s="47">
        <v>20177</v>
      </c>
      <c r="DA98" s="34">
        <v>1</v>
      </c>
      <c r="DB98" s="54"/>
      <c r="DC98" s="34">
        <v>5</v>
      </c>
      <c r="DD98" s="34">
        <v>9</v>
      </c>
      <c r="DE98" s="34"/>
      <c r="DF98" s="34"/>
      <c r="DG98" s="34">
        <v>75</v>
      </c>
      <c r="DH98" s="34">
        <v>75</v>
      </c>
      <c r="DI98" t="s">
        <v>3783</v>
      </c>
      <c r="DJ98" t="s">
        <v>3973</v>
      </c>
      <c r="DK98" t="s">
        <v>3785</v>
      </c>
      <c r="DL98" s="9">
        <f t="shared" si="47"/>
        <v>5</v>
      </c>
      <c r="DM98" s="9">
        <f t="shared" si="48"/>
        <v>9</v>
      </c>
      <c r="DN98" s="9">
        <v>33</v>
      </c>
      <c r="DO98" s="9">
        <v>33</v>
      </c>
      <c r="DP98">
        <f t="shared" si="49"/>
        <v>7</v>
      </c>
    </row>
    <row r="99" spans="11:120" x14ac:dyDescent="0.2">
      <c r="K99" s="9"/>
      <c r="Y99" s="34">
        <v>95</v>
      </c>
      <c r="Z99" s="34">
        <f>ROUND(VLOOKUP(Y99,刀数数据支持!$L:$Q,3,0)*(1+((Y99-1)*2+25)*0.01*(1+AB99/100)),2)</f>
        <v>578.01</v>
      </c>
      <c r="AA99" s="34">
        <f>ROUND(VLOOKUP(Y99,刀数数据支持!$L:$Q,6,0)*(1+((Y99-1)*5+25)*0.01)*(1+AB99/100),2)</f>
        <v>2387.41</v>
      </c>
      <c r="AB99" s="34">
        <f>VLOOKUP(Y99,刀数数据支持!$S:$T,2,0)</f>
        <v>222.26</v>
      </c>
      <c r="AC99" s="34">
        <f>ROUND(刀数数据支持!AY97*(1-刀数数据支持!BA97/100),1)</f>
        <v>23728</v>
      </c>
      <c r="AD99" s="34" t="str">
        <f>刀数数据支持!AZ97</f>
        <v>火蛇Lv34</v>
      </c>
      <c r="AE99" s="34">
        <f t="shared" si="44"/>
        <v>1022.22</v>
      </c>
      <c r="AF99" s="34">
        <f t="shared" si="45"/>
        <v>1.77</v>
      </c>
      <c r="AG99" s="34">
        <f t="shared" si="50"/>
        <v>0.43</v>
      </c>
      <c r="AH99" s="34">
        <f t="shared" si="51"/>
        <v>0.04</v>
      </c>
      <c r="BS99" s="34" t="e">
        <f>#REF!</f>
        <v>#REF!</v>
      </c>
      <c r="BT99" s="34" t="e">
        <f>#REF!</f>
        <v>#REF!</v>
      </c>
      <c r="BU99" s="34">
        <v>0</v>
      </c>
      <c r="BV99" s="34" t="e">
        <f>IF(VLOOKUP(BT99,#REF!,8,0)=0,"",VLOOKUP(BT99,#REF!,8,0))</f>
        <v>#REF!</v>
      </c>
      <c r="BW99" s="47" t="e">
        <f ca="1">IF(BU99=0,RANDBETWEEN(VLOOKUP(BT99,#REF!,13,0),VLOOKUP(BT99,#REF!,14,0)),RANDBETWEEN(VLOOKUP(BU99,$CO:$CR,2,0)/100*VLOOKUP(BT99,#REF!,13,0),VLOOKUP(BU99,$CO:$CR,2,0)/100*VLOOKUP(BT99,#REF!,14,0)))</f>
        <v>#REF!</v>
      </c>
      <c r="BX99" s="47" t="e">
        <f>VLOOKUP(BT99,#REF!,9,0)</f>
        <v>#REF!</v>
      </c>
      <c r="BY99" s="47" t="e">
        <f ca="1">IF(BU99=0,RANDBETWEEN(VLOOKUP(BT99,#REF!,26,0),VLOOKUP(BT99,#REF!,27,0)),RANDBETWEEN(VLOOKUP(BU99,$CO:$CR,3,0)/100*VLOOKUP(BT99,#REF!,26,0),VLOOKUP(BU99,$CO:$CR,3,0)/100*VLOOKUP(BT99,#REF!,27,0)))</f>
        <v>#REF!</v>
      </c>
      <c r="BZ99" s="47" t="e">
        <f>IF(VLOOKUP(BT99,#REF!,22,0)=0,"",VLOOKUP(BT99,#REF!,22,0))</f>
        <v>#REF!</v>
      </c>
      <c r="CA99" s="47" t="e">
        <f ca="1">IF(BU99=0,RANDBETWEEN(VLOOKUP(BT99,#REF!,39,0),VLOOKUP(BT99,#REF!,40,0)),RANDBETWEEN(VLOOKUP(BU99,$CO:$CR,4,0)/100*VLOOKUP(BT99,#REF!,39,0),VLOOKUP(BU99,$CO:$CR,4,0)/100*VLOOKUP(BT99,#REF!,40,0)))</f>
        <v>#REF!</v>
      </c>
      <c r="CB99" s="47" t="e">
        <f>IF(VLOOKUP(BT99,#REF!,35,0)=0,"",VLOOKUP(BT99,#REF!,35,0))</f>
        <v>#REF!</v>
      </c>
      <c r="CO99" s="50">
        <v>94</v>
      </c>
      <c r="CP99" s="50">
        <v>884</v>
      </c>
      <c r="CQ99" s="50">
        <v>2504</v>
      </c>
      <c r="CR99" s="50">
        <v>5413</v>
      </c>
      <c r="CS99" s="52">
        <v>564</v>
      </c>
      <c r="CT99" s="52">
        <v>1040</v>
      </c>
      <c r="CU99" s="52">
        <v>1539</v>
      </c>
      <c r="CY99" t="str">
        <f t="shared" si="46"/>
        <v>单</v>
      </c>
      <c r="CZ99" s="47">
        <v>20178</v>
      </c>
      <c r="DA99" s="34">
        <v>1</v>
      </c>
      <c r="DB99" s="54">
        <v>10</v>
      </c>
      <c r="DC99" s="34">
        <v>2</v>
      </c>
      <c r="DD99" s="34">
        <v>15</v>
      </c>
      <c r="DE99" s="34"/>
      <c r="DF99" s="34"/>
      <c r="DG99" s="34">
        <v>75</v>
      </c>
      <c r="DH99" s="34">
        <v>75</v>
      </c>
      <c r="DI99" t="s">
        <v>3783</v>
      </c>
      <c r="DJ99" t="s">
        <v>3974</v>
      </c>
      <c r="DK99" t="s">
        <v>3785</v>
      </c>
      <c r="DL99" s="9">
        <f t="shared" si="47"/>
        <v>2</v>
      </c>
      <c r="DM99" s="9">
        <f t="shared" si="48"/>
        <v>15</v>
      </c>
      <c r="DN99" s="9">
        <v>37</v>
      </c>
      <c r="DO99" s="9">
        <v>37</v>
      </c>
      <c r="DP99">
        <f t="shared" si="49"/>
        <v>7.65</v>
      </c>
    </row>
    <row r="100" spans="11:120" x14ac:dyDescent="0.2">
      <c r="K100" s="9"/>
      <c r="Y100" s="34">
        <v>96</v>
      </c>
      <c r="Z100" s="34">
        <f>ROUND(VLOOKUP(Y100,刀数数据支持!$L:$Q,3,0)*(1+((Y100-1)*2+25)*0.01*(1+AB100/100)),2)</f>
        <v>590.44000000000005</v>
      </c>
      <c r="AA100" s="34">
        <f>ROUND(VLOOKUP(Y100,刀数数据支持!$L:$Q,6,0)*(1+((Y100-1)*5+25)*0.01)*(1+AB100/100),2)</f>
        <v>2450.4699999999998</v>
      </c>
      <c r="AB100" s="34">
        <f>VLOOKUP(Y100,刀数数据支持!$S:$T,2,0)</f>
        <v>224.6</v>
      </c>
      <c r="AC100" s="34">
        <f>ROUND(刀数数据支持!AY98*(1-刀数数据支持!BA98/100),1)</f>
        <v>24506</v>
      </c>
      <c r="AD100" s="34" t="str">
        <f>刀数数据支持!AZ98</f>
        <v>火蛇Lv34</v>
      </c>
      <c r="AE100" s="34">
        <f t="shared" si="44"/>
        <v>1040.3900000000001</v>
      </c>
      <c r="AF100" s="34">
        <f t="shared" si="45"/>
        <v>1.77</v>
      </c>
      <c r="AG100" s="34">
        <f t="shared" si="50"/>
        <v>0.43</v>
      </c>
      <c r="AH100" s="34">
        <f t="shared" si="51"/>
        <v>0.04</v>
      </c>
      <c r="BS100" s="34" t="e">
        <f>#REF!</f>
        <v>#REF!</v>
      </c>
      <c r="BT100" s="34" t="e">
        <f>#REF!</f>
        <v>#REF!</v>
      </c>
      <c r="BU100" s="34">
        <v>0</v>
      </c>
      <c r="BV100" s="34" t="e">
        <f>IF(VLOOKUP(BT100,#REF!,8,0)=0,"",VLOOKUP(BT100,#REF!,8,0))</f>
        <v>#REF!</v>
      </c>
      <c r="BW100" s="47" t="e">
        <f ca="1">IF(BU100=0,RANDBETWEEN(VLOOKUP(BT100,#REF!,13,0),VLOOKUP(BT100,#REF!,14,0)),RANDBETWEEN(VLOOKUP(BU100,$CO:$CR,2,0)/100*VLOOKUP(BT100,#REF!,13,0),VLOOKUP(BU100,$CO:$CR,2,0)/100*VLOOKUP(BT100,#REF!,14,0)))</f>
        <v>#REF!</v>
      </c>
      <c r="BX100" s="47" t="e">
        <f>VLOOKUP(BT100,#REF!,9,0)</f>
        <v>#REF!</v>
      </c>
      <c r="BY100" s="47" t="e">
        <f ca="1">IF(BU100=0,RANDBETWEEN(VLOOKUP(BT100,#REF!,26,0),VLOOKUP(BT100,#REF!,27,0)),RANDBETWEEN(VLOOKUP(BU100,$CO:$CR,3,0)/100*VLOOKUP(BT100,#REF!,26,0),VLOOKUP(BU100,$CO:$CR,3,0)/100*VLOOKUP(BT100,#REF!,27,0)))</f>
        <v>#REF!</v>
      </c>
      <c r="BZ100" s="47" t="e">
        <f>IF(VLOOKUP(BT100,#REF!,22,0)=0,"",VLOOKUP(BT100,#REF!,22,0))</f>
        <v>#REF!</v>
      </c>
      <c r="CA100" s="47" t="e">
        <f ca="1">IF(BU100=0,RANDBETWEEN(VLOOKUP(BT100,#REF!,39,0),VLOOKUP(BT100,#REF!,40,0)),RANDBETWEEN(VLOOKUP(BU100,$CO:$CR,4,0)/100*VLOOKUP(BT100,#REF!,39,0),VLOOKUP(BU100,$CO:$CR,4,0)/100*VLOOKUP(BT100,#REF!,40,0)))</f>
        <v>#REF!</v>
      </c>
      <c r="CB100" s="47" t="e">
        <f>IF(VLOOKUP(BT100,#REF!,35,0)=0,"",VLOOKUP(BT100,#REF!,35,0))</f>
        <v>#REF!</v>
      </c>
      <c r="CO100" s="50">
        <v>95</v>
      </c>
      <c r="CP100" s="50">
        <v>900</v>
      </c>
      <c r="CQ100" s="50">
        <v>2539</v>
      </c>
      <c r="CR100" s="50">
        <v>5499</v>
      </c>
      <c r="CS100" s="52">
        <v>570</v>
      </c>
      <c r="CT100" s="52">
        <v>1051</v>
      </c>
      <c r="CU100" s="52">
        <v>1553</v>
      </c>
      <c r="CY100" t="str">
        <f t="shared" si="46"/>
        <v>单</v>
      </c>
      <c r="CZ100" s="47">
        <v>20179</v>
      </c>
      <c r="DA100" s="34">
        <v>1</v>
      </c>
      <c r="DB100" s="54"/>
      <c r="DC100" s="34">
        <v>7</v>
      </c>
      <c r="DD100" s="34">
        <v>15</v>
      </c>
      <c r="DE100" s="34"/>
      <c r="DF100" s="34"/>
      <c r="DG100" s="34">
        <v>75</v>
      </c>
      <c r="DH100" s="34">
        <v>75</v>
      </c>
      <c r="DI100" t="s">
        <v>3783</v>
      </c>
      <c r="DJ100" t="s">
        <v>3975</v>
      </c>
      <c r="DK100" t="s">
        <v>3785</v>
      </c>
      <c r="DL100" s="9">
        <f t="shared" si="47"/>
        <v>7</v>
      </c>
      <c r="DM100" s="9">
        <f t="shared" si="48"/>
        <v>15</v>
      </c>
      <c r="DN100" s="9">
        <v>42</v>
      </c>
      <c r="DO100" s="9">
        <v>42</v>
      </c>
      <c r="DP100">
        <f t="shared" si="49"/>
        <v>11</v>
      </c>
    </row>
    <row r="101" spans="11:120" x14ac:dyDescent="0.2">
      <c r="K101" s="9"/>
      <c r="Y101" s="34">
        <v>97</v>
      </c>
      <c r="Z101" s="34">
        <f>ROUND(VLOOKUP(Y101,刀数数据支持!$L:$Q,3,0)*(1+((Y101-1)*2+25)*0.01*(1+AB101/100)),2)</f>
        <v>603.04999999999995</v>
      </c>
      <c r="AA101" s="34">
        <f>ROUND(VLOOKUP(Y101,刀数数据支持!$L:$Q,6,0)*(1+((Y101-1)*5+25)*0.01)*(1+AB101/100),2)</f>
        <v>2514.61</v>
      </c>
      <c r="AB101" s="34">
        <f>VLOOKUP(Y101,刀数数据支持!$S:$T,2,0)</f>
        <v>226.94</v>
      </c>
      <c r="AC101" s="34">
        <f>ROUND(刀数数据支持!AY99*(1-刀数数据支持!BA99/100),1)</f>
        <v>21671.9</v>
      </c>
      <c r="AD101" s="34" t="str">
        <f>刀数数据支持!AZ99</f>
        <v>火蛇Lv34</v>
      </c>
      <c r="AE101" s="34">
        <f t="shared" si="44"/>
        <v>1058.57</v>
      </c>
      <c r="AF101" s="34">
        <f t="shared" ref="AF101:AF103" si="52">ROUNDUP(AE101/Z101,2)</f>
        <v>1.76</v>
      </c>
      <c r="AG101" s="34">
        <f t="shared" si="50"/>
        <v>0.43</v>
      </c>
      <c r="AH101" s="34">
        <f t="shared" si="51"/>
        <v>0.05</v>
      </c>
      <c r="BS101" s="34" t="e">
        <f>#REF!</f>
        <v>#REF!</v>
      </c>
      <c r="BT101" s="34" t="e">
        <f>#REF!</f>
        <v>#REF!</v>
      </c>
      <c r="BU101" s="34">
        <v>0</v>
      </c>
      <c r="BV101" s="34" t="e">
        <f>IF(VLOOKUP(BT101,#REF!,8,0)=0,"",VLOOKUP(BT101,#REF!,8,0))</f>
        <v>#REF!</v>
      </c>
      <c r="BW101" s="47" t="e">
        <f ca="1">IF(BU101=0,RANDBETWEEN(VLOOKUP(BT101,#REF!,13,0),VLOOKUP(BT101,#REF!,14,0)),RANDBETWEEN(VLOOKUP(BU101,$CO:$CR,2,0)/100*VLOOKUP(BT101,#REF!,13,0),VLOOKUP(BU101,$CO:$CR,2,0)/100*VLOOKUP(BT101,#REF!,14,0)))</f>
        <v>#REF!</v>
      </c>
      <c r="BX101" s="47" t="e">
        <f>VLOOKUP(BT101,#REF!,9,0)</f>
        <v>#REF!</v>
      </c>
      <c r="BY101" s="47" t="e">
        <f ca="1">IF(BU101=0,RANDBETWEEN(VLOOKUP(BT101,#REF!,26,0),VLOOKUP(BT101,#REF!,27,0)),RANDBETWEEN(VLOOKUP(BU101,$CO:$CR,3,0)/100*VLOOKUP(BT101,#REF!,26,0),VLOOKUP(BU101,$CO:$CR,3,0)/100*VLOOKUP(BT101,#REF!,27,0)))</f>
        <v>#REF!</v>
      </c>
      <c r="BZ101" s="47" t="e">
        <f>IF(VLOOKUP(BT101,#REF!,22,0)=0,"",VLOOKUP(BT101,#REF!,22,0))</f>
        <v>#REF!</v>
      </c>
      <c r="CA101" s="47" t="e">
        <f ca="1">IF(BU101=0,RANDBETWEEN(VLOOKUP(BT101,#REF!,39,0),VLOOKUP(BT101,#REF!,40,0)),RANDBETWEEN(VLOOKUP(BU101,$CO:$CR,4,0)/100*VLOOKUP(BT101,#REF!,39,0),VLOOKUP(BU101,$CO:$CR,4,0)/100*VLOOKUP(BT101,#REF!,40,0)))</f>
        <v>#REF!</v>
      </c>
      <c r="CB101" s="47" t="e">
        <f>IF(VLOOKUP(BT101,#REF!,35,0)=0,"",VLOOKUP(BT101,#REF!,35,0))</f>
        <v>#REF!</v>
      </c>
      <c r="CO101" s="50">
        <v>96</v>
      </c>
      <c r="CP101" s="50">
        <v>916</v>
      </c>
      <c r="CQ101" s="50">
        <v>2573</v>
      </c>
      <c r="CR101" s="50">
        <v>5585</v>
      </c>
      <c r="CS101" s="52">
        <v>576</v>
      </c>
      <c r="CT101" s="52">
        <v>1061</v>
      </c>
      <c r="CU101" s="52">
        <v>1568</v>
      </c>
      <c r="CY101" t="str">
        <f t="shared" si="46"/>
        <v>单</v>
      </c>
      <c r="CZ101" s="47">
        <v>20180</v>
      </c>
      <c r="DA101" s="34">
        <v>1</v>
      </c>
      <c r="DB101" s="54">
        <v>-10</v>
      </c>
      <c r="DC101" s="34">
        <v>8</v>
      </c>
      <c r="DD101" s="34">
        <v>15</v>
      </c>
      <c r="DE101" s="34"/>
      <c r="DF101" s="34"/>
      <c r="DG101" s="34">
        <v>75</v>
      </c>
      <c r="DH101" s="34">
        <v>75</v>
      </c>
      <c r="DI101" t="s">
        <v>3783</v>
      </c>
      <c r="DJ101" t="s">
        <v>3976</v>
      </c>
      <c r="DK101" t="s">
        <v>3785</v>
      </c>
      <c r="DL101" s="9">
        <f t="shared" si="47"/>
        <v>8</v>
      </c>
      <c r="DM101" s="9">
        <f t="shared" si="48"/>
        <v>15</v>
      </c>
      <c r="DN101" s="9">
        <v>46</v>
      </c>
      <c r="DO101" s="9">
        <v>46</v>
      </c>
      <c r="DP101">
        <f t="shared" si="49"/>
        <v>12.65</v>
      </c>
    </row>
    <row r="102" spans="11:120" x14ac:dyDescent="0.2">
      <c r="K102" s="9"/>
      <c r="Y102" s="34">
        <v>98</v>
      </c>
      <c r="Z102" s="34">
        <f>ROUND(VLOOKUP(Y102,刀数数据支持!$L:$Q,3,0)*(1+((Y102-1)*2+25)*0.01*(1+AB102/100)),2)</f>
        <v>615.84</v>
      </c>
      <c r="AA102" s="34">
        <f>ROUND(VLOOKUP(Y102,刀数数据支持!$L:$Q,6,0)*(1+((Y102-1)*5+25)*0.01)*(1+AB102/100),2)</f>
        <v>2579.86</v>
      </c>
      <c r="AB102" s="34">
        <f>VLOOKUP(Y102,刀数数据支持!$S:$T,2,0)</f>
        <v>229.28</v>
      </c>
      <c r="AC102" s="34">
        <f>ROUND(刀数数据支持!AY100*(1-刀数数据支持!BA100/100),1)</f>
        <v>21671.9</v>
      </c>
      <c r="AD102" s="34" t="str">
        <f>刀数数据支持!AZ100</f>
        <v>火蛇Lv34</v>
      </c>
      <c r="AE102" s="34">
        <f t="shared" si="44"/>
        <v>1076.74</v>
      </c>
      <c r="AF102" s="34">
        <f t="shared" si="52"/>
        <v>1.75</v>
      </c>
      <c r="AG102" s="34">
        <f t="shared" si="50"/>
        <v>0.42</v>
      </c>
      <c r="AH102" s="34">
        <f t="shared" si="51"/>
        <v>0.05</v>
      </c>
      <c r="BS102" s="34" t="e">
        <f>#REF!</f>
        <v>#REF!</v>
      </c>
      <c r="BT102" s="34" t="e">
        <f>#REF!</f>
        <v>#REF!</v>
      </c>
      <c r="BU102" s="34">
        <v>0</v>
      </c>
      <c r="BV102" s="34" t="e">
        <f>IF(VLOOKUP(BT102,#REF!,8,0)=0,"",VLOOKUP(BT102,#REF!,8,0))</f>
        <v>#REF!</v>
      </c>
      <c r="BW102" s="47" t="e">
        <f ca="1">IF(BU102=0,RANDBETWEEN(VLOOKUP(BT102,#REF!,13,0),VLOOKUP(BT102,#REF!,14,0)),RANDBETWEEN(VLOOKUP(BU102,$CO:$CR,2,0)/100*VLOOKUP(BT102,#REF!,13,0),VLOOKUP(BU102,$CO:$CR,2,0)/100*VLOOKUP(BT102,#REF!,14,0)))</f>
        <v>#REF!</v>
      </c>
      <c r="BX102" s="47" t="e">
        <f>VLOOKUP(BT102,#REF!,9,0)</f>
        <v>#REF!</v>
      </c>
      <c r="BY102" s="47" t="e">
        <f ca="1">IF(BU102=0,RANDBETWEEN(VLOOKUP(BT102,#REF!,26,0),VLOOKUP(BT102,#REF!,27,0)),RANDBETWEEN(VLOOKUP(BU102,$CO:$CR,3,0)/100*VLOOKUP(BT102,#REF!,26,0),VLOOKUP(BU102,$CO:$CR,3,0)/100*VLOOKUP(BT102,#REF!,27,0)))</f>
        <v>#REF!</v>
      </c>
      <c r="BZ102" s="47" t="e">
        <f>IF(VLOOKUP(BT102,#REF!,22,0)=0,"",VLOOKUP(BT102,#REF!,22,0))</f>
        <v>#REF!</v>
      </c>
      <c r="CA102" s="47" t="e">
        <f ca="1">IF(BU102=0,RANDBETWEEN(VLOOKUP(BT102,#REF!,39,0),VLOOKUP(BT102,#REF!,40,0)),RANDBETWEEN(VLOOKUP(BU102,$CO:$CR,4,0)/100*VLOOKUP(BT102,#REF!,39,0),VLOOKUP(BU102,$CO:$CR,4,0)/100*VLOOKUP(BT102,#REF!,40,0)))</f>
        <v>#REF!</v>
      </c>
      <c r="CB102" s="47" t="e">
        <f>IF(VLOOKUP(BT102,#REF!,35,0)=0,"",VLOOKUP(BT102,#REF!,35,0))</f>
        <v>#REF!</v>
      </c>
      <c r="CO102" s="50">
        <v>97</v>
      </c>
      <c r="CP102" s="50">
        <v>932</v>
      </c>
      <c r="CQ102" s="50">
        <v>2607</v>
      </c>
      <c r="CR102" s="50">
        <v>5672</v>
      </c>
      <c r="CS102" s="52">
        <v>582</v>
      </c>
      <c r="CT102" s="52">
        <v>1071</v>
      </c>
      <c r="CU102" s="52">
        <v>1583</v>
      </c>
      <c r="CY102" t="str">
        <f t="shared" si="46"/>
        <v>单</v>
      </c>
      <c r="CZ102" s="47">
        <v>20181</v>
      </c>
      <c r="DA102" s="34">
        <v>1</v>
      </c>
      <c r="DB102" s="54">
        <v>-20</v>
      </c>
      <c r="DC102" s="34">
        <v>10</v>
      </c>
      <c r="DD102" s="34">
        <v>14</v>
      </c>
      <c r="DE102" s="34"/>
      <c r="DF102" s="34"/>
      <c r="DG102" s="34">
        <v>75</v>
      </c>
      <c r="DH102" s="34">
        <v>75</v>
      </c>
      <c r="DI102" t="s">
        <v>3783</v>
      </c>
      <c r="DJ102" t="s">
        <v>3977</v>
      </c>
      <c r="DK102" t="s">
        <v>3785</v>
      </c>
      <c r="DL102" s="9">
        <f t="shared" si="47"/>
        <v>10</v>
      </c>
      <c r="DM102" s="9">
        <f t="shared" si="48"/>
        <v>14</v>
      </c>
      <c r="DN102" s="9">
        <v>50</v>
      </c>
      <c r="DO102" s="9">
        <v>50</v>
      </c>
      <c r="DP102">
        <f t="shared" si="49"/>
        <v>14.399999999999999</v>
      </c>
    </row>
    <row r="103" spans="11:120" x14ac:dyDescent="0.2">
      <c r="K103" s="9"/>
      <c r="Y103" s="34">
        <v>99</v>
      </c>
      <c r="Z103" s="34">
        <f>ROUND(VLOOKUP(Y103,刀数数据支持!$L:$Q,3,0)*(1+((Y103-1)*2+25)*0.01*(1+AB103/100)),2)</f>
        <v>628.82000000000005</v>
      </c>
      <c r="AA103" s="34">
        <f>ROUND(VLOOKUP(Y103,刀数数据支持!$L:$Q,6,0)*(1+((Y103-1)*5+25)*0.01)*(1+AB103/100),2)</f>
        <v>2646.2</v>
      </c>
      <c r="AB103" s="34">
        <f>VLOOKUP(Y103,刀数数据支持!$S:$T,2,0)</f>
        <v>231.62</v>
      </c>
      <c r="AC103" s="34">
        <f>ROUND(刀数数据支持!AY101*(1-刀数数据支持!BA101/100),1)</f>
        <v>18059.900000000001</v>
      </c>
      <c r="AD103" s="34" t="str">
        <f>刀数数据支持!AZ101</f>
        <v>火蛇Lv34</v>
      </c>
      <c r="AE103" s="34">
        <f t="shared" si="44"/>
        <v>1094.9100000000001</v>
      </c>
      <c r="AF103" s="34">
        <f t="shared" si="52"/>
        <v>1.75</v>
      </c>
      <c r="AG103" s="34">
        <f t="shared" si="50"/>
        <v>0.42</v>
      </c>
      <c r="AH103" s="34">
        <f t="shared" si="51"/>
        <v>0.06</v>
      </c>
      <c r="BS103" s="34" t="e">
        <f>#REF!</f>
        <v>#REF!</v>
      </c>
      <c r="BT103" s="34" t="e">
        <f>#REF!</f>
        <v>#REF!</v>
      </c>
      <c r="BU103" s="34">
        <v>0</v>
      </c>
      <c r="BV103" s="34" t="e">
        <f>IF(VLOOKUP(BT103,#REF!,8,0)=0,"",VLOOKUP(BT103,#REF!,8,0))</f>
        <v>#REF!</v>
      </c>
      <c r="BW103" s="47" t="e">
        <f ca="1">IF(BU103=0,RANDBETWEEN(VLOOKUP(BT103,#REF!,13,0),VLOOKUP(BT103,#REF!,14,0)),RANDBETWEEN(VLOOKUP(BU103,$CO:$CR,2,0)/100*VLOOKUP(BT103,#REF!,13,0),VLOOKUP(BU103,$CO:$CR,2,0)/100*VLOOKUP(BT103,#REF!,14,0)))</f>
        <v>#REF!</v>
      </c>
      <c r="BX103" s="47" t="e">
        <f>VLOOKUP(BT103,#REF!,9,0)</f>
        <v>#REF!</v>
      </c>
      <c r="BY103" s="47" t="e">
        <f ca="1">IF(BU103=0,RANDBETWEEN(VLOOKUP(BT103,#REF!,26,0),VLOOKUP(BT103,#REF!,27,0)),RANDBETWEEN(VLOOKUP(BU103,$CO:$CR,3,0)/100*VLOOKUP(BT103,#REF!,26,0),VLOOKUP(BU103,$CO:$CR,3,0)/100*VLOOKUP(BT103,#REF!,27,0)))</f>
        <v>#REF!</v>
      </c>
      <c r="BZ103" s="47" t="e">
        <f>IF(VLOOKUP(BT103,#REF!,22,0)=0,"",VLOOKUP(BT103,#REF!,22,0))</f>
        <v>#REF!</v>
      </c>
      <c r="CA103" s="47" t="e">
        <f ca="1">IF(BU103=0,RANDBETWEEN(VLOOKUP(BT103,#REF!,39,0),VLOOKUP(BT103,#REF!,40,0)),RANDBETWEEN(VLOOKUP(BU103,$CO:$CR,4,0)/100*VLOOKUP(BT103,#REF!,39,0),VLOOKUP(BU103,$CO:$CR,4,0)/100*VLOOKUP(BT103,#REF!,40,0)))</f>
        <v>#REF!</v>
      </c>
      <c r="CB103" s="47" t="e">
        <f>IF(VLOOKUP(BT103,#REF!,35,0)=0,"",VLOOKUP(BT103,#REF!,35,0))</f>
        <v>#REF!</v>
      </c>
      <c r="CO103" s="50">
        <v>98</v>
      </c>
      <c r="CP103" s="50">
        <v>948</v>
      </c>
      <c r="CQ103" s="50">
        <v>2641</v>
      </c>
      <c r="CR103" s="50">
        <v>5758</v>
      </c>
      <c r="CS103" s="52">
        <v>588</v>
      </c>
      <c r="CT103" s="52">
        <v>1081</v>
      </c>
      <c r="CU103" s="52">
        <v>1598</v>
      </c>
      <c r="CY103" t="str">
        <f t="shared" si="46"/>
        <v>单</v>
      </c>
      <c r="CZ103" s="47">
        <v>20182</v>
      </c>
      <c r="DA103" s="34">
        <v>1</v>
      </c>
      <c r="DB103" s="54">
        <v>-10</v>
      </c>
      <c r="DC103" s="34">
        <v>9</v>
      </c>
      <c r="DD103" s="34">
        <v>17</v>
      </c>
      <c r="DE103" s="34"/>
      <c r="DF103" s="34"/>
      <c r="DG103" s="34">
        <v>75</v>
      </c>
      <c r="DH103" s="34">
        <v>75</v>
      </c>
      <c r="DI103" t="s">
        <v>3783</v>
      </c>
      <c r="DJ103" t="s">
        <v>3978</v>
      </c>
      <c r="DK103" t="s">
        <v>3785</v>
      </c>
      <c r="DL103" s="9">
        <f t="shared" si="47"/>
        <v>9</v>
      </c>
      <c r="DM103" s="9">
        <f t="shared" si="48"/>
        <v>17</v>
      </c>
      <c r="DN103" s="9">
        <v>55</v>
      </c>
      <c r="DO103" s="9">
        <v>55</v>
      </c>
      <c r="DP103">
        <f t="shared" si="49"/>
        <v>14.3</v>
      </c>
    </row>
    <row r="104" spans="11:120" x14ac:dyDescent="0.2">
      <c r="K104" s="9"/>
      <c r="BS104" s="34" t="e">
        <f>#REF!</f>
        <v>#REF!</v>
      </c>
      <c r="BT104" s="34" t="e">
        <f>#REF!</f>
        <v>#REF!</v>
      </c>
      <c r="BU104" s="34">
        <v>0</v>
      </c>
      <c r="BV104" s="34" t="e">
        <f>IF(VLOOKUP(BT104,#REF!,8,0)=0,"",VLOOKUP(BT104,#REF!,8,0))</f>
        <v>#REF!</v>
      </c>
      <c r="BW104" s="47" t="e">
        <f ca="1">IF(BU104=0,RANDBETWEEN(VLOOKUP(BT104,#REF!,13,0),VLOOKUP(BT104,#REF!,14,0)),RANDBETWEEN(VLOOKUP(BU104,$CO:$CR,2,0)/100*VLOOKUP(BT104,#REF!,13,0),VLOOKUP(BU104,$CO:$CR,2,0)/100*VLOOKUP(BT104,#REF!,14,0)))</f>
        <v>#REF!</v>
      </c>
      <c r="BX104" s="47" t="e">
        <f>VLOOKUP(BT104,#REF!,9,0)</f>
        <v>#REF!</v>
      </c>
      <c r="BY104" s="47" t="e">
        <f ca="1">IF(BU104=0,RANDBETWEEN(VLOOKUP(BT104,#REF!,26,0),VLOOKUP(BT104,#REF!,27,0)),RANDBETWEEN(VLOOKUP(BU104,$CO:$CR,3,0)/100*VLOOKUP(BT104,#REF!,26,0),VLOOKUP(BU104,$CO:$CR,3,0)/100*VLOOKUP(BT104,#REF!,27,0)))</f>
        <v>#REF!</v>
      </c>
      <c r="BZ104" s="47" t="e">
        <f>IF(VLOOKUP(BT104,#REF!,22,0)=0,"",VLOOKUP(BT104,#REF!,22,0))</f>
        <v>#REF!</v>
      </c>
      <c r="CA104" s="47" t="e">
        <f ca="1">IF(BU104=0,RANDBETWEEN(VLOOKUP(BT104,#REF!,39,0),VLOOKUP(BT104,#REF!,40,0)),RANDBETWEEN(VLOOKUP(BU104,$CO:$CR,4,0)/100*VLOOKUP(BT104,#REF!,39,0),VLOOKUP(BU104,$CO:$CR,4,0)/100*VLOOKUP(BT104,#REF!,40,0)))</f>
        <v>#REF!</v>
      </c>
      <c r="CB104" s="47" t="e">
        <f>IF(VLOOKUP(BT104,#REF!,35,0)=0,"",VLOOKUP(BT104,#REF!,35,0))</f>
        <v>#REF!</v>
      </c>
      <c r="CO104" s="50">
        <v>99</v>
      </c>
      <c r="CP104" s="50">
        <v>964</v>
      </c>
      <c r="CQ104" s="50">
        <v>2675</v>
      </c>
      <c r="CR104" s="50">
        <v>5844</v>
      </c>
      <c r="CS104" s="52">
        <v>594</v>
      </c>
      <c r="CT104" s="52">
        <v>1091</v>
      </c>
      <c r="CU104" s="52">
        <v>1613</v>
      </c>
      <c r="CY104" t="str">
        <f t="shared" si="46"/>
        <v>双手</v>
      </c>
      <c r="CZ104" s="47">
        <v>20085</v>
      </c>
      <c r="DA104" s="34">
        <v>6</v>
      </c>
      <c r="DB104" s="54"/>
      <c r="DC104" s="34">
        <v>0</v>
      </c>
      <c r="DD104" s="34">
        <v>1</v>
      </c>
      <c r="DE104" s="34"/>
      <c r="DF104" s="34"/>
      <c r="DG104" s="34"/>
      <c r="DH104" s="34"/>
      <c r="DI104" t="s">
        <v>3961</v>
      </c>
      <c r="DJ104" t="s">
        <v>3979</v>
      </c>
      <c r="DK104" t="s">
        <v>3785</v>
      </c>
      <c r="DL104" s="9">
        <f t="shared" si="47"/>
        <v>0</v>
      </c>
      <c r="DM104" s="9">
        <f t="shared" si="48"/>
        <v>1</v>
      </c>
      <c r="DP104">
        <f t="shared" si="49"/>
        <v>0.5</v>
      </c>
    </row>
    <row r="105" spans="11:120" x14ac:dyDescent="0.2">
      <c r="K105" s="9"/>
      <c r="BS105" s="34" t="e">
        <f>#REF!</f>
        <v>#REF!</v>
      </c>
      <c r="BT105" s="34" t="e">
        <f>#REF!</f>
        <v>#REF!</v>
      </c>
      <c r="BU105" s="34">
        <v>0</v>
      </c>
      <c r="BV105" s="34" t="e">
        <f>IF(VLOOKUP(BT105,#REF!,8,0)=0,"",VLOOKUP(BT105,#REF!,8,0))</f>
        <v>#REF!</v>
      </c>
      <c r="BW105" s="47" t="e">
        <f ca="1">IF(BU105=0,RANDBETWEEN(VLOOKUP(BT105,#REF!,13,0),VLOOKUP(BT105,#REF!,14,0)),RANDBETWEEN(VLOOKUP(BU105,$CO:$CR,2,0)/100*VLOOKUP(BT105,#REF!,13,0),VLOOKUP(BU105,$CO:$CR,2,0)/100*VLOOKUP(BT105,#REF!,14,0)))</f>
        <v>#REF!</v>
      </c>
      <c r="BX105" s="47" t="e">
        <f>VLOOKUP(BT105,#REF!,9,0)</f>
        <v>#REF!</v>
      </c>
      <c r="BY105" s="47" t="e">
        <f ca="1">IF(BU105=0,RANDBETWEEN(VLOOKUP(BT105,#REF!,26,0),VLOOKUP(BT105,#REF!,27,0)),RANDBETWEEN(VLOOKUP(BU105,$CO:$CR,3,0)/100*VLOOKUP(BT105,#REF!,26,0),VLOOKUP(BU105,$CO:$CR,3,0)/100*VLOOKUP(BT105,#REF!,27,0)))</f>
        <v>#REF!</v>
      </c>
      <c r="BZ105" s="47" t="e">
        <f>IF(VLOOKUP(BT105,#REF!,22,0)=0,"",VLOOKUP(BT105,#REF!,22,0))</f>
        <v>#REF!</v>
      </c>
      <c r="CA105" s="47" t="e">
        <f ca="1">IF(BU105=0,RANDBETWEEN(VLOOKUP(BT105,#REF!,39,0),VLOOKUP(BT105,#REF!,40,0)),RANDBETWEEN(VLOOKUP(BU105,$CO:$CR,4,0)/100*VLOOKUP(BT105,#REF!,39,0),VLOOKUP(BU105,$CO:$CR,4,0)/100*VLOOKUP(BT105,#REF!,40,0)))</f>
        <v>#REF!</v>
      </c>
      <c r="CB105" s="47" t="e">
        <f>IF(VLOOKUP(BT105,#REF!,35,0)=0,"",VLOOKUP(BT105,#REF!,35,0))</f>
        <v>#REF!</v>
      </c>
      <c r="CO105" s="50">
        <v>100</v>
      </c>
      <c r="CP105" s="50">
        <v>982</v>
      </c>
      <c r="CQ105" s="50">
        <v>2709</v>
      </c>
      <c r="CR105" s="50">
        <v>5930</v>
      </c>
      <c r="CS105" s="52">
        <v>600</v>
      </c>
      <c r="CT105" s="52">
        <v>1102</v>
      </c>
      <c r="CU105" s="52">
        <v>1628</v>
      </c>
      <c r="CY105" t="str">
        <f t="shared" si="46"/>
        <v>单</v>
      </c>
      <c r="CZ105" s="47">
        <v>20279</v>
      </c>
      <c r="DA105" s="34">
        <v>8</v>
      </c>
      <c r="DB105" s="54"/>
      <c r="DC105" s="34">
        <v>4</v>
      </c>
      <c r="DD105" s="34">
        <v>10</v>
      </c>
      <c r="DE105" s="34"/>
      <c r="DF105" s="34"/>
      <c r="DG105" s="34">
        <v>100</v>
      </c>
      <c r="DH105" s="34"/>
      <c r="DI105" t="s">
        <v>3783</v>
      </c>
      <c r="DJ105" t="s">
        <v>3980</v>
      </c>
      <c r="DK105" t="s">
        <v>3785</v>
      </c>
      <c r="DL105" s="9">
        <f t="shared" si="47"/>
        <v>4</v>
      </c>
      <c r="DM105" s="9">
        <f t="shared" si="48"/>
        <v>10</v>
      </c>
      <c r="DP105">
        <f t="shared" si="49"/>
        <v>7</v>
      </c>
    </row>
    <row r="106" spans="11:120" x14ac:dyDescent="0.2">
      <c r="K106" s="9"/>
      <c r="BS106" s="34" t="e">
        <f>#REF!</f>
        <v>#REF!</v>
      </c>
      <c r="BT106" s="34" t="e">
        <f>#REF!</f>
        <v>#REF!</v>
      </c>
      <c r="BU106" s="34">
        <v>0</v>
      </c>
      <c r="BV106" s="34" t="e">
        <f>IF(VLOOKUP(BT106,#REF!,8,0)=0,"",VLOOKUP(BT106,#REF!,8,0))</f>
        <v>#REF!</v>
      </c>
      <c r="BW106" s="47" t="e">
        <f ca="1">IF(BU106=0,RANDBETWEEN(VLOOKUP(BT106,#REF!,13,0),VLOOKUP(BT106,#REF!,14,0)),RANDBETWEEN(VLOOKUP(BU106,$CO:$CR,2,0)/100*VLOOKUP(BT106,#REF!,13,0),VLOOKUP(BU106,$CO:$CR,2,0)/100*VLOOKUP(BT106,#REF!,14,0)))</f>
        <v>#REF!</v>
      </c>
      <c r="BX106" s="47" t="e">
        <f>VLOOKUP(BT106,#REF!,9,0)</f>
        <v>#REF!</v>
      </c>
      <c r="BY106" s="47" t="e">
        <f ca="1">IF(BU106=0,RANDBETWEEN(VLOOKUP(BT106,#REF!,26,0),VLOOKUP(BT106,#REF!,27,0)),RANDBETWEEN(VLOOKUP(BU106,$CO:$CR,3,0)/100*VLOOKUP(BT106,#REF!,26,0),VLOOKUP(BU106,$CO:$CR,3,0)/100*VLOOKUP(BT106,#REF!,27,0)))</f>
        <v>#REF!</v>
      </c>
      <c r="BZ106" s="47" t="e">
        <f>IF(VLOOKUP(BT106,#REF!,22,0)=0,"",VLOOKUP(BT106,#REF!,22,0))</f>
        <v>#REF!</v>
      </c>
      <c r="CA106" s="47" t="e">
        <f ca="1">IF(BU106=0,RANDBETWEEN(VLOOKUP(BT106,#REF!,39,0),VLOOKUP(BT106,#REF!,40,0)),RANDBETWEEN(VLOOKUP(BU106,$CO:$CR,4,0)/100*VLOOKUP(BT106,#REF!,39,0),VLOOKUP(BU106,$CO:$CR,4,0)/100*VLOOKUP(BT106,#REF!,40,0)))</f>
        <v>#REF!</v>
      </c>
      <c r="CB106" s="47" t="e">
        <f>IF(VLOOKUP(BT106,#REF!,35,0)=0,"",VLOOKUP(BT106,#REF!,35,0))</f>
        <v>#REF!</v>
      </c>
      <c r="CO106" s="50">
        <v>101</v>
      </c>
      <c r="CP106" s="50">
        <v>999</v>
      </c>
      <c r="CQ106" s="50">
        <v>2744</v>
      </c>
      <c r="CR106" s="50">
        <v>6017</v>
      </c>
      <c r="CS106" s="52">
        <v>606</v>
      </c>
      <c r="CT106" s="52">
        <v>1112</v>
      </c>
      <c r="CU106" s="52">
        <v>1643</v>
      </c>
      <c r="CY106" t="str">
        <f t="shared" si="46"/>
        <v>双手</v>
      </c>
      <c r="CZ106" s="47">
        <v>20084</v>
      </c>
      <c r="DA106" s="34">
        <v>12</v>
      </c>
      <c r="DB106" s="54"/>
      <c r="DC106" s="34">
        <v>0</v>
      </c>
      <c r="DD106" s="34">
        <v>1</v>
      </c>
      <c r="DE106" s="34"/>
      <c r="DF106" s="34"/>
      <c r="DG106" s="34"/>
      <c r="DH106" s="34"/>
      <c r="DI106" t="s">
        <v>3961</v>
      </c>
      <c r="DJ106" t="s">
        <v>3981</v>
      </c>
      <c r="DK106" t="s">
        <v>3785</v>
      </c>
      <c r="DL106" s="9">
        <f t="shared" si="47"/>
        <v>0</v>
      </c>
      <c r="DM106" s="9">
        <f t="shared" si="48"/>
        <v>1</v>
      </c>
      <c r="DP106">
        <f t="shared" si="49"/>
        <v>0.5</v>
      </c>
    </row>
    <row r="107" spans="11:120" x14ac:dyDescent="0.2">
      <c r="K107" s="9"/>
      <c r="BS107" s="34" t="e">
        <f>#REF!</f>
        <v>#REF!</v>
      </c>
      <c r="BT107" s="34" t="e">
        <f>#REF!</f>
        <v>#REF!</v>
      </c>
      <c r="BU107" s="34">
        <v>0</v>
      </c>
      <c r="BV107" s="34" t="e">
        <f>IF(VLOOKUP(BT107,#REF!,8,0)=0,"",VLOOKUP(BT107,#REF!,8,0))</f>
        <v>#REF!</v>
      </c>
      <c r="BW107" s="47" t="e">
        <f ca="1">IF(BU107=0,RANDBETWEEN(VLOOKUP(BT107,#REF!,13,0),VLOOKUP(BT107,#REF!,14,0)),RANDBETWEEN(VLOOKUP(BU107,$CO:$CR,2,0)/100*VLOOKUP(BT107,#REF!,13,0),VLOOKUP(BU107,$CO:$CR,2,0)/100*VLOOKUP(BT107,#REF!,14,0)))</f>
        <v>#REF!</v>
      </c>
      <c r="BX107" s="47" t="e">
        <f>VLOOKUP(BT107,#REF!,9,0)</f>
        <v>#REF!</v>
      </c>
      <c r="BY107" s="47" t="e">
        <f ca="1">IF(BU107=0,RANDBETWEEN(VLOOKUP(BT107,#REF!,26,0),VLOOKUP(BT107,#REF!,27,0)),RANDBETWEEN(VLOOKUP(BU107,$CO:$CR,3,0)/100*VLOOKUP(BT107,#REF!,26,0),VLOOKUP(BU107,$CO:$CR,3,0)/100*VLOOKUP(BT107,#REF!,27,0)))</f>
        <v>#REF!</v>
      </c>
      <c r="BZ107" s="47" t="e">
        <f>IF(VLOOKUP(BT107,#REF!,22,0)=0,"",VLOOKUP(BT107,#REF!,22,0))</f>
        <v>#REF!</v>
      </c>
      <c r="CA107" s="47" t="e">
        <f ca="1">IF(BU107=0,RANDBETWEEN(VLOOKUP(BT107,#REF!,39,0),VLOOKUP(BT107,#REF!,40,0)),RANDBETWEEN(VLOOKUP(BU107,$CO:$CR,4,0)/100*VLOOKUP(BT107,#REF!,39,0),VLOOKUP(BU107,$CO:$CR,4,0)/100*VLOOKUP(BT107,#REF!,40,0)))</f>
        <v>#REF!</v>
      </c>
      <c r="CB107" s="47" t="e">
        <f>IF(VLOOKUP(BT107,#REF!,35,0)=0,"",VLOOKUP(BT107,#REF!,35,0))</f>
        <v>#REF!</v>
      </c>
      <c r="CO107" s="50">
        <v>102</v>
      </c>
      <c r="CP107" s="50">
        <v>1016</v>
      </c>
      <c r="CQ107" s="50">
        <v>2777</v>
      </c>
      <c r="CR107" s="50">
        <v>6103</v>
      </c>
      <c r="CS107" s="52">
        <v>612</v>
      </c>
      <c r="CT107" s="52">
        <v>1122</v>
      </c>
      <c r="CU107" s="52">
        <v>1658</v>
      </c>
      <c r="CY107" t="str">
        <f t="shared" si="46"/>
        <v>单</v>
      </c>
      <c r="CZ107" s="47">
        <v>20280</v>
      </c>
      <c r="DA107" s="34">
        <v>13</v>
      </c>
      <c r="DB107" s="54"/>
      <c r="DC107" s="34">
        <v>5</v>
      </c>
      <c r="DD107" s="34">
        <v>12</v>
      </c>
      <c r="DE107" s="34"/>
      <c r="DF107" s="34"/>
      <c r="DG107" s="34">
        <v>100</v>
      </c>
      <c r="DH107" s="34"/>
      <c r="DI107" t="s">
        <v>3783</v>
      </c>
      <c r="DJ107" t="s">
        <v>3982</v>
      </c>
      <c r="DK107" t="s">
        <v>3785</v>
      </c>
      <c r="DL107" s="9">
        <f t="shared" si="47"/>
        <v>5</v>
      </c>
      <c r="DM107" s="9">
        <f t="shared" si="48"/>
        <v>12</v>
      </c>
      <c r="DP107">
        <f t="shared" si="49"/>
        <v>8.5</v>
      </c>
    </row>
    <row r="108" spans="11:120" x14ac:dyDescent="0.2">
      <c r="K108" s="9"/>
      <c r="BS108" s="34" t="e">
        <f>#REF!</f>
        <v>#REF!</v>
      </c>
      <c r="BT108" s="34" t="e">
        <f>#REF!</f>
        <v>#REF!</v>
      </c>
      <c r="BU108" s="34">
        <v>0</v>
      </c>
      <c r="BV108" s="34" t="e">
        <f>IF(VLOOKUP(BT108,#REF!,8,0)=0,"",VLOOKUP(BT108,#REF!,8,0))</f>
        <v>#REF!</v>
      </c>
      <c r="BW108" s="47" t="e">
        <f ca="1">IF(BU108=0,RANDBETWEEN(VLOOKUP(BT108,#REF!,13,0),VLOOKUP(BT108,#REF!,14,0)),RANDBETWEEN(VLOOKUP(BU108,$CO:$CR,2,0)/100*VLOOKUP(BT108,#REF!,13,0),VLOOKUP(BU108,$CO:$CR,2,0)/100*VLOOKUP(BT108,#REF!,14,0)))</f>
        <v>#REF!</v>
      </c>
      <c r="BX108" s="47" t="e">
        <f>VLOOKUP(BT108,#REF!,9,0)</f>
        <v>#REF!</v>
      </c>
      <c r="BY108" s="47" t="e">
        <f ca="1">IF(BU108=0,RANDBETWEEN(VLOOKUP(BT108,#REF!,26,0),VLOOKUP(BT108,#REF!,27,0)),RANDBETWEEN(VLOOKUP(BU108,$CO:$CR,3,0)/100*VLOOKUP(BT108,#REF!,26,0),VLOOKUP(BU108,$CO:$CR,3,0)/100*VLOOKUP(BT108,#REF!,27,0)))</f>
        <v>#REF!</v>
      </c>
      <c r="BZ108" s="47" t="e">
        <f>IF(VLOOKUP(BT108,#REF!,22,0)=0,"",VLOOKUP(BT108,#REF!,22,0))</f>
        <v>#REF!</v>
      </c>
      <c r="CA108" s="47" t="e">
        <f ca="1">IF(BU108=0,RANDBETWEEN(VLOOKUP(BT108,#REF!,39,0),VLOOKUP(BT108,#REF!,40,0)),RANDBETWEEN(VLOOKUP(BU108,$CO:$CR,4,0)/100*VLOOKUP(BT108,#REF!,39,0),VLOOKUP(BU108,$CO:$CR,4,0)/100*VLOOKUP(BT108,#REF!,40,0)))</f>
        <v>#REF!</v>
      </c>
      <c r="CB108" s="47" t="e">
        <f>IF(VLOOKUP(BT108,#REF!,35,0)=0,"",VLOOKUP(BT108,#REF!,35,0))</f>
        <v>#REF!</v>
      </c>
      <c r="CO108" s="50">
        <v>103</v>
      </c>
      <c r="CP108" s="50">
        <v>1033</v>
      </c>
      <c r="CQ108" s="50">
        <v>2812</v>
      </c>
      <c r="CR108" s="50">
        <v>6189</v>
      </c>
      <c r="CS108" s="52">
        <v>618</v>
      </c>
      <c r="CT108" s="52">
        <v>1132</v>
      </c>
      <c r="CU108" s="52">
        <v>1673</v>
      </c>
      <c r="CY108" t="str">
        <f t="shared" si="46"/>
        <v>双手</v>
      </c>
      <c r="CZ108" s="47">
        <v>20282</v>
      </c>
      <c r="DA108" s="34">
        <v>14</v>
      </c>
      <c r="DB108" s="54"/>
      <c r="DC108" s="34"/>
      <c r="DD108" s="34"/>
      <c r="DE108" s="34">
        <v>7</v>
      </c>
      <c r="DF108" s="34">
        <v>12</v>
      </c>
      <c r="DG108" s="34"/>
      <c r="DH108" s="34">
        <v>100</v>
      </c>
      <c r="DI108" t="s">
        <v>3783</v>
      </c>
      <c r="DJ108" t="s">
        <v>3983</v>
      </c>
      <c r="DK108" t="s">
        <v>3826</v>
      </c>
      <c r="DL108" s="9">
        <f t="shared" si="47"/>
        <v>7</v>
      </c>
      <c r="DM108" s="9">
        <f t="shared" si="48"/>
        <v>12</v>
      </c>
      <c r="DN108" s="9">
        <v>30</v>
      </c>
      <c r="DO108" s="9">
        <v>45</v>
      </c>
      <c r="DP108">
        <f t="shared" si="49"/>
        <v>9.5</v>
      </c>
    </row>
    <row r="109" spans="11:120" x14ac:dyDescent="0.2">
      <c r="K109" s="9"/>
      <c r="BS109" s="34" t="e">
        <f>#REF!</f>
        <v>#REF!</v>
      </c>
      <c r="BT109" s="34" t="e">
        <f>#REF!</f>
        <v>#REF!</v>
      </c>
      <c r="BU109" s="34">
        <v>0</v>
      </c>
      <c r="BV109" s="34" t="e">
        <f>IF(VLOOKUP(BT109,#REF!,8,0)=0,"",VLOOKUP(BT109,#REF!,8,0))</f>
        <v>#REF!</v>
      </c>
      <c r="BW109" s="47" t="e">
        <f ca="1">IF(BU109=0,RANDBETWEEN(VLOOKUP(BT109,#REF!,13,0),VLOOKUP(BT109,#REF!,14,0)),RANDBETWEEN(VLOOKUP(BU109,$CO:$CR,2,0)/100*VLOOKUP(BT109,#REF!,13,0),VLOOKUP(BU109,$CO:$CR,2,0)/100*VLOOKUP(BT109,#REF!,14,0)))</f>
        <v>#REF!</v>
      </c>
      <c r="BX109" s="47" t="e">
        <f>VLOOKUP(BT109,#REF!,9,0)</f>
        <v>#REF!</v>
      </c>
      <c r="BY109" s="47" t="e">
        <f ca="1">IF(BU109=0,RANDBETWEEN(VLOOKUP(BT109,#REF!,26,0),VLOOKUP(BT109,#REF!,27,0)),RANDBETWEEN(VLOOKUP(BU109,$CO:$CR,3,0)/100*VLOOKUP(BT109,#REF!,26,0),VLOOKUP(BU109,$CO:$CR,3,0)/100*VLOOKUP(BT109,#REF!,27,0)))</f>
        <v>#REF!</v>
      </c>
      <c r="BZ109" s="47" t="e">
        <f>IF(VLOOKUP(BT109,#REF!,22,0)=0,"",VLOOKUP(BT109,#REF!,22,0))</f>
        <v>#REF!</v>
      </c>
      <c r="CA109" s="47" t="e">
        <f ca="1">IF(BU109=0,RANDBETWEEN(VLOOKUP(BT109,#REF!,39,0),VLOOKUP(BT109,#REF!,40,0)),RANDBETWEEN(VLOOKUP(BU109,$CO:$CR,4,0)/100*VLOOKUP(BT109,#REF!,39,0),VLOOKUP(BU109,$CO:$CR,4,0)/100*VLOOKUP(BT109,#REF!,40,0)))</f>
        <v>#REF!</v>
      </c>
      <c r="CB109" s="47" t="e">
        <f>IF(VLOOKUP(BT109,#REF!,35,0)=0,"",VLOOKUP(BT109,#REF!,35,0))</f>
        <v>#REF!</v>
      </c>
      <c r="CO109" s="50">
        <v>104</v>
      </c>
      <c r="CP109" s="50">
        <v>1051</v>
      </c>
      <c r="CQ109" s="50">
        <v>2845</v>
      </c>
      <c r="CR109" s="50">
        <v>6275</v>
      </c>
      <c r="CS109" s="52">
        <v>624</v>
      </c>
      <c r="CT109" s="52">
        <v>1142</v>
      </c>
      <c r="CU109" s="52">
        <v>1688</v>
      </c>
      <c r="CY109" t="str">
        <f t="shared" si="46"/>
        <v>双手</v>
      </c>
      <c r="CZ109" s="47">
        <v>20284</v>
      </c>
      <c r="DA109" s="34">
        <v>14</v>
      </c>
      <c r="DB109" s="54"/>
      <c r="DC109" s="34"/>
      <c r="DD109" s="34"/>
      <c r="DE109" s="34">
        <v>18</v>
      </c>
      <c r="DF109" s="34">
        <v>24</v>
      </c>
      <c r="DG109" s="34">
        <v>80</v>
      </c>
      <c r="DH109" s="34">
        <v>50</v>
      </c>
      <c r="DI109" t="s">
        <v>3783</v>
      </c>
      <c r="DJ109" t="s">
        <v>3984</v>
      </c>
      <c r="DK109" t="s">
        <v>3826</v>
      </c>
      <c r="DL109" s="9">
        <f t="shared" si="47"/>
        <v>18</v>
      </c>
      <c r="DM109" s="9">
        <f t="shared" si="48"/>
        <v>24</v>
      </c>
      <c r="DN109" s="9">
        <v>54</v>
      </c>
      <c r="DO109" s="9">
        <v>40</v>
      </c>
      <c r="DP109">
        <f t="shared" si="49"/>
        <v>21</v>
      </c>
    </row>
    <row r="110" spans="11:120" x14ac:dyDescent="0.2">
      <c r="K110" s="9"/>
      <c r="BS110" s="34" t="e">
        <f>#REF!</f>
        <v>#REF!</v>
      </c>
      <c r="BT110" s="34" t="e">
        <f>#REF!</f>
        <v>#REF!</v>
      </c>
      <c r="BU110" s="34">
        <v>0</v>
      </c>
      <c r="BV110" s="34" t="e">
        <f>IF(VLOOKUP(BT110,#REF!,8,0)=0,"",VLOOKUP(BT110,#REF!,8,0))</f>
        <v>#REF!</v>
      </c>
      <c r="BW110" s="47" t="e">
        <f ca="1">IF(BU110=0,RANDBETWEEN(VLOOKUP(BT110,#REF!,13,0),VLOOKUP(BT110,#REF!,14,0)),RANDBETWEEN(VLOOKUP(BU110,$CO:$CR,2,0)/100*VLOOKUP(BT110,#REF!,13,0),VLOOKUP(BU110,$CO:$CR,2,0)/100*VLOOKUP(BT110,#REF!,14,0)))</f>
        <v>#REF!</v>
      </c>
      <c r="BX110" s="47" t="e">
        <f>VLOOKUP(BT110,#REF!,9,0)</f>
        <v>#REF!</v>
      </c>
      <c r="BY110" s="47" t="e">
        <f ca="1">IF(BU110=0,RANDBETWEEN(VLOOKUP(BT110,#REF!,26,0),VLOOKUP(BT110,#REF!,27,0)),RANDBETWEEN(VLOOKUP(BU110,$CO:$CR,3,0)/100*VLOOKUP(BT110,#REF!,26,0),VLOOKUP(BU110,$CO:$CR,3,0)/100*VLOOKUP(BT110,#REF!,27,0)))</f>
        <v>#REF!</v>
      </c>
      <c r="BZ110" s="47" t="e">
        <f>IF(VLOOKUP(BT110,#REF!,22,0)=0,"",VLOOKUP(BT110,#REF!,22,0))</f>
        <v>#REF!</v>
      </c>
      <c r="CA110" s="47" t="e">
        <f ca="1">IF(BU110=0,RANDBETWEEN(VLOOKUP(BT110,#REF!,39,0),VLOOKUP(BT110,#REF!,40,0)),RANDBETWEEN(VLOOKUP(BU110,$CO:$CR,4,0)/100*VLOOKUP(BT110,#REF!,39,0),VLOOKUP(BU110,$CO:$CR,4,0)/100*VLOOKUP(BT110,#REF!,40,0)))</f>
        <v>#REF!</v>
      </c>
      <c r="CB110" s="47" t="e">
        <f>IF(VLOOKUP(BT110,#REF!,35,0)=0,"",VLOOKUP(BT110,#REF!,35,0))</f>
        <v>#REF!</v>
      </c>
      <c r="CO110" s="50">
        <v>105</v>
      </c>
      <c r="CP110" s="50">
        <v>1068</v>
      </c>
      <c r="CQ110" s="50">
        <v>2880</v>
      </c>
      <c r="CR110" s="50">
        <v>6362</v>
      </c>
      <c r="CS110" s="52">
        <v>630</v>
      </c>
      <c r="CT110" s="52">
        <v>1153</v>
      </c>
      <c r="CU110" s="52">
        <v>1703</v>
      </c>
      <c r="CY110" t="str">
        <f t="shared" si="46"/>
        <v>双手</v>
      </c>
      <c r="CZ110" s="47">
        <v>20083</v>
      </c>
      <c r="DA110" s="34">
        <v>16</v>
      </c>
      <c r="DB110" s="54"/>
      <c r="DC110" s="34">
        <v>0</v>
      </c>
      <c r="DD110" s="34">
        <v>1</v>
      </c>
      <c r="DE110" s="34"/>
      <c r="DF110" s="34"/>
      <c r="DG110" s="34"/>
      <c r="DH110" s="34"/>
      <c r="DI110" t="s">
        <v>3961</v>
      </c>
      <c r="DJ110" t="s">
        <v>3985</v>
      </c>
      <c r="DK110" t="s">
        <v>3826</v>
      </c>
      <c r="DL110" s="9">
        <f t="shared" si="47"/>
        <v>0</v>
      </c>
      <c r="DM110" s="9">
        <f t="shared" si="48"/>
        <v>1</v>
      </c>
      <c r="DP110">
        <f t="shared" si="49"/>
        <v>0.5</v>
      </c>
    </row>
    <row r="111" spans="11:120" x14ac:dyDescent="0.2">
      <c r="K111" s="9"/>
      <c r="BS111" s="34" t="e">
        <f>#REF!</f>
        <v>#REF!</v>
      </c>
      <c r="BT111" s="34" t="e">
        <f>#REF!</f>
        <v>#REF!</v>
      </c>
      <c r="BU111" s="34">
        <v>0</v>
      </c>
      <c r="BV111" s="34" t="e">
        <f>IF(VLOOKUP(BT111,#REF!,8,0)=0,"",VLOOKUP(BT111,#REF!,8,0))</f>
        <v>#REF!</v>
      </c>
      <c r="BW111" s="47" t="e">
        <f ca="1">IF(BU111=0,RANDBETWEEN(VLOOKUP(BT111,#REF!,13,0),VLOOKUP(BT111,#REF!,14,0)),RANDBETWEEN(VLOOKUP(BU111,$CO:$CR,2,0)/100*VLOOKUP(BT111,#REF!,13,0),VLOOKUP(BU111,$CO:$CR,2,0)/100*VLOOKUP(BT111,#REF!,14,0)))</f>
        <v>#REF!</v>
      </c>
      <c r="BX111" s="47" t="e">
        <f>VLOOKUP(BT111,#REF!,9,0)</f>
        <v>#REF!</v>
      </c>
      <c r="BY111" s="47" t="e">
        <f ca="1">IF(BU111=0,RANDBETWEEN(VLOOKUP(BT111,#REF!,26,0),VLOOKUP(BT111,#REF!,27,0)),RANDBETWEEN(VLOOKUP(BU111,$CO:$CR,3,0)/100*VLOOKUP(BT111,#REF!,26,0),VLOOKUP(BU111,$CO:$CR,3,0)/100*VLOOKUP(BT111,#REF!,27,0)))</f>
        <v>#REF!</v>
      </c>
      <c r="BZ111" s="47" t="e">
        <f>IF(VLOOKUP(BT111,#REF!,22,0)=0,"",VLOOKUP(BT111,#REF!,22,0))</f>
        <v>#REF!</v>
      </c>
      <c r="CA111" s="47" t="e">
        <f ca="1">IF(BU111=0,RANDBETWEEN(VLOOKUP(BT111,#REF!,39,0),VLOOKUP(BT111,#REF!,40,0)),RANDBETWEEN(VLOOKUP(BU111,$CO:$CR,4,0)/100*VLOOKUP(BT111,#REF!,39,0),VLOOKUP(BU111,$CO:$CR,4,0)/100*VLOOKUP(BT111,#REF!,40,0)))</f>
        <v>#REF!</v>
      </c>
      <c r="CB111" s="47" t="e">
        <f>IF(VLOOKUP(BT111,#REF!,35,0)=0,"",VLOOKUP(BT111,#REF!,35,0))</f>
        <v>#REF!</v>
      </c>
      <c r="CO111" s="50">
        <v>106</v>
      </c>
      <c r="CP111" s="50">
        <v>1085</v>
      </c>
      <c r="CQ111" s="50">
        <v>2915</v>
      </c>
      <c r="CR111" s="50">
        <v>6448</v>
      </c>
      <c r="CS111" s="52">
        <v>636</v>
      </c>
      <c r="CT111" s="52">
        <v>1163</v>
      </c>
      <c r="CU111" s="52">
        <v>1718</v>
      </c>
      <c r="CY111" t="str">
        <f t="shared" si="46"/>
        <v>单</v>
      </c>
      <c r="CZ111" s="47">
        <v>20286</v>
      </c>
      <c r="DA111" s="34">
        <v>17</v>
      </c>
      <c r="DB111" s="54">
        <v>-10</v>
      </c>
      <c r="DC111" s="34">
        <v>8</v>
      </c>
      <c r="DD111" s="34">
        <v>14</v>
      </c>
      <c r="DE111" s="34"/>
      <c r="DF111" s="34"/>
      <c r="DG111" s="34">
        <v>80</v>
      </c>
      <c r="DH111" s="34">
        <v>50</v>
      </c>
      <c r="DI111" t="s">
        <v>3783</v>
      </c>
      <c r="DJ111" t="s">
        <v>3986</v>
      </c>
      <c r="DK111" t="s">
        <v>3826</v>
      </c>
      <c r="DL111" s="9">
        <f t="shared" si="47"/>
        <v>8</v>
      </c>
      <c r="DM111" s="9">
        <f t="shared" si="48"/>
        <v>14</v>
      </c>
      <c r="DN111" s="9">
        <v>33</v>
      </c>
      <c r="DO111" s="9">
        <v>47</v>
      </c>
      <c r="DP111">
        <f t="shared" si="49"/>
        <v>12.100000000000001</v>
      </c>
    </row>
    <row r="112" spans="11:120" x14ac:dyDescent="0.2">
      <c r="K112" s="9"/>
      <c r="BS112" s="34" t="e">
        <f>#REF!</f>
        <v>#REF!</v>
      </c>
      <c r="BT112" s="34" t="e">
        <f>#REF!</f>
        <v>#REF!</v>
      </c>
      <c r="BU112" s="34">
        <v>0</v>
      </c>
      <c r="BV112" s="34" t="e">
        <f>IF(VLOOKUP(BT112,#REF!,8,0)=0,"",VLOOKUP(BT112,#REF!,8,0))</f>
        <v>#REF!</v>
      </c>
      <c r="BW112" s="47" t="e">
        <f ca="1">IF(BU112=0,RANDBETWEEN(VLOOKUP(BT112,#REF!,13,0),VLOOKUP(BT112,#REF!,14,0)),RANDBETWEEN(VLOOKUP(BU112,$CO:$CR,2,0)/100*VLOOKUP(BT112,#REF!,13,0),VLOOKUP(BU112,$CO:$CR,2,0)/100*VLOOKUP(BT112,#REF!,14,0)))</f>
        <v>#REF!</v>
      </c>
      <c r="BX112" s="47" t="e">
        <f>VLOOKUP(BT112,#REF!,9,0)</f>
        <v>#REF!</v>
      </c>
      <c r="BY112" s="47" t="e">
        <f ca="1">IF(BU112=0,RANDBETWEEN(VLOOKUP(BT112,#REF!,26,0),VLOOKUP(BT112,#REF!,27,0)),RANDBETWEEN(VLOOKUP(BU112,$CO:$CR,3,0)/100*VLOOKUP(BT112,#REF!,26,0),VLOOKUP(BU112,$CO:$CR,3,0)/100*VLOOKUP(BT112,#REF!,27,0)))</f>
        <v>#REF!</v>
      </c>
      <c r="BZ112" s="47" t="e">
        <f>IF(VLOOKUP(BT112,#REF!,22,0)=0,"",VLOOKUP(BT112,#REF!,22,0))</f>
        <v>#REF!</v>
      </c>
      <c r="CA112" s="47" t="e">
        <f ca="1">IF(BU112=0,RANDBETWEEN(VLOOKUP(BT112,#REF!,39,0),VLOOKUP(BT112,#REF!,40,0)),RANDBETWEEN(VLOOKUP(BU112,$CO:$CR,4,0)/100*VLOOKUP(BT112,#REF!,39,0),VLOOKUP(BU112,$CO:$CR,4,0)/100*VLOOKUP(BT112,#REF!,40,0)))</f>
        <v>#REF!</v>
      </c>
      <c r="CB112" s="47" t="e">
        <f>IF(VLOOKUP(BT112,#REF!,35,0)=0,"",VLOOKUP(BT112,#REF!,35,0))</f>
        <v>#REF!</v>
      </c>
      <c r="CO112" s="50">
        <v>107</v>
      </c>
      <c r="CP112" s="50">
        <v>1103</v>
      </c>
      <c r="CQ112" s="50">
        <v>2948</v>
      </c>
      <c r="CR112" s="50">
        <v>6534</v>
      </c>
      <c r="CS112" s="52">
        <v>642</v>
      </c>
      <c r="CT112" s="52">
        <v>1173</v>
      </c>
      <c r="CU112" s="52">
        <v>1732</v>
      </c>
      <c r="CY112" t="str">
        <f t="shared" si="46"/>
        <v>单</v>
      </c>
      <c r="CZ112" s="47">
        <v>20108</v>
      </c>
      <c r="DA112" s="34">
        <v>18</v>
      </c>
      <c r="DB112" s="54">
        <v>-10</v>
      </c>
      <c r="DC112" s="34">
        <v>6</v>
      </c>
      <c r="DD112" s="34">
        <v>21</v>
      </c>
      <c r="DE112" s="34"/>
      <c r="DF112" s="34"/>
      <c r="DG112" s="34">
        <v>100</v>
      </c>
      <c r="DH112" s="34"/>
      <c r="DI112" t="s">
        <v>3987</v>
      </c>
      <c r="DJ112" t="s">
        <v>3988</v>
      </c>
      <c r="DK112" t="s">
        <v>3844</v>
      </c>
      <c r="DL112" s="9">
        <f t="shared" si="47"/>
        <v>6</v>
      </c>
      <c r="DM112" s="9">
        <f t="shared" si="48"/>
        <v>21</v>
      </c>
      <c r="DN112" s="9">
        <v>25</v>
      </c>
      <c r="DP112">
        <f t="shared" si="49"/>
        <v>14.850000000000001</v>
      </c>
    </row>
    <row r="113" spans="11:120" x14ac:dyDescent="0.2">
      <c r="K113" s="9"/>
      <c r="BS113" s="34" t="e">
        <f>#REF!</f>
        <v>#REF!</v>
      </c>
      <c r="BT113" s="34" t="e">
        <f>#REF!</f>
        <v>#REF!</v>
      </c>
      <c r="BU113" s="34">
        <v>0</v>
      </c>
      <c r="BV113" s="34" t="e">
        <f>IF(VLOOKUP(BT113,#REF!,8,0)=0,"",VLOOKUP(BT113,#REF!,8,0))</f>
        <v>#REF!</v>
      </c>
      <c r="BW113" s="47" t="e">
        <f ca="1">IF(BU113=0,RANDBETWEEN(VLOOKUP(BT113,#REF!,13,0),VLOOKUP(BT113,#REF!,14,0)),RANDBETWEEN(VLOOKUP(BU113,$CO:$CR,2,0)/100*VLOOKUP(BT113,#REF!,13,0),VLOOKUP(BU113,$CO:$CR,2,0)/100*VLOOKUP(BT113,#REF!,14,0)))</f>
        <v>#REF!</v>
      </c>
      <c r="BX113" s="47" t="e">
        <f>VLOOKUP(BT113,#REF!,9,0)</f>
        <v>#REF!</v>
      </c>
      <c r="BY113" s="47" t="e">
        <f ca="1">IF(BU113=0,RANDBETWEEN(VLOOKUP(BT113,#REF!,26,0),VLOOKUP(BT113,#REF!,27,0)),RANDBETWEEN(VLOOKUP(BU113,$CO:$CR,3,0)/100*VLOOKUP(BT113,#REF!,26,0),VLOOKUP(BU113,$CO:$CR,3,0)/100*VLOOKUP(BT113,#REF!,27,0)))</f>
        <v>#REF!</v>
      </c>
      <c r="BZ113" s="47" t="e">
        <f>IF(VLOOKUP(BT113,#REF!,22,0)=0,"",VLOOKUP(BT113,#REF!,22,0))</f>
        <v>#REF!</v>
      </c>
      <c r="CA113" s="47" t="e">
        <f ca="1">IF(BU113=0,RANDBETWEEN(VLOOKUP(BT113,#REF!,39,0),VLOOKUP(BT113,#REF!,40,0)),RANDBETWEEN(VLOOKUP(BU113,$CO:$CR,4,0)/100*VLOOKUP(BT113,#REF!,39,0),VLOOKUP(BU113,$CO:$CR,4,0)/100*VLOOKUP(BT113,#REF!,40,0)))</f>
        <v>#REF!</v>
      </c>
      <c r="CB113" s="47" t="e">
        <f>IF(VLOOKUP(BT113,#REF!,35,0)=0,"",VLOOKUP(BT113,#REF!,35,0))</f>
        <v>#REF!</v>
      </c>
      <c r="CO113" s="50">
        <v>108</v>
      </c>
      <c r="CP113" s="50">
        <v>1120</v>
      </c>
      <c r="CQ113" s="50">
        <v>2983</v>
      </c>
      <c r="CR113" s="50">
        <v>6620</v>
      </c>
      <c r="CS113" s="52">
        <v>648</v>
      </c>
      <c r="CT113" s="52">
        <v>1183</v>
      </c>
      <c r="CU113" s="52">
        <v>1748</v>
      </c>
      <c r="CY113" t="str">
        <f t="shared" si="46"/>
        <v>单</v>
      </c>
      <c r="CZ113" s="47">
        <v>20119</v>
      </c>
      <c r="DA113" s="34">
        <v>18</v>
      </c>
      <c r="DB113" s="54"/>
      <c r="DC113" s="34">
        <v>8</v>
      </c>
      <c r="DD113" s="34">
        <v>22</v>
      </c>
      <c r="DE113" s="34"/>
      <c r="DF113" s="34"/>
      <c r="DG113" s="34">
        <v>100</v>
      </c>
      <c r="DH113" s="34"/>
      <c r="DI113" t="s">
        <v>3987</v>
      </c>
      <c r="DJ113" t="s">
        <v>3989</v>
      </c>
      <c r="DK113" t="s">
        <v>3848</v>
      </c>
      <c r="DL113" s="9">
        <f t="shared" si="47"/>
        <v>8</v>
      </c>
      <c r="DM113" s="9">
        <f t="shared" si="48"/>
        <v>22</v>
      </c>
      <c r="DN113" s="9">
        <v>25</v>
      </c>
      <c r="DP113">
        <f t="shared" si="49"/>
        <v>15</v>
      </c>
    </row>
    <row r="114" spans="11:120" x14ac:dyDescent="0.2">
      <c r="K114" s="9"/>
      <c r="BS114" s="34" t="e">
        <f>#REF!</f>
        <v>#REF!</v>
      </c>
      <c r="BT114" s="34" t="e">
        <f>#REF!</f>
        <v>#REF!</v>
      </c>
      <c r="BU114" s="34">
        <v>0</v>
      </c>
      <c r="BV114" s="34" t="e">
        <f>IF(VLOOKUP(BT114,#REF!,8,0)=0,"",VLOOKUP(BT114,#REF!,8,0))</f>
        <v>#REF!</v>
      </c>
      <c r="BW114" s="47" t="e">
        <f ca="1">IF(BU114=0,RANDBETWEEN(VLOOKUP(BT114,#REF!,13,0),VLOOKUP(BT114,#REF!,14,0)),RANDBETWEEN(VLOOKUP(BU114,$CO:$CR,2,0)/100*VLOOKUP(BT114,#REF!,13,0),VLOOKUP(BU114,$CO:$CR,2,0)/100*VLOOKUP(BT114,#REF!,14,0)))</f>
        <v>#REF!</v>
      </c>
      <c r="BX114" s="47" t="e">
        <f>VLOOKUP(BT114,#REF!,9,0)</f>
        <v>#REF!</v>
      </c>
      <c r="BY114" s="47" t="e">
        <f ca="1">IF(BU114=0,RANDBETWEEN(VLOOKUP(BT114,#REF!,26,0),VLOOKUP(BT114,#REF!,27,0)),RANDBETWEEN(VLOOKUP(BU114,$CO:$CR,3,0)/100*VLOOKUP(BT114,#REF!,26,0),VLOOKUP(BU114,$CO:$CR,3,0)/100*VLOOKUP(BT114,#REF!,27,0)))</f>
        <v>#REF!</v>
      </c>
      <c r="BZ114" s="47" t="e">
        <f>IF(VLOOKUP(BT114,#REF!,22,0)=0,"",VLOOKUP(BT114,#REF!,22,0))</f>
        <v>#REF!</v>
      </c>
      <c r="CA114" s="47" t="e">
        <f ca="1">IF(BU114=0,RANDBETWEEN(VLOOKUP(BT114,#REF!,39,0),VLOOKUP(BT114,#REF!,40,0)),RANDBETWEEN(VLOOKUP(BU114,$CO:$CR,4,0)/100*VLOOKUP(BT114,#REF!,39,0),VLOOKUP(BU114,$CO:$CR,4,0)/100*VLOOKUP(BT114,#REF!,40,0)))</f>
        <v>#REF!</v>
      </c>
      <c r="CB114" s="47" t="e">
        <f>IF(VLOOKUP(BT114,#REF!,35,0)=0,"",VLOOKUP(BT114,#REF!,35,0))</f>
        <v>#REF!</v>
      </c>
      <c r="CO114" s="50">
        <v>109</v>
      </c>
      <c r="CP114" s="50">
        <v>1137</v>
      </c>
      <c r="CQ114" s="50">
        <v>3016</v>
      </c>
      <c r="CR114" s="50">
        <v>6707</v>
      </c>
      <c r="CS114" s="52">
        <v>654</v>
      </c>
      <c r="CT114" s="52">
        <v>1193</v>
      </c>
      <c r="CU114" s="52">
        <v>1763</v>
      </c>
      <c r="CY114" t="str">
        <f t="shared" si="46"/>
        <v>单</v>
      </c>
      <c r="CZ114" s="47">
        <v>20141</v>
      </c>
      <c r="DA114" s="34">
        <v>18</v>
      </c>
      <c r="DB114" s="54">
        <v>-10</v>
      </c>
      <c r="DC114" s="34">
        <v>6</v>
      </c>
      <c r="DD114" s="34">
        <v>19</v>
      </c>
      <c r="DE114" s="34"/>
      <c r="DF114" s="34"/>
      <c r="DG114" s="34">
        <v>75</v>
      </c>
      <c r="DH114" s="34">
        <v>75</v>
      </c>
      <c r="DI114" t="s">
        <v>3987</v>
      </c>
      <c r="DJ114" t="s">
        <v>3990</v>
      </c>
      <c r="DK114" t="s">
        <v>3848</v>
      </c>
      <c r="DL114" s="9">
        <f t="shared" si="47"/>
        <v>6</v>
      </c>
      <c r="DM114" s="9">
        <f t="shared" si="48"/>
        <v>19</v>
      </c>
      <c r="DN114" s="9">
        <v>25</v>
      </c>
      <c r="DO114" s="9">
        <v>25</v>
      </c>
      <c r="DP114">
        <f t="shared" si="49"/>
        <v>13.750000000000002</v>
      </c>
    </row>
    <row r="115" spans="11:120" x14ac:dyDescent="0.2">
      <c r="K115" s="9"/>
      <c r="BS115" s="34" t="e">
        <f>#REF!</f>
        <v>#REF!</v>
      </c>
      <c r="BT115" s="34" t="e">
        <f>#REF!</f>
        <v>#REF!</v>
      </c>
      <c r="BU115" s="34">
        <v>0</v>
      </c>
      <c r="BV115" s="34" t="e">
        <f>IF(VLOOKUP(BT115,#REF!,8,0)=0,"",VLOOKUP(BT115,#REF!,8,0))</f>
        <v>#REF!</v>
      </c>
      <c r="BW115" s="47" t="e">
        <f ca="1">IF(BU115=0,RANDBETWEEN(VLOOKUP(BT115,#REF!,13,0),VLOOKUP(BT115,#REF!,14,0)),RANDBETWEEN(VLOOKUP(BU115,$CO:$CR,2,0)/100*VLOOKUP(BT115,#REF!,13,0),VLOOKUP(BU115,$CO:$CR,2,0)/100*VLOOKUP(BT115,#REF!,14,0)))</f>
        <v>#REF!</v>
      </c>
      <c r="BX115" s="47" t="e">
        <f>VLOOKUP(BT115,#REF!,9,0)</f>
        <v>#REF!</v>
      </c>
      <c r="BY115" s="47" t="e">
        <f ca="1">IF(BU115=0,RANDBETWEEN(VLOOKUP(BT115,#REF!,26,0),VLOOKUP(BT115,#REF!,27,0)),RANDBETWEEN(VLOOKUP(BU115,$CO:$CR,3,0)/100*VLOOKUP(BT115,#REF!,26,0),VLOOKUP(BU115,$CO:$CR,3,0)/100*VLOOKUP(BT115,#REF!,27,0)))</f>
        <v>#REF!</v>
      </c>
      <c r="BZ115" s="47" t="e">
        <f>IF(VLOOKUP(BT115,#REF!,22,0)=0,"",VLOOKUP(BT115,#REF!,22,0))</f>
        <v>#REF!</v>
      </c>
      <c r="CA115" s="47" t="e">
        <f ca="1">IF(BU115=0,RANDBETWEEN(VLOOKUP(BT115,#REF!,39,0),VLOOKUP(BT115,#REF!,40,0)),RANDBETWEEN(VLOOKUP(BU115,$CO:$CR,4,0)/100*VLOOKUP(BT115,#REF!,39,0),VLOOKUP(BU115,$CO:$CR,4,0)/100*VLOOKUP(BT115,#REF!,40,0)))</f>
        <v>#REF!</v>
      </c>
      <c r="CB115" s="47" t="e">
        <f>IF(VLOOKUP(BT115,#REF!,35,0)=0,"",VLOOKUP(BT115,#REF!,35,0))</f>
        <v>#REF!</v>
      </c>
      <c r="CO115" s="50">
        <v>110</v>
      </c>
      <c r="CP115" s="50">
        <v>10000</v>
      </c>
      <c r="CQ115" s="50">
        <v>10000</v>
      </c>
      <c r="CR115" s="50">
        <v>10000</v>
      </c>
      <c r="CS115" s="52">
        <v>2100</v>
      </c>
      <c r="CT115" s="52">
        <v>2100</v>
      </c>
      <c r="CU115" s="52">
        <v>2100</v>
      </c>
      <c r="CY115" t="str">
        <f t="shared" si="46"/>
        <v>双手</v>
      </c>
      <c r="CZ115" s="47">
        <v>20157</v>
      </c>
      <c r="DA115" s="34">
        <v>18</v>
      </c>
      <c r="DB115" s="54">
        <v>-10</v>
      </c>
      <c r="DC115" s="34"/>
      <c r="DD115" s="34"/>
      <c r="DE115" s="34">
        <v>6</v>
      </c>
      <c r="DF115" s="34">
        <v>21</v>
      </c>
      <c r="DG115" s="34">
        <v>100</v>
      </c>
      <c r="DH115" s="34"/>
      <c r="DI115" t="s">
        <v>3987</v>
      </c>
      <c r="DJ115" t="s">
        <v>3991</v>
      </c>
      <c r="DK115" t="s">
        <v>3848</v>
      </c>
      <c r="DL115" s="9">
        <f t="shared" si="47"/>
        <v>6</v>
      </c>
      <c r="DM115" s="9">
        <f t="shared" si="48"/>
        <v>21</v>
      </c>
      <c r="DN115" s="9">
        <v>25</v>
      </c>
      <c r="DP115">
        <f t="shared" si="49"/>
        <v>14.850000000000001</v>
      </c>
    </row>
    <row r="116" spans="11:120" x14ac:dyDescent="0.2">
      <c r="K116" s="9"/>
      <c r="BS116" s="34" t="e">
        <f>#REF!</f>
        <v>#REF!</v>
      </c>
      <c r="BT116" s="34" t="e">
        <f>#REF!</f>
        <v>#REF!</v>
      </c>
      <c r="BU116" s="34">
        <v>0</v>
      </c>
      <c r="BV116" s="34" t="e">
        <f>IF(VLOOKUP(BT116,#REF!,8,0)=0,"",VLOOKUP(BT116,#REF!,8,0))</f>
        <v>#REF!</v>
      </c>
      <c r="BW116" s="47" t="e">
        <f ca="1">IF(BU116=0,RANDBETWEEN(VLOOKUP(BT116,#REF!,13,0),VLOOKUP(BT116,#REF!,14,0)),RANDBETWEEN(VLOOKUP(BU116,$CO:$CR,2,0)/100*VLOOKUP(BT116,#REF!,13,0),VLOOKUP(BU116,$CO:$CR,2,0)/100*VLOOKUP(BT116,#REF!,14,0)))</f>
        <v>#REF!</v>
      </c>
      <c r="BX116" s="47" t="e">
        <f>VLOOKUP(BT116,#REF!,9,0)</f>
        <v>#REF!</v>
      </c>
      <c r="BY116" s="47" t="e">
        <f ca="1">IF(BU116=0,RANDBETWEEN(VLOOKUP(BT116,#REF!,26,0),VLOOKUP(BT116,#REF!,27,0)),RANDBETWEEN(VLOOKUP(BU116,$CO:$CR,3,0)/100*VLOOKUP(BT116,#REF!,26,0),VLOOKUP(BU116,$CO:$CR,3,0)/100*VLOOKUP(BT116,#REF!,27,0)))</f>
        <v>#REF!</v>
      </c>
      <c r="BZ116" s="47" t="e">
        <f>IF(VLOOKUP(BT116,#REF!,22,0)=0,"",VLOOKUP(BT116,#REF!,22,0))</f>
        <v>#REF!</v>
      </c>
      <c r="CA116" s="47" t="e">
        <f ca="1">IF(BU116=0,RANDBETWEEN(VLOOKUP(BT116,#REF!,39,0),VLOOKUP(BT116,#REF!,40,0)),RANDBETWEEN(VLOOKUP(BU116,$CO:$CR,4,0)/100*VLOOKUP(BT116,#REF!,39,0),VLOOKUP(BU116,$CO:$CR,4,0)/100*VLOOKUP(BT116,#REF!,40,0)))</f>
        <v>#REF!</v>
      </c>
      <c r="CB116" s="47" t="e">
        <f>IF(VLOOKUP(BT116,#REF!,35,0)=0,"",VLOOKUP(BT116,#REF!,35,0))</f>
        <v>#REF!</v>
      </c>
      <c r="CY116" t="str">
        <f t="shared" si="46"/>
        <v>双手</v>
      </c>
      <c r="CZ116" s="47">
        <v>20162</v>
      </c>
      <c r="DA116" s="34">
        <v>18</v>
      </c>
      <c r="DB116" s="54">
        <v>5</v>
      </c>
      <c r="DC116" s="34"/>
      <c r="DD116" s="34"/>
      <c r="DE116" s="34">
        <v>6</v>
      </c>
      <c r="DF116" s="34">
        <v>19</v>
      </c>
      <c r="DG116" s="34"/>
      <c r="DH116" s="34">
        <v>100</v>
      </c>
      <c r="DI116" t="s">
        <v>3987</v>
      </c>
      <c r="DJ116" t="s">
        <v>3992</v>
      </c>
      <c r="DK116" t="s">
        <v>3844</v>
      </c>
      <c r="DL116" s="9">
        <f t="shared" si="47"/>
        <v>6</v>
      </c>
      <c r="DM116" s="9">
        <f t="shared" si="48"/>
        <v>19</v>
      </c>
      <c r="DN116" s="9">
        <v>25</v>
      </c>
      <c r="DO116" s="9">
        <v>43</v>
      </c>
      <c r="DP116">
        <f t="shared" si="49"/>
        <v>11.875</v>
      </c>
    </row>
    <row r="117" spans="11:120" x14ac:dyDescent="0.2">
      <c r="K117" s="9"/>
      <c r="BS117" s="34" t="e">
        <f>#REF!</f>
        <v>#REF!</v>
      </c>
      <c r="BT117" s="34" t="e">
        <f>#REF!</f>
        <v>#REF!</v>
      </c>
      <c r="BU117" s="34">
        <v>0</v>
      </c>
      <c r="BV117" s="34" t="e">
        <f>IF(VLOOKUP(BT117,#REF!,8,0)=0,"",VLOOKUP(BT117,#REF!,8,0))</f>
        <v>#REF!</v>
      </c>
      <c r="BW117" s="47" t="e">
        <f ca="1">IF(BU117=0,RANDBETWEEN(VLOOKUP(BT117,#REF!,13,0),VLOOKUP(BT117,#REF!,14,0)),RANDBETWEEN(VLOOKUP(BU117,$CO:$CR,2,0)/100*VLOOKUP(BT117,#REF!,13,0),VLOOKUP(BU117,$CO:$CR,2,0)/100*VLOOKUP(BT117,#REF!,14,0)))</f>
        <v>#REF!</v>
      </c>
      <c r="BX117" s="47" t="e">
        <f>VLOOKUP(BT117,#REF!,9,0)</f>
        <v>#REF!</v>
      </c>
      <c r="BY117" s="47" t="e">
        <f ca="1">IF(BU117=0,RANDBETWEEN(VLOOKUP(BT117,#REF!,26,0),VLOOKUP(BT117,#REF!,27,0)),RANDBETWEEN(VLOOKUP(BU117,$CO:$CR,3,0)/100*VLOOKUP(BT117,#REF!,26,0),VLOOKUP(BU117,$CO:$CR,3,0)/100*VLOOKUP(BT117,#REF!,27,0)))</f>
        <v>#REF!</v>
      </c>
      <c r="BZ117" s="47" t="e">
        <f>IF(VLOOKUP(BT117,#REF!,22,0)=0,"",VLOOKUP(BT117,#REF!,22,0))</f>
        <v>#REF!</v>
      </c>
      <c r="CA117" s="47" t="e">
        <f ca="1">IF(BU117=0,RANDBETWEEN(VLOOKUP(BT117,#REF!,39,0),VLOOKUP(BT117,#REF!,40,0)),RANDBETWEEN(VLOOKUP(BU117,$CO:$CR,4,0)/100*VLOOKUP(BT117,#REF!,39,0),VLOOKUP(BU117,$CO:$CR,4,0)/100*VLOOKUP(BT117,#REF!,40,0)))</f>
        <v>#REF!</v>
      </c>
      <c r="CB117" s="47" t="e">
        <f>IF(VLOOKUP(BT117,#REF!,35,0)=0,"",VLOOKUP(BT117,#REF!,35,0))</f>
        <v>#REF!</v>
      </c>
      <c r="CY117" t="str">
        <f t="shared" si="46"/>
        <v>单</v>
      </c>
      <c r="CZ117" s="47">
        <v>20281</v>
      </c>
      <c r="DA117" s="34">
        <v>18</v>
      </c>
      <c r="DB117" s="54">
        <v>10</v>
      </c>
      <c r="DC117" s="34">
        <v>8</v>
      </c>
      <c r="DD117" s="34">
        <v>18</v>
      </c>
      <c r="DE117" s="34"/>
      <c r="DF117" s="34"/>
      <c r="DG117" s="34">
        <v>100</v>
      </c>
      <c r="DH117" s="34"/>
      <c r="DI117" t="s">
        <v>3783</v>
      </c>
      <c r="DJ117" t="s">
        <v>3993</v>
      </c>
      <c r="DK117" t="s">
        <v>3861</v>
      </c>
      <c r="DL117" s="9">
        <f t="shared" si="47"/>
        <v>8</v>
      </c>
      <c r="DM117" s="9">
        <f t="shared" si="48"/>
        <v>18</v>
      </c>
      <c r="DP117">
        <f t="shared" si="49"/>
        <v>11.700000000000001</v>
      </c>
    </row>
    <row r="118" spans="11:120" x14ac:dyDescent="0.2">
      <c r="K118" s="9"/>
      <c r="CY118" t="str">
        <f t="shared" si="46"/>
        <v>单</v>
      </c>
      <c r="CZ118" s="47">
        <v>20094</v>
      </c>
      <c r="DA118" s="34">
        <v>19</v>
      </c>
      <c r="DB118" s="54"/>
      <c r="DC118" s="34">
        <v>10</v>
      </c>
      <c r="DD118" s="34">
        <v>21</v>
      </c>
      <c r="DE118" s="34"/>
      <c r="DF118" s="34"/>
      <c r="DG118" s="34">
        <v>100</v>
      </c>
      <c r="DH118" s="34"/>
      <c r="DI118" t="s">
        <v>3987</v>
      </c>
      <c r="DJ118" t="s">
        <v>3994</v>
      </c>
      <c r="DK118" t="s">
        <v>3861</v>
      </c>
      <c r="DL118" s="9">
        <f t="shared" si="47"/>
        <v>10</v>
      </c>
      <c r="DM118" s="9">
        <f t="shared" si="48"/>
        <v>21</v>
      </c>
      <c r="DN118" s="9">
        <v>25</v>
      </c>
      <c r="DO118" s="9">
        <v>25</v>
      </c>
      <c r="DP118">
        <f t="shared" si="49"/>
        <v>15.5</v>
      </c>
    </row>
    <row r="119" spans="11:120" x14ac:dyDescent="0.2">
      <c r="K119" s="9"/>
      <c r="CY119" t="str">
        <f t="shared" si="46"/>
        <v>单</v>
      </c>
      <c r="CZ119" s="47">
        <v>20104</v>
      </c>
      <c r="DA119" s="34">
        <v>19</v>
      </c>
      <c r="DB119" s="54"/>
      <c r="DC119" s="34">
        <v>8</v>
      </c>
      <c r="DD119" s="34">
        <v>18</v>
      </c>
      <c r="DE119" s="34"/>
      <c r="DF119" s="34"/>
      <c r="DG119" s="34">
        <v>100</v>
      </c>
      <c r="DH119" s="34"/>
      <c r="DI119" t="s">
        <v>3987</v>
      </c>
      <c r="DJ119" t="s">
        <v>3995</v>
      </c>
      <c r="DK119" t="s">
        <v>3861</v>
      </c>
      <c r="DL119" s="9">
        <f t="shared" si="47"/>
        <v>8</v>
      </c>
      <c r="DM119" s="9">
        <f t="shared" si="48"/>
        <v>18</v>
      </c>
      <c r="DN119" s="9">
        <v>25</v>
      </c>
      <c r="DP119">
        <f t="shared" si="49"/>
        <v>13</v>
      </c>
    </row>
    <row r="120" spans="11:120" x14ac:dyDescent="0.2">
      <c r="K120" s="9"/>
      <c r="CY120" t="str">
        <f t="shared" si="46"/>
        <v>单</v>
      </c>
      <c r="CZ120" s="47">
        <v>20109</v>
      </c>
      <c r="DA120" s="34">
        <v>19</v>
      </c>
      <c r="DB120" s="54"/>
      <c r="DC120" s="34">
        <v>13</v>
      </c>
      <c r="DD120" s="34">
        <v>24</v>
      </c>
      <c r="DE120" s="34"/>
      <c r="DF120" s="34"/>
      <c r="DG120" s="34">
        <v>100</v>
      </c>
      <c r="DH120" s="34"/>
      <c r="DI120" t="s">
        <v>3987</v>
      </c>
      <c r="DJ120" t="s">
        <v>3996</v>
      </c>
      <c r="DK120" t="s">
        <v>3871</v>
      </c>
      <c r="DL120" s="9">
        <f t="shared" si="47"/>
        <v>13</v>
      </c>
      <c r="DM120" s="9">
        <f t="shared" si="48"/>
        <v>24</v>
      </c>
      <c r="DN120" s="9">
        <v>58</v>
      </c>
      <c r="DP120">
        <f t="shared" si="49"/>
        <v>18.5</v>
      </c>
    </row>
    <row r="121" spans="11:120" x14ac:dyDescent="0.2">
      <c r="K121" s="9"/>
      <c r="CY121" t="str">
        <f t="shared" si="46"/>
        <v>单</v>
      </c>
      <c r="CZ121" s="47">
        <v>20133</v>
      </c>
      <c r="DA121" s="34">
        <v>19</v>
      </c>
      <c r="DB121" s="54">
        <v>-20</v>
      </c>
      <c r="DC121" s="34">
        <v>6</v>
      </c>
      <c r="DD121" s="34">
        <v>18</v>
      </c>
      <c r="DE121" s="34"/>
      <c r="DF121" s="34"/>
      <c r="DG121" s="34">
        <v>75</v>
      </c>
      <c r="DH121" s="34">
        <v>75</v>
      </c>
      <c r="DI121" t="s">
        <v>3987</v>
      </c>
      <c r="DJ121" t="s">
        <v>3997</v>
      </c>
      <c r="DK121" t="s">
        <v>3871</v>
      </c>
      <c r="DL121" s="9">
        <f t="shared" si="47"/>
        <v>6</v>
      </c>
      <c r="DM121" s="9">
        <f t="shared" si="48"/>
        <v>18</v>
      </c>
      <c r="DN121" s="9">
        <v>25</v>
      </c>
      <c r="DP121">
        <f t="shared" si="49"/>
        <v>14.399999999999999</v>
      </c>
    </row>
    <row r="122" spans="11:120" x14ac:dyDescent="0.2">
      <c r="K122" s="9"/>
      <c r="CY122" t="str">
        <f t="shared" si="46"/>
        <v>单</v>
      </c>
      <c r="CZ122" s="47">
        <v>20137</v>
      </c>
      <c r="DA122" s="34">
        <v>19</v>
      </c>
      <c r="DB122" s="54"/>
      <c r="DC122" s="34">
        <v>8</v>
      </c>
      <c r="DD122" s="34">
        <v>16</v>
      </c>
      <c r="DE122" s="34"/>
      <c r="DF122" s="34"/>
      <c r="DG122" s="34">
        <v>75</v>
      </c>
      <c r="DH122" s="34">
        <v>75</v>
      </c>
      <c r="DI122" t="s">
        <v>3987</v>
      </c>
      <c r="DJ122" t="s">
        <v>3998</v>
      </c>
      <c r="DK122" t="s">
        <v>3871</v>
      </c>
      <c r="DL122" s="9">
        <f t="shared" si="47"/>
        <v>8</v>
      </c>
      <c r="DM122" s="9">
        <f t="shared" si="48"/>
        <v>16</v>
      </c>
      <c r="DN122" s="9">
        <v>25</v>
      </c>
      <c r="DO122" s="9">
        <v>52</v>
      </c>
      <c r="DP122">
        <f t="shared" si="49"/>
        <v>12</v>
      </c>
    </row>
    <row r="123" spans="11:120" x14ac:dyDescent="0.2">
      <c r="K123" s="9"/>
      <c r="CY123" t="str">
        <f t="shared" si="46"/>
        <v>双手</v>
      </c>
      <c r="CZ123" s="47">
        <v>20082</v>
      </c>
      <c r="DA123" s="34">
        <v>20</v>
      </c>
      <c r="DB123" s="54"/>
      <c r="DC123" s="34">
        <v>0</v>
      </c>
      <c r="DD123" s="34">
        <v>1</v>
      </c>
      <c r="DE123" s="34"/>
      <c r="DF123" s="34"/>
      <c r="DG123" s="34"/>
      <c r="DH123" s="34"/>
      <c r="DI123" t="s">
        <v>3961</v>
      </c>
      <c r="DJ123" t="s">
        <v>3999</v>
      </c>
      <c r="DK123" t="s">
        <v>3881</v>
      </c>
      <c r="DL123" s="9">
        <f t="shared" si="47"/>
        <v>0</v>
      </c>
      <c r="DM123" s="9">
        <f t="shared" si="48"/>
        <v>1</v>
      </c>
      <c r="DP123">
        <f t="shared" si="49"/>
        <v>0.5</v>
      </c>
    </row>
    <row r="124" spans="11:120" x14ac:dyDescent="0.2">
      <c r="K124" s="9"/>
      <c r="CY124" t="str">
        <f t="shared" si="46"/>
        <v>单</v>
      </c>
      <c r="CZ124" s="47">
        <v>20112</v>
      </c>
      <c r="DA124" s="34">
        <v>20</v>
      </c>
      <c r="DB124" s="54"/>
      <c r="DC124" s="34">
        <v>13</v>
      </c>
      <c r="DD124" s="34">
        <v>25</v>
      </c>
      <c r="DE124" s="34"/>
      <c r="DF124" s="34"/>
      <c r="DG124" s="34">
        <v>100</v>
      </c>
      <c r="DH124" s="34"/>
      <c r="DI124" t="s">
        <v>3987</v>
      </c>
      <c r="DJ124" t="s">
        <v>4000</v>
      </c>
      <c r="DK124" t="s">
        <v>3881</v>
      </c>
      <c r="DL124" s="9">
        <f t="shared" si="47"/>
        <v>13</v>
      </c>
      <c r="DM124" s="9">
        <f t="shared" si="48"/>
        <v>25</v>
      </c>
      <c r="DN124" s="9">
        <v>30</v>
      </c>
      <c r="DP124">
        <f t="shared" si="49"/>
        <v>19</v>
      </c>
    </row>
    <row r="125" spans="11:120" x14ac:dyDescent="0.2">
      <c r="K125" s="9"/>
      <c r="CY125" t="str">
        <f t="shared" si="46"/>
        <v>双手</v>
      </c>
      <c r="CZ125" s="47">
        <v>20283</v>
      </c>
      <c r="DA125" s="34">
        <v>20</v>
      </c>
      <c r="DB125" s="54">
        <v>10</v>
      </c>
      <c r="DC125" s="34"/>
      <c r="DD125" s="34"/>
      <c r="DE125" s="34">
        <v>9</v>
      </c>
      <c r="DF125" s="34">
        <v>19</v>
      </c>
      <c r="DG125" s="34"/>
      <c r="DH125" s="34">
        <v>100</v>
      </c>
      <c r="DI125" t="s">
        <v>3783</v>
      </c>
      <c r="DJ125" t="s">
        <v>4001</v>
      </c>
      <c r="DK125" t="s">
        <v>3881</v>
      </c>
      <c r="DL125" s="9">
        <f t="shared" si="47"/>
        <v>9</v>
      </c>
      <c r="DM125" s="9">
        <f t="shared" si="48"/>
        <v>19</v>
      </c>
      <c r="DN125" s="9">
        <v>35</v>
      </c>
      <c r="DO125" s="9">
        <v>60</v>
      </c>
      <c r="DP125">
        <f t="shared" si="49"/>
        <v>12.6</v>
      </c>
    </row>
    <row r="126" spans="11:120" x14ac:dyDescent="0.2">
      <c r="K126" s="9"/>
      <c r="CY126" t="str">
        <f t="shared" si="46"/>
        <v>双手</v>
      </c>
      <c r="CZ126" s="47">
        <v>20285</v>
      </c>
      <c r="DA126" s="34">
        <v>20</v>
      </c>
      <c r="DB126" s="54">
        <v>10</v>
      </c>
      <c r="DC126" s="34"/>
      <c r="DD126" s="34"/>
      <c r="DE126" s="34">
        <v>23</v>
      </c>
      <c r="DF126" s="34">
        <v>55</v>
      </c>
      <c r="DG126" s="34">
        <v>80</v>
      </c>
      <c r="DH126" s="34">
        <v>50</v>
      </c>
      <c r="DI126" t="s">
        <v>3783</v>
      </c>
      <c r="DJ126" t="s">
        <v>4002</v>
      </c>
      <c r="DK126" t="s">
        <v>3881</v>
      </c>
      <c r="DL126" s="9">
        <f t="shared" si="47"/>
        <v>23</v>
      </c>
      <c r="DM126" s="9">
        <f t="shared" si="48"/>
        <v>55</v>
      </c>
      <c r="DN126" s="9">
        <v>63</v>
      </c>
      <c r="DO126" s="9">
        <v>52</v>
      </c>
      <c r="DP126">
        <f t="shared" si="49"/>
        <v>35.1</v>
      </c>
    </row>
    <row r="127" spans="11:120" x14ac:dyDescent="0.2">
      <c r="K127" s="9"/>
      <c r="CY127" t="str">
        <f t="shared" si="46"/>
        <v>双手</v>
      </c>
      <c r="CZ127" s="47">
        <v>20146</v>
      </c>
      <c r="DA127" s="34">
        <v>21</v>
      </c>
      <c r="DB127" s="54">
        <v>-10</v>
      </c>
      <c r="DC127" s="34"/>
      <c r="DD127" s="34"/>
      <c r="DE127" s="34">
        <v>10</v>
      </c>
      <c r="DF127" s="34">
        <v>37</v>
      </c>
      <c r="DG127" s="34">
        <v>100</v>
      </c>
      <c r="DH127" s="34"/>
      <c r="DI127" t="s">
        <v>3987</v>
      </c>
      <c r="DJ127" t="s">
        <v>4003</v>
      </c>
      <c r="DK127" t="s">
        <v>3881</v>
      </c>
      <c r="DL127" s="9">
        <f t="shared" si="47"/>
        <v>10</v>
      </c>
      <c r="DM127" s="9">
        <f t="shared" si="48"/>
        <v>37</v>
      </c>
      <c r="DN127" s="9">
        <v>25</v>
      </c>
      <c r="DO127" s="9">
        <v>25</v>
      </c>
      <c r="DP127">
        <f t="shared" si="49"/>
        <v>25.85</v>
      </c>
    </row>
    <row r="128" spans="11:120" x14ac:dyDescent="0.2">
      <c r="K128" s="9"/>
      <c r="CY128" t="str">
        <f t="shared" si="46"/>
        <v>双手</v>
      </c>
      <c r="CZ128" s="47">
        <v>20151</v>
      </c>
      <c r="DA128" s="34">
        <v>21</v>
      </c>
      <c r="DB128" s="54">
        <v>10</v>
      </c>
      <c r="DC128" s="34"/>
      <c r="DD128" s="34"/>
      <c r="DE128" s="34">
        <v>6</v>
      </c>
      <c r="DF128" s="34">
        <v>58</v>
      </c>
      <c r="DG128" s="34">
        <v>100</v>
      </c>
      <c r="DH128" s="34"/>
      <c r="DI128" t="s">
        <v>3987</v>
      </c>
      <c r="DJ128" t="s">
        <v>4004</v>
      </c>
      <c r="DK128" t="s">
        <v>3881</v>
      </c>
      <c r="DL128" s="9">
        <f t="shared" si="47"/>
        <v>6</v>
      </c>
      <c r="DM128" s="9">
        <f t="shared" si="48"/>
        <v>58</v>
      </c>
      <c r="DN128" s="9">
        <v>80</v>
      </c>
      <c r="DP128">
        <f t="shared" si="49"/>
        <v>28.8</v>
      </c>
    </row>
    <row r="129" spans="11:120" x14ac:dyDescent="0.2">
      <c r="K129" s="9"/>
      <c r="CY129" t="str">
        <f t="shared" si="46"/>
        <v>双手</v>
      </c>
      <c r="CZ129" s="47">
        <v>20163</v>
      </c>
      <c r="DA129" s="34">
        <v>21</v>
      </c>
      <c r="DB129" s="54">
        <v>-10</v>
      </c>
      <c r="DC129" s="34"/>
      <c r="DD129" s="34"/>
      <c r="DE129" s="34">
        <v>8</v>
      </c>
      <c r="DF129" s="34">
        <v>22</v>
      </c>
      <c r="DG129" s="34"/>
      <c r="DH129" s="34">
        <v>100</v>
      </c>
      <c r="DI129" t="s">
        <v>3987</v>
      </c>
      <c r="DJ129" t="s">
        <v>4005</v>
      </c>
      <c r="DK129" t="s">
        <v>3881</v>
      </c>
      <c r="DL129" s="9">
        <f t="shared" si="47"/>
        <v>8</v>
      </c>
      <c r="DM129" s="9">
        <f t="shared" si="48"/>
        <v>22</v>
      </c>
      <c r="DN129" s="9">
        <v>25</v>
      </c>
      <c r="DO129" s="9">
        <v>62</v>
      </c>
      <c r="DP129">
        <f t="shared" si="49"/>
        <v>16.5</v>
      </c>
    </row>
    <row r="130" spans="11:120" x14ac:dyDescent="0.2">
      <c r="K130" s="9"/>
      <c r="CY130" t="str">
        <f t="shared" si="46"/>
        <v>单</v>
      </c>
      <c r="CZ130" s="47">
        <v>20183</v>
      </c>
      <c r="DA130" s="34">
        <v>21</v>
      </c>
      <c r="DB130" s="54"/>
      <c r="DC130" s="34">
        <v>11</v>
      </c>
      <c r="DD130" s="34">
        <v>24</v>
      </c>
      <c r="DE130" s="34"/>
      <c r="DF130" s="34"/>
      <c r="DG130" s="34">
        <v>75</v>
      </c>
      <c r="DH130" s="34">
        <v>75</v>
      </c>
      <c r="DI130" t="s">
        <v>3987</v>
      </c>
      <c r="DJ130" t="s">
        <v>4006</v>
      </c>
      <c r="DK130" t="s">
        <v>3881</v>
      </c>
      <c r="DL130" s="9">
        <f t="shared" si="47"/>
        <v>11</v>
      </c>
      <c r="DM130" s="9">
        <f t="shared" si="48"/>
        <v>24</v>
      </c>
      <c r="DN130" s="9">
        <v>57</v>
      </c>
      <c r="DO130" s="9">
        <v>57</v>
      </c>
      <c r="DP130">
        <f t="shared" si="49"/>
        <v>17.5</v>
      </c>
    </row>
    <row r="131" spans="11:120" x14ac:dyDescent="0.2">
      <c r="K131" s="9"/>
      <c r="CY131" t="str">
        <f t="shared" si="46"/>
        <v>单</v>
      </c>
      <c r="CZ131" s="47">
        <v>20095</v>
      </c>
      <c r="DA131" s="34">
        <v>22</v>
      </c>
      <c r="DB131" s="54">
        <v>10</v>
      </c>
      <c r="DC131" s="34">
        <v>10</v>
      </c>
      <c r="DD131" s="34">
        <v>33</v>
      </c>
      <c r="DE131" s="34"/>
      <c r="DF131" s="34"/>
      <c r="DG131" s="34">
        <v>100</v>
      </c>
      <c r="DH131" s="34"/>
      <c r="DI131" t="s">
        <v>3987</v>
      </c>
      <c r="DJ131" t="s">
        <v>4007</v>
      </c>
      <c r="DK131" t="s">
        <v>3881</v>
      </c>
      <c r="DL131" s="9">
        <f t="shared" si="47"/>
        <v>10</v>
      </c>
      <c r="DM131" s="9">
        <f t="shared" si="48"/>
        <v>33</v>
      </c>
      <c r="DN131" s="9">
        <v>68</v>
      </c>
      <c r="DP131">
        <f t="shared" si="49"/>
        <v>19.350000000000001</v>
      </c>
    </row>
    <row r="132" spans="11:120" x14ac:dyDescent="0.2">
      <c r="K132" s="9"/>
      <c r="CY132" t="str">
        <f t="shared" si="46"/>
        <v>双手</v>
      </c>
      <c r="CZ132" s="47">
        <v>20099</v>
      </c>
      <c r="DA132" s="34">
        <v>22</v>
      </c>
      <c r="DB132" s="54">
        <v>-10</v>
      </c>
      <c r="DC132" s="34"/>
      <c r="DD132" s="34"/>
      <c r="DE132" s="34">
        <v>14</v>
      </c>
      <c r="DF132" s="34">
        <v>34</v>
      </c>
      <c r="DG132" s="34">
        <v>100</v>
      </c>
      <c r="DH132" s="34"/>
      <c r="DI132" t="s">
        <v>3987</v>
      </c>
      <c r="DJ132" t="s">
        <v>4008</v>
      </c>
      <c r="DK132" t="s">
        <v>3881</v>
      </c>
      <c r="DL132" s="9">
        <f t="shared" si="47"/>
        <v>14</v>
      </c>
      <c r="DM132" s="9">
        <f t="shared" si="48"/>
        <v>34</v>
      </c>
      <c r="DN132" s="9">
        <v>73</v>
      </c>
      <c r="DP132">
        <f t="shared" si="49"/>
        <v>26.400000000000002</v>
      </c>
    </row>
    <row r="133" spans="11:120" x14ac:dyDescent="0.2">
      <c r="K133" s="9"/>
      <c r="CY133" t="str">
        <f t="shared" ref="CY133:CY196" si="53">IF(DC133=0,"双手",IF(DE133=0,"单","单/双手"))</f>
        <v>单</v>
      </c>
      <c r="CZ133" s="47">
        <v>20138</v>
      </c>
      <c r="DA133" s="34">
        <v>22</v>
      </c>
      <c r="DB133" s="54">
        <v>10</v>
      </c>
      <c r="DC133" s="34">
        <v>11</v>
      </c>
      <c r="DD133" s="34">
        <v>22</v>
      </c>
      <c r="DE133" s="34"/>
      <c r="DF133" s="34"/>
      <c r="DG133" s="34">
        <v>75</v>
      </c>
      <c r="DH133" s="34">
        <v>75</v>
      </c>
      <c r="DI133" t="s">
        <v>3987</v>
      </c>
      <c r="DJ133" t="s">
        <v>4009</v>
      </c>
      <c r="DK133" t="s">
        <v>3881</v>
      </c>
      <c r="DL133" s="9">
        <f t="shared" ref="DL133:DL196" si="54">IF(DE133,DE133,DC133)</f>
        <v>11</v>
      </c>
      <c r="DM133" s="9">
        <f t="shared" ref="DM133:DM196" si="55">IF(DF133,DF133,DD133)</f>
        <v>22</v>
      </c>
      <c r="DN133" s="9">
        <v>25</v>
      </c>
      <c r="DO133" s="9">
        <v>80</v>
      </c>
      <c r="DP133">
        <f t="shared" ref="DP133:DP196" si="56">(DL133+DM133)/2*((100-DB133)/100)</f>
        <v>14.85</v>
      </c>
    </row>
    <row r="134" spans="11:120" x14ac:dyDescent="0.2">
      <c r="K134" s="9"/>
      <c r="CY134" t="str">
        <f t="shared" si="53"/>
        <v>双手</v>
      </c>
      <c r="CZ134" s="47">
        <v>20170</v>
      </c>
      <c r="DA134" s="34">
        <v>22</v>
      </c>
      <c r="DB134" s="54">
        <v>-10</v>
      </c>
      <c r="DC134" s="34"/>
      <c r="DD134" s="34"/>
      <c r="DE134" s="34">
        <v>14</v>
      </c>
      <c r="DF134" s="34">
        <v>27</v>
      </c>
      <c r="DG134" s="34"/>
      <c r="DH134" s="34">
        <v>100</v>
      </c>
      <c r="DI134" t="s">
        <v>3987</v>
      </c>
      <c r="DJ134" t="s">
        <v>4010</v>
      </c>
      <c r="DK134" t="s">
        <v>3881</v>
      </c>
      <c r="DL134" s="9">
        <f t="shared" si="54"/>
        <v>14</v>
      </c>
      <c r="DM134" s="9">
        <f t="shared" si="55"/>
        <v>27</v>
      </c>
      <c r="DN134" s="9">
        <v>52</v>
      </c>
      <c r="DO134" s="9">
        <v>61</v>
      </c>
      <c r="DP134">
        <f t="shared" si="56"/>
        <v>22.55</v>
      </c>
    </row>
    <row r="135" spans="11:120" x14ac:dyDescent="0.2">
      <c r="K135" s="9"/>
      <c r="CY135" t="str">
        <f t="shared" si="53"/>
        <v>单</v>
      </c>
      <c r="CZ135" s="47">
        <v>20113</v>
      </c>
      <c r="DA135" s="34">
        <v>23</v>
      </c>
      <c r="DB135" s="54"/>
      <c r="DC135" s="34">
        <v>15</v>
      </c>
      <c r="DD135" s="34">
        <v>23</v>
      </c>
      <c r="DE135" s="34"/>
      <c r="DF135" s="34"/>
      <c r="DG135" s="34">
        <v>100</v>
      </c>
      <c r="DH135" s="34"/>
      <c r="DI135" t="s">
        <v>3987</v>
      </c>
      <c r="DJ135" t="s">
        <v>4011</v>
      </c>
      <c r="DK135" t="s">
        <v>3881</v>
      </c>
      <c r="DL135" s="9">
        <f t="shared" si="54"/>
        <v>15</v>
      </c>
      <c r="DM135" s="9">
        <f t="shared" si="55"/>
        <v>23</v>
      </c>
      <c r="DN135" s="9">
        <v>61</v>
      </c>
      <c r="DP135">
        <f t="shared" si="56"/>
        <v>19</v>
      </c>
    </row>
    <row r="136" spans="11:120" x14ac:dyDescent="0.2">
      <c r="K136" s="9"/>
      <c r="CY136" t="str">
        <f t="shared" si="53"/>
        <v>单</v>
      </c>
      <c r="CZ136" s="47">
        <v>20121</v>
      </c>
      <c r="DA136" s="34">
        <v>23</v>
      </c>
      <c r="DB136" s="54">
        <v>-10</v>
      </c>
      <c r="DC136" s="34">
        <v>10</v>
      </c>
      <c r="DD136" s="34">
        <v>24</v>
      </c>
      <c r="DE136" s="34"/>
      <c r="DF136" s="34"/>
      <c r="DG136" s="34">
        <v>100</v>
      </c>
      <c r="DH136" s="34"/>
      <c r="DI136" t="s">
        <v>3987</v>
      </c>
      <c r="DJ136" t="s">
        <v>4012</v>
      </c>
      <c r="DK136" t="s">
        <v>3881</v>
      </c>
      <c r="DL136" s="9">
        <f t="shared" si="54"/>
        <v>10</v>
      </c>
      <c r="DM136" s="9">
        <f t="shared" si="55"/>
        <v>24</v>
      </c>
      <c r="DN136" s="9">
        <v>58</v>
      </c>
      <c r="DO136" s="9">
        <v>58</v>
      </c>
      <c r="DP136">
        <f t="shared" si="56"/>
        <v>18.700000000000003</v>
      </c>
    </row>
    <row r="137" spans="11:120" x14ac:dyDescent="0.2">
      <c r="K137" s="9"/>
      <c r="CY137" t="str">
        <f t="shared" si="53"/>
        <v>双手</v>
      </c>
      <c r="CZ137" s="47">
        <v>20154</v>
      </c>
      <c r="DA137" s="34">
        <v>23</v>
      </c>
      <c r="DB137" s="54">
        <v>10</v>
      </c>
      <c r="DC137" s="34"/>
      <c r="DD137" s="34"/>
      <c r="DE137" s="34">
        <v>34</v>
      </c>
      <c r="DF137" s="34">
        <v>75</v>
      </c>
      <c r="DG137" s="34">
        <v>100</v>
      </c>
      <c r="DH137" s="34"/>
      <c r="DI137" t="s">
        <v>3987</v>
      </c>
      <c r="DJ137" t="s">
        <v>4013</v>
      </c>
      <c r="DK137" t="s">
        <v>3908</v>
      </c>
      <c r="DL137" s="9">
        <f t="shared" si="54"/>
        <v>34</v>
      </c>
      <c r="DM137" s="9">
        <f t="shared" si="55"/>
        <v>75</v>
      </c>
      <c r="DN137" s="9">
        <v>113</v>
      </c>
      <c r="DO137" s="9">
        <v>67</v>
      </c>
      <c r="DP137">
        <f t="shared" si="56"/>
        <v>49.050000000000004</v>
      </c>
    </row>
    <row r="138" spans="11:120" x14ac:dyDescent="0.2">
      <c r="K138" s="9"/>
      <c r="CY138" t="str">
        <f t="shared" si="53"/>
        <v>双手</v>
      </c>
      <c r="CZ138" s="47">
        <v>20158</v>
      </c>
      <c r="DA138" s="34">
        <v>23</v>
      </c>
      <c r="DB138" s="54"/>
      <c r="DC138" s="34"/>
      <c r="DD138" s="34"/>
      <c r="DE138" s="34">
        <v>8</v>
      </c>
      <c r="DF138" s="34">
        <v>26</v>
      </c>
      <c r="DG138" s="34">
        <v>100</v>
      </c>
      <c r="DH138" s="34"/>
      <c r="DI138" t="s">
        <v>3987</v>
      </c>
      <c r="DJ138" t="s">
        <v>4014</v>
      </c>
      <c r="DK138" t="s">
        <v>3908</v>
      </c>
      <c r="DL138" s="9">
        <f t="shared" si="54"/>
        <v>8</v>
      </c>
      <c r="DM138" s="9">
        <f t="shared" si="55"/>
        <v>26</v>
      </c>
      <c r="DN138" s="9">
        <v>25</v>
      </c>
      <c r="DP138">
        <f t="shared" si="56"/>
        <v>17</v>
      </c>
    </row>
    <row r="139" spans="11:120" x14ac:dyDescent="0.2">
      <c r="K139" s="9"/>
      <c r="CY139" t="str">
        <f t="shared" si="53"/>
        <v>双手</v>
      </c>
      <c r="CZ139" s="47">
        <v>20164</v>
      </c>
      <c r="DA139" s="34">
        <v>23</v>
      </c>
      <c r="DB139" s="54"/>
      <c r="DC139" s="34"/>
      <c r="DD139" s="34"/>
      <c r="DE139" s="34">
        <v>10</v>
      </c>
      <c r="DF139" s="34">
        <v>29</v>
      </c>
      <c r="DG139" s="34"/>
      <c r="DH139" s="34">
        <v>100</v>
      </c>
      <c r="DI139" t="s">
        <v>3987</v>
      </c>
      <c r="DJ139" t="s">
        <v>4015</v>
      </c>
      <c r="DK139" t="s">
        <v>3908</v>
      </c>
      <c r="DL139" s="9">
        <f t="shared" si="54"/>
        <v>10</v>
      </c>
      <c r="DM139" s="9">
        <f t="shared" si="55"/>
        <v>29</v>
      </c>
      <c r="DN139" s="9">
        <v>53</v>
      </c>
      <c r="DO139" s="9">
        <v>49</v>
      </c>
      <c r="DP139">
        <f t="shared" si="56"/>
        <v>19.5</v>
      </c>
    </row>
    <row r="140" spans="11:120" x14ac:dyDescent="0.2">
      <c r="K140" s="9"/>
      <c r="CY140" t="str">
        <f t="shared" si="53"/>
        <v>双手</v>
      </c>
      <c r="CZ140" s="47">
        <v>20081</v>
      </c>
      <c r="DA140" s="34">
        <v>24</v>
      </c>
      <c r="DB140" s="54"/>
      <c r="DC140" s="34">
        <v>0</v>
      </c>
      <c r="DD140" s="34">
        <v>1</v>
      </c>
      <c r="DE140" s="34"/>
      <c r="DF140" s="34"/>
      <c r="DG140" s="34"/>
      <c r="DH140" s="34"/>
      <c r="DI140" t="s">
        <v>3961</v>
      </c>
      <c r="DJ140" t="s">
        <v>4016</v>
      </c>
      <c r="DK140" t="s">
        <v>3908</v>
      </c>
      <c r="DL140" s="9">
        <f t="shared" si="54"/>
        <v>0</v>
      </c>
      <c r="DM140" s="9">
        <f t="shared" si="55"/>
        <v>1</v>
      </c>
      <c r="DP140">
        <f t="shared" si="56"/>
        <v>0.5</v>
      </c>
    </row>
    <row r="141" spans="11:120" x14ac:dyDescent="0.2">
      <c r="K141" s="9"/>
      <c r="CY141" t="str">
        <f t="shared" si="53"/>
        <v>单</v>
      </c>
      <c r="CZ141" s="47">
        <v>20134</v>
      </c>
      <c r="DA141" s="34">
        <v>24</v>
      </c>
      <c r="DB141" s="54"/>
      <c r="DC141" s="34">
        <v>10</v>
      </c>
      <c r="DD141" s="34">
        <v>26</v>
      </c>
      <c r="DE141" s="34"/>
      <c r="DF141" s="34"/>
      <c r="DG141" s="34">
        <v>75</v>
      </c>
      <c r="DH141" s="34">
        <v>75</v>
      </c>
      <c r="DI141" t="s">
        <v>3987</v>
      </c>
      <c r="DJ141" t="s">
        <v>4017</v>
      </c>
      <c r="DK141" t="s">
        <v>3913</v>
      </c>
      <c r="DL141" s="9">
        <f t="shared" si="54"/>
        <v>10</v>
      </c>
      <c r="DM141" s="9">
        <f t="shared" si="55"/>
        <v>26</v>
      </c>
      <c r="DN141" s="9">
        <v>25</v>
      </c>
      <c r="DO141" s="9">
        <v>58</v>
      </c>
      <c r="DP141">
        <f t="shared" si="56"/>
        <v>18</v>
      </c>
    </row>
    <row r="142" spans="11:120" x14ac:dyDescent="0.2">
      <c r="K142" s="9"/>
      <c r="CY142" t="str">
        <f t="shared" si="53"/>
        <v>双手</v>
      </c>
      <c r="CZ142" s="47">
        <v>20147</v>
      </c>
      <c r="DA142" s="34">
        <v>24</v>
      </c>
      <c r="DB142" s="54"/>
      <c r="DC142" s="34"/>
      <c r="DD142" s="34"/>
      <c r="DE142" s="34">
        <v>19</v>
      </c>
      <c r="DF142" s="34">
        <v>37</v>
      </c>
      <c r="DG142" s="34">
        <v>100</v>
      </c>
      <c r="DH142" s="34"/>
      <c r="DI142" t="s">
        <v>3987</v>
      </c>
      <c r="DJ142" t="s">
        <v>4018</v>
      </c>
      <c r="DK142" t="s">
        <v>3915</v>
      </c>
      <c r="DL142" s="9">
        <f t="shared" si="54"/>
        <v>19</v>
      </c>
      <c r="DM142" s="9">
        <f t="shared" si="55"/>
        <v>37</v>
      </c>
      <c r="DN142" s="9">
        <v>77</v>
      </c>
      <c r="DO142" s="9">
        <v>25</v>
      </c>
      <c r="DP142">
        <f t="shared" si="56"/>
        <v>28</v>
      </c>
    </row>
    <row r="143" spans="11:120" x14ac:dyDescent="0.2">
      <c r="K143" s="9"/>
      <c r="CY143" t="str">
        <f t="shared" si="53"/>
        <v>单</v>
      </c>
      <c r="CZ143" s="47">
        <v>20184</v>
      </c>
      <c r="DA143" s="34">
        <v>24</v>
      </c>
      <c r="DB143" s="54">
        <v>-10</v>
      </c>
      <c r="DC143" s="34">
        <v>13</v>
      </c>
      <c r="DD143" s="34">
        <v>27</v>
      </c>
      <c r="DE143" s="34"/>
      <c r="DF143" s="34"/>
      <c r="DG143" s="34">
        <v>75</v>
      </c>
      <c r="DH143" s="34">
        <v>75</v>
      </c>
      <c r="DI143" t="s">
        <v>3987</v>
      </c>
      <c r="DJ143" t="s">
        <v>4019</v>
      </c>
      <c r="DK143" t="s">
        <v>3913</v>
      </c>
      <c r="DL143" s="9">
        <f t="shared" si="54"/>
        <v>13</v>
      </c>
      <c r="DM143" s="9">
        <f t="shared" si="55"/>
        <v>27</v>
      </c>
      <c r="DN143" s="9">
        <v>66</v>
      </c>
      <c r="DO143" s="9">
        <v>66</v>
      </c>
      <c r="DP143">
        <f t="shared" si="56"/>
        <v>22</v>
      </c>
    </row>
    <row r="144" spans="11:120" x14ac:dyDescent="0.2">
      <c r="K144" s="9"/>
      <c r="CY144" t="str">
        <f t="shared" si="53"/>
        <v>单</v>
      </c>
      <c r="CZ144" s="47">
        <v>20287</v>
      </c>
      <c r="DA144" s="34">
        <v>24</v>
      </c>
      <c r="DB144" s="54">
        <v>-10</v>
      </c>
      <c r="DC144" s="34">
        <v>8</v>
      </c>
      <c r="DD144" s="34">
        <v>21</v>
      </c>
      <c r="DE144" s="34"/>
      <c r="DF144" s="34"/>
      <c r="DG144" s="34">
        <v>100</v>
      </c>
      <c r="DH144" s="34"/>
      <c r="DI144" t="s">
        <v>3987</v>
      </c>
      <c r="DJ144" t="s">
        <v>4020</v>
      </c>
      <c r="DK144" t="s">
        <v>3915</v>
      </c>
      <c r="DL144" s="9">
        <f t="shared" si="54"/>
        <v>8</v>
      </c>
      <c r="DM144" s="9">
        <f t="shared" si="55"/>
        <v>21</v>
      </c>
      <c r="DP144">
        <f t="shared" si="56"/>
        <v>15.950000000000001</v>
      </c>
    </row>
    <row r="145" spans="11:120" x14ac:dyDescent="0.2">
      <c r="K145" s="9"/>
      <c r="CY145" t="str">
        <f t="shared" si="53"/>
        <v>单</v>
      </c>
      <c r="CZ145" s="47">
        <v>20096</v>
      </c>
      <c r="DA145" s="34">
        <v>25</v>
      </c>
      <c r="DB145" s="54">
        <v>10</v>
      </c>
      <c r="DC145" s="34">
        <v>13</v>
      </c>
      <c r="DD145" s="34">
        <v>38</v>
      </c>
      <c r="DE145" s="34"/>
      <c r="DF145" s="34"/>
      <c r="DG145" s="34">
        <v>100</v>
      </c>
      <c r="DH145" s="34"/>
      <c r="DI145" t="s">
        <v>3987</v>
      </c>
      <c r="DJ145" t="s">
        <v>4021</v>
      </c>
      <c r="DK145" t="s">
        <v>3919</v>
      </c>
      <c r="DL145" s="9">
        <f t="shared" si="54"/>
        <v>13</v>
      </c>
      <c r="DM145" s="9">
        <f t="shared" si="55"/>
        <v>38</v>
      </c>
      <c r="DN145" s="9">
        <v>85</v>
      </c>
      <c r="DP145">
        <f t="shared" si="56"/>
        <v>22.95</v>
      </c>
    </row>
    <row r="146" spans="11:120" x14ac:dyDescent="0.2">
      <c r="K146" s="9"/>
      <c r="CY146" t="str">
        <f t="shared" si="53"/>
        <v>单</v>
      </c>
      <c r="CZ146" s="47">
        <v>20097</v>
      </c>
      <c r="DA146" s="34">
        <v>25</v>
      </c>
      <c r="DB146" s="54">
        <v>-10</v>
      </c>
      <c r="DC146" s="34">
        <v>14</v>
      </c>
      <c r="DD146" s="34">
        <v>34</v>
      </c>
      <c r="DE146" s="34"/>
      <c r="DF146" s="34"/>
      <c r="DG146" s="34">
        <v>100</v>
      </c>
      <c r="DH146" s="34"/>
      <c r="DI146" t="s">
        <v>3987</v>
      </c>
      <c r="DJ146" t="s">
        <v>4022</v>
      </c>
      <c r="DK146" t="s">
        <v>3919</v>
      </c>
      <c r="DL146" s="9">
        <f t="shared" si="54"/>
        <v>14</v>
      </c>
      <c r="DM146" s="9">
        <f t="shared" si="55"/>
        <v>34</v>
      </c>
      <c r="DN146" s="9">
        <v>94</v>
      </c>
      <c r="DO146" s="9">
        <v>70</v>
      </c>
      <c r="DP146">
        <f t="shared" si="56"/>
        <v>26.400000000000002</v>
      </c>
    </row>
    <row r="147" spans="11:120" x14ac:dyDescent="0.2">
      <c r="K147" s="9"/>
      <c r="CY147" t="str">
        <f t="shared" si="53"/>
        <v>单</v>
      </c>
      <c r="CZ147" s="47">
        <v>20098</v>
      </c>
      <c r="DA147" s="34">
        <v>25</v>
      </c>
      <c r="DB147" s="54"/>
      <c r="DC147" s="34">
        <v>16</v>
      </c>
      <c r="DD147" s="34">
        <v>45</v>
      </c>
      <c r="DE147" s="34"/>
      <c r="DF147" s="34"/>
      <c r="DG147" s="34">
        <v>100</v>
      </c>
      <c r="DH147" s="34"/>
      <c r="DI147" t="s">
        <v>3987</v>
      </c>
      <c r="DJ147" t="s">
        <v>4023</v>
      </c>
      <c r="DK147" t="s">
        <v>3919</v>
      </c>
      <c r="DL147" s="9">
        <f t="shared" si="54"/>
        <v>16</v>
      </c>
      <c r="DM147" s="9">
        <f t="shared" si="55"/>
        <v>45</v>
      </c>
      <c r="DN147" s="9">
        <v>121</v>
      </c>
      <c r="DP147">
        <f t="shared" si="56"/>
        <v>30.5</v>
      </c>
    </row>
    <row r="148" spans="11:120" x14ac:dyDescent="0.2">
      <c r="K148" s="9"/>
      <c r="CY148" t="str">
        <f t="shared" si="53"/>
        <v>双手</v>
      </c>
      <c r="CZ148" s="47">
        <v>20100</v>
      </c>
      <c r="DA148" s="34">
        <v>25</v>
      </c>
      <c r="DB148" s="54"/>
      <c r="DC148" s="34"/>
      <c r="DD148" s="34"/>
      <c r="DE148" s="34">
        <v>21</v>
      </c>
      <c r="DF148" s="34">
        <v>49</v>
      </c>
      <c r="DG148" s="34">
        <v>100</v>
      </c>
      <c r="DH148" s="34"/>
      <c r="DI148" t="s">
        <v>3987</v>
      </c>
      <c r="DJ148" t="s">
        <v>4024</v>
      </c>
      <c r="DK148" t="s">
        <v>3919</v>
      </c>
      <c r="DL148" s="9">
        <f t="shared" si="54"/>
        <v>21</v>
      </c>
      <c r="DM148" s="9">
        <f t="shared" si="55"/>
        <v>49</v>
      </c>
      <c r="DN148" s="9">
        <v>92</v>
      </c>
      <c r="DP148">
        <f t="shared" si="56"/>
        <v>35</v>
      </c>
    </row>
    <row r="149" spans="11:120" x14ac:dyDescent="0.2">
      <c r="K149" s="9"/>
      <c r="CY149" t="str">
        <f t="shared" si="53"/>
        <v>双手</v>
      </c>
      <c r="CZ149" s="47">
        <v>20101</v>
      </c>
      <c r="DA149" s="34">
        <v>25</v>
      </c>
      <c r="DB149" s="54">
        <v>10</v>
      </c>
      <c r="DC149" s="34"/>
      <c r="DD149" s="34"/>
      <c r="DE149" s="34">
        <v>24</v>
      </c>
      <c r="DF149" s="34">
        <v>77</v>
      </c>
      <c r="DG149" s="34">
        <v>100</v>
      </c>
      <c r="DH149" s="34"/>
      <c r="DI149" t="s">
        <v>3987</v>
      </c>
      <c r="DJ149" t="s">
        <v>4025</v>
      </c>
      <c r="DK149" t="s">
        <v>3919</v>
      </c>
      <c r="DL149" s="9">
        <f t="shared" si="54"/>
        <v>24</v>
      </c>
      <c r="DM149" s="9">
        <f t="shared" si="55"/>
        <v>77</v>
      </c>
      <c r="DN149" s="9">
        <v>101</v>
      </c>
      <c r="DP149">
        <f t="shared" si="56"/>
        <v>45.45</v>
      </c>
    </row>
    <row r="150" spans="11:120" x14ac:dyDescent="0.2">
      <c r="K150" s="9"/>
      <c r="CY150" t="str">
        <f t="shared" si="53"/>
        <v>双手</v>
      </c>
      <c r="CZ150" s="47">
        <v>20102</v>
      </c>
      <c r="DA150" s="34">
        <v>25</v>
      </c>
      <c r="DB150" s="54">
        <v>-10</v>
      </c>
      <c r="DC150" s="34"/>
      <c r="DD150" s="34"/>
      <c r="DE150" s="34">
        <v>18</v>
      </c>
      <c r="DF150" s="34">
        <v>70</v>
      </c>
      <c r="DG150" s="34">
        <v>100</v>
      </c>
      <c r="DH150" s="34"/>
      <c r="DI150" t="s">
        <v>3987</v>
      </c>
      <c r="DJ150" t="s">
        <v>4026</v>
      </c>
      <c r="DK150" t="s">
        <v>3925</v>
      </c>
      <c r="DL150" s="9">
        <f t="shared" si="54"/>
        <v>18</v>
      </c>
      <c r="DM150" s="9">
        <f t="shared" si="55"/>
        <v>70</v>
      </c>
      <c r="DN150" s="9">
        <v>115</v>
      </c>
      <c r="DO150" s="9">
        <v>79</v>
      </c>
      <c r="DP150">
        <f t="shared" si="56"/>
        <v>48.400000000000006</v>
      </c>
    </row>
    <row r="151" spans="11:120" x14ac:dyDescent="0.2">
      <c r="K151" s="9"/>
      <c r="CY151" t="str">
        <f t="shared" si="53"/>
        <v>双手</v>
      </c>
      <c r="CZ151" s="47">
        <v>20103</v>
      </c>
      <c r="DA151" s="34">
        <v>25</v>
      </c>
      <c r="DB151" s="54">
        <v>10</v>
      </c>
      <c r="DC151" s="34"/>
      <c r="DD151" s="34"/>
      <c r="DE151" s="34">
        <v>43</v>
      </c>
      <c r="DF151" s="34">
        <v>85</v>
      </c>
      <c r="DG151" s="34">
        <v>100</v>
      </c>
      <c r="DH151" s="34"/>
      <c r="DI151" t="s">
        <v>3987</v>
      </c>
      <c r="DJ151" t="s">
        <v>4027</v>
      </c>
      <c r="DK151" t="s">
        <v>3925</v>
      </c>
      <c r="DL151" s="9">
        <f t="shared" si="54"/>
        <v>43</v>
      </c>
      <c r="DM151" s="9">
        <f t="shared" si="55"/>
        <v>85</v>
      </c>
      <c r="DN151" s="9">
        <v>125</v>
      </c>
      <c r="DP151">
        <f t="shared" si="56"/>
        <v>57.6</v>
      </c>
    </row>
    <row r="152" spans="11:120" x14ac:dyDescent="0.2">
      <c r="K152" s="9"/>
      <c r="CY152" t="str">
        <f t="shared" si="53"/>
        <v>单</v>
      </c>
      <c r="CZ152" s="47">
        <v>20105</v>
      </c>
      <c r="DA152" s="34">
        <v>25</v>
      </c>
      <c r="DB152" s="54">
        <v>10</v>
      </c>
      <c r="DC152" s="34">
        <v>8</v>
      </c>
      <c r="DD152" s="34">
        <v>24</v>
      </c>
      <c r="DE152" s="34"/>
      <c r="DF152" s="34"/>
      <c r="DG152" s="34">
        <v>100</v>
      </c>
      <c r="DH152" s="34"/>
      <c r="DI152" t="s">
        <v>3987</v>
      </c>
      <c r="DJ152" t="s">
        <v>4028</v>
      </c>
      <c r="DK152" t="s">
        <v>3925</v>
      </c>
      <c r="DL152" s="9">
        <f t="shared" si="54"/>
        <v>8</v>
      </c>
      <c r="DM152" s="9">
        <f t="shared" si="55"/>
        <v>24</v>
      </c>
      <c r="DN152" s="9">
        <v>25</v>
      </c>
      <c r="DP152">
        <f t="shared" si="56"/>
        <v>14.4</v>
      </c>
    </row>
    <row r="153" spans="11:120" x14ac:dyDescent="0.2">
      <c r="K153" s="9"/>
      <c r="CY153" t="str">
        <f t="shared" si="53"/>
        <v>单</v>
      </c>
      <c r="CZ153" s="47">
        <v>20106</v>
      </c>
      <c r="DA153" s="34">
        <v>25</v>
      </c>
      <c r="DB153" s="54">
        <v>-20</v>
      </c>
      <c r="DC153" s="34">
        <v>10</v>
      </c>
      <c r="DD153" s="34">
        <v>22</v>
      </c>
      <c r="DE153" s="34"/>
      <c r="DF153" s="34"/>
      <c r="DG153" s="34">
        <v>100</v>
      </c>
      <c r="DH153" s="34"/>
      <c r="DI153" t="s">
        <v>3987</v>
      </c>
      <c r="DJ153" t="s">
        <v>4029</v>
      </c>
      <c r="DK153" t="s">
        <v>3925</v>
      </c>
      <c r="DL153" s="9">
        <f t="shared" si="54"/>
        <v>10</v>
      </c>
      <c r="DM153" s="9">
        <f t="shared" si="55"/>
        <v>22</v>
      </c>
      <c r="DN153" s="9">
        <v>25</v>
      </c>
      <c r="DP153">
        <f t="shared" si="56"/>
        <v>19.2</v>
      </c>
    </row>
    <row r="154" spans="11:120" x14ac:dyDescent="0.2">
      <c r="K154" s="9"/>
      <c r="CY154" t="str">
        <f t="shared" si="53"/>
        <v>单</v>
      </c>
      <c r="CZ154" s="47">
        <v>20107</v>
      </c>
      <c r="DA154" s="34">
        <v>25</v>
      </c>
      <c r="DB154" s="54"/>
      <c r="DC154" s="34">
        <v>13</v>
      </c>
      <c r="DD154" s="34">
        <v>29</v>
      </c>
      <c r="DE154" s="34"/>
      <c r="DF154" s="34"/>
      <c r="DG154" s="34">
        <v>100</v>
      </c>
      <c r="DH154" s="34"/>
      <c r="DI154" t="s">
        <v>3987</v>
      </c>
      <c r="DJ154" t="s">
        <v>4030</v>
      </c>
      <c r="DK154" t="s">
        <v>3925</v>
      </c>
      <c r="DL154" s="9">
        <f t="shared" si="54"/>
        <v>13</v>
      </c>
      <c r="DM154" s="9">
        <f t="shared" si="55"/>
        <v>29</v>
      </c>
      <c r="DN154" s="9">
        <v>25</v>
      </c>
      <c r="DP154">
        <f t="shared" si="56"/>
        <v>21</v>
      </c>
    </row>
    <row r="155" spans="11:120" x14ac:dyDescent="0.2">
      <c r="K155" s="9"/>
      <c r="CY155" t="str">
        <f t="shared" si="53"/>
        <v>单</v>
      </c>
      <c r="CZ155" s="47">
        <v>20110</v>
      </c>
      <c r="DA155" s="34">
        <v>25</v>
      </c>
      <c r="DB155" s="54">
        <v>10</v>
      </c>
      <c r="DC155" s="34">
        <v>14</v>
      </c>
      <c r="DD155" s="34">
        <v>36</v>
      </c>
      <c r="DE155" s="34"/>
      <c r="DF155" s="34"/>
      <c r="DG155" s="34">
        <v>100</v>
      </c>
      <c r="DH155" s="34"/>
      <c r="DI155" t="s">
        <v>3987</v>
      </c>
      <c r="DJ155" t="s">
        <v>4031</v>
      </c>
      <c r="DK155" t="s">
        <v>3931</v>
      </c>
      <c r="DL155" s="9">
        <f t="shared" si="54"/>
        <v>14</v>
      </c>
      <c r="DM155" s="9">
        <f t="shared" si="55"/>
        <v>36</v>
      </c>
      <c r="DN155" s="9">
        <v>76</v>
      </c>
      <c r="DP155">
        <f t="shared" si="56"/>
        <v>22.5</v>
      </c>
    </row>
    <row r="156" spans="11:120" x14ac:dyDescent="0.2">
      <c r="K156" s="9"/>
      <c r="CY156" t="str">
        <f t="shared" si="53"/>
        <v>单</v>
      </c>
      <c r="CZ156" s="47">
        <v>20111</v>
      </c>
      <c r="DA156" s="34">
        <v>25</v>
      </c>
      <c r="DB156" s="54">
        <v>-10</v>
      </c>
      <c r="DC156" s="34">
        <v>16</v>
      </c>
      <c r="DD156" s="34">
        <v>38</v>
      </c>
      <c r="DE156" s="34"/>
      <c r="DF156" s="34"/>
      <c r="DG156" s="34">
        <v>100</v>
      </c>
      <c r="DH156" s="34"/>
      <c r="DI156" t="s">
        <v>3987</v>
      </c>
      <c r="DJ156" t="s">
        <v>4032</v>
      </c>
      <c r="DK156" t="s">
        <v>3931</v>
      </c>
      <c r="DL156" s="9">
        <f t="shared" si="54"/>
        <v>16</v>
      </c>
      <c r="DM156" s="9">
        <f t="shared" si="55"/>
        <v>38</v>
      </c>
      <c r="DN156" s="9">
        <v>103</v>
      </c>
      <c r="DP156">
        <f t="shared" si="56"/>
        <v>29.700000000000003</v>
      </c>
    </row>
    <row r="157" spans="11:120" x14ac:dyDescent="0.2">
      <c r="K157" s="9"/>
      <c r="CY157" t="str">
        <f t="shared" si="53"/>
        <v>单</v>
      </c>
      <c r="CZ157" s="47">
        <v>20114</v>
      </c>
      <c r="DA157" s="34">
        <v>25</v>
      </c>
      <c r="DB157" s="54">
        <v>10</v>
      </c>
      <c r="DC157" s="34">
        <v>20</v>
      </c>
      <c r="DD157" s="34">
        <v>31</v>
      </c>
      <c r="DE157" s="34"/>
      <c r="DF157" s="34"/>
      <c r="DG157" s="34">
        <v>100</v>
      </c>
      <c r="DH157" s="34"/>
      <c r="DI157" t="s">
        <v>3987</v>
      </c>
      <c r="DJ157" t="s">
        <v>4033</v>
      </c>
      <c r="DK157" t="s">
        <v>3931</v>
      </c>
      <c r="DL157" s="9">
        <f t="shared" si="54"/>
        <v>20</v>
      </c>
      <c r="DM157" s="9">
        <f t="shared" si="55"/>
        <v>31</v>
      </c>
      <c r="DN157" s="9">
        <v>74</v>
      </c>
      <c r="DP157">
        <f t="shared" si="56"/>
        <v>22.95</v>
      </c>
    </row>
    <row r="158" spans="11:120" x14ac:dyDescent="0.2">
      <c r="CY158" t="str">
        <f t="shared" si="53"/>
        <v>单</v>
      </c>
      <c r="CZ158" s="47">
        <v>20115</v>
      </c>
      <c r="DA158" s="34">
        <v>25</v>
      </c>
      <c r="DB158" s="54">
        <v>-10</v>
      </c>
      <c r="DC158" s="34">
        <v>13</v>
      </c>
      <c r="DD158" s="34">
        <v>35</v>
      </c>
      <c r="DE158" s="34"/>
      <c r="DF158" s="34"/>
      <c r="DG158" s="34">
        <v>100</v>
      </c>
      <c r="DH158" s="34"/>
      <c r="DI158" t="s">
        <v>3987</v>
      </c>
      <c r="DJ158" t="s">
        <v>4034</v>
      </c>
      <c r="DK158" t="s">
        <v>3931</v>
      </c>
      <c r="DL158" s="9">
        <f t="shared" si="54"/>
        <v>13</v>
      </c>
      <c r="DM158" s="9">
        <f t="shared" si="55"/>
        <v>35</v>
      </c>
      <c r="DN158" s="9">
        <v>82</v>
      </c>
      <c r="DO158" s="9">
        <v>73</v>
      </c>
      <c r="DP158">
        <f t="shared" si="56"/>
        <v>26.400000000000002</v>
      </c>
    </row>
    <row r="159" spans="11:120" x14ac:dyDescent="0.2">
      <c r="CY159" t="str">
        <f t="shared" si="53"/>
        <v>单</v>
      </c>
      <c r="CZ159" s="47">
        <v>20116</v>
      </c>
      <c r="DA159" s="34">
        <v>25</v>
      </c>
      <c r="DB159" s="54">
        <v>20</v>
      </c>
      <c r="DC159" s="34">
        <v>35</v>
      </c>
      <c r="DD159" s="34">
        <v>58</v>
      </c>
      <c r="DE159" s="34"/>
      <c r="DF159" s="34"/>
      <c r="DG159" s="34">
        <v>110</v>
      </c>
      <c r="DH159" s="34"/>
      <c r="DI159" t="s">
        <v>3987</v>
      </c>
      <c r="DJ159" t="s">
        <v>4035</v>
      </c>
      <c r="DK159" t="s">
        <v>3931</v>
      </c>
      <c r="DL159" s="9">
        <f t="shared" si="54"/>
        <v>35</v>
      </c>
      <c r="DM159" s="9">
        <f t="shared" si="55"/>
        <v>58</v>
      </c>
      <c r="DN159" s="9">
        <v>100</v>
      </c>
      <c r="DP159">
        <f t="shared" si="56"/>
        <v>37.200000000000003</v>
      </c>
    </row>
    <row r="160" spans="11:120" x14ac:dyDescent="0.2">
      <c r="CY160" t="str">
        <f t="shared" si="53"/>
        <v>双手</v>
      </c>
      <c r="CZ160" s="47">
        <v>20117</v>
      </c>
      <c r="DA160" s="34">
        <v>25</v>
      </c>
      <c r="DB160" s="54">
        <v>10</v>
      </c>
      <c r="DC160" s="34"/>
      <c r="DD160" s="34"/>
      <c r="DE160" s="34">
        <v>53</v>
      </c>
      <c r="DF160" s="34">
        <v>78</v>
      </c>
      <c r="DG160" s="34">
        <v>110</v>
      </c>
      <c r="DH160" s="34"/>
      <c r="DI160" t="s">
        <v>3987</v>
      </c>
      <c r="DJ160" t="s">
        <v>4036</v>
      </c>
      <c r="DK160" t="s">
        <v>3931</v>
      </c>
      <c r="DL160" s="9">
        <f t="shared" si="54"/>
        <v>53</v>
      </c>
      <c r="DM160" s="9">
        <f t="shared" si="55"/>
        <v>78</v>
      </c>
      <c r="DN160" s="9">
        <v>124</v>
      </c>
      <c r="DP160">
        <f t="shared" si="56"/>
        <v>58.95</v>
      </c>
    </row>
    <row r="161" spans="103:120" x14ac:dyDescent="0.2">
      <c r="CY161" t="str">
        <f t="shared" si="53"/>
        <v>双手</v>
      </c>
      <c r="CZ161" s="47">
        <v>20118</v>
      </c>
      <c r="DA161" s="34">
        <v>25</v>
      </c>
      <c r="DB161" s="54">
        <v>20</v>
      </c>
      <c r="DC161" s="34"/>
      <c r="DD161" s="34"/>
      <c r="DE161" s="34">
        <v>61</v>
      </c>
      <c r="DF161" s="34">
        <v>99</v>
      </c>
      <c r="DG161" s="34">
        <v>110</v>
      </c>
      <c r="DH161" s="34"/>
      <c r="DI161" t="s">
        <v>3987</v>
      </c>
      <c r="DJ161" t="s">
        <v>4037</v>
      </c>
      <c r="DK161" t="s">
        <v>3938</v>
      </c>
      <c r="DL161" s="9">
        <f t="shared" si="54"/>
        <v>61</v>
      </c>
      <c r="DM161" s="9">
        <f t="shared" si="55"/>
        <v>99</v>
      </c>
      <c r="DN161" s="9">
        <v>169</v>
      </c>
      <c r="DP161">
        <f t="shared" si="56"/>
        <v>64</v>
      </c>
    </row>
    <row r="162" spans="103:120" x14ac:dyDescent="0.2">
      <c r="CY162" t="str">
        <f t="shared" si="53"/>
        <v>单</v>
      </c>
      <c r="CZ162" s="47">
        <v>20120</v>
      </c>
      <c r="DA162" s="34">
        <v>25</v>
      </c>
      <c r="DB162" s="54">
        <v>-30</v>
      </c>
      <c r="DC162" s="34">
        <v>8</v>
      </c>
      <c r="DD162" s="34">
        <v>21</v>
      </c>
      <c r="DE162" s="34"/>
      <c r="DF162" s="34"/>
      <c r="DG162" s="34">
        <v>100</v>
      </c>
      <c r="DH162" s="34"/>
      <c r="DI162" t="s">
        <v>3987</v>
      </c>
      <c r="DJ162" t="s">
        <v>4038</v>
      </c>
      <c r="DK162" t="s">
        <v>3938</v>
      </c>
      <c r="DL162" s="9">
        <f t="shared" si="54"/>
        <v>8</v>
      </c>
      <c r="DM162" s="9">
        <f t="shared" si="55"/>
        <v>21</v>
      </c>
      <c r="DN162" s="9">
        <v>25</v>
      </c>
      <c r="DO162" s="9">
        <v>52</v>
      </c>
      <c r="DP162">
        <f t="shared" si="56"/>
        <v>18.850000000000001</v>
      </c>
    </row>
    <row r="163" spans="103:120" x14ac:dyDescent="0.2">
      <c r="CY163" t="str">
        <f t="shared" si="53"/>
        <v>单</v>
      </c>
      <c r="CZ163" s="47">
        <v>20122</v>
      </c>
      <c r="DA163" s="34">
        <v>25</v>
      </c>
      <c r="DB163" s="54">
        <v>20</v>
      </c>
      <c r="DC163" s="34">
        <v>16</v>
      </c>
      <c r="DD163" s="34">
        <v>35</v>
      </c>
      <c r="DE163" s="34"/>
      <c r="DF163" s="34"/>
      <c r="DG163" s="34">
        <v>100</v>
      </c>
      <c r="DH163" s="34"/>
      <c r="DI163" t="s">
        <v>3987</v>
      </c>
      <c r="DJ163" t="s">
        <v>4039</v>
      </c>
      <c r="DK163" t="s">
        <v>3938</v>
      </c>
      <c r="DL163" s="9">
        <f t="shared" si="54"/>
        <v>16</v>
      </c>
      <c r="DM163" s="9">
        <f t="shared" si="55"/>
        <v>35</v>
      </c>
      <c r="DN163" s="9">
        <v>70</v>
      </c>
      <c r="DO163" s="9">
        <v>42</v>
      </c>
      <c r="DP163">
        <f t="shared" si="56"/>
        <v>20.400000000000002</v>
      </c>
    </row>
    <row r="164" spans="103:120" x14ac:dyDescent="0.2">
      <c r="CY164" t="str">
        <f t="shared" si="53"/>
        <v>单</v>
      </c>
      <c r="CZ164" s="47">
        <v>20123</v>
      </c>
      <c r="DA164" s="34">
        <v>25</v>
      </c>
      <c r="DB164" s="54"/>
      <c r="DC164" s="34">
        <v>13</v>
      </c>
      <c r="DD164" s="34">
        <v>35</v>
      </c>
      <c r="DE164" s="34"/>
      <c r="DF164" s="34"/>
      <c r="DG164" s="34">
        <v>100</v>
      </c>
      <c r="DH164" s="34"/>
      <c r="DI164" t="s">
        <v>3987</v>
      </c>
      <c r="DJ164" t="s">
        <v>4040</v>
      </c>
      <c r="DK164" t="s">
        <v>3938</v>
      </c>
      <c r="DL164" s="9">
        <f t="shared" si="54"/>
        <v>13</v>
      </c>
      <c r="DM164" s="9">
        <f t="shared" si="55"/>
        <v>35</v>
      </c>
      <c r="DN164" s="9">
        <v>85</v>
      </c>
      <c r="DO164" s="9">
        <v>60</v>
      </c>
      <c r="DP164">
        <f t="shared" si="56"/>
        <v>24</v>
      </c>
    </row>
    <row r="165" spans="103:120" x14ac:dyDescent="0.2">
      <c r="CY165" t="str">
        <f t="shared" si="53"/>
        <v>单</v>
      </c>
      <c r="CZ165" s="47">
        <v>20124</v>
      </c>
      <c r="DA165" s="34">
        <v>25</v>
      </c>
      <c r="DB165" s="54"/>
      <c r="DC165" s="34">
        <v>16</v>
      </c>
      <c r="DD165" s="34">
        <v>34</v>
      </c>
      <c r="DE165" s="34"/>
      <c r="DF165" s="34"/>
      <c r="DG165" s="34">
        <v>100</v>
      </c>
      <c r="DH165" s="34"/>
      <c r="DI165" t="s">
        <v>3987</v>
      </c>
      <c r="DJ165" t="s">
        <v>4041</v>
      </c>
      <c r="DK165" t="s">
        <v>3938</v>
      </c>
      <c r="DL165" s="9">
        <f t="shared" si="54"/>
        <v>16</v>
      </c>
      <c r="DM165" s="9">
        <f t="shared" si="55"/>
        <v>34</v>
      </c>
      <c r="DN165" s="9">
        <v>92</v>
      </c>
      <c r="DO165" s="9">
        <v>43</v>
      </c>
      <c r="DP165">
        <f t="shared" si="56"/>
        <v>25</v>
      </c>
    </row>
    <row r="166" spans="103:120" x14ac:dyDescent="0.2">
      <c r="CY166" t="str">
        <f t="shared" si="53"/>
        <v>单</v>
      </c>
      <c r="CZ166" s="47">
        <v>20125</v>
      </c>
      <c r="DA166" s="34">
        <v>25</v>
      </c>
      <c r="DB166" s="54">
        <v>-10</v>
      </c>
      <c r="DC166" s="34">
        <v>10</v>
      </c>
      <c r="DD166" s="34">
        <v>42</v>
      </c>
      <c r="DE166" s="34"/>
      <c r="DF166" s="34"/>
      <c r="DG166" s="34">
        <v>100</v>
      </c>
      <c r="DH166" s="34"/>
      <c r="DI166" t="s">
        <v>3987</v>
      </c>
      <c r="DJ166" t="s">
        <v>4042</v>
      </c>
      <c r="DK166" t="s">
        <v>3944</v>
      </c>
      <c r="DL166" s="9">
        <f t="shared" si="54"/>
        <v>10</v>
      </c>
      <c r="DM166" s="9">
        <f t="shared" si="55"/>
        <v>42</v>
      </c>
      <c r="DN166" s="9">
        <v>103</v>
      </c>
      <c r="DO166" s="9">
        <v>79</v>
      </c>
      <c r="DP166">
        <f t="shared" si="56"/>
        <v>28.6</v>
      </c>
    </row>
    <row r="167" spans="103:120" x14ac:dyDescent="0.2">
      <c r="CY167" t="str">
        <f t="shared" si="53"/>
        <v>单</v>
      </c>
      <c r="CZ167" s="47">
        <v>20126</v>
      </c>
      <c r="DA167" s="34">
        <v>25</v>
      </c>
      <c r="DB167" s="54"/>
      <c r="DC167" s="34">
        <v>18</v>
      </c>
      <c r="DD167" s="34">
        <v>43</v>
      </c>
      <c r="DE167" s="34"/>
      <c r="DF167" s="34"/>
      <c r="DG167" s="34">
        <v>100</v>
      </c>
      <c r="DH167" s="34"/>
      <c r="DI167" t="s">
        <v>3987</v>
      </c>
      <c r="DJ167" t="s">
        <v>4043</v>
      </c>
      <c r="DK167" t="s">
        <v>3944</v>
      </c>
      <c r="DL167" s="9">
        <f t="shared" si="54"/>
        <v>18</v>
      </c>
      <c r="DM167" s="9">
        <f t="shared" si="55"/>
        <v>43</v>
      </c>
      <c r="DN167" s="9">
        <v>127</v>
      </c>
      <c r="DO167" s="9">
        <v>88</v>
      </c>
      <c r="DP167">
        <f t="shared" si="56"/>
        <v>30.5</v>
      </c>
    </row>
    <row r="168" spans="103:120" x14ac:dyDescent="0.2">
      <c r="CY168" t="str">
        <f t="shared" si="53"/>
        <v>单/双手</v>
      </c>
      <c r="CZ168" s="47">
        <v>20127</v>
      </c>
      <c r="DA168" s="34">
        <v>25</v>
      </c>
      <c r="DB168" s="54"/>
      <c r="DC168" s="34">
        <v>8</v>
      </c>
      <c r="DD168" s="34">
        <v>26</v>
      </c>
      <c r="DE168" s="34">
        <v>18</v>
      </c>
      <c r="DF168" s="34">
        <v>40</v>
      </c>
      <c r="DG168" s="34">
        <v>100</v>
      </c>
      <c r="DH168" s="34"/>
      <c r="DI168" t="s">
        <v>3987</v>
      </c>
      <c r="DJ168" t="s">
        <v>4044</v>
      </c>
      <c r="DK168" t="s">
        <v>3944</v>
      </c>
      <c r="DL168" s="9">
        <f t="shared" si="54"/>
        <v>18</v>
      </c>
      <c r="DM168" s="9">
        <f t="shared" si="55"/>
        <v>40</v>
      </c>
      <c r="DN168" s="9">
        <v>73</v>
      </c>
      <c r="DO168" s="9">
        <v>61</v>
      </c>
      <c r="DP168">
        <f t="shared" si="56"/>
        <v>29</v>
      </c>
    </row>
    <row r="169" spans="103:120" x14ac:dyDescent="0.2">
      <c r="CY169" t="str">
        <f t="shared" si="53"/>
        <v>单/双手</v>
      </c>
      <c r="CZ169" s="47">
        <v>20128</v>
      </c>
      <c r="DA169" s="34">
        <v>25</v>
      </c>
      <c r="DB169" s="54">
        <v>10</v>
      </c>
      <c r="DC169" s="34">
        <v>13</v>
      </c>
      <c r="DD169" s="34">
        <v>30</v>
      </c>
      <c r="DE169" s="34">
        <v>26</v>
      </c>
      <c r="DF169" s="34">
        <v>61</v>
      </c>
      <c r="DG169" s="34">
        <v>100</v>
      </c>
      <c r="DH169" s="34"/>
      <c r="DI169" t="s">
        <v>3987</v>
      </c>
      <c r="DJ169" t="s">
        <v>4045</v>
      </c>
      <c r="DK169" t="s">
        <v>3944</v>
      </c>
      <c r="DL169" s="9">
        <f t="shared" si="54"/>
        <v>26</v>
      </c>
      <c r="DM169" s="9">
        <f t="shared" si="55"/>
        <v>61</v>
      </c>
      <c r="DN169" s="9">
        <v>91</v>
      </c>
      <c r="DO169" s="9">
        <v>20</v>
      </c>
      <c r="DP169">
        <f t="shared" si="56"/>
        <v>39.15</v>
      </c>
    </row>
    <row r="170" spans="103:120" x14ac:dyDescent="0.2">
      <c r="CY170" t="str">
        <f t="shared" si="53"/>
        <v>单/双手</v>
      </c>
      <c r="CZ170" s="47">
        <v>20129</v>
      </c>
      <c r="DA170" s="34">
        <v>25</v>
      </c>
      <c r="DB170" s="54"/>
      <c r="DC170" s="34">
        <v>10</v>
      </c>
      <c r="DD170" s="34">
        <v>37</v>
      </c>
      <c r="DE170" s="34">
        <v>19</v>
      </c>
      <c r="DF170" s="34">
        <v>58</v>
      </c>
      <c r="DG170" s="34">
        <v>100</v>
      </c>
      <c r="DH170" s="34"/>
      <c r="DI170" t="s">
        <v>3987</v>
      </c>
      <c r="DJ170" t="s">
        <v>4046</v>
      </c>
      <c r="DK170" t="s">
        <v>3944</v>
      </c>
      <c r="DL170" s="9">
        <f t="shared" si="54"/>
        <v>19</v>
      </c>
      <c r="DM170" s="9">
        <f t="shared" si="55"/>
        <v>58</v>
      </c>
      <c r="DN170" s="9">
        <v>104</v>
      </c>
      <c r="DO170" s="9">
        <v>71</v>
      </c>
      <c r="DP170">
        <f t="shared" si="56"/>
        <v>38.5</v>
      </c>
    </row>
    <row r="171" spans="103:120" x14ac:dyDescent="0.2">
      <c r="CY171" t="str">
        <f t="shared" si="53"/>
        <v>单/双手</v>
      </c>
      <c r="CZ171" s="47">
        <v>20130</v>
      </c>
      <c r="DA171" s="34">
        <v>25</v>
      </c>
      <c r="DB171" s="54">
        <v>10</v>
      </c>
      <c r="DC171" s="34">
        <v>14</v>
      </c>
      <c r="DD171" s="34">
        <v>40</v>
      </c>
      <c r="DE171" s="34">
        <v>39</v>
      </c>
      <c r="DF171" s="34">
        <v>60</v>
      </c>
      <c r="DG171" s="34">
        <v>100</v>
      </c>
      <c r="DH171" s="34"/>
      <c r="DI171" t="s">
        <v>3987</v>
      </c>
      <c r="DJ171" t="s">
        <v>4047</v>
      </c>
      <c r="DK171" t="s">
        <v>3944</v>
      </c>
      <c r="DL171" s="9">
        <f t="shared" si="54"/>
        <v>39</v>
      </c>
      <c r="DM171" s="9">
        <f t="shared" si="55"/>
        <v>60</v>
      </c>
      <c r="DN171" s="9">
        <v>113</v>
      </c>
      <c r="DO171" s="9">
        <v>20</v>
      </c>
      <c r="DP171">
        <f t="shared" si="56"/>
        <v>44.550000000000004</v>
      </c>
    </row>
    <row r="172" spans="103:120" x14ac:dyDescent="0.2">
      <c r="CY172" t="str">
        <f t="shared" si="53"/>
        <v>单/双手</v>
      </c>
      <c r="CZ172" s="47">
        <v>20131</v>
      </c>
      <c r="DA172" s="34">
        <v>25</v>
      </c>
      <c r="DB172" s="54">
        <v>-10</v>
      </c>
      <c r="DC172" s="34">
        <v>19</v>
      </c>
      <c r="DD172" s="34">
        <v>35</v>
      </c>
      <c r="DE172" s="34">
        <v>29</v>
      </c>
      <c r="DF172" s="34">
        <v>54</v>
      </c>
      <c r="DG172" s="34">
        <v>100</v>
      </c>
      <c r="DH172" s="34"/>
      <c r="DI172" t="s">
        <v>3987</v>
      </c>
      <c r="DJ172" t="s">
        <v>4048</v>
      </c>
      <c r="DK172" t="s">
        <v>3944</v>
      </c>
      <c r="DL172" s="9">
        <f t="shared" si="54"/>
        <v>29</v>
      </c>
      <c r="DM172" s="9">
        <f t="shared" si="55"/>
        <v>54</v>
      </c>
      <c r="DN172" s="9">
        <v>125</v>
      </c>
      <c r="DO172" s="9">
        <v>94</v>
      </c>
      <c r="DP172">
        <f t="shared" si="56"/>
        <v>45.650000000000006</v>
      </c>
    </row>
    <row r="173" spans="103:120" x14ac:dyDescent="0.2">
      <c r="CY173" t="str">
        <f t="shared" si="53"/>
        <v>单/双手</v>
      </c>
      <c r="CZ173" s="47">
        <v>20132</v>
      </c>
      <c r="DA173" s="34">
        <v>25</v>
      </c>
      <c r="DB173" s="54">
        <v>10</v>
      </c>
      <c r="DC173" s="34">
        <v>24</v>
      </c>
      <c r="DD173" s="34">
        <v>40</v>
      </c>
      <c r="DE173" s="34">
        <v>47</v>
      </c>
      <c r="DF173" s="34">
        <v>80</v>
      </c>
      <c r="DG173" s="34">
        <v>100</v>
      </c>
      <c r="DH173" s="34"/>
      <c r="DI173" t="s">
        <v>3987</v>
      </c>
      <c r="DJ173" t="s">
        <v>4049</v>
      </c>
      <c r="DK173" t="s">
        <v>3944</v>
      </c>
      <c r="DL173" s="9">
        <f t="shared" si="54"/>
        <v>47</v>
      </c>
      <c r="DM173" s="9">
        <f t="shared" si="55"/>
        <v>80</v>
      </c>
      <c r="DN173" s="9">
        <v>170</v>
      </c>
      <c r="DO173" s="9">
        <v>110</v>
      </c>
      <c r="DP173">
        <f t="shared" si="56"/>
        <v>57.15</v>
      </c>
    </row>
    <row r="174" spans="103:120" x14ac:dyDescent="0.2">
      <c r="CY174" t="str">
        <f t="shared" si="53"/>
        <v>单</v>
      </c>
      <c r="CZ174" s="47">
        <v>20135</v>
      </c>
      <c r="DA174" s="34">
        <v>25</v>
      </c>
      <c r="DB174" s="54">
        <v>-20</v>
      </c>
      <c r="DC174" s="34">
        <v>15</v>
      </c>
      <c r="DD174" s="34">
        <v>31</v>
      </c>
      <c r="DE174" s="34"/>
      <c r="DF174" s="34"/>
      <c r="DG174" s="34">
        <v>75</v>
      </c>
      <c r="DH174" s="34">
        <v>75</v>
      </c>
      <c r="DI174" t="s">
        <v>3987</v>
      </c>
      <c r="DJ174" t="s">
        <v>4050</v>
      </c>
      <c r="DK174" t="s">
        <v>3954</v>
      </c>
      <c r="DL174" s="9">
        <f t="shared" si="54"/>
        <v>15</v>
      </c>
      <c r="DM174" s="9">
        <f t="shared" si="55"/>
        <v>31</v>
      </c>
      <c r="DN174" s="9">
        <v>25</v>
      </c>
      <c r="DO174" s="9">
        <v>88</v>
      </c>
      <c r="DP174">
        <f t="shared" si="56"/>
        <v>27.599999999999998</v>
      </c>
    </row>
    <row r="175" spans="103:120" x14ac:dyDescent="0.2">
      <c r="CY175" t="str">
        <f t="shared" si="53"/>
        <v>单</v>
      </c>
      <c r="CZ175" s="47">
        <v>20136</v>
      </c>
      <c r="DA175" s="34">
        <v>25</v>
      </c>
      <c r="DB175" s="54">
        <v>-10</v>
      </c>
      <c r="DC175" s="34">
        <v>19</v>
      </c>
      <c r="DD175" s="34">
        <v>36</v>
      </c>
      <c r="DE175" s="34"/>
      <c r="DF175" s="34"/>
      <c r="DG175" s="34">
        <v>75</v>
      </c>
      <c r="DH175" s="34">
        <v>75</v>
      </c>
      <c r="DI175" t="s">
        <v>3987</v>
      </c>
      <c r="DJ175" t="s">
        <v>4051</v>
      </c>
      <c r="DK175" t="s">
        <v>3954</v>
      </c>
      <c r="DL175" s="9">
        <f t="shared" si="54"/>
        <v>19</v>
      </c>
      <c r="DM175" s="9">
        <f t="shared" si="55"/>
        <v>36</v>
      </c>
      <c r="DN175" s="9">
        <v>47</v>
      </c>
      <c r="DO175" s="9">
        <v>97</v>
      </c>
      <c r="DP175">
        <f t="shared" si="56"/>
        <v>30.250000000000004</v>
      </c>
    </row>
    <row r="176" spans="103:120" x14ac:dyDescent="0.2">
      <c r="CY176" t="str">
        <f t="shared" si="53"/>
        <v>单</v>
      </c>
      <c r="CZ176" s="47">
        <v>20139</v>
      </c>
      <c r="DA176" s="34">
        <v>25</v>
      </c>
      <c r="DB176" s="54">
        <v>-20</v>
      </c>
      <c r="DC176" s="34">
        <v>6</v>
      </c>
      <c r="DD176" s="34">
        <v>24</v>
      </c>
      <c r="DE176" s="34"/>
      <c r="DF176" s="34"/>
      <c r="DG176" s="34">
        <v>75</v>
      </c>
      <c r="DH176" s="34">
        <v>75</v>
      </c>
      <c r="DI176" t="s">
        <v>3987</v>
      </c>
      <c r="DJ176" t="s">
        <v>4052</v>
      </c>
      <c r="DK176" t="s">
        <v>3954</v>
      </c>
      <c r="DL176" s="9">
        <f t="shared" si="54"/>
        <v>6</v>
      </c>
      <c r="DM176" s="9">
        <f t="shared" si="55"/>
        <v>24</v>
      </c>
      <c r="DN176" s="9">
        <v>25</v>
      </c>
      <c r="DO176" s="9">
        <v>97</v>
      </c>
      <c r="DP176">
        <f t="shared" si="56"/>
        <v>18</v>
      </c>
    </row>
    <row r="177" spans="103:120" x14ac:dyDescent="0.2">
      <c r="CY177" t="str">
        <f t="shared" si="53"/>
        <v>单</v>
      </c>
      <c r="CZ177" s="47">
        <v>20140</v>
      </c>
      <c r="DA177" s="34">
        <v>25</v>
      </c>
      <c r="DB177" s="54">
        <v>-10</v>
      </c>
      <c r="DC177" s="34">
        <v>13</v>
      </c>
      <c r="DD177" s="34">
        <v>27</v>
      </c>
      <c r="DE177" s="34"/>
      <c r="DF177" s="34"/>
      <c r="DG177" s="34">
        <v>75</v>
      </c>
      <c r="DH177" s="34">
        <v>75</v>
      </c>
      <c r="DI177" t="s">
        <v>3987</v>
      </c>
      <c r="DJ177" t="s">
        <v>4053</v>
      </c>
      <c r="DK177" t="s">
        <v>3954</v>
      </c>
      <c r="DL177" s="9">
        <f t="shared" si="54"/>
        <v>13</v>
      </c>
      <c r="DM177" s="9">
        <f t="shared" si="55"/>
        <v>27</v>
      </c>
      <c r="DN177" s="9">
        <v>25</v>
      </c>
      <c r="DO177" s="9">
        <v>106</v>
      </c>
      <c r="DP177">
        <f t="shared" si="56"/>
        <v>22</v>
      </c>
    </row>
    <row r="178" spans="103:120" x14ac:dyDescent="0.2">
      <c r="CY178" t="str">
        <f t="shared" si="53"/>
        <v>单</v>
      </c>
      <c r="CZ178" s="47">
        <v>20142</v>
      </c>
      <c r="DA178" s="34">
        <v>25</v>
      </c>
      <c r="DB178" s="54"/>
      <c r="DC178" s="34">
        <v>11</v>
      </c>
      <c r="DD178" s="34">
        <v>26</v>
      </c>
      <c r="DE178" s="34"/>
      <c r="DF178" s="34"/>
      <c r="DG178" s="34">
        <v>75</v>
      </c>
      <c r="DH178" s="34">
        <v>75</v>
      </c>
      <c r="DI178" t="s">
        <v>3987</v>
      </c>
      <c r="DJ178" t="s">
        <v>4054</v>
      </c>
      <c r="DK178" t="s">
        <v>3861</v>
      </c>
      <c r="DL178" s="9">
        <f t="shared" si="54"/>
        <v>11</v>
      </c>
      <c r="DM178" s="9">
        <f t="shared" si="55"/>
        <v>26</v>
      </c>
      <c r="DN178" s="9">
        <v>25</v>
      </c>
      <c r="DO178" s="9">
        <v>88</v>
      </c>
      <c r="DP178">
        <f t="shared" si="56"/>
        <v>18.5</v>
      </c>
    </row>
    <row r="179" spans="103:120" x14ac:dyDescent="0.2">
      <c r="CY179" t="str">
        <f t="shared" si="53"/>
        <v>单</v>
      </c>
      <c r="CZ179" s="47">
        <v>20143</v>
      </c>
      <c r="DA179" s="34">
        <v>25</v>
      </c>
      <c r="DB179" s="54">
        <v>10</v>
      </c>
      <c r="DC179" s="34">
        <v>8</v>
      </c>
      <c r="DD179" s="34">
        <v>32</v>
      </c>
      <c r="DE179" s="34"/>
      <c r="DF179" s="34"/>
      <c r="DG179" s="34">
        <v>75</v>
      </c>
      <c r="DH179" s="34">
        <v>75</v>
      </c>
      <c r="DI179" t="s">
        <v>3987</v>
      </c>
      <c r="DJ179" t="s">
        <v>4055</v>
      </c>
      <c r="DK179" t="s">
        <v>3861</v>
      </c>
      <c r="DL179" s="9">
        <f t="shared" si="54"/>
        <v>8</v>
      </c>
      <c r="DM179" s="9">
        <f t="shared" si="55"/>
        <v>32</v>
      </c>
      <c r="DN179" s="9">
        <v>80</v>
      </c>
      <c r="DO179" s="9">
        <v>80</v>
      </c>
      <c r="DP179">
        <f t="shared" si="56"/>
        <v>18</v>
      </c>
    </row>
    <row r="180" spans="103:120" x14ac:dyDescent="0.2">
      <c r="CY180" t="str">
        <f t="shared" si="53"/>
        <v>单</v>
      </c>
      <c r="CZ180" s="47">
        <v>20144</v>
      </c>
      <c r="DA180" s="34">
        <v>25</v>
      </c>
      <c r="DB180" s="54">
        <v>20</v>
      </c>
      <c r="DC180" s="34">
        <v>13</v>
      </c>
      <c r="DD180" s="34">
        <v>38</v>
      </c>
      <c r="DE180" s="34"/>
      <c r="DF180" s="34"/>
      <c r="DG180" s="34">
        <v>75</v>
      </c>
      <c r="DH180" s="34">
        <v>75</v>
      </c>
      <c r="DI180" t="s">
        <v>3987</v>
      </c>
      <c r="DJ180" t="s">
        <v>4056</v>
      </c>
      <c r="DK180" t="s">
        <v>4057</v>
      </c>
      <c r="DL180" s="9">
        <f t="shared" si="54"/>
        <v>13</v>
      </c>
      <c r="DM180" s="9">
        <f t="shared" si="55"/>
        <v>38</v>
      </c>
      <c r="DN180" s="9">
        <v>98</v>
      </c>
      <c r="DO180" s="9">
        <v>73</v>
      </c>
      <c r="DP180">
        <f t="shared" si="56"/>
        <v>20.400000000000002</v>
      </c>
    </row>
    <row r="181" spans="103:120" x14ac:dyDescent="0.2">
      <c r="CY181" t="str">
        <f t="shared" si="53"/>
        <v>单</v>
      </c>
      <c r="CZ181" s="47">
        <v>20145</v>
      </c>
      <c r="DA181" s="34">
        <v>25</v>
      </c>
      <c r="DB181" s="54">
        <v>-10</v>
      </c>
      <c r="DC181" s="34">
        <v>13</v>
      </c>
      <c r="DD181" s="34">
        <v>35</v>
      </c>
      <c r="DE181" s="34"/>
      <c r="DF181" s="34"/>
      <c r="DG181" s="34">
        <v>75</v>
      </c>
      <c r="DH181" s="34">
        <v>75</v>
      </c>
      <c r="DI181" t="s">
        <v>3987</v>
      </c>
      <c r="DJ181" t="s">
        <v>4058</v>
      </c>
      <c r="DK181" t="s">
        <v>4057</v>
      </c>
      <c r="DL181" s="9">
        <f t="shared" si="54"/>
        <v>13</v>
      </c>
      <c r="DM181" s="9">
        <f t="shared" si="55"/>
        <v>35</v>
      </c>
      <c r="DN181" s="9">
        <v>25</v>
      </c>
      <c r="DO181" s="9">
        <v>118</v>
      </c>
      <c r="DP181">
        <f t="shared" si="56"/>
        <v>26.400000000000002</v>
      </c>
    </row>
    <row r="182" spans="103:120" x14ac:dyDescent="0.2">
      <c r="CY182" t="str">
        <f t="shared" si="53"/>
        <v>双手</v>
      </c>
      <c r="CZ182" s="47">
        <v>20148</v>
      </c>
      <c r="DA182" s="34">
        <v>25</v>
      </c>
      <c r="DB182" s="54">
        <v>-20</v>
      </c>
      <c r="DC182" s="34"/>
      <c r="DD182" s="34"/>
      <c r="DE182" s="34">
        <v>16</v>
      </c>
      <c r="DF182" s="34">
        <v>40</v>
      </c>
      <c r="DG182" s="34">
        <v>100</v>
      </c>
      <c r="DH182" s="34"/>
      <c r="DI182" t="s">
        <v>3987</v>
      </c>
      <c r="DJ182" t="s">
        <v>4059</v>
      </c>
      <c r="DK182" t="s">
        <v>4057</v>
      </c>
      <c r="DL182" s="9">
        <f t="shared" si="54"/>
        <v>16</v>
      </c>
      <c r="DM182" s="9">
        <f t="shared" si="55"/>
        <v>40</v>
      </c>
      <c r="DN182" s="9">
        <v>80</v>
      </c>
      <c r="DO182" s="9">
        <v>95</v>
      </c>
      <c r="DP182">
        <f t="shared" si="56"/>
        <v>33.6</v>
      </c>
    </row>
    <row r="183" spans="103:120" x14ac:dyDescent="0.2">
      <c r="CY183" t="str">
        <f t="shared" si="53"/>
        <v>双手</v>
      </c>
      <c r="CZ183" s="47">
        <v>20149</v>
      </c>
      <c r="DA183" s="34">
        <v>25</v>
      </c>
      <c r="DB183" s="54"/>
      <c r="DC183" s="34"/>
      <c r="DD183" s="34"/>
      <c r="DE183" s="34">
        <v>29</v>
      </c>
      <c r="DF183" s="34">
        <v>59</v>
      </c>
      <c r="DG183" s="34">
        <v>100</v>
      </c>
      <c r="DH183" s="34"/>
      <c r="DI183" t="s">
        <v>3987</v>
      </c>
      <c r="DJ183" t="s">
        <v>4060</v>
      </c>
      <c r="DK183" t="s">
        <v>4057</v>
      </c>
      <c r="DL183" s="9">
        <f t="shared" si="54"/>
        <v>29</v>
      </c>
      <c r="DM183" s="9">
        <f t="shared" si="55"/>
        <v>59</v>
      </c>
      <c r="DN183" s="9">
        <v>101</v>
      </c>
      <c r="DP183">
        <f t="shared" si="56"/>
        <v>44</v>
      </c>
    </row>
    <row r="184" spans="103:120" x14ac:dyDescent="0.2">
      <c r="CY184" t="str">
        <f t="shared" si="53"/>
        <v>双手</v>
      </c>
      <c r="CZ184" s="47">
        <v>20150</v>
      </c>
      <c r="DA184" s="34">
        <v>25</v>
      </c>
      <c r="DB184" s="54">
        <v>20</v>
      </c>
      <c r="DC184" s="34"/>
      <c r="DD184" s="34"/>
      <c r="DE184" s="34">
        <v>27</v>
      </c>
      <c r="DF184" s="34">
        <v>114</v>
      </c>
      <c r="DG184" s="34">
        <v>100</v>
      </c>
      <c r="DH184" s="34"/>
      <c r="DI184" t="s">
        <v>3987</v>
      </c>
      <c r="DJ184" t="s">
        <v>4061</v>
      </c>
      <c r="DK184" t="s">
        <v>4057</v>
      </c>
      <c r="DL184" s="9">
        <f t="shared" si="54"/>
        <v>27</v>
      </c>
      <c r="DM184" s="9">
        <f t="shared" si="55"/>
        <v>114</v>
      </c>
      <c r="DN184" s="9">
        <v>110</v>
      </c>
      <c r="DO184" s="9">
        <v>88</v>
      </c>
      <c r="DP184">
        <f t="shared" si="56"/>
        <v>56.400000000000006</v>
      </c>
    </row>
    <row r="185" spans="103:120" x14ac:dyDescent="0.2">
      <c r="CY185" t="str">
        <f t="shared" si="53"/>
        <v>双手</v>
      </c>
      <c r="CZ185" s="47">
        <v>20152</v>
      </c>
      <c r="DA185" s="34">
        <v>25</v>
      </c>
      <c r="DB185" s="54"/>
      <c r="DC185" s="34"/>
      <c r="DD185" s="34"/>
      <c r="DE185" s="34">
        <v>14</v>
      </c>
      <c r="DF185" s="34">
        <v>53</v>
      </c>
      <c r="DG185" s="34">
        <v>100</v>
      </c>
      <c r="DH185" s="34"/>
      <c r="DI185" t="s">
        <v>3987</v>
      </c>
      <c r="DJ185" t="s">
        <v>4062</v>
      </c>
      <c r="DK185" t="s">
        <v>4057</v>
      </c>
      <c r="DL185" s="9">
        <f t="shared" si="54"/>
        <v>14</v>
      </c>
      <c r="DM185" s="9">
        <f t="shared" si="55"/>
        <v>53</v>
      </c>
      <c r="DN185" s="9">
        <v>95</v>
      </c>
      <c r="DP185">
        <f t="shared" si="56"/>
        <v>33.5</v>
      </c>
    </row>
    <row r="186" spans="103:120" x14ac:dyDescent="0.2">
      <c r="CY186" t="str">
        <f t="shared" si="53"/>
        <v>双手</v>
      </c>
      <c r="CZ186" s="47">
        <v>20153</v>
      </c>
      <c r="DA186" s="34">
        <v>25</v>
      </c>
      <c r="DB186" s="54">
        <v>-10</v>
      </c>
      <c r="DC186" s="34"/>
      <c r="DD186" s="34"/>
      <c r="DE186" s="34">
        <v>18</v>
      </c>
      <c r="DF186" s="34">
        <v>45</v>
      </c>
      <c r="DG186" s="34">
        <v>100</v>
      </c>
      <c r="DH186" s="34"/>
      <c r="DI186" t="s">
        <v>3987</v>
      </c>
      <c r="DJ186" t="s">
        <v>4063</v>
      </c>
      <c r="DK186" t="s">
        <v>4057</v>
      </c>
      <c r="DL186" s="9">
        <f t="shared" si="54"/>
        <v>18</v>
      </c>
      <c r="DM186" s="9">
        <f t="shared" si="55"/>
        <v>45</v>
      </c>
      <c r="DN186" s="9">
        <v>82</v>
      </c>
      <c r="DO186" s="9">
        <v>82</v>
      </c>
      <c r="DP186">
        <f t="shared" si="56"/>
        <v>34.650000000000006</v>
      </c>
    </row>
    <row r="187" spans="103:120" x14ac:dyDescent="0.2">
      <c r="CY187" t="str">
        <f t="shared" si="53"/>
        <v>双手</v>
      </c>
      <c r="CZ187" s="47">
        <v>20155</v>
      </c>
      <c r="DA187" s="34">
        <v>25</v>
      </c>
      <c r="DB187" s="54"/>
      <c r="DC187" s="34"/>
      <c r="DD187" s="34"/>
      <c r="DE187" s="34">
        <v>13</v>
      </c>
      <c r="DF187" s="34">
        <v>85</v>
      </c>
      <c r="DG187" s="34">
        <v>100</v>
      </c>
      <c r="DH187" s="34"/>
      <c r="DI187" t="s">
        <v>3987</v>
      </c>
      <c r="DJ187" t="s">
        <v>4064</v>
      </c>
      <c r="DK187" t="s">
        <v>4057</v>
      </c>
      <c r="DL187" s="9">
        <f t="shared" si="54"/>
        <v>13</v>
      </c>
      <c r="DM187" s="9">
        <f t="shared" si="55"/>
        <v>85</v>
      </c>
      <c r="DN187" s="9">
        <v>133</v>
      </c>
      <c r="DO187" s="9">
        <v>91</v>
      </c>
      <c r="DP187">
        <f t="shared" si="56"/>
        <v>49</v>
      </c>
    </row>
    <row r="188" spans="103:120" x14ac:dyDescent="0.2">
      <c r="CY188" t="str">
        <f t="shared" si="53"/>
        <v>双手</v>
      </c>
      <c r="CZ188" s="47">
        <v>20156</v>
      </c>
      <c r="DA188" s="34">
        <v>25</v>
      </c>
      <c r="DB188" s="54">
        <v>-10</v>
      </c>
      <c r="DC188" s="34"/>
      <c r="DD188" s="34"/>
      <c r="DE188" s="34">
        <v>30</v>
      </c>
      <c r="DF188" s="34">
        <v>70</v>
      </c>
      <c r="DG188" s="34">
        <v>100</v>
      </c>
      <c r="DH188" s="34"/>
      <c r="DI188" t="s">
        <v>3987</v>
      </c>
      <c r="DJ188" t="s">
        <v>4065</v>
      </c>
      <c r="DK188" t="s">
        <v>4057</v>
      </c>
      <c r="DL188" s="9">
        <f t="shared" si="54"/>
        <v>30</v>
      </c>
      <c r="DM188" s="9">
        <f t="shared" si="55"/>
        <v>70</v>
      </c>
      <c r="DN188" s="9">
        <v>140</v>
      </c>
      <c r="DO188" s="9">
        <v>140</v>
      </c>
      <c r="DP188">
        <f t="shared" si="56"/>
        <v>55.000000000000007</v>
      </c>
    </row>
    <row r="189" spans="103:120" x14ac:dyDescent="0.2">
      <c r="CY189" t="str">
        <f t="shared" si="53"/>
        <v>双手</v>
      </c>
      <c r="CZ189" s="47">
        <v>20159</v>
      </c>
      <c r="DA189" s="34">
        <v>25</v>
      </c>
      <c r="DB189" s="54">
        <v>10</v>
      </c>
      <c r="DC189" s="34"/>
      <c r="DD189" s="34"/>
      <c r="DE189" s="34">
        <v>11</v>
      </c>
      <c r="DF189" s="34">
        <v>32</v>
      </c>
      <c r="DG189" s="34">
        <v>100</v>
      </c>
      <c r="DH189" s="34"/>
      <c r="DI189" t="s">
        <v>3987</v>
      </c>
      <c r="DJ189" t="s">
        <v>4066</v>
      </c>
      <c r="DK189" t="s">
        <v>4057</v>
      </c>
      <c r="DL189" s="9">
        <f t="shared" si="54"/>
        <v>11</v>
      </c>
      <c r="DM189" s="9">
        <f t="shared" si="55"/>
        <v>32</v>
      </c>
      <c r="DN189" s="9">
        <v>25</v>
      </c>
      <c r="DP189">
        <f t="shared" si="56"/>
        <v>19.350000000000001</v>
      </c>
    </row>
    <row r="190" spans="103:120" x14ac:dyDescent="0.2">
      <c r="CY190" t="str">
        <f t="shared" si="53"/>
        <v>双手</v>
      </c>
      <c r="CZ190" s="47">
        <v>20160</v>
      </c>
      <c r="DA190" s="34">
        <v>25</v>
      </c>
      <c r="DB190" s="54"/>
      <c r="DC190" s="34"/>
      <c r="DD190" s="34"/>
      <c r="DE190" s="34">
        <v>14</v>
      </c>
      <c r="DF190" s="34">
        <v>34</v>
      </c>
      <c r="DG190" s="34">
        <v>100</v>
      </c>
      <c r="DH190" s="34"/>
      <c r="DI190" t="s">
        <v>3987</v>
      </c>
      <c r="DJ190" t="s">
        <v>4067</v>
      </c>
      <c r="DK190" t="s">
        <v>4068</v>
      </c>
      <c r="DL190" s="9">
        <f t="shared" si="54"/>
        <v>14</v>
      </c>
      <c r="DM190" s="9">
        <f t="shared" si="55"/>
        <v>34</v>
      </c>
      <c r="DN190" s="9">
        <v>25</v>
      </c>
      <c r="DP190">
        <f t="shared" si="56"/>
        <v>24</v>
      </c>
    </row>
    <row r="191" spans="103:120" x14ac:dyDescent="0.2">
      <c r="CY191" t="str">
        <f t="shared" si="53"/>
        <v>双手</v>
      </c>
      <c r="CZ191" s="47">
        <v>20161</v>
      </c>
      <c r="DA191" s="34">
        <v>25</v>
      </c>
      <c r="DB191" s="54">
        <v>20</v>
      </c>
      <c r="DC191" s="34"/>
      <c r="DD191" s="34"/>
      <c r="DE191" s="34">
        <v>24</v>
      </c>
      <c r="DF191" s="34">
        <v>58</v>
      </c>
      <c r="DG191" s="34">
        <v>100</v>
      </c>
      <c r="DH191" s="34"/>
      <c r="DI191" t="s">
        <v>3987</v>
      </c>
      <c r="DJ191" t="s">
        <v>4069</v>
      </c>
      <c r="DK191" t="s">
        <v>4068</v>
      </c>
      <c r="DL191" s="9">
        <f t="shared" si="54"/>
        <v>24</v>
      </c>
      <c r="DM191" s="9">
        <f t="shared" si="55"/>
        <v>58</v>
      </c>
      <c r="DN191" s="9">
        <v>25</v>
      </c>
      <c r="DP191">
        <f t="shared" si="56"/>
        <v>32.800000000000004</v>
      </c>
    </row>
    <row r="192" spans="103:120" x14ac:dyDescent="0.2">
      <c r="CY192" t="str">
        <f t="shared" si="53"/>
        <v>双手</v>
      </c>
      <c r="CZ192" s="47">
        <v>20165</v>
      </c>
      <c r="DA192" s="34">
        <v>25</v>
      </c>
      <c r="DB192" s="54">
        <v>-10</v>
      </c>
      <c r="DC192" s="34"/>
      <c r="DD192" s="34"/>
      <c r="DE192" s="34">
        <v>11</v>
      </c>
      <c r="DF192" s="34">
        <v>26</v>
      </c>
      <c r="DG192" s="34"/>
      <c r="DH192" s="34">
        <v>100</v>
      </c>
      <c r="DI192" t="s">
        <v>3987</v>
      </c>
      <c r="DJ192" t="s">
        <v>4070</v>
      </c>
      <c r="DK192" t="s">
        <v>4068</v>
      </c>
      <c r="DL192" s="9">
        <f t="shared" si="54"/>
        <v>11</v>
      </c>
      <c r="DM192" s="9">
        <f t="shared" si="55"/>
        <v>26</v>
      </c>
      <c r="DN192" s="9">
        <v>58</v>
      </c>
      <c r="DO192" s="9">
        <v>73</v>
      </c>
      <c r="DP192">
        <f t="shared" si="56"/>
        <v>20.350000000000001</v>
      </c>
    </row>
    <row r="193" spans="103:120" x14ac:dyDescent="0.2">
      <c r="CY193" t="str">
        <f t="shared" si="53"/>
        <v>双手</v>
      </c>
      <c r="CZ193" s="47">
        <v>20166</v>
      </c>
      <c r="DA193" s="34">
        <v>25</v>
      </c>
      <c r="DB193" s="54"/>
      <c r="DC193" s="34"/>
      <c r="DD193" s="34"/>
      <c r="DE193" s="34">
        <v>13</v>
      </c>
      <c r="DF193" s="34">
        <v>30</v>
      </c>
      <c r="DG193" s="34"/>
      <c r="DH193" s="34">
        <v>100</v>
      </c>
      <c r="DI193" t="s">
        <v>3987</v>
      </c>
      <c r="DJ193" t="s">
        <v>4071</v>
      </c>
      <c r="DK193" t="s">
        <v>4068</v>
      </c>
      <c r="DL193" s="9">
        <f t="shared" si="54"/>
        <v>13</v>
      </c>
      <c r="DM193" s="9">
        <f t="shared" si="55"/>
        <v>30</v>
      </c>
      <c r="DN193" s="9">
        <v>65</v>
      </c>
      <c r="DO193" s="9">
        <v>80</v>
      </c>
      <c r="DP193">
        <f t="shared" si="56"/>
        <v>21.5</v>
      </c>
    </row>
    <row r="194" spans="103:120" x14ac:dyDescent="0.2">
      <c r="CY194" t="str">
        <f t="shared" si="53"/>
        <v>双手</v>
      </c>
      <c r="CZ194" s="47">
        <v>20167</v>
      </c>
      <c r="DA194" s="34">
        <v>25</v>
      </c>
      <c r="DB194" s="54">
        <v>10</v>
      </c>
      <c r="DC194" s="34"/>
      <c r="DD194" s="34"/>
      <c r="DE194" s="34">
        <v>10</v>
      </c>
      <c r="DF194" s="34">
        <v>42</v>
      </c>
      <c r="DG194" s="34"/>
      <c r="DH194" s="34">
        <v>100</v>
      </c>
      <c r="DI194" t="s">
        <v>3987</v>
      </c>
      <c r="DJ194" t="s">
        <v>4072</v>
      </c>
      <c r="DK194" t="s">
        <v>4068</v>
      </c>
      <c r="DL194" s="9">
        <f t="shared" si="54"/>
        <v>10</v>
      </c>
      <c r="DM194" s="9">
        <f t="shared" si="55"/>
        <v>42</v>
      </c>
      <c r="DN194" s="9">
        <v>80</v>
      </c>
      <c r="DO194" s="9">
        <v>95</v>
      </c>
      <c r="DP194">
        <f t="shared" si="56"/>
        <v>23.400000000000002</v>
      </c>
    </row>
    <row r="195" spans="103:120" x14ac:dyDescent="0.2">
      <c r="CY195" t="str">
        <f t="shared" si="53"/>
        <v>双手</v>
      </c>
      <c r="CZ195" s="47">
        <v>20168</v>
      </c>
      <c r="DA195" s="34">
        <v>25</v>
      </c>
      <c r="DB195" s="54"/>
      <c r="DC195" s="34"/>
      <c r="DD195" s="34"/>
      <c r="DE195" s="34">
        <v>14</v>
      </c>
      <c r="DF195" s="34">
        <v>35</v>
      </c>
      <c r="DG195" s="34"/>
      <c r="DH195" s="34">
        <v>100</v>
      </c>
      <c r="DI195" t="s">
        <v>3987</v>
      </c>
      <c r="DJ195" t="s">
        <v>4073</v>
      </c>
      <c r="DK195" t="s">
        <v>4068</v>
      </c>
      <c r="DL195" s="9">
        <f t="shared" si="54"/>
        <v>14</v>
      </c>
      <c r="DM195" s="9">
        <f t="shared" si="55"/>
        <v>35</v>
      </c>
      <c r="DN195" s="9">
        <v>73</v>
      </c>
      <c r="DO195" s="9">
        <v>103</v>
      </c>
      <c r="DP195">
        <f t="shared" si="56"/>
        <v>24.5</v>
      </c>
    </row>
    <row r="196" spans="103:120" x14ac:dyDescent="0.2">
      <c r="CY196" t="str">
        <f t="shared" si="53"/>
        <v>双手</v>
      </c>
      <c r="CZ196" s="47">
        <v>20169</v>
      </c>
      <c r="DA196" s="34">
        <v>25</v>
      </c>
      <c r="DB196" s="54">
        <v>10</v>
      </c>
      <c r="DC196" s="34"/>
      <c r="DD196" s="34"/>
      <c r="DE196" s="34">
        <v>10</v>
      </c>
      <c r="DF196" s="34">
        <v>50</v>
      </c>
      <c r="DG196" s="34"/>
      <c r="DH196" s="34">
        <v>100</v>
      </c>
      <c r="DI196" t="s">
        <v>3987</v>
      </c>
      <c r="DJ196" t="s">
        <v>4074</v>
      </c>
      <c r="DK196" t="s">
        <v>4068</v>
      </c>
      <c r="DL196" s="9">
        <f t="shared" si="54"/>
        <v>10</v>
      </c>
      <c r="DM196" s="9">
        <f t="shared" si="55"/>
        <v>50</v>
      </c>
      <c r="DN196" s="9">
        <v>95</v>
      </c>
      <c r="DO196" s="9">
        <v>118</v>
      </c>
      <c r="DP196">
        <f t="shared" si="56"/>
        <v>27</v>
      </c>
    </row>
    <row r="197" spans="103:120" x14ac:dyDescent="0.2">
      <c r="CY197" t="str">
        <f t="shared" ref="CY197:CY260" si="57">IF(DC197=0,"双手",IF(DE197=0,"单","单/双手"))</f>
        <v>双手</v>
      </c>
      <c r="CZ197" s="47">
        <v>20171</v>
      </c>
      <c r="DA197" s="34">
        <v>25</v>
      </c>
      <c r="DB197" s="54"/>
      <c r="DC197" s="34"/>
      <c r="DD197" s="34"/>
      <c r="DE197" s="34">
        <v>20</v>
      </c>
      <c r="DF197" s="34">
        <v>42</v>
      </c>
      <c r="DG197" s="34"/>
      <c r="DH197" s="34">
        <v>100</v>
      </c>
      <c r="DI197" t="s">
        <v>3987</v>
      </c>
      <c r="DJ197" t="s">
        <v>4075</v>
      </c>
      <c r="DK197" t="s">
        <v>4068</v>
      </c>
      <c r="DL197" s="9">
        <f t="shared" ref="DL197:DL260" si="58">IF(DE197,DE197,DC197)</f>
        <v>20</v>
      </c>
      <c r="DM197" s="9">
        <f t="shared" ref="DM197:DM260" si="59">IF(DF197,DF197,DD197)</f>
        <v>42</v>
      </c>
      <c r="DN197" s="9">
        <v>80</v>
      </c>
      <c r="DO197" s="9">
        <v>70</v>
      </c>
      <c r="DP197">
        <f t="shared" ref="DP197:DP260" si="60">(DL197+DM197)/2*((100-DB197)/100)</f>
        <v>31</v>
      </c>
    </row>
    <row r="198" spans="103:120" x14ac:dyDescent="0.2">
      <c r="CY198" t="str">
        <f t="shared" si="57"/>
        <v>双手</v>
      </c>
      <c r="CZ198" s="47">
        <v>20172</v>
      </c>
      <c r="DA198" s="34">
        <v>25</v>
      </c>
      <c r="DB198" s="54">
        <v>10</v>
      </c>
      <c r="DC198" s="34"/>
      <c r="DD198" s="34"/>
      <c r="DE198" s="34">
        <v>33</v>
      </c>
      <c r="DF198" s="34">
        <v>55</v>
      </c>
      <c r="DG198" s="34"/>
      <c r="DH198" s="34">
        <v>100</v>
      </c>
      <c r="DI198" t="s">
        <v>3987</v>
      </c>
      <c r="DJ198" t="s">
        <v>618</v>
      </c>
      <c r="DK198" t="s">
        <v>4068</v>
      </c>
      <c r="DL198" s="9">
        <f t="shared" si="58"/>
        <v>33</v>
      </c>
      <c r="DM198" s="9">
        <f t="shared" si="59"/>
        <v>55</v>
      </c>
      <c r="DN198" s="9">
        <v>110</v>
      </c>
      <c r="DO198" s="9">
        <v>80</v>
      </c>
      <c r="DP198">
        <f t="shared" si="60"/>
        <v>39.6</v>
      </c>
    </row>
    <row r="199" spans="103:120" x14ac:dyDescent="0.2">
      <c r="CY199" t="str">
        <f t="shared" si="57"/>
        <v>双手</v>
      </c>
      <c r="CZ199" s="47">
        <v>20173</v>
      </c>
      <c r="DA199" s="34">
        <v>25</v>
      </c>
      <c r="DB199" s="54">
        <v>-60</v>
      </c>
      <c r="DC199" s="34"/>
      <c r="DD199" s="34"/>
      <c r="DE199" s="34">
        <v>14</v>
      </c>
      <c r="DF199" s="34">
        <v>32</v>
      </c>
      <c r="DG199" s="34"/>
      <c r="DH199" s="34">
        <v>100</v>
      </c>
      <c r="DI199" t="s">
        <v>3987</v>
      </c>
      <c r="DJ199" t="s">
        <v>4076</v>
      </c>
      <c r="DK199" t="s">
        <v>4068</v>
      </c>
      <c r="DL199" s="9">
        <f t="shared" si="58"/>
        <v>14</v>
      </c>
      <c r="DM199" s="9">
        <f t="shared" si="59"/>
        <v>32</v>
      </c>
      <c r="DN199" s="9">
        <v>80</v>
      </c>
      <c r="DO199" s="9">
        <v>95</v>
      </c>
      <c r="DP199">
        <f t="shared" si="60"/>
        <v>36.800000000000004</v>
      </c>
    </row>
    <row r="200" spans="103:120" x14ac:dyDescent="0.2">
      <c r="CY200" t="str">
        <f t="shared" si="57"/>
        <v>单</v>
      </c>
      <c r="CZ200" s="47">
        <v>20296</v>
      </c>
      <c r="DA200" s="34">
        <v>26</v>
      </c>
      <c r="DB200" s="54">
        <v>-10</v>
      </c>
      <c r="DC200" s="34">
        <v>18</v>
      </c>
      <c r="DD200" s="34">
        <v>35</v>
      </c>
      <c r="DE200" s="34"/>
      <c r="DF200" s="34"/>
      <c r="DG200" s="34">
        <v>80</v>
      </c>
      <c r="DH200" s="34">
        <v>50</v>
      </c>
      <c r="DI200" t="s">
        <v>3987</v>
      </c>
      <c r="DJ200" t="s">
        <v>4077</v>
      </c>
      <c r="DK200" t="s">
        <v>4068</v>
      </c>
      <c r="DL200" s="9">
        <f t="shared" si="58"/>
        <v>18</v>
      </c>
      <c r="DM200" s="9">
        <f t="shared" si="59"/>
        <v>35</v>
      </c>
      <c r="DN200" s="9">
        <v>25</v>
      </c>
      <c r="DO200" s="9">
        <v>109</v>
      </c>
      <c r="DP200">
        <f t="shared" si="60"/>
        <v>29.150000000000002</v>
      </c>
    </row>
    <row r="201" spans="103:120" x14ac:dyDescent="0.2">
      <c r="CY201" t="str">
        <f t="shared" si="57"/>
        <v>单</v>
      </c>
      <c r="CZ201" s="47">
        <v>20185</v>
      </c>
      <c r="DA201" s="34">
        <v>27</v>
      </c>
      <c r="DB201" s="54">
        <v>10</v>
      </c>
      <c r="DC201" s="34">
        <v>8</v>
      </c>
      <c r="DD201" s="34">
        <v>37</v>
      </c>
      <c r="DE201" s="34"/>
      <c r="DF201" s="34"/>
      <c r="DG201" s="34">
        <v>75</v>
      </c>
      <c r="DH201" s="34">
        <v>75</v>
      </c>
      <c r="DI201" t="s">
        <v>3987</v>
      </c>
      <c r="DJ201" t="s">
        <v>4078</v>
      </c>
      <c r="DK201" t="s">
        <v>3785</v>
      </c>
      <c r="DL201" s="9">
        <f t="shared" si="58"/>
        <v>8</v>
      </c>
      <c r="DM201" s="9">
        <f t="shared" si="59"/>
        <v>37</v>
      </c>
      <c r="DN201" s="9">
        <v>69</v>
      </c>
      <c r="DO201" s="9">
        <v>69</v>
      </c>
      <c r="DP201">
        <f t="shared" si="60"/>
        <v>20.25</v>
      </c>
    </row>
    <row r="202" spans="103:120" x14ac:dyDescent="0.2">
      <c r="CY202" t="str">
        <f t="shared" si="57"/>
        <v>单</v>
      </c>
      <c r="CZ202" s="47">
        <v>20288</v>
      </c>
      <c r="DA202" s="34">
        <v>27</v>
      </c>
      <c r="DB202" s="54">
        <v>-10</v>
      </c>
      <c r="DC202" s="34">
        <v>10</v>
      </c>
      <c r="DD202" s="34">
        <v>26</v>
      </c>
      <c r="DE202" s="34"/>
      <c r="DF202" s="34"/>
      <c r="DG202" s="34">
        <v>100</v>
      </c>
      <c r="DH202" s="34"/>
      <c r="DI202" t="s">
        <v>3987</v>
      </c>
      <c r="DJ202" t="s">
        <v>4079</v>
      </c>
      <c r="DK202" t="s">
        <v>3785</v>
      </c>
      <c r="DL202" s="9">
        <f t="shared" si="58"/>
        <v>10</v>
      </c>
      <c r="DM202" s="9">
        <f t="shared" si="59"/>
        <v>26</v>
      </c>
      <c r="DP202">
        <f t="shared" si="60"/>
        <v>19.8</v>
      </c>
    </row>
    <row r="203" spans="103:120" x14ac:dyDescent="0.2">
      <c r="CY203" t="str">
        <f t="shared" si="57"/>
        <v>双手</v>
      </c>
      <c r="CZ203" s="47">
        <v>20292</v>
      </c>
      <c r="DA203" s="34">
        <v>29</v>
      </c>
      <c r="DB203" s="54"/>
      <c r="DC203" s="34"/>
      <c r="DD203" s="34"/>
      <c r="DE203" s="34">
        <v>16</v>
      </c>
      <c r="DF203" s="34">
        <v>29</v>
      </c>
      <c r="DG203" s="34"/>
      <c r="DH203" s="34">
        <v>100</v>
      </c>
      <c r="DI203" t="s">
        <v>3987</v>
      </c>
      <c r="DJ203" t="s">
        <v>4080</v>
      </c>
      <c r="DK203" t="s">
        <v>3785</v>
      </c>
      <c r="DL203" s="9">
        <f t="shared" si="58"/>
        <v>16</v>
      </c>
      <c r="DM203" s="9">
        <f t="shared" si="59"/>
        <v>29</v>
      </c>
      <c r="DN203" s="9">
        <v>56</v>
      </c>
      <c r="DO203" s="9">
        <v>77</v>
      </c>
      <c r="DP203">
        <f t="shared" si="60"/>
        <v>22.5</v>
      </c>
    </row>
    <row r="204" spans="103:120" x14ac:dyDescent="0.2">
      <c r="CY204" t="str">
        <f t="shared" si="57"/>
        <v>单</v>
      </c>
      <c r="CZ204" s="47">
        <v>20186</v>
      </c>
      <c r="DA204" s="34">
        <v>30</v>
      </c>
      <c r="DB204" s="54">
        <v>-10</v>
      </c>
      <c r="DC204" s="34">
        <v>16</v>
      </c>
      <c r="DD204" s="34">
        <v>37</v>
      </c>
      <c r="DE204" s="34"/>
      <c r="DF204" s="34"/>
      <c r="DG204" s="34">
        <v>75</v>
      </c>
      <c r="DH204" s="34">
        <v>75</v>
      </c>
      <c r="DI204" t="s">
        <v>3987</v>
      </c>
      <c r="DJ204" t="s">
        <v>4081</v>
      </c>
      <c r="DK204" t="s">
        <v>3785</v>
      </c>
      <c r="DL204" s="9">
        <f t="shared" si="58"/>
        <v>16</v>
      </c>
      <c r="DM204" s="9">
        <f t="shared" si="59"/>
        <v>37</v>
      </c>
      <c r="DN204" s="9">
        <v>73</v>
      </c>
      <c r="DO204" s="9">
        <v>73</v>
      </c>
      <c r="DP204">
        <f t="shared" si="60"/>
        <v>29.150000000000002</v>
      </c>
    </row>
    <row r="205" spans="103:120" x14ac:dyDescent="0.2">
      <c r="CY205" t="str">
        <f t="shared" si="57"/>
        <v>单</v>
      </c>
      <c r="CZ205" s="47">
        <v>20289</v>
      </c>
      <c r="DA205" s="34">
        <v>30</v>
      </c>
      <c r="DB205" s="54"/>
      <c r="DC205" s="34">
        <v>11</v>
      </c>
      <c r="DD205" s="34">
        <v>29</v>
      </c>
      <c r="DE205" s="34"/>
      <c r="DF205" s="34"/>
      <c r="DG205" s="34">
        <v>100</v>
      </c>
      <c r="DH205" s="34"/>
      <c r="DI205" t="s">
        <v>3987</v>
      </c>
      <c r="DJ205" t="s">
        <v>4082</v>
      </c>
      <c r="DK205" t="s">
        <v>3785</v>
      </c>
      <c r="DL205" s="9">
        <f t="shared" si="58"/>
        <v>11</v>
      </c>
      <c r="DM205" s="9">
        <f t="shared" si="59"/>
        <v>29</v>
      </c>
      <c r="DP205">
        <f t="shared" si="60"/>
        <v>20</v>
      </c>
    </row>
    <row r="206" spans="103:120" x14ac:dyDescent="0.2">
      <c r="CY206" t="str">
        <f t="shared" si="57"/>
        <v>双手</v>
      </c>
      <c r="CZ206" s="47">
        <v>20294</v>
      </c>
      <c r="DA206" s="34">
        <v>32</v>
      </c>
      <c r="DB206" s="54"/>
      <c r="DC206" s="34"/>
      <c r="DD206" s="34"/>
      <c r="DE206" s="34">
        <v>34</v>
      </c>
      <c r="DF206" s="34">
        <v>51</v>
      </c>
      <c r="DG206" s="34">
        <v>80</v>
      </c>
      <c r="DH206" s="34">
        <v>50</v>
      </c>
      <c r="DI206" t="s">
        <v>3987</v>
      </c>
      <c r="DJ206" t="s">
        <v>4083</v>
      </c>
      <c r="DK206" t="s">
        <v>3785</v>
      </c>
      <c r="DL206" s="9">
        <f t="shared" si="58"/>
        <v>34</v>
      </c>
      <c r="DM206" s="9">
        <f t="shared" si="59"/>
        <v>51</v>
      </c>
      <c r="DN206" s="9">
        <v>101</v>
      </c>
      <c r="DO206" s="9">
        <v>80</v>
      </c>
      <c r="DP206">
        <f t="shared" si="60"/>
        <v>42.5</v>
      </c>
    </row>
    <row r="207" spans="103:120" x14ac:dyDescent="0.2">
      <c r="CY207" t="str">
        <f t="shared" si="57"/>
        <v>单</v>
      </c>
      <c r="CZ207" s="47">
        <v>20187</v>
      </c>
      <c r="DA207" s="34">
        <v>33</v>
      </c>
      <c r="DB207" s="54">
        <v>-20</v>
      </c>
      <c r="DC207" s="34">
        <v>18</v>
      </c>
      <c r="DD207" s="34">
        <v>37</v>
      </c>
      <c r="DE207" s="34"/>
      <c r="DF207" s="34"/>
      <c r="DG207" s="34">
        <v>75</v>
      </c>
      <c r="DH207" s="34">
        <v>75</v>
      </c>
      <c r="DI207" t="s">
        <v>3987</v>
      </c>
      <c r="DJ207" t="s">
        <v>4084</v>
      </c>
      <c r="DK207" t="s">
        <v>3785</v>
      </c>
      <c r="DL207" s="9">
        <f t="shared" si="58"/>
        <v>18</v>
      </c>
      <c r="DM207" s="9">
        <f t="shared" si="59"/>
        <v>37</v>
      </c>
      <c r="DN207" s="9">
        <v>76</v>
      </c>
      <c r="DO207" s="9">
        <v>76</v>
      </c>
      <c r="DP207">
        <f t="shared" si="60"/>
        <v>33</v>
      </c>
    </row>
    <row r="208" spans="103:120" x14ac:dyDescent="0.2">
      <c r="CY208" t="str">
        <f t="shared" si="57"/>
        <v>单</v>
      </c>
      <c r="CZ208" s="47">
        <v>20290</v>
      </c>
      <c r="DA208" s="34">
        <v>34</v>
      </c>
      <c r="DB208" s="54"/>
      <c r="DC208" s="34">
        <v>13</v>
      </c>
      <c r="DD208" s="34">
        <v>32</v>
      </c>
      <c r="DE208" s="34"/>
      <c r="DF208" s="34"/>
      <c r="DG208" s="34">
        <v>100</v>
      </c>
      <c r="DH208" s="34"/>
      <c r="DI208" t="s">
        <v>3987</v>
      </c>
      <c r="DJ208" t="s">
        <v>4085</v>
      </c>
      <c r="DK208" t="s">
        <v>3785</v>
      </c>
      <c r="DL208" s="9">
        <f t="shared" si="58"/>
        <v>13</v>
      </c>
      <c r="DM208" s="9">
        <f t="shared" si="59"/>
        <v>32</v>
      </c>
      <c r="DP208">
        <f t="shared" si="60"/>
        <v>22.5</v>
      </c>
    </row>
    <row r="209" spans="103:120" x14ac:dyDescent="0.2">
      <c r="CY209" t="str">
        <f t="shared" si="57"/>
        <v>双手</v>
      </c>
      <c r="CZ209" s="47">
        <v>20293</v>
      </c>
      <c r="DA209" s="34">
        <v>35</v>
      </c>
      <c r="DB209" s="54">
        <v>10</v>
      </c>
      <c r="DC209" s="34"/>
      <c r="DD209" s="34"/>
      <c r="DE209" s="34">
        <v>19</v>
      </c>
      <c r="DF209" s="34">
        <v>41</v>
      </c>
      <c r="DG209" s="34"/>
      <c r="DH209" s="34">
        <v>100</v>
      </c>
      <c r="DI209" t="s">
        <v>3987</v>
      </c>
      <c r="DJ209" t="s">
        <v>4086</v>
      </c>
      <c r="DK209" t="s">
        <v>3785</v>
      </c>
      <c r="DL209" s="9">
        <f t="shared" si="58"/>
        <v>19</v>
      </c>
      <c r="DM209" s="9">
        <f t="shared" si="59"/>
        <v>41</v>
      </c>
      <c r="DN209" s="9">
        <v>73</v>
      </c>
      <c r="DO209" s="9">
        <v>110</v>
      </c>
      <c r="DP209">
        <f t="shared" si="60"/>
        <v>27</v>
      </c>
    </row>
    <row r="210" spans="103:120" x14ac:dyDescent="0.2">
      <c r="CY210" t="str">
        <f t="shared" si="57"/>
        <v>单</v>
      </c>
      <c r="CZ210" s="47">
        <v>20188</v>
      </c>
      <c r="DA210" s="34">
        <v>37</v>
      </c>
      <c r="DB210" s="54">
        <v>-30</v>
      </c>
      <c r="DC210" s="34">
        <v>21</v>
      </c>
      <c r="DD210" s="34">
        <v>35</v>
      </c>
      <c r="DE210" s="34"/>
      <c r="DF210" s="34"/>
      <c r="DG210" s="34">
        <v>75</v>
      </c>
      <c r="DH210" s="34">
        <v>75</v>
      </c>
      <c r="DI210" t="s">
        <v>3987</v>
      </c>
      <c r="DJ210" t="s">
        <v>4087</v>
      </c>
      <c r="DK210" t="s">
        <v>3785</v>
      </c>
      <c r="DL210" s="9">
        <f t="shared" si="58"/>
        <v>21</v>
      </c>
      <c r="DM210" s="9">
        <f t="shared" si="59"/>
        <v>35</v>
      </c>
      <c r="DN210" s="9">
        <v>79</v>
      </c>
      <c r="DO210" s="9">
        <v>79</v>
      </c>
      <c r="DP210">
        <f t="shared" si="60"/>
        <v>36.4</v>
      </c>
    </row>
    <row r="211" spans="103:120" x14ac:dyDescent="0.2">
      <c r="CY211" t="str">
        <f t="shared" si="57"/>
        <v>单</v>
      </c>
      <c r="CZ211" s="47">
        <v>20291</v>
      </c>
      <c r="DA211" s="34">
        <v>37</v>
      </c>
      <c r="DB211" s="54">
        <v>10</v>
      </c>
      <c r="DC211" s="34">
        <v>18</v>
      </c>
      <c r="DD211" s="34">
        <v>42</v>
      </c>
      <c r="DE211" s="34"/>
      <c r="DF211" s="34"/>
      <c r="DG211" s="34">
        <v>100</v>
      </c>
      <c r="DH211" s="34"/>
      <c r="DI211" t="s">
        <v>3987</v>
      </c>
      <c r="DJ211" t="s">
        <v>4088</v>
      </c>
      <c r="DK211" t="s">
        <v>3826</v>
      </c>
      <c r="DL211" s="9">
        <f t="shared" si="58"/>
        <v>18</v>
      </c>
      <c r="DM211" s="9">
        <f t="shared" si="59"/>
        <v>42</v>
      </c>
      <c r="DP211">
        <f t="shared" si="60"/>
        <v>27</v>
      </c>
    </row>
    <row r="212" spans="103:120" x14ac:dyDescent="0.2">
      <c r="CY212" t="str">
        <f t="shared" si="57"/>
        <v>双手</v>
      </c>
      <c r="CZ212" s="47">
        <v>20295</v>
      </c>
      <c r="DA212" s="34">
        <v>38</v>
      </c>
      <c r="DB212" s="54">
        <v>20</v>
      </c>
      <c r="DC212" s="34"/>
      <c r="DD212" s="34"/>
      <c r="DE212" s="34">
        <v>42</v>
      </c>
      <c r="DF212" s="34">
        <v>101</v>
      </c>
      <c r="DG212" s="34">
        <v>80</v>
      </c>
      <c r="DH212" s="34">
        <v>50</v>
      </c>
      <c r="DI212" t="s">
        <v>3987</v>
      </c>
      <c r="DJ212" t="s">
        <v>4089</v>
      </c>
      <c r="DK212" t="s">
        <v>3826</v>
      </c>
      <c r="DL212" s="9">
        <f t="shared" si="58"/>
        <v>42</v>
      </c>
      <c r="DM212" s="9">
        <f t="shared" si="59"/>
        <v>101</v>
      </c>
      <c r="DN212" s="9">
        <v>115</v>
      </c>
      <c r="DO212" s="9">
        <v>98</v>
      </c>
      <c r="DP212">
        <f t="shared" si="60"/>
        <v>57.2</v>
      </c>
    </row>
    <row r="213" spans="103:120" x14ac:dyDescent="0.2">
      <c r="CY213" t="str">
        <f t="shared" si="57"/>
        <v>单</v>
      </c>
      <c r="CZ213" s="47">
        <v>20211</v>
      </c>
      <c r="DA213" s="34">
        <v>39</v>
      </c>
      <c r="DB213" s="54">
        <v>-10</v>
      </c>
      <c r="DC213" s="34">
        <v>35</v>
      </c>
      <c r="DD213" s="34">
        <v>43</v>
      </c>
      <c r="DE213" s="34"/>
      <c r="DF213" s="34"/>
      <c r="DG213" s="34">
        <v>100</v>
      </c>
      <c r="DH213" s="34"/>
      <c r="DI213" t="s">
        <v>4090</v>
      </c>
      <c r="DJ213" t="s">
        <v>4091</v>
      </c>
      <c r="DK213" t="s">
        <v>3826</v>
      </c>
      <c r="DL213" s="9">
        <f t="shared" si="58"/>
        <v>35</v>
      </c>
      <c r="DM213" s="9">
        <f t="shared" si="59"/>
        <v>43</v>
      </c>
      <c r="DN213" s="9">
        <v>88</v>
      </c>
      <c r="DO213" s="9">
        <v>43</v>
      </c>
      <c r="DP213">
        <f t="shared" si="60"/>
        <v>42.900000000000006</v>
      </c>
    </row>
    <row r="214" spans="103:120" x14ac:dyDescent="0.2">
      <c r="CY214" t="str">
        <f t="shared" si="57"/>
        <v>双手</v>
      </c>
      <c r="CZ214" s="47">
        <v>20302</v>
      </c>
      <c r="DA214" s="34">
        <v>39</v>
      </c>
      <c r="DB214" s="54">
        <v>-10</v>
      </c>
      <c r="DC214" s="34"/>
      <c r="DD214" s="34"/>
      <c r="DE214" s="34">
        <v>20</v>
      </c>
      <c r="DF214" s="34">
        <v>47</v>
      </c>
      <c r="DG214" s="34"/>
      <c r="DH214" s="34">
        <v>100</v>
      </c>
      <c r="DI214" t="s">
        <v>4090</v>
      </c>
      <c r="DJ214" t="s">
        <v>4092</v>
      </c>
      <c r="DK214" t="s">
        <v>3826</v>
      </c>
      <c r="DL214" s="9">
        <f t="shared" si="58"/>
        <v>20</v>
      </c>
      <c r="DM214" s="9">
        <f t="shared" si="59"/>
        <v>47</v>
      </c>
      <c r="DN214" s="9">
        <v>87</v>
      </c>
      <c r="DO214" s="9">
        <v>187</v>
      </c>
      <c r="DP214">
        <f t="shared" si="60"/>
        <v>36.85</v>
      </c>
    </row>
    <row r="215" spans="103:120" x14ac:dyDescent="0.2">
      <c r="CY215" t="str">
        <f t="shared" si="57"/>
        <v>单</v>
      </c>
      <c r="CZ215" s="47">
        <v>20189</v>
      </c>
      <c r="DA215" s="34">
        <v>40</v>
      </c>
      <c r="DB215" s="54"/>
      <c r="DC215" s="34">
        <v>19</v>
      </c>
      <c r="DD215" s="34">
        <v>40</v>
      </c>
      <c r="DE215" s="34"/>
      <c r="DF215" s="34"/>
      <c r="DG215" s="34">
        <v>75</v>
      </c>
      <c r="DH215" s="34">
        <v>75</v>
      </c>
      <c r="DI215" t="s">
        <v>3987</v>
      </c>
      <c r="DJ215" t="s">
        <v>4093</v>
      </c>
      <c r="DK215" t="s">
        <v>3844</v>
      </c>
      <c r="DL215" s="9">
        <f t="shared" si="58"/>
        <v>19</v>
      </c>
      <c r="DM215" s="9">
        <f t="shared" si="59"/>
        <v>40</v>
      </c>
      <c r="DN215" s="9">
        <v>82</v>
      </c>
      <c r="DO215" s="9">
        <v>82</v>
      </c>
      <c r="DP215">
        <f t="shared" si="60"/>
        <v>29.5</v>
      </c>
    </row>
    <row r="216" spans="103:120" x14ac:dyDescent="0.2">
      <c r="CY216" t="str">
        <f t="shared" si="57"/>
        <v>单</v>
      </c>
      <c r="CZ216" s="47">
        <v>20197</v>
      </c>
      <c r="DA216" s="34">
        <v>40</v>
      </c>
      <c r="DB216" s="54"/>
      <c r="DC216" s="34">
        <v>33</v>
      </c>
      <c r="DD216" s="34">
        <v>58</v>
      </c>
      <c r="DE216" s="34"/>
      <c r="DF216" s="34"/>
      <c r="DG216" s="34">
        <v>100</v>
      </c>
      <c r="DH216" s="34"/>
      <c r="DI216" t="s">
        <v>4090</v>
      </c>
      <c r="DJ216" t="s">
        <v>4094</v>
      </c>
      <c r="DK216" t="s">
        <v>3848</v>
      </c>
      <c r="DL216" s="9">
        <f t="shared" si="58"/>
        <v>33</v>
      </c>
      <c r="DM216" s="9">
        <f t="shared" si="59"/>
        <v>58</v>
      </c>
      <c r="DN216" s="9">
        <v>125</v>
      </c>
      <c r="DO216" s="9">
        <v>67</v>
      </c>
      <c r="DP216">
        <f t="shared" si="60"/>
        <v>45.5</v>
      </c>
    </row>
    <row r="217" spans="103:120" x14ac:dyDescent="0.2">
      <c r="CY217" t="str">
        <f t="shared" si="57"/>
        <v>单</v>
      </c>
      <c r="CZ217" s="47">
        <v>20244</v>
      </c>
      <c r="DA217" s="34">
        <v>40</v>
      </c>
      <c r="DB217" s="54">
        <v>-10</v>
      </c>
      <c r="DC217" s="34">
        <v>21</v>
      </c>
      <c r="DD217" s="34">
        <v>57</v>
      </c>
      <c r="DE217" s="34"/>
      <c r="DF217" s="34"/>
      <c r="DG217" s="34">
        <v>75</v>
      </c>
      <c r="DH217" s="34">
        <v>75</v>
      </c>
      <c r="DI217" t="s">
        <v>4090</v>
      </c>
      <c r="DJ217" t="s">
        <v>4095</v>
      </c>
      <c r="DK217" t="s">
        <v>3848</v>
      </c>
      <c r="DL217" s="9">
        <f t="shared" si="58"/>
        <v>21</v>
      </c>
      <c r="DM217" s="9">
        <f t="shared" si="59"/>
        <v>57</v>
      </c>
      <c r="DN217" s="9">
        <v>98</v>
      </c>
      <c r="DO217" s="9">
        <v>123</v>
      </c>
      <c r="DP217">
        <f t="shared" si="60"/>
        <v>42.900000000000006</v>
      </c>
    </row>
    <row r="218" spans="103:120" x14ac:dyDescent="0.2">
      <c r="CY218" t="str">
        <f t="shared" si="57"/>
        <v>单</v>
      </c>
      <c r="CZ218" s="47">
        <v>20207</v>
      </c>
      <c r="DA218" s="34">
        <v>41</v>
      </c>
      <c r="DB218" s="54"/>
      <c r="DC218" s="34">
        <v>18</v>
      </c>
      <c r="DD218" s="34">
        <v>33</v>
      </c>
      <c r="DE218" s="34"/>
      <c r="DF218" s="34"/>
      <c r="DG218" s="34">
        <v>100</v>
      </c>
      <c r="DH218" s="34"/>
      <c r="DI218" t="s">
        <v>4090</v>
      </c>
      <c r="DJ218" t="s">
        <v>4096</v>
      </c>
      <c r="DK218" t="s">
        <v>3848</v>
      </c>
      <c r="DL218" s="9">
        <f t="shared" si="58"/>
        <v>18</v>
      </c>
      <c r="DM218" s="9">
        <f t="shared" si="59"/>
        <v>33</v>
      </c>
      <c r="DN218" s="9">
        <v>25</v>
      </c>
      <c r="DP218">
        <f t="shared" si="60"/>
        <v>25.5</v>
      </c>
    </row>
    <row r="219" spans="103:120" x14ac:dyDescent="0.2">
      <c r="CY219" t="str">
        <f t="shared" si="57"/>
        <v>双手</v>
      </c>
      <c r="CZ219" s="47">
        <v>20265</v>
      </c>
      <c r="DA219" s="34">
        <v>41</v>
      </c>
      <c r="DB219" s="54">
        <v>5</v>
      </c>
      <c r="DC219" s="34"/>
      <c r="DD219" s="34"/>
      <c r="DE219" s="34">
        <v>23</v>
      </c>
      <c r="DF219" s="34">
        <v>50</v>
      </c>
      <c r="DG219" s="34"/>
      <c r="DH219" s="34">
        <v>100</v>
      </c>
      <c r="DI219" t="s">
        <v>4090</v>
      </c>
      <c r="DJ219" t="s">
        <v>4097</v>
      </c>
      <c r="DK219" t="s">
        <v>3844</v>
      </c>
      <c r="DL219" s="9">
        <f t="shared" si="58"/>
        <v>23</v>
      </c>
      <c r="DM219" s="9">
        <f t="shared" si="59"/>
        <v>50</v>
      </c>
      <c r="DN219" s="9">
        <v>64</v>
      </c>
      <c r="DO219" s="9">
        <v>143</v>
      </c>
      <c r="DP219">
        <f t="shared" si="60"/>
        <v>34.674999999999997</v>
      </c>
    </row>
    <row r="220" spans="103:120" x14ac:dyDescent="0.2">
      <c r="CY220" t="str">
        <f t="shared" si="57"/>
        <v>双手</v>
      </c>
      <c r="CZ220" s="47">
        <v>20202</v>
      </c>
      <c r="DA220" s="34">
        <v>42</v>
      </c>
      <c r="DB220" s="54">
        <v>-15</v>
      </c>
      <c r="DC220" s="34"/>
      <c r="DD220" s="34"/>
      <c r="DE220" s="34">
        <v>25</v>
      </c>
      <c r="DF220" s="34">
        <v>123</v>
      </c>
      <c r="DG220" s="34">
        <v>100</v>
      </c>
      <c r="DH220" s="34"/>
      <c r="DI220" t="s">
        <v>4090</v>
      </c>
      <c r="DJ220" t="s">
        <v>4098</v>
      </c>
      <c r="DK220" t="s">
        <v>3861</v>
      </c>
      <c r="DL220" s="9">
        <f t="shared" si="58"/>
        <v>25</v>
      </c>
      <c r="DM220" s="9">
        <f t="shared" si="59"/>
        <v>123</v>
      </c>
      <c r="DN220" s="9">
        <v>196</v>
      </c>
      <c r="DP220">
        <f t="shared" si="60"/>
        <v>85.1</v>
      </c>
    </row>
    <row r="221" spans="103:120" x14ac:dyDescent="0.2">
      <c r="CY221" t="str">
        <f t="shared" si="57"/>
        <v>单</v>
      </c>
      <c r="CZ221" s="47">
        <v>20215</v>
      </c>
      <c r="DA221" s="34">
        <v>42</v>
      </c>
      <c r="DB221" s="54"/>
      <c r="DC221" s="34">
        <v>32</v>
      </c>
      <c r="DD221" s="34">
        <v>58</v>
      </c>
      <c r="DE221" s="34"/>
      <c r="DF221" s="34"/>
      <c r="DG221" s="34">
        <v>100</v>
      </c>
      <c r="DH221" s="34"/>
      <c r="DI221" t="s">
        <v>4090</v>
      </c>
      <c r="DJ221" t="s">
        <v>4099</v>
      </c>
      <c r="DK221" t="s">
        <v>3861</v>
      </c>
      <c r="DL221" s="9">
        <f t="shared" si="58"/>
        <v>32</v>
      </c>
      <c r="DM221" s="9">
        <f t="shared" si="59"/>
        <v>58</v>
      </c>
      <c r="DN221" s="9">
        <v>133</v>
      </c>
      <c r="DP221">
        <f t="shared" si="60"/>
        <v>45</v>
      </c>
    </row>
    <row r="222" spans="103:120" x14ac:dyDescent="0.2">
      <c r="CY222" t="str">
        <f t="shared" si="57"/>
        <v>单</v>
      </c>
      <c r="CZ222" s="47">
        <v>20222</v>
      </c>
      <c r="DA222" s="34">
        <v>42</v>
      </c>
      <c r="DB222" s="54"/>
      <c r="DC222" s="34">
        <v>31</v>
      </c>
      <c r="DD222" s="34">
        <v>59</v>
      </c>
      <c r="DE222" s="34"/>
      <c r="DF222" s="34"/>
      <c r="DG222" s="34">
        <v>100</v>
      </c>
      <c r="DH222" s="34"/>
      <c r="DI222" t="s">
        <v>4090</v>
      </c>
      <c r="DJ222" t="s">
        <v>4100</v>
      </c>
      <c r="DK222" t="s">
        <v>3861</v>
      </c>
      <c r="DL222" s="9">
        <f t="shared" si="58"/>
        <v>31</v>
      </c>
      <c r="DM222" s="9">
        <f t="shared" si="59"/>
        <v>59</v>
      </c>
      <c r="DN222" s="9">
        <v>150</v>
      </c>
      <c r="DO222" s="9">
        <v>88</v>
      </c>
      <c r="DP222">
        <f t="shared" si="60"/>
        <v>45</v>
      </c>
    </row>
    <row r="223" spans="103:120" x14ac:dyDescent="0.2">
      <c r="CY223" t="str">
        <f t="shared" si="57"/>
        <v>单</v>
      </c>
      <c r="CZ223" s="47">
        <v>20241</v>
      </c>
      <c r="DA223" s="34">
        <v>42</v>
      </c>
      <c r="DB223" s="54">
        <v>10</v>
      </c>
      <c r="DC223" s="34">
        <v>17</v>
      </c>
      <c r="DD223" s="34">
        <v>65</v>
      </c>
      <c r="DE223" s="34"/>
      <c r="DF223" s="34"/>
      <c r="DG223" s="34">
        <v>75</v>
      </c>
      <c r="DH223" s="34">
        <v>75</v>
      </c>
      <c r="DI223" t="s">
        <v>4090</v>
      </c>
      <c r="DJ223" t="s">
        <v>4101</v>
      </c>
      <c r="DK223" t="s">
        <v>3871</v>
      </c>
      <c r="DL223" s="9">
        <f t="shared" si="58"/>
        <v>17</v>
      </c>
      <c r="DM223" s="9">
        <f t="shared" si="59"/>
        <v>65</v>
      </c>
      <c r="DN223" s="9">
        <v>88</v>
      </c>
      <c r="DO223" s="9">
        <v>108</v>
      </c>
      <c r="DP223">
        <f t="shared" si="60"/>
        <v>36.9</v>
      </c>
    </row>
    <row r="224" spans="103:120" x14ac:dyDescent="0.2">
      <c r="CY224" t="str">
        <f t="shared" si="57"/>
        <v>双手</v>
      </c>
      <c r="CZ224" s="47">
        <v>20273</v>
      </c>
      <c r="DA224" s="34">
        <v>42</v>
      </c>
      <c r="DB224" s="54">
        <v>-10</v>
      </c>
      <c r="DC224" s="34"/>
      <c r="DD224" s="34"/>
      <c r="DE224" s="34">
        <v>28</v>
      </c>
      <c r="DF224" s="34">
        <v>73</v>
      </c>
      <c r="DG224" s="34"/>
      <c r="DH224" s="34">
        <v>100</v>
      </c>
      <c r="DI224" t="s">
        <v>4090</v>
      </c>
      <c r="DJ224" t="s">
        <v>4102</v>
      </c>
      <c r="DK224" t="s">
        <v>3871</v>
      </c>
      <c r="DL224" s="9">
        <f t="shared" si="58"/>
        <v>28</v>
      </c>
      <c r="DM224" s="9">
        <f t="shared" si="59"/>
        <v>73</v>
      </c>
      <c r="DN224" s="9">
        <v>83</v>
      </c>
      <c r="DO224" s="9">
        <v>155</v>
      </c>
      <c r="DP224">
        <f t="shared" si="60"/>
        <v>55.550000000000004</v>
      </c>
    </row>
    <row r="225" spans="103:120" x14ac:dyDescent="0.2">
      <c r="CY225" t="str">
        <f t="shared" si="57"/>
        <v>单</v>
      </c>
      <c r="CZ225" s="47">
        <v>20236</v>
      </c>
      <c r="DA225" s="34">
        <v>43</v>
      </c>
      <c r="DB225" s="54">
        <v>-20</v>
      </c>
      <c r="DC225" s="34">
        <v>23</v>
      </c>
      <c r="DD225" s="34">
        <v>49</v>
      </c>
      <c r="DE225" s="34"/>
      <c r="DF225" s="34"/>
      <c r="DG225" s="34">
        <v>75</v>
      </c>
      <c r="DH225" s="34">
        <v>75</v>
      </c>
      <c r="DI225" t="s">
        <v>4090</v>
      </c>
      <c r="DJ225" t="s">
        <v>4103</v>
      </c>
      <c r="DK225" t="s">
        <v>3871</v>
      </c>
      <c r="DL225" s="9">
        <f t="shared" si="58"/>
        <v>23</v>
      </c>
      <c r="DM225" s="9">
        <f t="shared" si="59"/>
        <v>49</v>
      </c>
      <c r="DN225" s="9">
        <v>38</v>
      </c>
      <c r="DO225" s="9">
        <v>75</v>
      </c>
      <c r="DP225">
        <f t="shared" si="60"/>
        <v>43.199999999999996</v>
      </c>
    </row>
    <row r="226" spans="103:120" x14ac:dyDescent="0.2">
      <c r="CY226" t="str">
        <f t="shared" si="57"/>
        <v>双手</v>
      </c>
      <c r="CZ226" s="47">
        <v>20249</v>
      </c>
      <c r="DA226" s="34">
        <v>43</v>
      </c>
      <c r="DB226" s="54">
        <v>-10</v>
      </c>
      <c r="DC226" s="34"/>
      <c r="DD226" s="34"/>
      <c r="DE226" s="34">
        <v>35</v>
      </c>
      <c r="DF226" s="34">
        <v>119</v>
      </c>
      <c r="DG226" s="34">
        <v>100</v>
      </c>
      <c r="DH226" s="34"/>
      <c r="DI226" t="s">
        <v>4090</v>
      </c>
      <c r="DJ226" t="s">
        <v>4104</v>
      </c>
      <c r="DK226" t="s">
        <v>3881</v>
      </c>
      <c r="DL226" s="9">
        <f t="shared" si="58"/>
        <v>35</v>
      </c>
      <c r="DM226" s="9">
        <f t="shared" si="59"/>
        <v>119</v>
      </c>
      <c r="DN226" s="9">
        <v>155</v>
      </c>
      <c r="DO226" s="9">
        <v>120</v>
      </c>
      <c r="DP226">
        <f t="shared" si="60"/>
        <v>84.7</v>
      </c>
    </row>
    <row r="227" spans="103:120" x14ac:dyDescent="0.2">
      <c r="CY227" t="str">
        <f t="shared" si="57"/>
        <v>双手</v>
      </c>
      <c r="CZ227" s="47">
        <v>20260</v>
      </c>
      <c r="DA227" s="34">
        <v>43</v>
      </c>
      <c r="DB227" s="54">
        <v>-10</v>
      </c>
      <c r="DC227" s="34"/>
      <c r="DD227" s="34"/>
      <c r="DE227" s="34">
        <v>69</v>
      </c>
      <c r="DF227" s="34">
        <v>85</v>
      </c>
      <c r="DG227" s="34">
        <v>100</v>
      </c>
      <c r="DH227" s="34"/>
      <c r="DI227" t="s">
        <v>4090</v>
      </c>
      <c r="DJ227" t="s">
        <v>4105</v>
      </c>
      <c r="DK227" t="s">
        <v>3881</v>
      </c>
      <c r="DL227" s="9">
        <f t="shared" si="58"/>
        <v>69</v>
      </c>
      <c r="DM227" s="9">
        <f t="shared" si="59"/>
        <v>85</v>
      </c>
      <c r="DN227" s="9">
        <v>25</v>
      </c>
      <c r="DP227">
        <f t="shared" si="60"/>
        <v>84.7</v>
      </c>
    </row>
    <row r="228" spans="103:120" x14ac:dyDescent="0.2">
      <c r="CY228" t="str">
        <f t="shared" si="57"/>
        <v>单</v>
      </c>
      <c r="CZ228" s="47">
        <v>20190</v>
      </c>
      <c r="DA228" s="34">
        <v>44</v>
      </c>
      <c r="DB228" s="54"/>
      <c r="DC228" s="34">
        <v>39</v>
      </c>
      <c r="DD228" s="34">
        <v>52</v>
      </c>
      <c r="DE228" s="34"/>
      <c r="DF228" s="34"/>
      <c r="DG228" s="34">
        <v>75</v>
      </c>
      <c r="DH228" s="34">
        <v>75</v>
      </c>
      <c r="DI228" t="s">
        <v>4090</v>
      </c>
      <c r="DJ228" t="s">
        <v>4106</v>
      </c>
      <c r="DK228" t="s">
        <v>3881</v>
      </c>
      <c r="DL228" s="9">
        <f t="shared" si="58"/>
        <v>39</v>
      </c>
      <c r="DM228" s="9">
        <f t="shared" si="59"/>
        <v>52</v>
      </c>
      <c r="DN228" s="9">
        <v>99</v>
      </c>
      <c r="DO228" s="9">
        <v>99</v>
      </c>
      <c r="DP228">
        <f t="shared" si="60"/>
        <v>45.5</v>
      </c>
    </row>
    <row r="229" spans="103:120" x14ac:dyDescent="0.2">
      <c r="CY229" t="str">
        <f t="shared" si="57"/>
        <v>单/双手</v>
      </c>
      <c r="CZ229" s="47">
        <v>20230</v>
      </c>
      <c r="DA229" s="34">
        <v>44</v>
      </c>
      <c r="DB229" s="54">
        <v>-15</v>
      </c>
      <c r="DC229" s="34">
        <v>22</v>
      </c>
      <c r="DD229" s="34">
        <v>56</v>
      </c>
      <c r="DE229" s="34">
        <v>50</v>
      </c>
      <c r="DF229" s="34">
        <v>94</v>
      </c>
      <c r="DG229" s="34">
        <v>100</v>
      </c>
      <c r="DH229" s="34"/>
      <c r="DI229" t="s">
        <v>4090</v>
      </c>
      <c r="DJ229" t="s">
        <v>4107</v>
      </c>
      <c r="DK229" t="s">
        <v>3881</v>
      </c>
      <c r="DL229" s="9">
        <f t="shared" si="58"/>
        <v>50</v>
      </c>
      <c r="DM229" s="9">
        <f t="shared" si="59"/>
        <v>94</v>
      </c>
      <c r="DN229" s="9">
        <v>175</v>
      </c>
      <c r="DO229" s="9">
        <v>100</v>
      </c>
      <c r="DP229">
        <f t="shared" si="60"/>
        <v>82.8</v>
      </c>
    </row>
    <row r="230" spans="103:120" x14ac:dyDescent="0.2">
      <c r="CY230" t="str">
        <f t="shared" si="57"/>
        <v>单</v>
      </c>
      <c r="CZ230" s="47">
        <v>20297</v>
      </c>
      <c r="DA230" s="34">
        <v>44</v>
      </c>
      <c r="DB230" s="54">
        <v>-10</v>
      </c>
      <c r="DC230" s="34">
        <v>21</v>
      </c>
      <c r="DD230" s="34">
        <v>46</v>
      </c>
      <c r="DE230" s="34"/>
      <c r="DF230" s="34"/>
      <c r="DG230" s="34">
        <v>100</v>
      </c>
      <c r="DH230" s="34"/>
      <c r="DI230" t="s">
        <v>4090</v>
      </c>
      <c r="DJ230" t="s">
        <v>4108</v>
      </c>
      <c r="DK230" t="s">
        <v>3881</v>
      </c>
      <c r="DL230" s="9">
        <f t="shared" si="58"/>
        <v>21</v>
      </c>
      <c r="DM230" s="9">
        <f t="shared" si="59"/>
        <v>46</v>
      </c>
      <c r="DP230">
        <f t="shared" si="60"/>
        <v>36.85</v>
      </c>
    </row>
    <row r="231" spans="103:120" x14ac:dyDescent="0.2">
      <c r="CY231" t="str">
        <f t="shared" si="57"/>
        <v>单</v>
      </c>
      <c r="CZ231" s="47">
        <v>20198</v>
      </c>
      <c r="DA231" s="34">
        <v>45</v>
      </c>
      <c r="DB231" s="54">
        <v>10</v>
      </c>
      <c r="DC231" s="34">
        <v>38</v>
      </c>
      <c r="DD231" s="34">
        <v>60</v>
      </c>
      <c r="DE231" s="34"/>
      <c r="DF231" s="34"/>
      <c r="DG231" s="34">
        <v>100</v>
      </c>
      <c r="DH231" s="34"/>
      <c r="DI231" t="s">
        <v>4090</v>
      </c>
      <c r="DJ231" t="s">
        <v>4109</v>
      </c>
      <c r="DK231" t="s">
        <v>3881</v>
      </c>
      <c r="DL231" s="9">
        <f t="shared" si="58"/>
        <v>38</v>
      </c>
      <c r="DM231" s="9">
        <f t="shared" si="59"/>
        <v>60</v>
      </c>
      <c r="DN231" s="9">
        <v>115</v>
      </c>
      <c r="DO231" s="9">
        <v>83</v>
      </c>
      <c r="DP231">
        <f t="shared" si="60"/>
        <v>44.1</v>
      </c>
    </row>
    <row r="232" spans="103:120" x14ac:dyDescent="0.2">
      <c r="CY232" t="str">
        <f t="shared" si="57"/>
        <v>单</v>
      </c>
      <c r="CZ232" s="47">
        <v>20223</v>
      </c>
      <c r="DA232" s="34">
        <v>45</v>
      </c>
      <c r="DB232" s="54">
        <v>-20</v>
      </c>
      <c r="DC232" s="34">
        <v>26</v>
      </c>
      <c r="DD232" s="34">
        <v>46</v>
      </c>
      <c r="DE232" s="34"/>
      <c r="DF232" s="34"/>
      <c r="DG232" s="34">
        <v>100</v>
      </c>
      <c r="DH232" s="34"/>
      <c r="DI232" t="s">
        <v>4090</v>
      </c>
      <c r="DJ232" t="s">
        <v>4110</v>
      </c>
      <c r="DK232" t="s">
        <v>3881</v>
      </c>
      <c r="DL232" s="9">
        <f t="shared" si="58"/>
        <v>26</v>
      </c>
      <c r="DM232" s="9">
        <f t="shared" si="59"/>
        <v>46</v>
      </c>
      <c r="DN232" s="9">
        <v>138</v>
      </c>
      <c r="DO232" s="9">
        <v>95</v>
      </c>
      <c r="DP232">
        <f t="shared" si="60"/>
        <v>43.199999999999996</v>
      </c>
    </row>
    <row r="233" spans="103:120" x14ac:dyDescent="0.2">
      <c r="CY233" t="str">
        <f t="shared" si="57"/>
        <v>双手</v>
      </c>
      <c r="CZ233" s="47">
        <v>20254</v>
      </c>
      <c r="DA233" s="34">
        <v>45</v>
      </c>
      <c r="DB233" s="54"/>
      <c r="DC233" s="34"/>
      <c r="DD233" s="34"/>
      <c r="DE233" s="34">
        <v>28</v>
      </c>
      <c r="DF233" s="34">
        <v>145</v>
      </c>
      <c r="DG233" s="34">
        <v>100</v>
      </c>
      <c r="DH233" s="34"/>
      <c r="DI233" t="s">
        <v>4090</v>
      </c>
      <c r="DJ233" t="s">
        <v>4111</v>
      </c>
      <c r="DK233" t="s">
        <v>3881</v>
      </c>
      <c r="DL233" s="9">
        <f t="shared" si="58"/>
        <v>28</v>
      </c>
      <c r="DM233" s="9">
        <f t="shared" si="59"/>
        <v>145</v>
      </c>
      <c r="DN233" s="9">
        <v>195</v>
      </c>
      <c r="DO233" s="9">
        <v>75</v>
      </c>
      <c r="DP233">
        <f t="shared" si="60"/>
        <v>86.5</v>
      </c>
    </row>
    <row r="234" spans="103:120" x14ac:dyDescent="0.2">
      <c r="CY234" t="str">
        <f t="shared" si="57"/>
        <v>双手</v>
      </c>
      <c r="CZ234" s="47">
        <v>20266</v>
      </c>
      <c r="DA234" s="34">
        <v>45</v>
      </c>
      <c r="DB234" s="54">
        <v>-10</v>
      </c>
      <c r="DC234" s="34"/>
      <c r="DD234" s="34"/>
      <c r="DE234" s="34">
        <v>21</v>
      </c>
      <c r="DF234" s="34">
        <v>41</v>
      </c>
      <c r="DG234" s="34"/>
      <c r="DH234" s="34">
        <v>100</v>
      </c>
      <c r="DI234" t="s">
        <v>4090</v>
      </c>
      <c r="DJ234" t="s">
        <v>4112</v>
      </c>
      <c r="DK234" t="s">
        <v>3881</v>
      </c>
      <c r="DL234" s="9">
        <f t="shared" si="58"/>
        <v>21</v>
      </c>
      <c r="DM234" s="9">
        <f t="shared" si="59"/>
        <v>41</v>
      </c>
      <c r="DN234" s="9">
        <v>76</v>
      </c>
      <c r="DO234" s="9">
        <v>119</v>
      </c>
      <c r="DP234">
        <f t="shared" si="60"/>
        <v>34.1</v>
      </c>
    </row>
    <row r="235" spans="103:120" x14ac:dyDescent="0.2">
      <c r="CY235" t="str">
        <f t="shared" si="57"/>
        <v>双手</v>
      </c>
      <c r="CZ235" s="47">
        <v>20304</v>
      </c>
      <c r="DA235" s="34">
        <v>45</v>
      </c>
      <c r="DB235" s="54"/>
      <c r="DC235" s="34"/>
      <c r="DD235" s="34"/>
      <c r="DE235" s="34">
        <v>65</v>
      </c>
      <c r="DF235" s="34">
        <v>95</v>
      </c>
      <c r="DG235" s="34">
        <v>80</v>
      </c>
      <c r="DH235" s="34">
        <v>50</v>
      </c>
      <c r="DI235" t="s">
        <v>4090</v>
      </c>
      <c r="DJ235" t="s">
        <v>4113</v>
      </c>
      <c r="DK235" t="s">
        <v>3881</v>
      </c>
      <c r="DL235" s="9">
        <f t="shared" si="58"/>
        <v>65</v>
      </c>
      <c r="DM235" s="9">
        <f t="shared" si="59"/>
        <v>95</v>
      </c>
      <c r="DN235" s="9">
        <v>114</v>
      </c>
      <c r="DO235" s="9">
        <v>142</v>
      </c>
      <c r="DP235">
        <f t="shared" si="60"/>
        <v>80</v>
      </c>
    </row>
    <row r="236" spans="103:120" x14ac:dyDescent="0.2">
      <c r="CY236" t="str">
        <f t="shared" si="57"/>
        <v>单</v>
      </c>
      <c r="CZ236" s="47">
        <v>20191</v>
      </c>
      <c r="DA236" s="34">
        <v>46</v>
      </c>
      <c r="DB236" s="54">
        <v>-10</v>
      </c>
      <c r="DC236" s="34">
        <v>34</v>
      </c>
      <c r="DD236" s="34">
        <v>45</v>
      </c>
      <c r="DE236" s="34"/>
      <c r="DF236" s="34"/>
      <c r="DG236" s="34">
        <v>75</v>
      </c>
      <c r="DH236" s="34">
        <v>75</v>
      </c>
      <c r="DI236" t="s">
        <v>4090</v>
      </c>
      <c r="DJ236" t="s">
        <v>4114</v>
      </c>
      <c r="DK236" t="s">
        <v>3881</v>
      </c>
      <c r="DL236" s="9">
        <f t="shared" si="58"/>
        <v>34</v>
      </c>
      <c r="DM236" s="9">
        <f t="shared" si="59"/>
        <v>45</v>
      </c>
      <c r="DN236" s="9">
        <v>105</v>
      </c>
      <c r="DO236" s="9">
        <v>105</v>
      </c>
      <c r="DP236">
        <f t="shared" si="60"/>
        <v>43.45</v>
      </c>
    </row>
    <row r="237" spans="103:120" x14ac:dyDescent="0.2">
      <c r="CY237" t="str">
        <f t="shared" si="57"/>
        <v>单</v>
      </c>
      <c r="CZ237" s="47">
        <v>20212</v>
      </c>
      <c r="DA237" s="34">
        <v>46</v>
      </c>
      <c r="DB237" s="54"/>
      <c r="DC237" s="34">
        <v>40</v>
      </c>
      <c r="DD237" s="34">
        <v>52</v>
      </c>
      <c r="DE237" s="34"/>
      <c r="DF237" s="34"/>
      <c r="DG237" s="34">
        <v>100</v>
      </c>
      <c r="DH237" s="34"/>
      <c r="DI237" t="s">
        <v>4090</v>
      </c>
      <c r="DJ237" t="s">
        <v>4115</v>
      </c>
      <c r="DK237" t="s">
        <v>3881</v>
      </c>
      <c r="DL237" s="9">
        <f t="shared" si="58"/>
        <v>40</v>
      </c>
      <c r="DM237" s="9">
        <f t="shared" si="59"/>
        <v>52</v>
      </c>
      <c r="DN237" s="9">
        <v>125</v>
      </c>
      <c r="DO237" s="9">
        <v>65</v>
      </c>
      <c r="DP237">
        <f t="shared" si="60"/>
        <v>46</v>
      </c>
    </row>
    <row r="238" spans="103:120" x14ac:dyDescent="0.2">
      <c r="CY238" t="str">
        <f t="shared" si="57"/>
        <v>单</v>
      </c>
      <c r="CZ238" s="47">
        <v>20245</v>
      </c>
      <c r="DA238" s="34">
        <v>46</v>
      </c>
      <c r="DB238" s="54"/>
      <c r="DC238" s="34">
        <v>14</v>
      </c>
      <c r="DD238" s="34">
        <v>64</v>
      </c>
      <c r="DE238" s="34"/>
      <c r="DF238" s="34"/>
      <c r="DG238" s="34">
        <v>75</v>
      </c>
      <c r="DH238" s="34">
        <v>75</v>
      </c>
      <c r="DI238" t="s">
        <v>4090</v>
      </c>
      <c r="DJ238" t="s">
        <v>4116</v>
      </c>
      <c r="DK238" t="s">
        <v>3881</v>
      </c>
      <c r="DL238" s="9">
        <f t="shared" si="58"/>
        <v>14</v>
      </c>
      <c r="DM238" s="9">
        <f t="shared" si="59"/>
        <v>64</v>
      </c>
      <c r="DN238" s="9">
        <v>118</v>
      </c>
      <c r="DO238" s="9">
        <v>112</v>
      </c>
      <c r="DP238">
        <f t="shared" si="60"/>
        <v>39</v>
      </c>
    </row>
    <row r="239" spans="103:120" x14ac:dyDescent="0.2">
      <c r="CY239" t="str">
        <f t="shared" si="57"/>
        <v>单</v>
      </c>
      <c r="CZ239" s="47">
        <v>20216</v>
      </c>
      <c r="DA239" s="34">
        <v>47</v>
      </c>
      <c r="DB239" s="54"/>
      <c r="DC239" s="34">
        <v>41</v>
      </c>
      <c r="DD239" s="34">
        <v>49</v>
      </c>
      <c r="DE239" s="34"/>
      <c r="DF239" s="34"/>
      <c r="DG239" s="34">
        <v>100</v>
      </c>
      <c r="DH239" s="34"/>
      <c r="DI239" t="s">
        <v>4090</v>
      </c>
      <c r="DJ239" t="s">
        <v>4117</v>
      </c>
      <c r="DK239" t="s">
        <v>3881</v>
      </c>
      <c r="DL239" s="9">
        <f t="shared" si="58"/>
        <v>41</v>
      </c>
      <c r="DM239" s="9">
        <f t="shared" si="59"/>
        <v>49</v>
      </c>
      <c r="DN239" s="9">
        <v>145</v>
      </c>
      <c r="DO239" s="9">
        <v>46</v>
      </c>
      <c r="DP239">
        <f t="shared" si="60"/>
        <v>45</v>
      </c>
    </row>
    <row r="240" spans="103:120" x14ac:dyDescent="0.2">
      <c r="CY240" t="str">
        <f t="shared" si="57"/>
        <v>单</v>
      </c>
      <c r="CZ240" s="47">
        <v>20224</v>
      </c>
      <c r="DA240" s="34">
        <v>47</v>
      </c>
      <c r="DB240" s="54">
        <v>-10</v>
      </c>
      <c r="DC240" s="34">
        <v>33</v>
      </c>
      <c r="DD240" s="34">
        <v>45</v>
      </c>
      <c r="DE240" s="34"/>
      <c r="DF240" s="34"/>
      <c r="DG240" s="34">
        <v>100</v>
      </c>
      <c r="DH240" s="34"/>
      <c r="DI240" t="s">
        <v>4090</v>
      </c>
      <c r="DJ240" t="s">
        <v>4118</v>
      </c>
      <c r="DK240" t="s">
        <v>3908</v>
      </c>
      <c r="DL240" s="9">
        <f t="shared" si="58"/>
        <v>33</v>
      </c>
      <c r="DM240" s="9">
        <f t="shared" si="59"/>
        <v>45</v>
      </c>
      <c r="DN240" s="9">
        <v>109</v>
      </c>
      <c r="DO240" s="9">
        <v>122</v>
      </c>
      <c r="DP240">
        <f t="shared" si="60"/>
        <v>42.900000000000006</v>
      </c>
    </row>
    <row r="241" spans="103:120" x14ac:dyDescent="0.2">
      <c r="CY241" t="str">
        <f t="shared" si="57"/>
        <v>双手</v>
      </c>
      <c r="CZ241" s="47">
        <v>20267</v>
      </c>
      <c r="DA241" s="34">
        <v>47</v>
      </c>
      <c r="DB241" s="54"/>
      <c r="DC241" s="34"/>
      <c r="DD241" s="34"/>
      <c r="DE241" s="34">
        <v>15</v>
      </c>
      <c r="DF241" s="34">
        <v>59</v>
      </c>
      <c r="DG241" s="34"/>
      <c r="DH241" s="34">
        <v>100</v>
      </c>
      <c r="DI241" t="s">
        <v>4090</v>
      </c>
      <c r="DJ241" t="s">
        <v>4119</v>
      </c>
      <c r="DK241" t="s">
        <v>3908</v>
      </c>
      <c r="DL241" s="9">
        <f t="shared" si="58"/>
        <v>15</v>
      </c>
      <c r="DM241" s="9">
        <f t="shared" si="59"/>
        <v>59</v>
      </c>
      <c r="DN241" s="9">
        <v>52</v>
      </c>
      <c r="DO241" s="9">
        <v>188</v>
      </c>
      <c r="DP241">
        <f t="shared" si="60"/>
        <v>37</v>
      </c>
    </row>
    <row r="242" spans="103:120" x14ac:dyDescent="0.2">
      <c r="CY242" t="str">
        <f t="shared" si="57"/>
        <v>双手</v>
      </c>
      <c r="CZ242" s="47">
        <v>20203</v>
      </c>
      <c r="DA242" s="34">
        <v>48</v>
      </c>
      <c r="DB242" s="54"/>
      <c r="DC242" s="34"/>
      <c r="DD242" s="34"/>
      <c r="DE242" s="34">
        <v>62</v>
      </c>
      <c r="DF242" s="34">
        <v>110</v>
      </c>
      <c r="DG242" s="34">
        <v>100</v>
      </c>
      <c r="DH242" s="34"/>
      <c r="DI242" t="s">
        <v>4090</v>
      </c>
      <c r="DJ242" t="s">
        <v>4120</v>
      </c>
      <c r="DK242" t="s">
        <v>3908</v>
      </c>
      <c r="DL242" s="9">
        <f t="shared" si="58"/>
        <v>62</v>
      </c>
      <c r="DM242" s="9">
        <f t="shared" si="59"/>
        <v>110</v>
      </c>
      <c r="DN242" s="9">
        <v>166</v>
      </c>
      <c r="DO242" s="9">
        <v>65</v>
      </c>
      <c r="DP242">
        <f t="shared" si="60"/>
        <v>86</v>
      </c>
    </row>
    <row r="243" spans="103:120" x14ac:dyDescent="0.2">
      <c r="CY243" t="str">
        <f t="shared" si="57"/>
        <v>单</v>
      </c>
      <c r="CZ243" s="47">
        <v>20208</v>
      </c>
      <c r="DA243" s="34">
        <v>48</v>
      </c>
      <c r="DB243" s="54">
        <v>10</v>
      </c>
      <c r="DC243" s="34">
        <v>20</v>
      </c>
      <c r="DD243" s="34">
        <v>40</v>
      </c>
      <c r="DE243" s="34"/>
      <c r="DF243" s="34"/>
      <c r="DG243" s="34">
        <v>100</v>
      </c>
      <c r="DH243" s="34"/>
      <c r="DI243" t="s">
        <v>4090</v>
      </c>
      <c r="DJ243" t="s">
        <v>4121</v>
      </c>
      <c r="DK243" t="s">
        <v>3908</v>
      </c>
      <c r="DL243" s="9">
        <f t="shared" si="58"/>
        <v>20</v>
      </c>
      <c r="DM243" s="9">
        <f t="shared" si="59"/>
        <v>40</v>
      </c>
      <c r="DN243" s="9">
        <v>25</v>
      </c>
      <c r="DP243">
        <f t="shared" si="60"/>
        <v>27</v>
      </c>
    </row>
    <row r="244" spans="103:120" x14ac:dyDescent="0.2">
      <c r="CY244" t="str">
        <f t="shared" si="57"/>
        <v>单</v>
      </c>
      <c r="CZ244" s="47">
        <v>20240</v>
      </c>
      <c r="DA244" s="34">
        <v>48</v>
      </c>
      <c r="DB244" s="54"/>
      <c r="DC244" s="34">
        <v>23</v>
      </c>
      <c r="DD244" s="34">
        <v>54</v>
      </c>
      <c r="DE244" s="34"/>
      <c r="DF244" s="34"/>
      <c r="DG244" s="34">
        <v>75</v>
      </c>
      <c r="DH244" s="34">
        <v>75</v>
      </c>
      <c r="DI244" t="s">
        <v>4090</v>
      </c>
      <c r="DJ244" t="s">
        <v>4122</v>
      </c>
      <c r="DK244" t="s">
        <v>3913</v>
      </c>
      <c r="DL244" s="9">
        <f t="shared" si="58"/>
        <v>23</v>
      </c>
      <c r="DM244" s="9">
        <f t="shared" si="59"/>
        <v>54</v>
      </c>
      <c r="DN244" s="9">
        <v>48</v>
      </c>
      <c r="DO244" s="9">
        <v>141</v>
      </c>
      <c r="DP244">
        <f t="shared" si="60"/>
        <v>38.5</v>
      </c>
    </row>
    <row r="245" spans="103:120" x14ac:dyDescent="0.2">
      <c r="CY245" t="str">
        <f t="shared" si="57"/>
        <v>双手</v>
      </c>
      <c r="CZ245" s="47">
        <v>20255</v>
      </c>
      <c r="DA245" s="34">
        <v>48</v>
      </c>
      <c r="DB245" s="54">
        <v>10</v>
      </c>
      <c r="DC245" s="34"/>
      <c r="DD245" s="34"/>
      <c r="DE245" s="34">
        <v>17</v>
      </c>
      <c r="DF245" s="34">
        <v>165</v>
      </c>
      <c r="DG245" s="34">
        <v>100</v>
      </c>
      <c r="DH245" s="34"/>
      <c r="DI245" t="s">
        <v>4090</v>
      </c>
      <c r="DJ245" t="s">
        <v>4123</v>
      </c>
      <c r="DK245" t="s">
        <v>3915</v>
      </c>
      <c r="DL245" s="9">
        <f t="shared" si="58"/>
        <v>17</v>
      </c>
      <c r="DM245" s="9">
        <f t="shared" si="59"/>
        <v>165</v>
      </c>
      <c r="DN245" s="9">
        <v>210</v>
      </c>
      <c r="DO245" s="9">
        <v>55</v>
      </c>
      <c r="DP245">
        <f t="shared" si="60"/>
        <v>81.900000000000006</v>
      </c>
    </row>
    <row r="246" spans="103:120" x14ac:dyDescent="0.2">
      <c r="CY246" t="str">
        <f t="shared" si="57"/>
        <v>单</v>
      </c>
      <c r="CZ246" s="47">
        <v>20306</v>
      </c>
      <c r="DA246" s="34">
        <v>48</v>
      </c>
      <c r="DB246" s="54">
        <v>-10</v>
      </c>
      <c r="DC246" s="34">
        <v>30</v>
      </c>
      <c r="DD246" s="34">
        <v>54</v>
      </c>
      <c r="DE246" s="34"/>
      <c r="DF246" s="34"/>
      <c r="DG246" s="34">
        <v>80</v>
      </c>
      <c r="DH246" s="34">
        <v>50</v>
      </c>
      <c r="DI246" t="s">
        <v>4090</v>
      </c>
      <c r="DJ246" t="s">
        <v>4124</v>
      </c>
      <c r="DK246" t="s">
        <v>3913</v>
      </c>
      <c r="DL246" s="9">
        <f t="shared" si="58"/>
        <v>30</v>
      </c>
      <c r="DM246" s="9">
        <f t="shared" si="59"/>
        <v>54</v>
      </c>
      <c r="DN246" s="9">
        <v>107</v>
      </c>
      <c r="DO246" s="9">
        <v>151</v>
      </c>
      <c r="DP246">
        <f t="shared" si="60"/>
        <v>46.2</v>
      </c>
    </row>
    <row r="247" spans="103:120" x14ac:dyDescent="0.2">
      <c r="CY247" t="str">
        <f t="shared" si="57"/>
        <v>单/双手</v>
      </c>
      <c r="CZ247" s="47">
        <v>20231</v>
      </c>
      <c r="DA247" s="34">
        <v>49</v>
      </c>
      <c r="DB247" s="54">
        <v>-5</v>
      </c>
      <c r="DC247" s="34">
        <v>22</v>
      </c>
      <c r="DD247" s="34">
        <v>62</v>
      </c>
      <c r="DE247" s="34">
        <v>67</v>
      </c>
      <c r="DF247" s="34">
        <v>96</v>
      </c>
      <c r="DG247" s="34">
        <v>100</v>
      </c>
      <c r="DH247" s="34"/>
      <c r="DI247" t="s">
        <v>4090</v>
      </c>
      <c r="DJ247" t="s">
        <v>4125</v>
      </c>
      <c r="DK247" t="s">
        <v>3915</v>
      </c>
      <c r="DL247" s="9">
        <f t="shared" si="58"/>
        <v>67</v>
      </c>
      <c r="DM247" s="9">
        <f t="shared" si="59"/>
        <v>96</v>
      </c>
      <c r="DN247" s="9">
        <v>171</v>
      </c>
      <c r="DO247" s="9">
        <v>104</v>
      </c>
      <c r="DP247">
        <f t="shared" si="60"/>
        <v>85.575000000000003</v>
      </c>
    </row>
    <row r="248" spans="103:120" x14ac:dyDescent="0.2">
      <c r="CY248" t="str">
        <f t="shared" si="57"/>
        <v>双手</v>
      </c>
      <c r="CZ248" s="47">
        <v>20250</v>
      </c>
      <c r="DA248" s="34">
        <v>49</v>
      </c>
      <c r="DB248" s="54"/>
      <c r="DC248" s="34"/>
      <c r="DD248" s="34"/>
      <c r="DE248" s="34">
        <v>29</v>
      </c>
      <c r="DF248" s="34">
        <v>144</v>
      </c>
      <c r="DG248" s="34">
        <v>100</v>
      </c>
      <c r="DH248" s="34"/>
      <c r="DI248" t="s">
        <v>4090</v>
      </c>
      <c r="DJ248" t="s">
        <v>4126</v>
      </c>
      <c r="DK248" t="s">
        <v>3919</v>
      </c>
      <c r="DL248" s="9">
        <f t="shared" si="58"/>
        <v>29</v>
      </c>
      <c r="DM248" s="9">
        <f t="shared" si="59"/>
        <v>144</v>
      </c>
      <c r="DN248" s="9">
        <v>168</v>
      </c>
      <c r="DO248" s="9">
        <v>97</v>
      </c>
      <c r="DP248">
        <f t="shared" si="60"/>
        <v>86.5</v>
      </c>
    </row>
    <row r="249" spans="103:120" x14ac:dyDescent="0.2">
      <c r="CY249" t="str">
        <f t="shared" si="57"/>
        <v>双手</v>
      </c>
      <c r="CZ249" s="47">
        <v>20261</v>
      </c>
      <c r="DA249" s="34">
        <v>49</v>
      </c>
      <c r="DB249" s="54">
        <v>10</v>
      </c>
      <c r="DC249" s="34"/>
      <c r="DD249" s="34"/>
      <c r="DE249" s="34">
        <v>75</v>
      </c>
      <c r="DF249" s="34">
        <v>107</v>
      </c>
      <c r="DG249" s="34">
        <v>100</v>
      </c>
      <c r="DH249" s="34"/>
      <c r="DI249" t="s">
        <v>4090</v>
      </c>
      <c r="DJ249" t="s">
        <v>4127</v>
      </c>
      <c r="DK249" t="s">
        <v>3919</v>
      </c>
      <c r="DL249" s="9">
        <f t="shared" si="58"/>
        <v>75</v>
      </c>
      <c r="DM249" s="9">
        <f t="shared" si="59"/>
        <v>107</v>
      </c>
      <c r="DN249" s="9">
        <v>63</v>
      </c>
      <c r="DO249" s="9">
        <v>35</v>
      </c>
      <c r="DP249">
        <f t="shared" si="60"/>
        <v>81.900000000000006</v>
      </c>
    </row>
    <row r="250" spans="103:120" x14ac:dyDescent="0.2">
      <c r="CY250" t="str">
        <f t="shared" si="57"/>
        <v>双手</v>
      </c>
      <c r="CZ250" s="47">
        <v>20274</v>
      </c>
      <c r="DA250" s="34">
        <v>50</v>
      </c>
      <c r="DB250" s="54"/>
      <c r="DC250" s="34"/>
      <c r="DD250" s="34"/>
      <c r="DE250" s="34">
        <v>25</v>
      </c>
      <c r="DF250" s="34">
        <v>87</v>
      </c>
      <c r="DG250" s="34"/>
      <c r="DH250" s="34">
        <v>100</v>
      </c>
      <c r="DI250" t="s">
        <v>4090</v>
      </c>
      <c r="DJ250" t="s">
        <v>4128</v>
      </c>
      <c r="DK250" t="s">
        <v>3919</v>
      </c>
      <c r="DL250" s="9">
        <f t="shared" si="58"/>
        <v>25</v>
      </c>
      <c r="DM250" s="9">
        <f t="shared" si="59"/>
        <v>87</v>
      </c>
      <c r="DN250" s="9">
        <v>117</v>
      </c>
      <c r="DO250" s="9">
        <v>105</v>
      </c>
      <c r="DP250">
        <f t="shared" si="60"/>
        <v>56</v>
      </c>
    </row>
    <row r="251" spans="103:120" x14ac:dyDescent="0.2">
      <c r="CY251" t="str">
        <f t="shared" si="57"/>
        <v>单</v>
      </c>
      <c r="CZ251" s="47">
        <v>20298</v>
      </c>
      <c r="DA251" s="34">
        <v>50</v>
      </c>
      <c r="DB251" s="54">
        <v>-10</v>
      </c>
      <c r="DC251" s="34">
        <v>18</v>
      </c>
      <c r="DD251" s="34">
        <v>50</v>
      </c>
      <c r="DE251" s="34"/>
      <c r="DF251" s="34"/>
      <c r="DG251" s="34">
        <v>100</v>
      </c>
      <c r="DH251" s="34"/>
      <c r="DI251" t="s">
        <v>4090</v>
      </c>
      <c r="DJ251" t="s">
        <v>4129</v>
      </c>
      <c r="DK251" t="s">
        <v>3919</v>
      </c>
      <c r="DL251" s="9">
        <f t="shared" si="58"/>
        <v>18</v>
      </c>
      <c r="DM251" s="9">
        <f t="shared" si="59"/>
        <v>50</v>
      </c>
      <c r="DP251">
        <f t="shared" si="60"/>
        <v>37.400000000000006</v>
      </c>
    </row>
    <row r="252" spans="103:120" x14ac:dyDescent="0.2">
      <c r="CY252" t="str">
        <f t="shared" si="57"/>
        <v>单</v>
      </c>
      <c r="CZ252" s="47">
        <v>20192</v>
      </c>
      <c r="DA252" s="34">
        <v>51</v>
      </c>
      <c r="DB252" s="54">
        <v>10</v>
      </c>
      <c r="DC252" s="34">
        <v>44</v>
      </c>
      <c r="DD252" s="34">
        <v>53</v>
      </c>
      <c r="DE252" s="34"/>
      <c r="DF252" s="34"/>
      <c r="DG252" s="34">
        <v>75</v>
      </c>
      <c r="DH252" s="34">
        <v>75</v>
      </c>
      <c r="DI252" t="s">
        <v>4090</v>
      </c>
      <c r="DJ252" t="s">
        <v>4130</v>
      </c>
      <c r="DK252" t="s">
        <v>3919</v>
      </c>
      <c r="DL252" s="9">
        <f t="shared" si="58"/>
        <v>44</v>
      </c>
      <c r="DM252" s="9">
        <f t="shared" si="59"/>
        <v>53</v>
      </c>
      <c r="DN252" s="9">
        <v>108</v>
      </c>
      <c r="DO252" s="9">
        <v>108</v>
      </c>
      <c r="DP252">
        <f t="shared" si="60"/>
        <v>43.65</v>
      </c>
    </row>
    <row r="253" spans="103:120" x14ac:dyDescent="0.2">
      <c r="CY253" t="str">
        <f t="shared" si="57"/>
        <v>双手</v>
      </c>
      <c r="CZ253" s="47">
        <v>20220</v>
      </c>
      <c r="DA253" s="34">
        <v>51</v>
      </c>
      <c r="DB253" s="54">
        <v>10</v>
      </c>
      <c r="DC253" s="34"/>
      <c r="DD253" s="34"/>
      <c r="DE253" s="34">
        <v>77</v>
      </c>
      <c r="DF253" s="34">
        <v>106</v>
      </c>
      <c r="DG253" s="34">
        <v>110</v>
      </c>
      <c r="DH253" s="34"/>
      <c r="DI253" t="s">
        <v>4090</v>
      </c>
      <c r="DJ253" t="s">
        <v>4131</v>
      </c>
      <c r="DK253" t="s">
        <v>3925</v>
      </c>
      <c r="DL253" s="9">
        <f t="shared" si="58"/>
        <v>77</v>
      </c>
      <c r="DM253" s="9">
        <f t="shared" si="59"/>
        <v>106</v>
      </c>
      <c r="DN253" s="9">
        <v>225</v>
      </c>
      <c r="DP253">
        <f t="shared" si="60"/>
        <v>82.350000000000009</v>
      </c>
    </row>
    <row r="254" spans="103:120" x14ac:dyDescent="0.2">
      <c r="CY254" t="str">
        <f t="shared" si="57"/>
        <v>单</v>
      </c>
      <c r="CZ254" s="47">
        <v>20225</v>
      </c>
      <c r="DA254" s="34">
        <v>51</v>
      </c>
      <c r="DB254" s="54">
        <v>10</v>
      </c>
      <c r="DC254" s="34">
        <v>28</v>
      </c>
      <c r="DD254" s="34">
        <v>68</v>
      </c>
      <c r="DE254" s="34"/>
      <c r="DF254" s="34"/>
      <c r="DG254" s="34">
        <v>100</v>
      </c>
      <c r="DH254" s="34"/>
      <c r="DI254" t="s">
        <v>4090</v>
      </c>
      <c r="DJ254" t="s">
        <v>4132</v>
      </c>
      <c r="DK254" t="s">
        <v>3925</v>
      </c>
      <c r="DL254" s="9">
        <f t="shared" si="58"/>
        <v>28</v>
      </c>
      <c r="DM254" s="9">
        <f t="shared" si="59"/>
        <v>68</v>
      </c>
      <c r="DN254" s="9">
        <v>142</v>
      </c>
      <c r="DO254" s="9">
        <v>105</v>
      </c>
      <c r="DP254">
        <f t="shared" si="60"/>
        <v>43.2</v>
      </c>
    </row>
    <row r="255" spans="103:120" x14ac:dyDescent="0.2">
      <c r="CY255" t="str">
        <f t="shared" si="57"/>
        <v>双手</v>
      </c>
      <c r="CZ255" s="47">
        <v>20268</v>
      </c>
      <c r="DA255" s="34">
        <v>51</v>
      </c>
      <c r="DB255" s="54">
        <v>-10</v>
      </c>
      <c r="DC255" s="34"/>
      <c r="DD255" s="34"/>
      <c r="DE255" s="34">
        <v>12</v>
      </c>
      <c r="DF255" s="34">
        <v>52</v>
      </c>
      <c r="DG255" s="34"/>
      <c r="DH255" s="34">
        <v>100</v>
      </c>
      <c r="DI255" t="s">
        <v>4090</v>
      </c>
      <c r="DJ255" t="s">
        <v>4133</v>
      </c>
      <c r="DK255" t="s">
        <v>3925</v>
      </c>
      <c r="DL255" s="9">
        <f t="shared" si="58"/>
        <v>12</v>
      </c>
      <c r="DM255" s="9">
        <f t="shared" si="59"/>
        <v>52</v>
      </c>
      <c r="DN255" s="9">
        <v>121</v>
      </c>
      <c r="DO255" s="9">
        <v>107</v>
      </c>
      <c r="DP255">
        <f t="shared" si="60"/>
        <v>35.200000000000003</v>
      </c>
    </row>
    <row r="256" spans="103:120" x14ac:dyDescent="0.2">
      <c r="CY256" t="str">
        <f t="shared" si="57"/>
        <v>单</v>
      </c>
      <c r="CZ256" s="47">
        <v>20199</v>
      </c>
      <c r="DA256" s="34">
        <v>52</v>
      </c>
      <c r="DB256" s="54">
        <v>10</v>
      </c>
      <c r="DC256" s="34">
        <v>33</v>
      </c>
      <c r="DD256" s="34">
        <v>66</v>
      </c>
      <c r="DE256" s="34"/>
      <c r="DF256" s="34"/>
      <c r="DG256" s="34">
        <v>100</v>
      </c>
      <c r="DH256" s="34"/>
      <c r="DI256" t="s">
        <v>4090</v>
      </c>
      <c r="DJ256" t="s">
        <v>4134</v>
      </c>
      <c r="DK256" t="s">
        <v>3925</v>
      </c>
      <c r="DL256" s="9">
        <f t="shared" si="58"/>
        <v>33</v>
      </c>
      <c r="DM256" s="9">
        <f t="shared" si="59"/>
        <v>66</v>
      </c>
      <c r="DN256" s="9">
        <v>145</v>
      </c>
      <c r="DO256" s="9">
        <v>45</v>
      </c>
      <c r="DP256">
        <f t="shared" si="60"/>
        <v>44.550000000000004</v>
      </c>
    </row>
    <row r="257" spans="103:120" x14ac:dyDescent="0.2">
      <c r="CY257" t="str">
        <f t="shared" si="57"/>
        <v>单</v>
      </c>
      <c r="CZ257" s="47">
        <v>20217</v>
      </c>
      <c r="DA257" s="34">
        <v>52</v>
      </c>
      <c r="DB257" s="54">
        <v>10</v>
      </c>
      <c r="DC257" s="34">
        <v>43</v>
      </c>
      <c r="DD257" s="34">
        <v>53</v>
      </c>
      <c r="DE257" s="34"/>
      <c r="DF257" s="34"/>
      <c r="DG257" s="34">
        <v>100</v>
      </c>
      <c r="DH257" s="34"/>
      <c r="DI257" t="s">
        <v>4090</v>
      </c>
      <c r="DJ257" t="s">
        <v>4135</v>
      </c>
      <c r="DK257" t="s">
        <v>3925</v>
      </c>
      <c r="DL257" s="9">
        <f t="shared" si="58"/>
        <v>43</v>
      </c>
      <c r="DM257" s="9">
        <f t="shared" si="59"/>
        <v>53</v>
      </c>
      <c r="DN257" s="9">
        <v>153</v>
      </c>
      <c r="DO257" s="9">
        <v>44</v>
      </c>
      <c r="DP257">
        <f t="shared" si="60"/>
        <v>43.2</v>
      </c>
    </row>
    <row r="258" spans="103:120" x14ac:dyDescent="0.2">
      <c r="CY258" t="str">
        <f t="shared" si="57"/>
        <v>单</v>
      </c>
      <c r="CZ258" s="47">
        <v>20237</v>
      </c>
      <c r="DA258" s="34">
        <v>52</v>
      </c>
      <c r="DB258" s="54"/>
      <c r="DC258" s="34">
        <v>37</v>
      </c>
      <c r="DD258" s="34">
        <v>53</v>
      </c>
      <c r="DE258" s="34"/>
      <c r="DF258" s="34"/>
      <c r="DG258" s="34">
        <v>75</v>
      </c>
      <c r="DH258" s="34">
        <v>75</v>
      </c>
      <c r="DI258" t="s">
        <v>4090</v>
      </c>
      <c r="DJ258" t="s">
        <v>4136</v>
      </c>
      <c r="DK258" t="s">
        <v>3931</v>
      </c>
      <c r="DL258" s="9">
        <f t="shared" si="58"/>
        <v>37</v>
      </c>
      <c r="DM258" s="9">
        <f t="shared" si="59"/>
        <v>53</v>
      </c>
      <c r="DN258" s="9">
        <v>55</v>
      </c>
      <c r="DO258" s="9">
        <v>98</v>
      </c>
      <c r="DP258">
        <f t="shared" si="60"/>
        <v>45</v>
      </c>
    </row>
    <row r="259" spans="103:120" x14ac:dyDescent="0.2">
      <c r="CY259" t="str">
        <f t="shared" si="57"/>
        <v>单/双手</v>
      </c>
      <c r="CZ259" s="47">
        <v>20232</v>
      </c>
      <c r="DA259" s="34">
        <v>53</v>
      </c>
      <c r="DB259" s="54"/>
      <c r="DC259" s="34">
        <v>15</v>
      </c>
      <c r="DD259" s="34">
        <v>75</v>
      </c>
      <c r="DE259" s="34">
        <v>55</v>
      </c>
      <c r="DF259" s="34">
        <v>118</v>
      </c>
      <c r="DG259" s="34">
        <v>100</v>
      </c>
      <c r="DH259" s="34"/>
      <c r="DI259" t="s">
        <v>4090</v>
      </c>
      <c r="DJ259" t="s">
        <v>4137</v>
      </c>
      <c r="DK259" t="s">
        <v>3931</v>
      </c>
      <c r="DL259" s="9">
        <f t="shared" si="58"/>
        <v>55</v>
      </c>
      <c r="DM259" s="9">
        <f t="shared" si="59"/>
        <v>118</v>
      </c>
      <c r="DN259" s="9">
        <v>185</v>
      </c>
      <c r="DO259" s="9">
        <v>87</v>
      </c>
      <c r="DP259">
        <f t="shared" si="60"/>
        <v>86.5</v>
      </c>
    </row>
    <row r="260" spans="103:120" x14ac:dyDescent="0.2">
      <c r="CY260" t="str">
        <f t="shared" si="57"/>
        <v>单</v>
      </c>
      <c r="CZ260" s="47">
        <v>20246</v>
      </c>
      <c r="DA260" s="34">
        <v>53</v>
      </c>
      <c r="DB260" s="54">
        <v>10</v>
      </c>
      <c r="DC260" s="34">
        <v>33</v>
      </c>
      <c r="DD260" s="34">
        <v>63</v>
      </c>
      <c r="DE260" s="34"/>
      <c r="DF260" s="34"/>
      <c r="DG260" s="34">
        <v>75</v>
      </c>
      <c r="DH260" s="34">
        <v>75</v>
      </c>
      <c r="DI260" t="s">
        <v>4090</v>
      </c>
      <c r="DJ260" t="s">
        <v>4138</v>
      </c>
      <c r="DK260" t="s">
        <v>3931</v>
      </c>
      <c r="DL260" s="9">
        <f t="shared" si="58"/>
        <v>33</v>
      </c>
      <c r="DM260" s="9">
        <f t="shared" si="59"/>
        <v>63</v>
      </c>
      <c r="DN260" s="9">
        <v>127</v>
      </c>
      <c r="DO260" s="9">
        <v>95</v>
      </c>
      <c r="DP260">
        <f t="shared" si="60"/>
        <v>43.2</v>
      </c>
    </row>
    <row r="261" spans="103:120" x14ac:dyDescent="0.2">
      <c r="CY261" t="str">
        <f t="shared" ref="CY261:CY310" si="61">IF(DC261=0,"双手",IF(DE261=0,"单","单/双手"))</f>
        <v>双手</v>
      </c>
      <c r="CZ261" s="47">
        <v>20256</v>
      </c>
      <c r="DA261" s="34">
        <v>53</v>
      </c>
      <c r="DB261" s="54">
        <v>-10</v>
      </c>
      <c r="DC261" s="34"/>
      <c r="DD261" s="34"/>
      <c r="DE261" s="34">
        <v>12</v>
      </c>
      <c r="DF261" s="34">
        <v>141</v>
      </c>
      <c r="DG261" s="34">
        <v>100</v>
      </c>
      <c r="DH261" s="34"/>
      <c r="DI261" t="s">
        <v>4090</v>
      </c>
      <c r="DJ261" t="s">
        <v>4139</v>
      </c>
      <c r="DK261" t="s">
        <v>3931</v>
      </c>
      <c r="DL261" s="9">
        <f t="shared" ref="DL261:DL310" si="62">IF(DE261,DE261,DC261)</f>
        <v>12</v>
      </c>
      <c r="DM261" s="9">
        <f t="shared" ref="DM261:DM310" si="63">IF(DF261,DF261,DD261)</f>
        <v>141</v>
      </c>
      <c r="DN261" s="9">
        <v>152</v>
      </c>
      <c r="DO261" s="9">
        <v>118</v>
      </c>
      <c r="DP261">
        <f t="shared" ref="DP261:DP310" si="64">(DL261+DM261)/2*((100-DB261)/100)</f>
        <v>84.15</v>
      </c>
    </row>
    <row r="262" spans="103:120" x14ac:dyDescent="0.2">
      <c r="CY262" t="str">
        <f t="shared" si="61"/>
        <v>单</v>
      </c>
      <c r="CZ262" s="47">
        <v>20193</v>
      </c>
      <c r="DA262" s="34">
        <v>54</v>
      </c>
      <c r="DB262" s="54">
        <v>-10</v>
      </c>
      <c r="DC262" s="34">
        <v>36</v>
      </c>
      <c r="DD262" s="34">
        <v>42</v>
      </c>
      <c r="DE262" s="34"/>
      <c r="DF262" s="34"/>
      <c r="DG262" s="34">
        <v>75</v>
      </c>
      <c r="DH262" s="34">
        <v>75</v>
      </c>
      <c r="DI262" t="s">
        <v>4090</v>
      </c>
      <c r="DJ262" t="s">
        <v>4140</v>
      </c>
      <c r="DK262" t="s">
        <v>3931</v>
      </c>
      <c r="DL262" s="9">
        <f t="shared" si="62"/>
        <v>36</v>
      </c>
      <c r="DM262" s="9">
        <f t="shared" si="63"/>
        <v>42</v>
      </c>
      <c r="DN262" s="9">
        <v>110</v>
      </c>
      <c r="DO262" s="9">
        <v>110</v>
      </c>
      <c r="DP262">
        <f t="shared" si="64"/>
        <v>42.900000000000006</v>
      </c>
    </row>
    <row r="263" spans="103:120" x14ac:dyDescent="0.2">
      <c r="CY263" t="str">
        <f t="shared" si="61"/>
        <v>双手</v>
      </c>
      <c r="CZ263" s="47">
        <v>20204</v>
      </c>
      <c r="DA263" s="34">
        <v>54</v>
      </c>
      <c r="DB263" s="54">
        <v>10</v>
      </c>
      <c r="DC263" s="34"/>
      <c r="DD263" s="34"/>
      <c r="DE263" s="34">
        <v>49</v>
      </c>
      <c r="DF263" s="34">
        <v>137</v>
      </c>
      <c r="DG263" s="34">
        <v>100</v>
      </c>
      <c r="DH263" s="34"/>
      <c r="DI263" t="s">
        <v>4090</v>
      </c>
      <c r="DJ263" t="s">
        <v>4141</v>
      </c>
      <c r="DK263" t="s">
        <v>3931</v>
      </c>
      <c r="DL263" s="9">
        <f t="shared" si="62"/>
        <v>49</v>
      </c>
      <c r="DM263" s="9">
        <f t="shared" si="63"/>
        <v>137</v>
      </c>
      <c r="DN263" s="9">
        <v>189</v>
      </c>
      <c r="DO263" s="9">
        <v>33</v>
      </c>
      <c r="DP263">
        <f t="shared" si="64"/>
        <v>83.7</v>
      </c>
    </row>
    <row r="264" spans="103:120" x14ac:dyDescent="0.2">
      <c r="CY264" t="str">
        <f t="shared" si="61"/>
        <v>单</v>
      </c>
      <c r="CZ264" s="47">
        <v>20226</v>
      </c>
      <c r="DA264" s="34">
        <v>54</v>
      </c>
      <c r="DB264" s="54">
        <v>-30</v>
      </c>
      <c r="DC264" s="34">
        <v>31</v>
      </c>
      <c r="DD264" s="34">
        <v>35</v>
      </c>
      <c r="DE264" s="34"/>
      <c r="DF264" s="34"/>
      <c r="DG264" s="34">
        <v>100</v>
      </c>
      <c r="DH264" s="34"/>
      <c r="DI264" t="s">
        <v>4090</v>
      </c>
      <c r="DJ264" t="s">
        <v>4142</v>
      </c>
      <c r="DK264" t="s">
        <v>3938</v>
      </c>
      <c r="DL264" s="9">
        <f t="shared" si="62"/>
        <v>31</v>
      </c>
      <c r="DM264" s="9">
        <f t="shared" si="63"/>
        <v>35</v>
      </c>
      <c r="DN264" s="9">
        <v>25</v>
      </c>
      <c r="DO264" s="9">
        <v>136</v>
      </c>
      <c r="DP264">
        <f t="shared" si="64"/>
        <v>42.9</v>
      </c>
    </row>
    <row r="265" spans="103:120" x14ac:dyDescent="0.2">
      <c r="CY265" t="str">
        <f t="shared" si="61"/>
        <v>双手</v>
      </c>
      <c r="CZ265" s="47">
        <v>20269</v>
      </c>
      <c r="DA265" s="34">
        <v>54</v>
      </c>
      <c r="DB265" s="54"/>
      <c r="DC265" s="34"/>
      <c r="DD265" s="34"/>
      <c r="DE265" s="34">
        <v>33</v>
      </c>
      <c r="DF265" s="34">
        <v>40</v>
      </c>
      <c r="DG265" s="34"/>
      <c r="DH265" s="34">
        <v>100</v>
      </c>
      <c r="DI265" t="s">
        <v>4090</v>
      </c>
      <c r="DJ265" t="s">
        <v>4143</v>
      </c>
      <c r="DK265" t="s">
        <v>3938</v>
      </c>
      <c r="DL265" s="9">
        <f t="shared" si="62"/>
        <v>33</v>
      </c>
      <c r="DM265" s="9">
        <f t="shared" si="63"/>
        <v>40</v>
      </c>
      <c r="DN265" s="9">
        <v>89</v>
      </c>
      <c r="DO265" s="9">
        <v>132</v>
      </c>
      <c r="DP265">
        <f t="shared" si="64"/>
        <v>36.5</v>
      </c>
    </row>
    <row r="266" spans="103:120" x14ac:dyDescent="0.2">
      <c r="CY266" t="str">
        <f t="shared" si="61"/>
        <v>双手</v>
      </c>
      <c r="CZ266" s="47">
        <v>20251</v>
      </c>
      <c r="DA266" s="34">
        <v>55</v>
      </c>
      <c r="DB266" s="54">
        <v>-20</v>
      </c>
      <c r="DC266" s="34"/>
      <c r="DD266" s="34"/>
      <c r="DE266" s="34">
        <v>42</v>
      </c>
      <c r="DF266" s="34">
        <v>92</v>
      </c>
      <c r="DG266" s="34">
        <v>100</v>
      </c>
      <c r="DH266" s="34"/>
      <c r="DI266" t="s">
        <v>4090</v>
      </c>
      <c r="DJ266" t="s">
        <v>4144</v>
      </c>
      <c r="DK266" t="s">
        <v>3938</v>
      </c>
      <c r="DL266" s="9">
        <f t="shared" si="62"/>
        <v>42</v>
      </c>
      <c r="DM266" s="9">
        <f t="shared" si="63"/>
        <v>92</v>
      </c>
      <c r="DN266" s="9">
        <v>132</v>
      </c>
      <c r="DO266" s="9">
        <v>134</v>
      </c>
      <c r="DP266">
        <f t="shared" si="64"/>
        <v>80.399999999999991</v>
      </c>
    </row>
    <row r="267" spans="103:120" x14ac:dyDescent="0.2">
      <c r="CY267" t="str">
        <f t="shared" si="61"/>
        <v>双手</v>
      </c>
      <c r="CZ267" s="47">
        <v>20262</v>
      </c>
      <c r="DA267" s="34">
        <v>55</v>
      </c>
      <c r="DB267" s="54"/>
      <c r="DC267" s="34"/>
      <c r="DD267" s="34"/>
      <c r="DE267" s="34">
        <v>80</v>
      </c>
      <c r="DF267" s="34">
        <v>93</v>
      </c>
      <c r="DG267" s="34">
        <v>100</v>
      </c>
      <c r="DH267" s="34"/>
      <c r="DI267" t="s">
        <v>4090</v>
      </c>
      <c r="DJ267" t="s">
        <v>4145</v>
      </c>
      <c r="DK267" t="s">
        <v>3938</v>
      </c>
      <c r="DL267" s="9">
        <f t="shared" si="62"/>
        <v>80</v>
      </c>
      <c r="DM267" s="9">
        <f t="shared" si="63"/>
        <v>93</v>
      </c>
      <c r="DN267" s="9">
        <v>44</v>
      </c>
      <c r="DO267" s="9">
        <v>37</v>
      </c>
      <c r="DP267">
        <f t="shared" si="64"/>
        <v>86.5</v>
      </c>
    </row>
    <row r="268" spans="103:120" x14ac:dyDescent="0.2">
      <c r="CY268" t="str">
        <f t="shared" si="61"/>
        <v>单</v>
      </c>
      <c r="CZ268" s="47">
        <v>20209</v>
      </c>
      <c r="DA268" s="34">
        <v>56</v>
      </c>
      <c r="DB268" s="54">
        <v>-20</v>
      </c>
      <c r="DC268" s="34">
        <v>10</v>
      </c>
      <c r="DD268" s="34">
        <v>31</v>
      </c>
      <c r="DE268" s="34"/>
      <c r="DF268" s="34"/>
      <c r="DG268" s="34">
        <v>100</v>
      </c>
      <c r="DH268" s="34"/>
      <c r="DI268" t="s">
        <v>4090</v>
      </c>
      <c r="DJ268" t="s">
        <v>4146</v>
      </c>
      <c r="DK268" t="s">
        <v>3938</v>
      </c>
      <c r="DL268" s="9">
        <f t="shared" si="62"/>
        <v>10</v>
      </c>
      <c r="DM268" s="9">
        <f t="shared" si="63"/>
        <v>31</v>
      </c>
      <c r="DN268" s="9">
        <v>25</v>
      </c>
      <c r="DP268">
        <f t="shared" si="64"/>
        <v>24.599999999999998</v>
      </c>
    </row>
    <row r="269" spans="103:120" x14ac:dyDescent="0.2">
      <c r="CY269" t="str">
        <f t="shared" si="61"/>
        <v>双手</v>
      </c>
      <c r="CZ269" s="47">
        <v>20275</v>
      </c>
      <c r="DA269" s="34">
        <v>56</v>
      </c>
      <c r="DB269" s="54">
        <v>10</v>
      </c>
      <c r="DC269" s="34"/>
      <c r="DD269" s="34"/>
      <c r="DE269" s="34">
        <v>32</v>
      </c>
      <c r="DF269" s="34">
        <v>91</v>
      </c>
      <c r="DG269" s="34"/>
      <c r="DH269" s="34">
        <v>100</v>
      </c>
      <c r="DI269" t="s">
        <v>4090</v>
      </c>
      <c r="DJ269" t="s">
        <v>4147</v>
      </c>
      <c r="DK269" t="s">
        <v>3944</v>
      </c>
      <c r="DL269" s="9">
        <f t="shared" si="62"/>
        <v>32</v>
      </c>
      <c r="DM269" s="9">
        <f t="shared" si="63"/>
        <v>91</v>
      </c>
      <c r="DN269" s="9">
        <v>163</v>
      </c>
      <c r="DO269" s="9">
        <v>77</v>
      </c>
      <c r="DP269">
        <f t="shared" si="64"/>
        <v>55.35</v>
      </c>
    </row>
    <row r="270" spans="103:120" x14ac:dyDescent="0.2">
      <c r="CY270" t="str">
        <f t="shared" si="61"/>
        <v>单</v>
      </c>
      <c r="CZ270" s="47">
        <v>20299</v>
      </c>
      <c r="DA270" s="34">
        <v>56</v>
      </c>
      <c r="DB270" s="54"/>
      <c r="DC270" s="34">
        <v>23</v>
      </c>
      <c r="DD270" s="34">
        <v>55</v>
      </c>
      <c r="DE270" s="34"/>
      <c r="DF270" s="34"/>
      <c r="DG270" s="34">
        <v>100</v>
      </c>
      <c r="DH270" s="34"/>
      <c r="DI270" t="s">
        <v>4090</v>
      </c>
      <c r="DJ270" t="s">
        <v>4148</v>
      </c>
      <c r="DK270" t="s">
        <v>3944</v>
      </c>
      <c r="DL270" s="9">
        <f t="shared" si="62"/>
        <v>23</v>
      </c>
      <c r="DM270" s="9">
        <f t="shared" si="63"/>
        <v>55</v>
      </c>
      <c r="DP270">
        <f t="shared" si="64"/>
        <v>39</v>
      </c>
    </row>
    <row r="271" spans="103:120" x14ac:dyDescent="0.2">
      <c r="CY271" t="str">
        <f t="shared" si="61"/>
        <v>单</v>
      </c>
      <c r="CZ271" s="47">
        <v>20213</v>
      </c>
      <c r="DA271" s="34">
        <v>57</v>
      </c>
      <c r="DB271" s="54">
        <v>10</v>
      </c>
      <c r="DC271" s="34">
        <v>45</v>
      </c>
      <c r="DD271" s="34">
        <v>54</v>
      </c>
      <c r="DE271" s="34"/>
      <c r="DF271" s="34"/>
      <c r="DG271" s="34">
        <v>100</v>
      </c>
      <c r="DH271" s="34"/>
      <c r="DI271" t="s">
        <v>4090</v>
      </c>
      <c r="DJ271" t="s">
        <v>4149</v>
      </c>
      <c r="DK271" t="s">
        <v>3944</v>
      </c>
      <c r="DL271" s="9">
        <f t="shared" si="62"/>
        <v>45</v>
      </c>
      <c r="DM271" s="9">
        <f t="shared" si="63"/>
        <v>54</v>
      </c>
      <c r="DN271" s="9">
        <v>108</v>
      </c>
      <c r="DO271" s="9">
        <v>69</v>
      </c>
      <c r="DP271">
        <f t="shared" si="64"/>
        <v>44.550000000000004</v>
      </c>
    </row>
    <row r="272" spans="103:120" x14ac:dyDescent="0.2">
      <c r="CY272" t="str">
        <f t="shared" si="61"/>
        <v>单</v>
      </c>
      <c r="CZ272" s="47">
        <v>20218</v>
      </c>
      <c r="DA272" s="34">
        <v>57</v>
      </c>
      <c r="DB272" s="54">
        <v>-10</v>
      </c>
      <c r="DC272" s="34">
        <v>3</v>
      </c>
      <c r="DD272" s="34">
        <v>80</v>
      </c>
      <c r="DE272" s="34"/>
      <c r="DF272" s="34"/>
      <c r="DG272" s="34">
        <v>100</v>
      </c>
      <c r="DH272" s="34"/>
      <c r="DI272" t="s">
        <v>4090</v>
      </c>
      <c r="DJ272" t="s">
        <v>4150</v>
      </c>
      <c r="DK272" t="s">
        <v>3944</v>
      </c>
      <c r="DL272" s="9">
        <f t="shared" si="62"/>
        <v>3</v>
      </c>
      <c r="DM272" s="9">
        <f t="shared" si="63"/>
        <v>80</v>
      </c>
      <c r="DN272" s="9">
        <v>125</v>
      </c>
      <c r="DO272" s="9">
        <v>77</v>
      </c>
      <c r="DP272">
        <f t="shared" si="64"/>
        <v>45.650000000000006</v>
      </c>
    </row>
    <row r="273" spans="103:120" x14ac:dyDescent="0.2">
      <c r="CY273" t="str">
        <f t="shared" si="61"/>
        <v>单/双手</v>
      </c>
      <c r="CZ273" s="47">
        <v>20233</v>
      </c>
      <c r="DA273" s="34">
        <v>57</v>
      </c>
      <c r="DB273" s="54">
        <v>-10</v>
      </c>
      <c r="DC273" s="34">
        <v>24</v>
      </c>
      <c r="DD273" s="34">
        <v>54</v>
      </c>
      <c r="DE273" s="34">
        <v>71</v>
      </c>
      <c r="DF273" s="34">
        <v>83</v>
      </c>
      <c r="DG273" s="34">
        <v>100</v>
      </c>
      <c r="DH273" s="34"/>
      <c r="DI273" t="s">
        <v>4090</v>
      </c>
      <c r="DJ273" t="s">
        <v>4151</v>
      </c>
      <c r="DK273" t="s">
        <v>3944</v>
      </c>
      <c r="DL273" s="9">
        <f t="shared" si="62"/>
        <v>71</v>
      </c>
      <c r="DM273" s="9">
        <f t="shared" si="63"/>
        <v>83</v>
      </c>
      <c r="DN273" s="9">
        <v>163</v>
      </c>
      <c r="DO273" s="9">
        <v>103</v>
      </c>
      <c r="DP273">
        <f t="shared" si="64"/>
        <v>84.7</v>
      </c>
    </row>
    <row r="274" spans="103:120" x14ac:dyDescent="0.2">
      <c r="CY274" t="str">
        <f t="shared" si="61"/>
        <v>单</v>
      </c>
      <c r="CZ274" s="47">
        <v>20242</v>
      </c>
      <c r="DA274" s="34">
        <v>57</v>
      </c>
      <c r="DB274" s="54">
        <v>-20</v>
      </c>
      <c r="DC274" s="34">
        <v>27</v>
      </c>
      <c r="DD274" s="34">
        <v>35</v>
      </c>
      <c r="DE274" s="34"/>
      <c r="DF274" s="34"/>
      <c r="DG274" s="34">
        <v>75</v>
      </c>
      <c r="DH274" s="34">
        <v>75</v>
      </c>
      <c r="DI274" t="s">
        <v>4090</v>
      </c>
      <c r="DJ274" t="s">
        <v>4152</v>
      </c>
      <c r="DK274" t="s">
        <v>3944</v>
      </c>
      <c r="DL274" s="9">
        <f t="shared" si="62"/>
        <v>27</v>
      </c>
      <c r="DM274" s="9">
        <f t="shared" si="63"/>
        <v>35</v>
      </c>
      <c r="DN274" s="9">
        <v>45</v>
      </c>
      <c r="DO274" s="9">
        <v>142</v>
      </c>
      <c r="DP274">
        <f t="shared" si="64"/>
        <v>37.199999999999996</v>
      </c>
    </row>
    <row r="275" spans="103:120" x14ac:dyDescent="0.2">
      <c r="CY275" t="str">
        <f t="shared" si="61"/>
        <v>双手</v>
      </c>
      <c r="CZ275" s="47">
        <v>20270</v>
      </c>
      <c r="DA275" s="34">
        <v>57</v>
      </c>
      <c r="DB275" s="54">
        <v>10</v>
      </c>
      <c r="DC275" s="34"/>
      <c r="DD275" s="34"/>
      <c r="DE275" s="34">
        <v>15</v>
      </c>
      <c r="DF275" s="34">
        <v>63</v>
      </c>
      <c r="DG275" s="34"/>
      <c r="DH275" s="34">
        <v>100</v>
      </c>
      <c r="DI275" t="s">
        <v>4090</v>
      </c>
      <c r="DJ275" t="s">
        <v>4153</v>
      </c>
      <c r="DK275" t="s">
        <v>3944</v>
      </c>
      <c r="DL275" s="9">
        <f t="shared" si="62"/>
        <v>15</v>
      </c>
      <c r="DM275" s="9">
        <f t="shared" si="63"/>
        <v>63</v>
      </c>
      <c r="DN275" s="9">
        <v>97</v>
      </c>
      <c r="DO275" s="9">
        <v>121</v>
      </c>
      <c r="DP275">
        <f t="shared" si="64"/>
        <v>35.1</v>
      </c>
    </row>
    <row r="276" spans="103:120" x14ac:dyDescent="0.2">
      <c r="CY276" t="str">
        <f t="shared" si="61"/>
        <v>单</v>
      </c>
      <c r="CZ276" s="47">
        <v>20194</v>
      </c>
      <c r="DA276" s="34">
        <v>58</v>
      </c>
      <c r="DB276" s="54">
        <v>-20</v>
      </c>
      <c r="DC276" s="34">
        <v>22</v>
      </c>
      <c r="DD276" s="34">
        <v>53</v>
      </c>
      <c r="DE276" s="34"/>
      <c r="DF276" s="34"/>
      <c r="DG276" s="34">
        <v>75</v>
      </c>
      <c r="DH276" s="34">
        <v>75</v>
      </c>
      <c r="DI276" t="s">
        <v>4090</v>
      </c>
      <c r="DJ276" t="s">
        <v>4154</v>
      </c>
      <c r="DK276" t="s">
        <v>3944</v>
      </c>
      <c r="DL276" s="9">
        <f t="shared" si="62"/>
        <v>22</v>
      </c>
      <c r="DM276" s="9">
        <f t="shared" si="63"/>
        <v>53</v>
      </c>
      <c r="DN276" s="9">
        <v>113</v>
      </c>
      <c r="DO276" s="9">
        <v>113</v>
      </c>
      <c r="DP276">
        <f t="shared" si="64"/>
        <v>45</v>
      </c>
    </row>
    <row r="277" spans="103:120" x14ac:dyDescent="0.2">
      <c r="CY277" t="str">
        <f t="shared" si="61"/>
        <v>单</v>
      </c>
      <c r="CZ277" s="47">
        <v>20227</v>
      </c>
      <c r="DA277" s="34">
        <v>58</v>
      </c>
      <c r="DB277" s="54"/>
      <c r="DC277" s="34">
        <v>37</v>
      </c>
      <c r="DD277" s="34">
        <v>53</v>
      </c>
      <c r="DE277" s="34"/>
      <c r="DF277" s="34"/>
      <c r="DG277" s="34">
        <v>100</v>
      </c>
      <c r="DH277" s="34"/>
      <c r="DI277" t="s">
        <v>4090</v>
      </c>
      <c r="DJ277" t="s">
        <v>4155</v>
      </c>
      <c r="DK277" t="s">
        <v>3954</v>
      </c>
      <c r="DL277" s="9">
        <f t="shared" si="62"/>
        <v>37</v>
      </c>
      <c r="DM277" s="9">
        <f t="shared" si="63"/>
        <v>53</v>
      </c>
      <c r="DN277" s="9">
        <v>142</v>
      </c>
      <c r="DO277" s="9">
        <v>112</v>
      </c>
      <c r="DP277">
        <f t="shared" si="64"/>
        <v>45</v>
      </c>
    </row>
    <row r="278" spans="103:120" x14ac:dyDescent="0.2">
      <c r="CY278" t="str">
        <f t="shared" si="61"/>
        <v>双手</v>
      </c>
      <c r="CZ278" s="47">
        <v>20303</v>
      </c>
      <c r="DA278" s="34">
        <v>58</v>
      </c>
      <c r="DB278" s="54">
        <v>10</v>
      </c>
      <c r="DC278" s="34"/>
      <c r="DD278" s="34"/>
      <c r="DE278" s="34">
        <v>14</v>
      </c>
      <c r="DF278" s="34">
        <v>72</v>
      </c>
      <c r="DG278" s="34"/>
      <c r="DH278" s="34">
        <v>100</v>
      </c>
      <c r="DI278" t="s">
        <v>4090</v>
      </c>
      <c r="DJ278" t="s">
        <v>4156</v>
      </c>
      <c r="DK278" t="s">
        <v>3954</v>
      </c>
      <c r="DL278" s="9">
        <f t="shared" si="62"/>
        <v>14</v>
      </c>
      <c r="DM278" s="9">
        <f t="shared" si="63"/>
        <v>72</v>
      </c>
      <c r="DN278" s="9">
        <v>108</v>
      </c>
      <c r="DO278" s="9">
        <v>152</v>
      </c>
      <c r="DP278">
        <f t="shared" si="64"/>
        <v>38.700000000000003</v>
      </c>
    </row>
    <row r="279" spans="103:120" x14ac:dyDescent="0.2">
      <c r="CY279" t="str">
        <f t="shared" si="61"/>
        <v>单</v>
      </c>
      <c r="CZ279" s="47">
        <v>20200</v>
      </c>
      <c r="DA279" s="34">
        <v>59</v>
      </c>
      <c r="DB279" s="54">
        <v>-10</v>
      </c>
      <c r="DC279" s="34">
        <v>30</v>
      </c>
      <c r="DD279" s="34">
        <v>48</v>
      </c>
      <c r="DE279" s="34"/>
      <c r="DF279" s="34"/>
      <c r="DG279" s="34">
        <v>100</v>
      </c>
      <c r="DH279" s="34"/>
      <c r="DI279" t="s">
        <v>4090</v>
      </c>
      <c r="DJ279" t="s">
        <v>4157</v>
      </c>
      <c r="DK279" t="s">
        <v>3954</v>
      </c>
      <c r="DL279" s="9">
        <f t="shared" si="62"/>
        <v>30</v>
      </c>
      <c r="DM279" s="9">
        <f t="shared" si="63"/>
        <v>48</v>
      </c>
      <c r="DN279" s="9">
        <v>133</v>
      </c>
      <c r="DO279" s="9">
        <v>54</v>
      </c>
      <c r="DP279">
        <f t="shared" si="64"/>
        <v>42.900000000000006</v>
      </c>
    </row>
    <row r="280" spans="103:120" x14ac:dyDescent="0.2">
      <c r="CY280" t="str">
        <f t="shared" si="61"/>
        <v>单</v>
      </c>
      <c r="CZ280" s="47">
        <v>20247</v>
      </c>
      <c r="DA280" s="34">
        <v>59</v>
      </c>
      <c r="DB280" s="54">
        <v>20</v>
      </c>
      <c r="DC280" s="34">
        <v>19</v>
      </c>
      <c r="DD280" s="34">
        <v>60</v>
      </c>
      <c r="DE280" s="34"/>
      <c r="DF280" s="34"/>
      <c r="DG280" s="34">
        <v>75</v>
      </c>
      <c r="DH280" s="34">
        <v>75</v>
      </c>
      <c r="DI280" t="s">
        <v>4090</v>
      </c>
      <c r="DJ280" t="s">
        <v>4158</v>
      </c>
      <c r="DK280" t="s">
        <v>3954</v>
      </c>
      <c r="DL280" s="9">
        <f t="shared" si="62"/>
        <v>19</v>
      </c>
      <c r="DM280" s="9">
        <f t="shared" si="63"/>
        <v>60</v>
      </c>
      <c r="DN280" s="9">
        <v>89</v>
      </c>
      <c r="DO280" s="9">
        <v>137</v>
      </c>
      <c r="DP280">
        <f t="shared" si="64"/>
        <v>31.6</v>
      </c>
    </row>
    <row r="281" spans="103:120" x14ac:dyDescent="0.2">
      <c r="CY281" t="str">
        <f t="shared" si="61"/>
        <v>双手</v>
      </c>
      <c r="CZ281" s="47">
        <v>20257</v>
      </c>
      <c r="DA281" s="34">
        <v>59</v>
      </c>
      <c r="DB281" s="54">
        <v>10</v>
      </c>
      <c r="DC281" s="34"/>
      <c r="DD281" s="34"/>
      <c r="DE281" s="34">
        <v>33</v>
      </c>
      <c r="DF281" s="34">
        <v>150</v>
      </c>
      <c r="DG281" s="34">
        <v>100</v>
      </c>
      <c r="DH281" s="34"/>
      <c r="DI281" t="s">
        <v>4090</v>
      </c>
      <c r="DJ281" t="s">
        <v>4159</v>
      </c>
      <c r="DK281" t="s">
        <v>4160</v>
      </c>
      <c r="DL281" s="9">
        <f t="shared" si="62"/>
        <v>33</v>
      </c>
      <c r="DM281" s="9">
        <f t="shared" si="63"/>
        <v>150</v>
      </c>
      <c r="DN281" s="9">
        <v>165</v>
      </c>
      <c r="DO281" s="9">
        <v>103</v>
      </c>
      <c r="DP281">
        <f t="shared" si="64"/>
        <v>82.350000000000009</v>
      </c>
    </row>
    <row r="282" spans="103:120" x14ac:dyDescent="0.2">
      <c r="CY282" t="str">
        <f t="shared" si="61"/>
        <v>单</v>
      </c>
      <c r="CZ282" s="47">
        <v>20195</v>
      </c>
      <c r="DA282" s="34">
        <v>60</v>
      </c>
      <c r="DB282" s="54">
        <v>-30</v>
      </c>
      <c r="DC282" s="34">
        <v>24</v>
      </c>
      <c r="DD282" s="34">
        <v>44</v>
      </c>
      <c r="DE282" s="34"/>
      <c r="DF282" s="34"/>
      <c r="DG282" s="34">
        <v>75</v>
      </c>
      <c r="DH282" s="34">
        <v>75</v>
      </c>
      <c r="DI282" t="s">
        <v>4090</v>
      </c>
      <c r="DJ282" t="s">
        <v>4161</v>
      </c>
      <c r="DK282" t="s">
        <v>4160</v>
      </c>
      <c r="DL282" s="9">
        <f t="shared" si="62"/>
        <v>24</v>
      </c>
      <c r="DM282" s="9">
        <f t="shared" si="63"/>
        <v>44</v>
      </c>
      <c r="DN282" s="9">
        <v>115</v>
      </c>
      <c r="DO282" s="9">
        <v>115</v>
      </c>
      <c r="DP282">
        <f t="shared" si="64"/>
        <v>44.2</v>
      </c>
    </row>
    <row r="283" spans="103:120" x14ac:dyDescent="0.2">
      <c r="CY283" t="str">
        <f t="shared" si="61"/>
        <v>单/双手</v>
      </c>
      <c r="CZ283" s="47">
        <v>20234</v>
      </c>
      <c r="DA283" s="34">
        <v>60</v>
      </c>
      <c r="DB283" s="54">
        <v>10</v>
      </c>
      <c r="DC283" s="34">
        <v>26</v>
      </c>
      <c r="DD283" s="34">
        <v>70</v>
      </c>
      <c r="DE283" s="34">
        <v>61</v>
      </c>
      <c r="DF283" s="34">
        <v>121</v>
      </c>
      <c r="DG283" s="34">
        <v>100</v>
      </c>
      <c r="DH283" s="34"/>
      <c r="DI283" t="s">
        <v>4090</v>
      </c>
      <c r="DJ283" t="s">
        <v>4162</v>
      </c>
      <c r="DK283" t="s">
        <v>4160</v>
      </c>
      <c r="DL283" s="9">
        <f t="shared" si="62"/>
        <v>61</v>
      </c>
      <c r="DM283" s="9">
        <f t="shared" si="63"/>
        <v>121</v>
      </c>
      <c r="DN283" s="9">
        <v>182</v>
      </c>
      <c r="DO283" s="9">
        <v>95</v>
      </c>
      <c r="DP283">
        <f t="shared" si="64"/>
        <v>81.900000000000006</v>
      </c>
    </row>
    <row r="284" spans="103:120" x14ac:dyDescent="0.2">
      <c r="CY284" t="str">
        <f t="shared" si="61"/>
        <v>单</v>
      </c>
      <c r="CZ284" s="47">
        <v>20243</v>
      </c>
      <c r="DA284" s="34">
        <v>60</v>
      </c>
      <c r="DB284" s="54">
        <v>-10</v>
      </c>
      <c r="DC284" s="34">
        <v>11</v>
      </c>
      <c r="DD284" s="34">
        <v>56</v>
      </c>
      <c r="DE284" s="34"/>
      <c r="DF284" s="34"/>
      <c r="DG284" s="34">
        <v>75</v>
      </c>
      <c r="DH284" s="34">
        <v>75</v>
      </c>
      <c r="DI284" t="s">
        <v>4090</v>
      </c>
      <c r="DJ284" t="s">
        <v>4163</v>
      </c>
      <c r="DK284" t="s">
        <v>4160</v>
      </c>
      <c r="DL284" s="9">
        <f t="shared" si="62"/>
        <v>11</v>
      </c>
      <c r="DM284" s="9">
        <f t="shared" si="63"/>
        <v>56</v>
      </c>
      <c r="DN284" s="9">
        <v>96</v>
      </c>
      <c r="DO284" s="9">
        <v>122</v>
      </c>
      <c r="DP284">
        <f t="shared" si="64"/>
        <v>36.85</v>
      </c>
    </row>
    <row r="285" spans="103:120" x14ac:dyDescent="0.2">
      <c r="CY285" t="str">
        <f t="shared" si="61"/>
        <v>双手</v>
      </c>
      <c r="CZ285" s="47">
        <v>20271</v>
      </c>
      <c r="DA285" s="34">
        <v>60</v>
      </c>
      <c r="DB285" s="54"/>
      <c r="DC285" s="34"/>
      <c r="DD285" s="34"/>
      <c r="DE285" s="34">
        <v>20</v>
      </c>
      <c r="DF285" s="34">
        <v>53</v>
      </c>
      <c r="DG285" s="34"/>
      <c r="DH285" s="34">
        <v>100</v>
      </c>
      <c r="DI285" t="s">
        <v>4090</v>
      </c>
      <c r="DJ285" t="s">
        <v>4164</v>
      </c>
      <c r="DK285" t="s">
        <v>4160</v>
      </c>
      <c r="DL285" s="9">
        <f t="shared" si="62"/>
        <v>20</v>
      </c>
      <c r="DM285" s="9">
        <f t="shared" si="63"/>
        <v>53</v>
      </c>
      <c r="DN285" s="9">
        <v>72</v>
      </c>
      <c r="DO285" s="9">
        <v>146</v>
      </c>
      <c r="DP285">
        <f t="shared" si="64"/>
        <v>36.5</v>
      </c>
    </row>
    <row r="286" spans="103:120" x14ac:dyDescent="0.2">
      <c r="CY286" t="str">
        <f t="shared" si="61"/>
        <v>双手</v>
      </c>
      <c r="CZ286" s="47">
        <v>20305</v>
      </c>
      <c r="DA286" s="34">
        <v>60</v>
      </c>
      <c r="DB286" s="54">
        <v>20</v>
      </c>
      <c r="DC286" s="34"/>
      <c r="DD286" s="34"/>
      <c r="DE286" s="34">
        <v>37</v>
      </c>
      <c r="DF286" s="34">
        <v>153</v>
      </c>
      <c r="DG286" s="34">
        <v>80</v>
      </c>
      <c r="DH286" s="34">
        <v>50</v>
      </c>
      <c r="DI286" t="s">
        <v>4090</v>
      </c>
      <c r="DJ286" t="s">
        <v>4165</v>
      </c>
      <c r="DK286" t="s">
        <v>4166</v>
      </c>
      <c r="DL286" s="9">
        <f t="shared" si="62"/>
        <v>37</v>
      </c>
      <c r="DM286" s="9">
        <f t="shared" si="63"/>
        <v>153</v>
      </c>
      <c r="DN286" s="9">
        <v>132</v>
      </c>
      <c r="DO286" s="9">
        <v>149</v>
      </c>
      <c r="DP286">
        <f t="shared" si="64"/>
        <v>76</v>
      </c>
    </row>
    <row r="287" spans="103:120" x14ac:dyDescent="0.2">
      <c r="CY287" t="str">
        <f t="shared" si="61"/>
        <v>双手</v>
      </c>
      <c r="CZ287" s="47">
        <v>20205</v>
      </c>
      <c r="DA287" s="34">
        <v>61</v>
      </c>
      <c r="DB287" s="54">
        <v>-10</v>
      </c>
      <c r="DC287" s="34"/>
      <c r="DD287" s="34"/>
      <c r="DE287" s="34">
        <v>59</v>
      </c>
      <c r="DF287" s="34">
        <v>94</v>
      </c>
      <c r="DG287" s="34">
        <v>100</v>
      </c>
      <c r="DH287" s="34"/>
      <c r="DI287" t="s">
        <v>4090</v>
      </c>
      <c r="DJ287" t="s">
        <v>4167</v>
      </c>
      <c r="DK287" t="s">
        <v>4166</v>
      </c>
      <c r="DL287" s="9">
        <f t="shared" si="62"/>
        <v>59</v>
      </c>
      <c r="DM287" s="9">
        <f t="shared" si="63"/>
        <v>94</v>
      </c>
      <c r="DN287" s="9">
        <v>167</v>
      </c>
      <c r="DO287" s="9">
        <v>59</v>
      </c>
      <c r="DP287">
        <f t="shared" si="64"/>
        <v>84.15</v>
      </c>
    </row>
    <row r="288" spans="103:120" x14ac:dyDescent="0.2">
      <c r="CY288" t="str">
        <f t="shared" si="61"/>
        <v>单</v>
      </c>
      <c r="CZ288" s="47">
        <v>20219</v>
      </c>
      <c r="DA288" s="34">
        <v>61</v>
      </c>
      <c r="DB288" s="54">
        <v>20</v>
      </c>
      <c r="DC288" s="34">
        <v>50</v>
      </c>
      <c r="DD288" s="34">
        <v>61</v>
      </c>
      <c r="DE288" s="34"/>
      <c r="DF288" s="34"/>
      <c r="DG288" s="34">
        <v>110</v>
      </c>
      <c r="DH288" s="34"/>
      <c r="DI288" t="s">
        <v>4090</v>
      </c>
      <c r="DJ288" t="s">
        <v>4168</v>
      </c>
      <c r="DK288" t="s">
        <v>4169</v>
      </c>
      <c r="DL288" s="9">
        <f t="shared" si="62"/>
        <v>50</v>
      </c>
      <c r="DM288" s="9">
        <f t="shared" si="63"/>
        <v>61</v>
      </c>
      <c r="DN288" s="9">
        <v>189</v>
      </c>
      <c r="DP288">
        <f t="shared" si="64"/>
        <v>44.400000000000006</v>
      </c>
    </row>
    <row r="289" spans="103:120" x14ac:dyDescent="0.2">
      <c r="CY289" t="str">
        <f t="shared" si="61"/>
        <v>单</v>
      </c>
      <c r="CZ289" s="47">
        <v>20228</v>
      </c>
      <c r="DA289" s="34">
        <v>61</v>
      </c>
      <c r="DB289" s="54">
        <v>-10</v>
      </c>
      <c r="DC289" s="34">
        <v>5</v>
      </c>
      <c r="DD289" s="34">
        <v>77</v>
      </c>
      <c r="DE289" s="34"/>
      <c r="DF289" s="34"/>
      <c r="DG289" s="34">
        <v>100</v>
      </c>
      <c r="DH289" s="34"/>
      <c r="DI289" t="s">
        <v>4090</v>
      </c>
      <c r="DJ289" t="s">
        <v>4170</v>
      </c>
      <c r="DK289" t="s">
        <v>4169</v>
      </c>
      <c r="DL289" s="9">
        <f t="shared" si="62"/>
        <v>5</v>
      </c>
      <c r="DM289" s="9">
        <f t="shared" si="63"/>
        <v>77</v>
      </c>
      <c r="DN289" s="9">
        <v>99</v>
      </c>
      <c r="DO289" s="9">
        <v>109</v>
      </c>
      <c r="DP289">
        <f t="shared" si="64"/>
        <v>45.1</v>
      </c>
    </row>
    <row r="290" spans="103:120" x14ac:dyDescent="0.2">
      <c r="CY290" t="str">
        <f t="shared" si="61"/>
        <v>单</v>
      </c>
      <c r="CZ290" s="47">
        <v>20238</v>
      </c>
      <c r="DA290" s="34">
        <v>62</v>
      </c>
      <c r="DB290" s="54">
        <v>-20</v>
      </c>
      <c r="DC290" s="34">
        <v>15</v>
      </c>
      <c r="DD290" s="34">
        <v>57</v>
      </c>
      <c r="DE290" s="34"/>
      <c r="DF290" s="34"/>
      <c r="DG290" s="34">
        <v>75</v>
      </c>
      <c r="DH290" s="34">
        <v>75</v>
      </c>
      <c r="DI290" t="s">
        <v>4090</v>
      </c>
      <c r="DJ290" t="s">
        <v>4171</v>
      </c>
      <c r="DK290" t="s">
        <v>4172</v>
      </c>
      <c r="DL290" s="9">
        <f t="shared" si="62"/>
        <v>15</v>
      </c>
      <c r="DM290" s="9">
        <f t="shared" si="63"/>
        <v>57</v>
      </c>
      <c r="DN290" s="9">
        <v>42</v>
      </c>
      <c r="DO290" s="9">
        <v>86</v>
      </c>
      <c r="DP290">
        <f t="shared" si="64"/>
        <v>43.199999999999996</v>
      </c>
    </row>
    <row r="291" spans="103:120" x14ac:dyDescent="0.2">
      <c r="CY291" t="str">
        <f t="shared" si="61"/>
        <v>双手</v>
      </c>
      <c r="CZ291" s="47">
        <v>20252</v>
      </c>
      <c r="DA291" s="34">
        <v>62</v>
      </c>
      <c r="DB291" s="54"/>
      <c r="DC291" s="34"/>
      <c r="DD291" s="34"/>
      <c r="DE291" s="34">
        <v>18</v>
      </c>
      <c r="DF291" s="34">
        <v>155</v>
      </c>
      <c r="DG291" s="34">
        <v>100</v>
      </c>
      <c r="DH291" s="34"/>
      <c r="DI291" t="s">
        <v>4090</v>
      </c>
      <c r="DJ291" t="s">
        <v>4173</v>
      </c>
      <c r="DK291" t="s">
        <v>4160</v>
      </c>
      <c r="DL291" s="9">
        <f t="shared" si="62"/>
        <v>18</v>
      </c>
      <c r="DM291" s="9">
        <f t="shared" si="63"/>
        <v>155</v>
      </c>
      <c r="DN291" s="9">
        <v>122</v>
      </c>
      <c r="DO291" s="9">
        <v>163</v>
      </c>
      <c r="DP291">
        <f t="shared" si="64"/>
        <v>86.5</v>
      </c>
    </row>
    <row r="292" spans="103:120" x14ac:dyDescent="0.2">
      <c r="CY292" t="str">
        <f t="shared" si="61"/>
        <v>双手</v>
      </c>
      <c r="CZ292" s="47">
        <v>20263</v>
      </c>
      <c r="DA292" s="34">
        <v>62</v>
      </c>
      <c r="DB292" s="54"/>
      <c r="DC292" s="34"/>
      <c r="DD292" s="34"/>
      <c r="DE292" s="34">
        <v>65</v>
      </c>
      <c r="DF292" s="34">
        <v>108</v>
      </c>
      <c r="DG292" s="34">
        <v>100</v>
      </c>
      <c r="DH292" s="34"/>
      <c r="DI292" t="s">
        <v>4090</v>
      </c>
      <c r="DJ292" t="s">
        <v>4174</v>
      </c>
      <c r="DK292" t="s">
        <v>4160</v>
      </c>
      <c r="DL292" s="9">
        <f t="shared" si="62"/>
        <v>65</v>
      </c>
      <c r="DM292" s="9">
        <f t="shared" si="63"/>
        <v>108</v>
      </c>
      <c r="DN292" s="9">
        <v>52</v>
      </c>
      <c r="DO292" s="9">
        <v>27</v>
      </c>
      <c r="DP292">
        <f t="shared" si="64"/>
        <v>86.5</v>
      </c>
    </row>
    <row r="293" spans="103:120" x14ac:dyDescent="0.2">
      <c r="CY293" t="str">
        <f t="shared" si="61"/>
        <v>单/双手</v>
      </c>
      <c r="CZ293" s="47">
        <v>20235</v>
      </c>
      <c r="DA293" s="34">
        <v>63</v>
      </c>
      <c r="DB293" s="54">
        <v>5</v>
      </c>
      <c r="DC293" s="34">
        <v>25</v>
      </c>
      <c r="DD293" s="34">
        <v>65</v>
      </c>
      <c r="DE293" s="34">
        <v>58</v>
      </c>
      <c r="DF293" s="34">
        <v>115</v>
      </c>
      <c r="DG293" s="34">
        <v>100</v>
      </c>
      <c r="DH293" s="34"/>
      <c r="DI293" t="s">
        <v>4090</v>
      </c>
      <c r="DJ293" t="s">
        <v>4175</v>
      </c>
      <c r="DK293" t="s">
        <v>4160</v>
      </c>
      <c r="DL293" s="9">
        <f t="shared" si="62"/>
        <v>58</v>
      </c>
      <c r="DM293" s="9">
        <f t="shared" si="63"/>
        <v>115</v>
      </c>
      <c r="DN293" s="9">
        <v>189</v>
      </c>
      <c r="DO293" s="9">
        <v>110</v>
      </c>
      <c r="DP293">
        <f t="shared" si="64"/>
        <v>82.174999999999997</v>
      </c>
    </row>
    <row r="294" spans="103:120" x14ac:dyDescent="0.2">
      <c r="CY294" t="str">
        <f t="shared" si="61"/>
        <v>双手</v>
      </c>
      <c r="CZ294" s="47">
        <v>20258</v>
      </c>
      <c r="DA294" s="34">
        <v>63</v>
      </c>
      <c r="DB294" s="54"/>
      <c r="DC294" s="34"/>
      <c r="DD294" s="34"/>
      <c r="DE294" s="34">
        <v>46</v>
      </c>
      <c r="DF294" s="34">
        <v>127</v>
      </c>
      <c r="DG294" s="34">
        <v>100</v>
      </c>
      <c r="DH294" s="34"/>
      <c r="DI294" t="s">
        <v>4090</v>
      </c>
      <c r="DJ294" t="s">
        <v>4176</v>
      </c>
      <c r="DK294" t="s">
        <v>4160</v>
      </c>
      <c r="DL294" s="9">
        <f t="shared" si="62"/>
        <v>46</v>
      </c>
      <c r="DM294" s="9">
        <f t="shared" si="63"/>
        <v>127</v>
      </c>
      <c r="DN294" s="9">
        <v>179</v>
      </c>
      <c r="DO294" s="9">
        <v>99</v>
      </c>
      <c r="DP294">
        <f t="shared" si="64"/>
        <v>86.5</v>
      </c>
    </row>
    <row r="295" spans="103:120" x14ac:dyDescent="0.2">
      <c r="CY295" t="str">
        <f t="shared" si="61"/>
        <v>双手</v>
      </c>
      <c r="CZ295" s="47">
        <v>20272</v>
      </c>
      <c r="DA295" s="34">
        <v>63</v>
      </c>
      <c r="DB295" s="54">
        <v>10</v>
      </c>
      <c r="DC295" s="34"/>
      <c r="DD295" s="34"/>
      <c r="DE295" s="34">
        <v>10</v>
      </c>
      <c r="DF295" s="34">
        <v>68</v>
      </c>
      <c r="DG295" s="34"/>
      <c r="DH295" s="34">
        <v>100</v>
      </c>
      <c r="DI295" t="s">
        <v>4090</v>
      </c>
      <c r="DJ295" t="s">
        <v>4177</v>
      </c>
      <c r="DK295" t="s">
        <v>4160</v>
      </c>
      <c r="DL295" s="9">
        <f t="shared" si="62"/>
        <v>10</v>
      </c>
      <c r="DM295" s="9">
        <f t="shared" si="63"/>
        <v>68</v>
      </c>
      <c r="DN295" s="9">
        <v>134</v>
      </c>
      <c r="DO295" s="9">
        <v>167</v>
      </c>
      <c r="DP295">
        <f t="shared" si="64"/>
        <v>35.1</v>
      </c>
    </row>
    <row r="296" spans="103:120" x14ac:dyDescent="0.2">
      <c r="CY296" t="str">
        <f t="shared" si="61"/>
        <v>双手</v>
      </c>
      <c r="CZ296" s="47">
        <v>20276</v>
      </c>
      <c r="DA296" s="34">
        <v>63</v>
      </c>
      <c r="DB296" s="54">
        <v>-60</v>
      </c>
      <c r="DC296" s="34"/>
      <c r="DD296" s="34"/>
      <c r="DE296" s="34">
        <v>26</v>
      </c>
      <c r="DF296" s="34">
        <v>40</v>
      </c>
      <c r="DG296" s="34"/>
      <c r="DH296" s="34">
        <v>100</v>
      </c>
      <c r="DI296" t="s">
        <v>4090</v>
      </c>
      <c r="DJ296" t="s">
        <v>4178</v>
      </c>
      <c r="DK296" t="s">
        <v>4166</v>
      </c>
      <c r="DL296" s="9">
        <f t="shared" si="62"/>
        <v>26</v>
      </c>
      <c r="DM296" s="9">
        <f t="shared" si="63"/>
        <v>40</v>
      </c>
      <c r="DN296" s="9">
        <v>141</v>
      </c>
      <c r="DO296" s="9">
        <v>98</v>
      </c>
      <c r="DP296">
        <f t="shared" si="64"/>
        <v>52.800000000000004</v>
      </c>
    </row>
    <row r="297" spans="103:120" x14ac:dyDescent="0.2">
      <c r="CY297" t="str">
        <f t="shared" si="61"/>
        <v>单</v>
      </c>
      <c r="CZ297" s="47">
        <v>20300</v>
      </c>
      <c r="DA297" s="34">
        <v>63</v>
      </c>
      <c r="DB297" s="54"/>
      <c r="DC297" s="34">
        <v>12</v>
      </c>
      <c r="DD297" s="34">
        <v>66</v>
      </c>
      <c r="DE297" s="34"/>
      <c r="DF297" s="34"/>
      <c r="DG297" s="34">
        <v>100</v>
      </c>
      <c r="DH297" s="34"/>
      <c r="DI297" t="s">
        <v>4090</v>
      </c>
      <c r="DJ297" t="s">
        <v>4179</v>
      </c>
      <c r="DK297" t="s">
        <v>4166</v>
      </c>
      <c r="DL297" s="9">
        <f t="shared" si="62"/>
        <v>12</v>
      </c>
      <c r="DM297" s="9">
        <f t="shared" si="63"/>
        <v>66</v>
      </c>
      <c r="DP297">
        <f t="shared" si="64"/>
        <v>39</v>
      </c>
    </row>
    <row r="298" spans="103:120" x14ac:dyDescent="0.2">
      <c r="CY298" t="str">
        <f t="shared" si="61"/>
        <v>单</v>
      </c>
      <c r="CZ298" s="47">
        <v>20196</v>
      </c>
      <c r="DA298" s="34">
        <v>64</v>
      </c>
      <c r="DB298" s="54"/>
      <c r="DC298" s="34">
        <v>40</v>
      </c>
      <c r="DD298" s="34">
        <v>51</v>
      </c>
      <c r="DE298" s="34"/>
      <c r="DF298" s="34"/>
      <c r="DG298" s="34">
        <v>75</v>
      </c>
      <c r="DH298" s="34">
        <v>75</v>
      </c>
      <c r="DI298" t="s">
        <v>4090</v>
      </c>
      <c r="DJ298" t="s">
        <v>4180</v>
      </c>
      <c r="DK298" t="s">
        <v>4169</v>
      </c>
      <c r="DL298" s="9">
        <f t="shared" si="62"/>
        <v>40</v>
      </c>
      <c r="DM298" s="9">
        <f t="shared" si="63"/>
        <v>51</v>
      </c>
      <c r="DN298" s="9">
        <v>118</v>
      </c>
      <c r="DO298" s="9">
        <v>118</v>
      </c>
      <c r="DP298">
        <f t="shared" si="64"/>
        <v>45.5</v>
      </c>
    </row>
    <row r="299" spans="103:120" x14ac:dyDescent="0.2">
      <c r="CY299" t="str">
        <f t="shared" si="61"/>
        <v>单</v>
      </c>
      <c r="CZ299" s="47">
        <v>20201</v>
      </c>
      <c r="DA299" s="34">
        <v>64</v>
      </c>
      <c r="DB299" s="54"/>
      <c r="DC299" s="34">
        <v>24</v>
      </c>
      <c r="DD299" s="34">
        <v>71</v>
      </c>
      <c r="DE299" s="34"/>
      <c r="DF299" s="34"/>
      <c r="DG299" s="34">
        <v>100</v>
      </c>
      <c r="DH299" s="34"/>
      <c r="DI299" t="s">
        <v>4090</v>
      </c>
      <c r="DJ299" t="s">
        <v>4181</v>
      </c>
      <c r="DK299" t="s">
        <v>4169</v>
      </c>
      <c r="DL299" s="9">
        <f t="shared" si="62"/>
        <v>24</v>
      </c>
      <c r="DM299" s="9">
        <f t="shared" si="63"/>
        <v>71</v>
      </c>
      <c r="DN299" s="9">
        <v>138</v>
      </c>
      <c r="DO299" s="9">
        <v>59</v>
      </c>
      <c r="DP299">
        <f t="shared" si="64"/>
        <v>47.5</v>
      </c>
    </row>
    <row r="300" spans="103:120" x14ac:dyDescent="0.2">
      <c r="CY300" t="str">
        <f t="shared" si="61"/>
        <v>单</v>
      </c>
      <c r="CZ300" s="47">
        <v>20210</v>
      </c>
      <c r="DA300" s="34">
        <v>64</v>
      </c>
      <c r="DB300" s="54"/>
      <c r="DC300" s="34">
        <v>22</v>
      </c>
      <c r="DD300" s="34">
        <v>28</v>
      </c>
      <c r="DE300" s="34"/>
      <c r="DF300" s="34"/>
      <c r="DG300" s="34">
        <v>100</v>
      </c>
      <c r="DH300" s="34"/>
      <c r="DI300" t="s">
        <v>4090</v>
      </c>
      <c r="DJ300" t="s">
        <v>4182</v>
      </c>
      <c r="DK300" t="s">
        <v>4172</v>
      </c>
      <c r="DL300" s="9">
        <f t="shared" si="62"/>
        <v>22</v>
      </c>
      <c r="DM300" s="9">
        <f t="shared" si="63"/>
        <v>28</v>
      </c>
      <c r="DN300" s="9">
        <v>25</v>
      </c>
      <c r="DP300">
        <f t="shared" si="64"/>
        <v>25</v>
      </c>
    </row>
    <row r="301" spans="103:120" x14ac:dyDescent="0.2">
      <c r="CY301" t="str">
        <f t="shared" si="61"/>
        <v>双手</v>
      </c>
      <c r="CZ301" s="47">
        <v>20221</v>
      </c>
      <c r="DA301" s="34">
        <v>65</v>
      </c>
      <c r="DB301" s="54">
        <v>20</v>
      </c>
      <c r="DC301" s="34"/>
      <c r="DD301" s="34"/>
      <c r="DE301" s="34">
        <v>33</v>
      </c>
      <c r="DF301" s="34">
        <v>180</v>
      </c>
      <c r="DG301" s="34">
        <v>110</v>
      </c>
      <c r="DH301" s="34"/>
      <c r="DI301" t="s">
        <v>4090</v>
      </c>
      <c r="DJ301" t="s">
        <v>4183</v>
      </c>
      <c r="DK301" t="s">
        <v>4160</v>
      </c>
      <c r="DL301" s="9">
        <f t="shared" si="62"/>
        <v>33</v>
      </c>
      <c r="DM301" s="9">
        <f t="shared" si="63"/>
        <v>180</v>
      </c>
      <c r="DN301" s="9">
        <v>253</v>
      </c>
      <c r="DP301">
        <f t="shared" si="64"/>
        <v>85.2</v>
      </c>
    </row>
    <row r="302" spans="103:120" x14ac:dyDescent="0.2">
      <c r="CY302" t="str">
        <f t="shared" si="61"/>
        <v>单</v>
      </c>
      <c r="CZ302" s="47">
        <v>20248</v>
      </c>
      <c r="DA302" s="34">
        <v>65</v>
      </c>
      <c r="DB302" s="54">
        <v>-10</v>
      </c>
      <c r="DC302" s="34">
        <v>27</v>
      </c>
      <c r="DD302" s="34">
        <v>35</v>
      </c>
      <c r="DE302" s="34"/>
      <c r="DF302" s="34"/>
      <c r="DG302" s="34">
        <v>75</v>
      </c>
      <c r="DH302" s="34">
        <v>75</v>
      </c>
      <c r="DI302" t="s">
        <v>4090</v>
      </c>
      <c r="DJ302" t="s">
        <v>4184</v>
      </c>
      <c r="DK302" t="s">
        <v>4160</v>
      </c>
      <c r="DL302" s="9">
        <f t="shared" si="62"/>
        <v>27</v>
      </c>
      <c r="DM302" s="9">
        <f t="shared" si="63"/>
        <v>35</v>
      </c>
      <c r="DN302" s="9">
        <v>76</v>
      </c>
      <c r="DO302" s="9">
        <v>145</v>
      </c>
      <c r="DP302">
        <f t="shared" si="64"/>
        <v>34.1</v>
      </c>
    </row>
    <row r="303" spans="103:120" x14ac:dyDescent="0.2">
      <c r="CY303" t="str">
        <f t="shared" si="61"/>
        <v>双手</v>
      </c>
      <c r="CZ303" s="47">
        <v>20206</v>
      </c>
      <c r="DA303" s="34">
        <v>66</v>
      </c>
      <c r="DB303" s="54">
        <v>10</v>
      </c>
      <c r="DC303" s="34"/>
      <c r="DD303" s="34"/>
      <c r="DE303" s="34">
        <v>60</v>
      </c>
      <c r="DF303" s="34">
        <v>124</v>
      </c>
      <c r="DG303" s="34">
        <v>100</v>
      </c>
      <c r="DH303" s="34"/>
      <c r="DI303" t="s">
        <v>4090</v>
      </c>
      <c r="DJ303" t="s">
        <v>4185</v>
      </c>
      <c r="DK303" t="s">
        <v>4160</v>
      </c>
      <c r="DL303" s="9">
        <f t="shared" si="62"/>
        <v>60</v>
      </c>
      <c r="DM303" s="9">
        <f t="shared" si="63"/>
        <v>124</v>
      </c>
      <c r="DN303" s="9">
        <v>164</v>
      </c>
      <c r="DO303" s="9">
        <v>55</v>
      </c>
      <c r="DP303">
        <f t="shared" si="64"/>
        <v>82.8</v>
      </c>
    </row>
    <row r="304" spans="103:120" x14ac:dyDescent="0.2">
      <c r="CY304" t="str">
        <f t="shared" si="61"/>
        <v>单</v>
      </c>
      <c r="CZ304" s="47">
        <v>20214</v>
      </c>
      <c r="DA304" s="34">
        <v>66</v>
      </c>
      <c r="DB304" s="54">
        <v>-10</v>
      </c>
      <c r="DC304" s="34">
        <v>37</v>
      </c>
      <c r="DD304" s="34">
        <v>43</v>
      </c>
      <c r="DE304" s="34"/>
      <c r="DF304" s="34"/>
      <c r="DG304" s="34">
        <v>100</v>
      </c>
      <c r="DH304" s="34"/>
      <c r="DI304" t="s">
        <v>4090</v>
      </c>
      <c r="DJ304" t="s">
        <v>4186</v>
      </c>
      <c r="DK304" t="s">
        <v>4160</v>
      </c>
      <c r="DL304" s="9">
        <f t="shared" si="62"/>
        <v>37</v>
      </c>
      <c r="DM304" s="9">
        <f t="shared" si="63"/>
        <v>43</v>
      </c>
      <c r="DN304" s="9">
        <v>97</v>
      </c>
      <c r="DO304" s="9">
        <v>70</v>
      </c>
      <c r="DP304">
        <f t="shared" si="64"/>
        <v>44</v>
      </c>
    </row>
    <row r="305" spans="103:120" x14ac:dyDescent="0.2">
      <c r="CY305" t="str">
        <f t="shared" si="61"/>
        <v>单</v>
      </c>
      <c r="CZ305" s="47">
        <v>20229</v>
      </c>
      <c r="DA305" s="34">
        <v>66</v>
      </c>
      <c r="DB305" s="54"/>
      <c r="DC305" s="34">
        <v>40</v>
      </c>
      <c r="DD305" s="34">
        <v>50</v>
      </c>
      <c r="DE305" s="34"/>
      <c r="DF305" s="34"/>
      <c r="DG305" s="34">
        <v>100</v>
      </c>
      <c r="DH305" s="34"/>
      <c r="DI305" t="s">
        <v>4090</v>
      </c>
      <c r="DJ305" t="s">
        <v>4187</v>
      </c>
      <c r="DK305" t="s">
        <v>4160</v>
      </c>
      <c r="DL305" s="9">
        <f t="shared" si="62"/>
        <v>40</v>
      </c>
      <c r="DM305" s="9">
        <f t="shared" si="63"/>
        <v>50</v>
      </c>
      <c r="DN305" s="9">
        <v>147</v>
      </c>
      <c r="DO305" s="9">
        <v>124</v>
      </c>
      <c r="DP305">
        <f t="shared" si="64"/>
        <v>45</v>
      </c>
    </row>
    <row r="306" spans="103:120" x14ac:dyDescent="0.2">
      <c r="CY306" t="str">
        <f t="shared" si="61"/>
        <v>单</v>
      </c>
      <c r="CZ306" s="47">
        <v>20239</v>
      </c>
      <c r="DA306" s="34">
        <v>66</v>
      </c>
      <c r="DB306" s="54">
        <v>-10</v>
      </c>
      <c r="DC306" s="34">
        <v>31</v>
      </c>
      <c r="DD306" s="34">
        <v>47</v>
      </c>
      <c r="DE306" s="34"/>
      <c r="DF306" s="34"/>
      <c r="DG306" s="34">
        <v>75</v>
      </c>
      <c r="DH306" s="34">
        <v>75</v>
      </c>
      <c r="DI306" t="s">
        <v>4090</v>
      </c>
      <c r="DJ306" t="s">
        <v>4188</v>
      </c>
      <c r="DK306" t="s">
        <v>4166</v>
      </c>
      <c r="DL306" s="9">
        <f t="shared" si="62"/>
        <v>31</v>
      </c>
      <c r="DM306" s="9">
        <f t="shared" si="63"/>
        <v>47</v>
      </c>
      <c r="DN306" s="9">
        <v>65</v>
      </c>
      <c r="DO306" s="9">
        <v>67</v>
      </c>
      <c r="DP306">
        <f t="shared" si="64"/>
        <v>42.900000000000006</v>
      </c>
    </row>
    <row r="307" spans="103:120" x14ac:dyDescent="0.2">
      <c r="CY307" t="str">
        <f t="shared" si="61"/>
        <v>双手</v>
      </c>
      <c r="CZ307" s="47">
        <v>20253</v>
      </c>
      <c r="DA307" s="34">
        <v>66</v>
      </c>
      <c r="DB307" s="54">
        <v>20</v>
      </c>
      <c r="DC307" s="34"/>
      <c r="DD307" s="34"/>
      <c r="DE307" s="34">
        <v>33</v>
      </c>
      <c r="DF307" s="34">
        <v>178</v>
      </c>
      <c r="DG307" s="34">
        <v>100</v>
      </c>
      <c r="DH307" s="34"/>
      <c r="DI307" t="s">
        <v>4090</v>
      </c>
      <c r="DJ307" t="s">
        <v>4189</v>
      </c>
      <c r="DK307" t="s">
        <v>4166</v>
      </c>
      <c r="DL307" s="9">
        <f t="shared" si="62"/>
        <v>33</v>
      </c>
      <c r="DM307" s="9">
        <f t="shared" si="63"/>
        <v>178</v>
      </c>
      <c r="DN307" s="9">
        <v>165</v>
      </c>
      <c r="DO307" s="9">
        <v>106</v>
      </c>
      <c r="DP307">
        <f t="shared" si="64"/>
        <v>84.4</v>
      </c>
    </row>
    <row r="308" spans="103:120" x14ac:dyDescent="0.2">
      <c r="CY308" t="str">
        <f t="shared" si="61"/>
        <v>双手</v>
      </c>
      <c r="CZ308" s="47">
        <v>20259</v>
      </c>
      <c r="DA308" s="34">
        <v>66</v>
      </c>
      <c r="DB308" s="54">
        <v>-10</v>
      </c>
      <c r="DC308" s="34"/>
      <c r="DD308" s="34"/>
      <c r="DE308" s="34">
        <v>40</v>
      </c>
      <c r="DF308" s="34">
        <v>114</v>
      </c>
      <c r="DG308" s="34">
        <v>100</v>
      </c>
      <c r="DH308" s="34"/>
      <c r="DI308" t="s">
        <v>4090</v>
      </c>
      <c r="DJ308" t="s">
        <v>4190</v>
      </c>
      <c r="DK308" t="s">
        <v>4169</v>
      </c>
      <c r="DL308" s="9">
        <f t="shared" si="62"/>
        <v>40</v>
      </c>
      <c r="DM308" s="9">
        <f t="shared" si="63"/>
        <v>114</v>
      </c>
      <c r="DN308" s="9">
        <v>188</v>
      </c>
      <c r="DO308" s="9">
        <v>140</v>
      </c>
      <c r="DP308">
        <f t="shared" si="64"/>
        <v>84.7</v>
      </c>
    </row>
    <row r="309" spans="103:120" x14ac:dyDescent="0.2">
      <c r="CY309" t="str">
        <f t="shared" si="61"/>
        <v>双手</v>
      </c>
      <c r="CZ309" s="47">
        <v>20264</v>
      </c>
      <c r="DA309" s="34">
        <v>66</v>
      </c>
      <c r="DB309" s="54">
        <v>10</v>
      </c>
      <c r="DC309" s="34"/>
      <c r="DD309" s="34"/>
      <c r="DE309" s="34">
        <v>83</v>
      </c>
      <c r="DF309" s="34">
        <v>99</v>
      </c>
      <c r="DG309" s="34">
        <v>100</v>
      </c>
      <c r="DH309" s="34"/>
      <c r="DI309" t="s">
        <v>4090</v>
      </c>
      <c r="DJ309" t="s">
        <v>4191</v>
      </c>
      <c r="DK309" t="s">
        <v>4169</v>
      </c>
      <c r="DL309" s="9">
        <f t="shared" si="62"/>
        <v>83</v>
      </c>
      <c r="DM309" s="9">
        <f t="shared" si="63"/>
        <v>99</v>
      </c>
      <c r="DN309" s="9">
        <v>34</v>
      </c>
      <c r="DP309">
        <f t="shared" si="64"/>
        <v>81.900000000000006</v>
      </c>
    </row>
    <row r="310" spans="103:120" x14ac:dyDescent="0.2">
      <c r="CY310" t="str">
        <f t="shared" si="61"/>
        <v>单</v>
      </c>
      <c r="CZ310" s="47">
        <v>20301</v>
      </c>
      <c r="DA310" s="34">
        <v>66</v>
      </c>
      <c r="DB310" s="54">
        <v>10</v>
      </c>
      <c r="DC310" s="34">
        <v>30</v>
      </c>
      <c r="DD310" s="34">
        <v>53</v>
      </c>
      <c r="DE310" s="34"/>
      <c r="DF310" s="34"/>
      <c r="DG310" s="34">
        <v>100</v>
      </c>
      <c r="DH310" s="34"/>
      <c r="DI310" t="s">
        <v>4090</v>
      </c>
      <c r="DJ310" t="s">
        <v>4192</v>
      </c>
      <c r="DK310" t="s">
        <v>4172</v>
      </c>
      <c r="DL310" s="9">
        <f t="shared" si="62"/>
        <v>30</v>
      </c>
      <c r="DM310" s="9">
        <f t="shared" si="63"/>
        <v>53</v>
      </c>
      <c r="DP310">
        <f t="shared" si="64"/>
        <v>37.35</v>
      </c>
    </row>
  </sheetData>
  <autoFilter ref="CY4:DP310" xr:uid="{00000000-0009-0000-0000-000005000000}">
    <sortState xmlns:xlrd2="http://schemas.microsoft.com/office/spreadsheetml/2017/richdata2" ref="CY4:DP310">
      <sortCondition ref="DA4:DA310"/>
    </sortState>
  </autoFilter>
  <mergeCells count="26">
    <mergeCell ref="DL3:DM3"/>
    <mergeCell ref="D15:F15"/>
    <mergeCell ref="D19:F19"/>
    <mergeCell ref="D23:F23"/>
    <mergeCell ref="J3:J4"/>
    <mergeCell ref="CE1:CL1"/>
    <mergeCell ref="CN1:CV1"/>
    <mergeCell ref="CX1:DQ1"/>
    <mergeCell ref="L3:M3"/>
    <mergeCell ref="N3:O3"/>
    <mergeCell ref="P3:Q3"/>
    <mergeCell ref="R3:S3"/>
    <mergeCell ref="T3:U3"/>
    <mergeCell ref="BW3:BX3"/>
    <mergeCell ref="BY3:BZ3"/>
    <mergeCell ref="CA3:CB3"/>
    <mergeCell ref="CI3:CK3"/>
    <mergeCell ref="CP3:CR3"/>
    <mergeCell ref="CS3:CU3"/>
    <mergeCell ref="DC3:DD3"/>
    <mergeCell ref="DE3:DF3"/>
    <mergeCell ref="B1:G1"/>
    <mergeCell ref="J1:V1"/>
    <mergeCell ref="Y1:AH1"/>
    <mergeCell ref="AJ1:BO1"/>
    <mergeCell ref="BQ1:CC1"/>
  </mergeCells>
  <phoneticPr fontId="1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FN102"/>
  <sheetViews>
    <sheetView topLeftCell="AD1" workbookViewId="0">
      <selection activeCell="AQ16" sqref="AQ16"/>
    </sheetView>
  </sheetViews>
  <sheetFormatPr defaultColWidth="9" defaultRowHeight="14.25" x14ac:dyDescent="0.2"/>
  <cols>
    <col min="51" max="51" width="11" customWidth="1"/>
  </cols>
  <sheetData>
    <row r="1" spans="4:170" x14ac:dyDescent="0.2">
      <c r="AF1" s="319" t="s">
        <v>4193</v>
      </c>
      <c r="AG1" s="320"/>
      <c r="AH1" s="321"/>
      <c r="AI1" s="319" t="s">
        <v>4194</v>
      </c>
      <c r="AJ1" s="320"/>
      <c r="AK1" s="321"/>
      <c r="AL1" s="319" t="s">
        <v>4195</v>
      </c>
      <c r="AM1" s="320"/>
      <c r="AN1" s="321"/>
      <c r="AO1" s="319" t="s">
        <v>4196</v>
      </c>
      <c r="AP1" s="320"/>
      <c r="AQ1" s="321"/>
      <c r="AR1" s="319" t="s">
        <v>4197</v>
      </c>
      <c r="AS1" s="320"/>
      <c r="AT1" s="321"/>
      <c r="AU1" s="319" t="s">
        <v>4198</v>
      </c>
      <c r="AV1" s="320"/>
      <c r="AW1" s="321"/>
      <c r="BD1" s="1" t="s">
        <v>4199</v>
      </c>
      <c r="BE1" s="1">
        <v>1</v>
      </c>
      <c r="BF1" s="1">
        <v>2</v>
      </c>
      <c r="BG1" s="1">
        <v>9</v>
      </c>
      <c r="BH1" s="1">
        <v>17</v>
      </c>
      <c r="BI1" s="1">
        <v>23</v>
      </c>
      <c r="BJ1" s="1">
        <v>29</v>
      </c>
      <c r="BK1" s="1">
        <v>1</v>
      </c>
      <c r="BL1" s="1">
        <v>2</v>
      </c>
      <c r="BM1" s="1">
        <v>9</v>
      </c>
      <c r="BN1" s="1">
        <v>17</v>
      </c>
      <c r="BO1" s="1">
        <v>23</v>
      </c>
      <c r="BP1" s="1">
        <v>29</v>
      </c>
      <c r="BQ1" s="1" t="s">
        <v>4200</v>
      </c>
      <c r="BR1" s="1" t="s">
        <v>4201</v>
      </c>
      <c r="BS1" s="1">
        <v>0</v>
      </c>
      <c r="BT1">
        <v>1</v>
      </c>
      <c r="BU1">
        <v>2</v>
      </c>
      <c r="BV1">
        <v>3</v>
      </c>
      <c r="BW1">
        <v>4</v>
      </c>
      <c r="BX1">
        <v>5</v>
      </c>
      <c r="BY1">
        <v>6</v>
      </c>
      <c r="BZ1">
        <v>7</v>
      </c>
      <c r="CA1">
        <v>8</v>
      </c>
      <c r="CB1">
        <v>9</v>
      </c>
      <c r="CC1">
        <v>10</v>
      </c>
      <c r="CD1">
        <v>11</v>
      </c>
      <c r="CE1">
        <v>12</v>
      </c>
      <c r="CF1">
        <v>13</v>
      </c>
      <c r="CG1">
        <v>14</v>
      </c>
      <c r="CH1">
        <v>15</v>
      </c>
      <c r="CI1">
        <v>16</v>
      </c>
      <c r="CJ1">
        <v>17</v>
      </c>
      <c r="CK1">
        <v>18</v>
      </c>
      <c r="CL1">
        <v>19</v>
      </c>
      <c r="CM1">
        <v>20</v>
      </c>
      <c r="CN1">
        <v>21</v>
      </c>
      <c r="CO1">
        <v>22</v>
      </c>
      <c r="CP1">
        <v>23</v>
      </c>
      <c r="CQ1">
        <v>24</v>
      </c>
      <c r="CR1">
        <v>25</v>
      </c>
      <c r="CS1">
        <v>26</v>
      </c>
      <c r="CT1">
        <v>27</v>
      </c>
      <c r="CU1">
        <v>28</v>
      </c>
      <c r="CV1">
        <v>29</v>
      </c>
      <c r="CW1">
        <v>30</v>
      </c>
      <c r="CX1">
        <v>31</v>
      </c>
      <c r="CY1">
        <v>32</v>
      </c>
      <c r="CZ1">
        <v>33</v>
      </c>
      <c r="DA1">
        <v>34</v>
      </c>
      <c r="DB1">
        <v>35</v>
      </c>
      <c r="DC1">
        <v>36</v>
      </c>
      <c r="DD1">
        <v>37</v>
      </c>
      <c r="DE1">
        <v>38</v>
      </c>
      <c r="DF1">
        <v>39</v>
      </c>
      <c r="DG1">
        <v>40</v>
      </c>
      <c r="DH1">
        <v>41</v>
      </c>
      <c r="DI1">
        <v>42</v>
      </c>
      <c r="DJ1">
        <v>43</v>
      </c>
      <c r="DK1">
        <v>44</v>
      </c>
      <c r="DL1">
        <v>45</v>
      </c>
      <c r="DM1">
        <v>46</v>
      </c>
      <c r="DN1">
        <v>47</v>
      </c>
      <c r="DO1">
        <v>48</v>
      </c>
      <c r="DP1">
        <v>49</v>
      </c>
      <c r="DQ1">
        <v>50</v>
      </c>
      <c r="DR1">
        <v>51</v>
      </c>
      <c r="DS1">
        <v>52</v>
      </c>
      <c r="DT1">
        <v>53</v>
      </c>
      <c r="DU1">
        <v>54</v>
      </c>
      <c r="DV1">
        <v>55</v>
      </c>
      <c r="DW1">
        <v>56</v>
      </c>
      <c r="DX1">
        <v>57</v>
      </c>
      <c r="DY1">
        <v>58</v>
      </c>
      <c r="DZ1">
        <v>59</v>
      </c>
      <c r="EA1">
        <v>60</v>
      </c>
      <c r="EB1">
        <v>61</v>
      </c>
      <c r="EC1">
        <v>62</v>
      </c>
      <c r="ED1">
        <v>63</v>
      </c>
      <c r="EE1">
        <v>64</v>
      </c>
      <c r="EF1">
        <v>65</v>
      </c>
      <c r="EG1">
        <v>66</v>
      </c>
      <c r="EH1">
        <v>67</v>
      </c>
      <c r="EI1">
        <v>68</v>
      </c>
      <c r="EJ1">
        <v>69</v>
      </c>
      <c r="EK1">
        <v>70</v>
      </c>
      <c r="EL1">
        <v>71</v>
      </c>
      <c r="EM1">
        <v>72</v>
      </c>
      <c r="EN1">
        <v>73</v>
      </c>
      <c r="EO1">
        <v>74</v>
      </c>
      <c r="EP1">
        <v>75</v>
      </c>
      <c r="EQ1">
        <v>76</v>
      </c>
      <c r="ER1">
        <v>77</v>
      </c>
      <c r="ES1">
        <v>78</v>
      </c>
      <c r="ET1">
        <v>79</v>
      </c>
      <c r="EU1">
        <v>80</v>
      </c>
      <c r="EV1">
        <v>81</v>
      </c>
      <c r="EW1">
        <v>82</v>
      </c>
      <c r="EX1">
        <v>83</v>
      </c>
      <c r="EY1">
        <v>84</v>
      </c>
      <c r="EZ1">
        <v>85</v>
      </c>
      <c r="FA1">
        <v>86</v>
      </c>
      <c r="FB1">
        <v>87</v>
      </c>
      <c r="FC1">
        <v>88</v>
      </c>
      <c r="FD1">
        <v>89</v>
      </c>
      <c r="FE1">
        <v>90</v>
      </c>
      <c r="FF1">
        <v>91</v>
      </c>
      <c r="FG1">
        <v>92</v>
      </c>
      <c r="FH1">
        <v>93</v>
      </c>
      <c r="FI1">
        <v>94</v>
      </c>
      <c r="FJ1">
        <v>95</v>
      </c>
      <c r="FK1">
        <v>96</v>
      </c>
      <c r="FL1">
        <v>97</v>
      </c>
      <c r="FM1">
        <v>98</v>
      </c>
      <c r="FN1">
        <v>99</v>
      </c>
    </row>
    <row r="2" spans="4:170" x14ac:dyDescent="0.2">
      <c r="X2" s="1" t="s">
        <v>4202</v>
      </c>
      <c r="Z2" s="1" t="s">
        <v>4203</v>
      </c>
      <c r="AE2" s="1" t="s">
        <v>4204</v>
      </c>
      <c r="AF2" s="2" t="s">
        <v>4205</v>
      </c>
      <c r="AG2" s="5" t="s">
        <v>4206</v>
      </c>
      <c r="AH2" s="6" t="s">
        <v>4207</v>
      </c>
      <c r="AI2" s="2" t="s">
        <v>4205</v>
      </c>
      <c r="AJ2" s="5" t="s">
        <v>4206</v>
      </c>
      <c r="AK2" s="6" t="s">
        <v>4207</v>
      </c>
      <c r="AL2" s="2" t="s">
        <v>4205</v>
      </c>
      <c r="AM2" s="5" t="s">
        <v>4206</v>
      </c>
      <c r="AN2" s="6" t="s">
        <v>4207</v>
      </c>
      <c r="AO2" s="2" t="s">
        <v>4205</v>
      </c>
      <c r="AP2" s="5" t="s">
        <v>4206</v>
      </c>
      <c r="AQ2" s="6" t="s">
        <v>4207</v>
      </c>
      <c r="AR2" s="2" t="s">
        <v>4205</v>
      </c>
      <c r="AS2" s="5" t="s">
        <v>4206</v>
      </c>
      <c r="AT2" s="6" t="s">
        <v>4207</v>
      </c>
      <c r="AU2" s="2" t="s">
        <v>4205</v>
      </c>
      <c r="AV2" s="5" t="s">
        <v>4206</v>
      </c>
      <c r="AW2" s="6" t="s">
        <v>4207</v>
      </c>
      <c r="AX2" s="1" t="s">
        <v>4208</v>
      </c>
      <c r="AY2" s="1" t="s">
        <v>4209</v>
      </c>
      <c r="AZ2" s="1" t="s">
        <v>3748</v>
      </c>
      <c r="BA2" s="1" t="s">
        <v>4210</v>
      </c>
      <c r="BC2" s="1" t="s">
        <v>4193</v>
      </c>
      <c r="BD2">
        <v>1</v>
      </c>
      <c r="BE2">
        <v>6</v>
      </c>
      <c r="BF2">
        <v>3</v>
      </c>
      <c r="BG2">
        <v>4</v>
      </c>
      <c r="BH2">
        <v>8</v>
      </c>
      <c r="BI2">
        <v>18</v>
      </c>
      <c r="BJ2">
        <v>54</v>
      </c>
      <c r="BK2">
        <v>12</v>
      </c>
      <c r="BL2">
        <v>3</v>
      </c>
      <c r="BM2">
        <v>6</v>
      </c>
      <c r="BN2">
        <v>10</v>
      </c>
      <c r="BO2">
        <v>20</v>
      </c>
      <c r="BP2">
        <v>56</v>
      </c>
      <c r="BQ2">
        <v>16</v>
      </c>
      <c r="BR2" s="1">
        <v>16</v>
      </c>
      <c r="BS2" s="1">
        <v>0</v>
      </c>
      <c r="BT2">
        <f t="shared" ref="BT2:BT7" si="0">(BE2+BK2)/2</f>
        <v>9</v>
      </c>
      <c r="BU2">
        <f t="shared" ref="BU2:CA2" si="1">BT2+($BF2+$BL2)/2</f>
        <v>12</v>
      </c>
      <c r="BV2">
        <f t="shared" si="1"/>
        <v>15</v>
      </c>
      <c r="BW2">
        <f t="shared" si="1"/>
        <v>18</v>
      </c>
      <c r="BX2">
        <f t="shared" si="1"/>
        <v>21</v>
      </c>
      <c r="BY2">
        <f t="shared" si="1"/>
        <v>24</v>
      </c>
      <c r="BZ2">
        <f t="shared" si="1"/>
        <v>27</v>
      </c>
      <c r="CA2">
        <f t="shared" si="1"/>
        <v>30</v>
      </c>
      <c r="CB2">
        <f t="shared" ref="CB2:CJ2" si="2">CA2+($BG2+$BM2)/2</f>
        <v>35</v>
      </c>
      <c r="CC2">
        <f t="shared" si="2"/>
        <v>40</v>
      </c>
      <c r="CD2">
        <f t="shared" si="2"/>
        <v>45</v>
      </c>
      <c r="CE2">
        <f t="shared" si="2"/>
        <v>50</v>
      </c>
      <c r="CF2">
        <f t="shared" si="2"/>
        <v>55</v>
      </c>
      <c r="CG2">
        <f t="shared" si="2"/>
        <v>60</v>
      </c>
      <c r="CH2">
        <f t="shared" si="2"/>
        <v>65</v>
      </c>
      <c r="CI2">
        <f t="shared" si="2"/>
        <v>70</v>
      </c>
      <c r="CJ2">
        <f t="shared" si="2"/>
        <v>75</v>
      </c>
      <c r="CK2">
        <f>CJ2+($BH2+$BN2)/2</f>
        <v>84</v>
      </c>
      <c r="CL2">
        <f>CK2+($BH2+$BN2)/2</f>
        <v>93</v>
      </c>
      <c r="CM2">
        <f>CL2+($BH2+$BN2)/2</f>
        <v>102</v>
      </c>
      <c r="CN2">
        <f>CM2+($BH2+$BN2)/2</f>
        <v>111</v>
      </c>
      <c r="CO2">
        <f>CN2+($BH2+$BN2)/2</f>
        <v>120</v>
      </c>
      <c r="CP2">
        <f t="shared" ref="CP2:CU2" si="3">CO2+($BJ2+$BO2)/2</f>
        <v>157</v>
      </c>
      <c r="CQ2">
        <f t="shared" si="3"/>
        <v>194</v>
      </c>
      <c r="CR2">
        <f t="shared" si="3"/>
        <v>231</v>
      </c>
      <c r="CS2">
        <f t="shared" si="3"/>
        <v>268</v>
      </c>
      <c r="CT2">
        <f t="shared" si="3"/>
        <v>305</v>
      </c>
      <c r="CU2">
        <f t="shared" si="3"/>
        <v>342</v>
      </c>
      <c r="CV2">
        <f t="shared" ref="CV2:CV8" si="4">CU2+($BK2+$BP2)/2</f>
        <v>376</v>
      </c>
      <c r="CW2">
        <f t="shared" ref="CW2:FH2" si="5">CV2+($BK2+$BP2)/2</f>
        <v>410</v>
      </c>
      <c r="CX2">
        <f t="shared" si="5"/>
        <v>444</v>
      </c>
      <c r="CY2">
        <f t="shared" si="5"/>
        <v>478</v>
      </c>
      <c r="CZ2">
        <f t="shared" si="5"/>
        <v>512</v>
      </c>
      <c r="DA2">
        <f t="shared" si="5"/>
        <v>546</v>
      </c>
      <c r="DB2">
        <f t="shared" si="5"/>
        <v>580</v>
      </c>
      <c r="DC2">
        <f t="shared" si="5"/>
        <v>614</v>
      </c>
      <c r="DD2">
        <f t="shared" si="5"/>
        <v>648</v>
      </c>
      <c r="DE2">
        <f t="shared" si="5"/>
        <v>682</v>
      </c>
      <c r="DF2">
        <f t="shared" si="5"/>
        <v>716</v>
      </c>
      <c r="DG2">
        <f t="shared" si="5"/>
        <v>750</v>
      </c>
      <c r="DH2">
        <f t="shared" si="5"/>
        <v>784</v>
      </c>
      <c r="DI2">
        <f t="shared" si="5"/>
        <v>818</v>
      </c>
      <c r="DJ2">
        <f t="shared" si="5"/>
        <v>852</v>
      </c>
      <c r="DK2">
        <f t="shared" si="5"/>
        <v>886</v>
      </c>
      <c r="DL2">
        <f t="shared" si="5"/>
        <v>920</v>
      </c>
      <c r="DM2">
        <f t="shared" si="5"/>
        <v>954</v>
      </c>
      <c r="DN2">
        <f t="shared" si="5"/>
        <v>988</v>
      </c>
      <c r="DO2">
        <f t="shared" si="5"/>
        <v>1022</v>
      </c>
      <c r="DP2">
        <f t="shared" si="5"/>
        <v>1056</v>
      </c>
      <c r="DQ2">
        <f t="shared" si="5"/>
        <v>1090</v>
      </c>
      <c r="DR2">
        <f t="shared" si="5"/>
        <v>1124</v>
      </c>
      <c r="DS2">
        <f t="shared" si="5"/>
        <v>1158</v>
      </c>
      <c r="DT2">
        <f t="shared" si="5"/>
        <v>1192</v>
      </c>
      <c r="DU2">
        <f t="shared" si="5"/>
        <v>1226</v>
      </c>
      <c r="DV2">
        <f t="shared" si="5"/>
        <v>1260</v>
      </c>
      <c r="DW2">
        <f t="shared" si="5"/>
        <v>1294</v>
      </c>
      <c r="DX2">
        <f t="shared" si="5"/>
        <v>1328</v>
      </c>
      <c r="DY2">
        <f t="shared" si="5"/>
        <v>1362</v>
      </c>
      <c r="DZ2">
        <f t="shared" si="5"/>
        <v>1396</v>
      </c>
      <c r="EA2">
        <f t="shared" si="5"/>
        <v>1430</v>
      </c>
      <c r="EB2">
        <f t="shared" si="5"/>
        <v>1464</v>
      </c>
      <c r="EC2">
        <f t="shared" si="5"/>
        <v>1498</v>
      </c>
      <c r="ED2">
        <f t="shared" si="5"/>
        <v>1532</v>
      </c>
      <c r="EE2">
        <f t="shared" si="5"/>
        <v>1566</v>
      </c>
      <c r="EF2">
        <f t="shared" si="5"/>
        <v>1600</v>
      </c>
      <c r="EG2">
        <f t="shared" si="5"/>
        <v>1634</v>
      </c>
      <c r="EH2">
        <f t="shared" si="5"/>
        <v>1668</v>
      </c>
      <c r="EI2">
        <f t="shared" si="5"/>
        <v>1702</v>
      </c>
      <c r="EJ2">
        <f t="shared" si="5"/>
        <v>1736</v>
      </c>
      <c r="EK2">
        <f t="shared" si="5"/>
        <v>1770</v>
      </c>
      <c r="EL2">
        <f t="shared" si="5"/>
        <v>1804</v>
      </c>
      <c r="EM2">
        <f t="shared" si="5"/>
        <v>1838</v>
      </c>
      <c r="EN2">
        <f t="shared" si="5"/>
        <v>1872</v>
      </c>
      <c r="EO2">
        <f t="shared" si="5"/>
        <v>1906</v>
      </c>
      <c r="EP2">
        <f t="shared" si="5"/>
        <v>1940</v>
      </c>
      <c r="EQ2">
        <f t="shared" si="5"/>
        <v>1974</v>
      </c>
      <c r="ER2">
        <f t="shared" si="5"/>
        <v>2008</v>
      </c>
      <c r="ES2">
        <f t="shared" si="5"/>
        <v>2042</v>
      </c>
      <c r="ET2">
        <f t="shared" si="5"/>
        <v>2076</v>
      </c>
      <c r="EU2">
        <f t="shared" si="5"/>
        <v>2110</v>
      </c>
      <c r="EV2">
        <f t="shared" si="5"/>
        <v>2144</v>
      </c>
      <c r="EW2">
        <f t="shared" si="5"/>
        <v>2178</v>
      </c>
      <c r="EX2">
        <f t="shared" si="5"/>
        <v>2212</v>
      </c>
      <c r="EY2">
        <f t="shared" si="5"/>
        <v>2246</v>
      </c>
      <c r="EZ2">
        <f t="shared" si="5"/>
        <v>2280</v>
      </c>
      <c r="FA2">
        <f t="shared" si="5"/>
        <v>2314</v>
      </c>
      <c r="FB2">
        <f t="shared" si="5"/>
        <v>2348</v>
      </c>
      <c r="FC2">
        <f t="shared" si="5"/>
        <v>2382</v>
      </c>
      <c r="FD2">
        <f t="shared" si="5"/>
        <v>2416</v>
      </c>
      <c r="FE2">
        <f t="shared" si="5"/>
        <v>2450</v>
      </c>
      <c r="FF2">
        <f t="shared" si="5"/>
        <v>2484</v>
      </c>
      <c r="FG2">
        <f t="shared" si="5"/>
        <v>2518</v>
      </c>
      <c r="FH2">
        <f t="shared" si="5"/>
        <v>2552</v>
      </c>
      <c r="FI2">
        <f t="shared" ref="FI2:FN2" si="6">FH2+($BK2+$BP2)/2</f>
        <v>2586</v>
      </c>
      <c r="FJ2">
        <f t="shared" si="6"/>
        <v>2620</v>
      </c>
      <c r="FK2">
        <f t="shared" si="6"/>
        <v>2654</v>
      </c>
      <c r="FL2">
        <f t="shared" si="6"/>
        <v>2688</v>
      </c>
      <c r="FM2">
        <f t="shared" si="6"/>
        <v>2722</v>
      </c>
      <c r="FN2">
        <f t="shared" si="6"/>
        <v>2756</v>
      </c>
    </row>
    <row r="3" spans="4:170" x14ac:dyDescent="0.2">
      <c r="E3" s="1" t="s">
        <v>4211</v>
      </c>
      <c r="I3" s="1" t="s">
        <v>4212</v>
      </c>
      <c r="N3" s="1" t="s">
        <v>4212</v>
      </c>
      <c r="Q3" s="1" t="s">
        <v>4211</v>
      </c>
      <c r="T3" s="1" t="s">
        <v>4213</v>
      </c>
      <c r="W3">
        <v>1</v>
      </c>
      <c r="Z3">
        <v>10</v>
      </c>
      <c r="AA3">
        <v>20</v>
      </c>
      <c r="AB3">
        <f>(Z4-Z3)/(W4-W3)</f>
        <v>2.75</v>
      </c>
      <c r="AD3">
        <v>1</v>
      </c>
      <c r="AE3">
        <v>0</v>
      </c>
      <c r="AF3">
        <f>MAX(MIN(MIN(($AD3-INT(VLOOKUP(AF$1,$BC:$BD,2,0))+1),20),$AE3),0)+IF(MAX(MIN(MIN(($AD3-INT(VLOOKUP(AF$1,$BC:$BD,2,0))+1),20),$AE3),0)&gt;0,$AX3,0)+1</f>
        <v>1</v>
      </c>
      <c r="AG3">
        <f>MIN(MAX(MIN(($AE3-AF3),$AD3-30),0),20)+$AX3</f>
        <v>0</v>
      </c>
      <c r="AH3">
        <f>HLOOKUP(AF3,$BS:$FN,2,0)*(1+HLOOKUP(AG3,$BS:$FN,8,0)/100)*(1+MIN(MAX(($AE3-AF3-AG3),0),20)*$BQ$2/100)*(1+MIN(MAX(($AE3-AF3-AG3-20),0),20)*$BR$2/100)</f>
        <v>9</v>
      </c>
      <c r="AI3">
        <f>MAX(MIN(MIN(($AD3-INT(VLOOKUP(AI$1,$BC:$BD,2,0))+1),20),$AE3),0)+IF(MAX(MIN(MIN(($AD3-INT(VLOOKUP(AI$1,$BC:$BD,2,0))+1),20),$AE3),0)&gt;0,$AX3,0)</f>
        <v>0</v>
      </c>
      <c r="AJ3">
        <f>MIN(MAX(MIN(($AE3-AI3),$AD3-30),0),20)+$AX3</f>
        <v>0</v>
      </c>
      <c r="AK3">
        <f>HLOOKUP(AI3,$BS:$FN,3,0)*(1+HLOOKUP(AJ3,$BS:$FN,8,0)/100)*(1+MIN(MAX(($AE3-AI3-AJ3),0),20)*$BQ$3/100)*(1+MIN(MAX(($AE3-AI3-AJ3-20),0),20)*$BR$3/100)</f>
        <v>0</v>
      </c>
      <c r="AL3">
        <f>MAX(MIN(MIN(($AD3-INT(VLOOKUP(AL$1,$BC:$BD,2,0))+1),20),$AE3),0)+IF(MAX(MIN(MIN(($AD3-INT(VLOOKUP(AL$1,$BC:$BD,2,0))+1),20),$AE3),0)&gt;0,$AX3,0)</f>
        <v>0</v>
      </c>
      <c r="AM3">
        <f>MIN(MAX(MIN(($AE3-AL3),$AD3-30),0),20)+$AX3</f>
        <v>0</v>
      </c>
      <c r="AN3">
        <f>HLOOKUP(AL3,$BS:$FN,4,0)*(1+HLOOKUP(AM3,$BS:$FN,8,0)/100)*(1+MIN(MAX(($AE3-AL3-AM3),0),20)*$BQ$4/100)*(1+MIN(MAX(($AE3-AL3-AM3-20),0),20)*$BR$4/100)</f>
        <v>0</v>
      </c>
      <c r="AO3">
        <f>MAX(MIN(MIN(($AD3-INT(VLOOKUP(AO$1,$BC:$BD,2,0))+1),20),$AE3),0)+IF(MAX(MIN(MIN(($AD3-INT(VLOOKUP(AO$1,$BC:$BD,2,0))+1),20),$AE3),0)&gt;0,$AX3,0)</f>
        <v>0</v>
      </c>
      <c r="AP3">
        <f>MIN(MAX(MIN(($AE3-AO3),$AD3-30),0),20)+$AX3</f>
        <v>0</v>
      </c>
      <c r="AQ3">
        <f>HLOOKUP(AO3,$BS:$FN,5,0)*(1+HLOOKUP(AP3,$BS:$FN,8,0)/100)*(1+MIN(MAX(($AE3-AO3-AP3),0),20)*$BQ$5/100)*(1+MIN(MAX(($AE3-AO3-AP3-20),0),20)*$BR$5/100)</f>
        <v>0</v>
      </c>
      <c r="AR3">
        <f>MAX(MIN(MIN(($AD3-INT(VLOOKUP(AR$1,$BC:$BD,2,0))+1),20),$AE3),0)+IF(MAX(MIN(MIN(($AD3-INT(VLOOKUP(AR$1,$BC:$BD,2,0))+1),20),$AE3),0)&gt;0,$AX3,0)</f>
        <v>0</v>
      </c>
      <c r="AS3">
        <f>MIN(MAX(MIN(($AE3-AR3),$AD3-30),0),20)+$AX3</f>
        <v>0</v>
      </c>
      <c r="AT3">
        <f>HLOOKUP(AR3,$BS:$FN,6,0)*(1+HLOOKUP(AS3,$BS:$FN,8,0)/100)*(1+MIN(MAX(($AE3-AR3-AS3),0),20)*$BQ$6/100)*(1+MIN(MAX(($AE3-AR3-AS3-20),0),20)*$BR$6/100)</f>
        <v>0</v>
      </c>
      <c r="AU3">
        <f>MAX(MIN(MIN(($AD3-INT(VLOOKUP(AU$1,$BC:$BD,2,0))+1),20),$AE3),0)+IF(MAX(MIN(MIN(($AD3-INT(VLOOKUP(AU$1,$BC:$BD,2,0))+1),20),$AE3),0)&gt;0,$AX3,0)</f>
        <v>0</v>
      </c>
      <c r="AV3">
        <f>MIN(MAX(MIN(($AE3-AU3),$AD3-30),0),20)+$AX3</f>
        <v>0</v>
      </c>
      <c r="AW3">
        <f>(HLOOKUP(AU3,$BS:$FN,6,0)*(1+HLOOKUP(AV3,$BS:$FN,8,0)/100)*(1+MIN(MAX(($AE3-AU3-AV3),0),20)*$BQ$6/100)*(1+MIN(MAX(($AE3-AU3-AV3-20),0),20)*$BR$6/100))*6</f>
        <v>0</v>
      </c>
      <c r="AX3">
        <v>0</v>
      </c>
      <c r="AY3" s="7">
        <f>MAX(AH3,AK3,AN3,AQ3,AT3,AW3)</f>
        <v>9</v>
      </c>
      <c r="AZ3" t="str">
        <f>IF(MATCH(AY3,AD3:AW3,0)=5,"火球术Lv",IF(MATCH(AY3,AD3:AW3,0)=8,"火焰弹Lv",IF(MATCH(AY3,AD3:AW3,0)=11,"炼狱之火Lv",IF(MATCH(AY3,AD3:AW3,0)=14,"火墙Lv",IF(MATCH(AY3,AD3:AW3,0)=17,"陨石术Lv",IF(MATCH(AY3,AD3:AW3,0)=20,"火蛇Lv"))))))&amp;VLOOKUP(AD3,AD3:AW3,MATCH(AY3,AD3:AW3,0)-2,0)</f>
        <v>火球术Lv1</v>
      </c>
      <c r="BA3">
        <v>0</v>
      </c>
      <c r="BC3" s="1" t="s">
        <v>4194</v>
      </c>
      <c r="BD3">
        <v>6</v>
      </c>
      <c r="BE3">
        <v>12</v>
      </c>
      <c r="BF3">
        <v>13</v>
      </c>
      <c r="BG3">
        <v>13</v>
      </c>
      <c r="BH3">
        <v>28</v>
      </c>
      <c r="BI3">
        <v>33</v>
      </c>
      <c r="BJ3">
        <v>38</v>
      </c>
      <c r="BK3">
        <v>28</v>
      </c>
      <c r="BL3">
        <v>15</v>
      </c>
      <c r="BM3">
        <v>25</v>
      </c>
      <c r="BN3">
        <v>30</v>
      </c>
      <c r="BO3">
        <v>35</v>
      </c>
      <c r="BP3">
        <v>40</v>
      </c>
      <c r="BQ3">
        <v>14</v>
      </c>
      <c r="BR3">
        <v>14</v>
      </c>
      <c r="BS3" s="1">
        <v>0</v>
      </c>
      <c r="BT3">
        <f t="shared" si="0"/>
        <v>20</v>
      </c>
      <c r="BU3">
        <f t="shared" ref="BU3:CA3" si="7">BT3+($BF3+$BL3)/2</f>
        <v>34</v>
      </c>
      <c r="BV3">
        <f t="shared" si="7"/>
        <v>48</v>
      </c>
      <c r="BW3">
        <f t="shared" si="7"/>
        <v>62</v>
      </c>
      <c r="BX3">
        <f t="shared" si="7"/>
        <v>76</v>
      </c>
      <c r="BY3">
        <f t="shared" si="7"/>
        <v>90</v>
      </c>
      <c r="BZ3">
        <f t="shared" si="7"/>
        <v>104</v>
      </c>
      <c r="CA3">
        <f t="shared" si="7"/>
        <v>118</v>
      </c>
      <c r="CB3">
        <f t="shared" ref="CB3:CJ3" si="8">CA3+($BG3+$BM3)/2</f>
        <v>137</v>
      </c>
      <c r="CC3">
        <f t="shared" si="8"/>
        <v>156</v>
      </c>
      <c r="CD3">
        <f t="shared" si="8"/>
        <v>175</v>
      </c>
      <c r="CE3">
        <f t="shared" si="8"/>
        <v>194</v>
      </c>
      <c r="CF3">
        <f t="shared" si="8"/>
        <v>213</v>
      </c>
      <c r="CG3">
        <f t="shared" si="8"/>
        <v>232</v>
      </c>
      <c r="CH3">
        <f t="shared" si="8"/>
        <v>251</v>
      </c>
      <c r="CI3">
        <f t="shared" si="8"/>
        <v>270</v>
      </c>
      <c r="CJ3">
        <f t="shared" si="8"/>
        <v>289</v>
      </c>
      <c r="CK3">
        <f t="shared" ref="CK3:CO8" si="9">CJ3+($BH3+$BN3)/2</f>
        <v>318</v>
      </c>
      <c r="CL3">
        <f t="shared" si="9"/>
        <v>347</v>
      </c>
      <c r="CM3">
        <f t="shared" si="9"/>
        <v>376</v>
      </c>
      <c r="CN3">
        <f t="shared" si="9"/>
        <v>405</v>
      </c>
      <c r="CO3">
        <f t="shared" si="9"/>
        <v>434</v>
      </c>
      <c r="CP3">
        <f t="shared" ref="CP3:CU3" si="10">CO3+($BJ3+$BO3)/2</f>
        <v>470.5</v>
      </c>
      <c r="CQ3">
        <f t="shared" si="10"/>
        <v>507</v>
      </c>
      <c r="CR3">
        <f t="shared" si="10"/>
        <v>543.5</v>
      </c>
      <c r="CS3">
        <f t="shared" si="10"/>
        <v>580</v>
      </c>
      <c r="CT3">
        <f t="shared" si="10"/>
        <v>616.5</v>
      </c>
      <c r="CU3">
        <f t="shared" si="10"/>
        <v>653</v>
      </c>
      <c r="CV3">
        <f t="shared" si="4"/>
        <v>687</v>
      </c>
      <c r="CW3">
        <f t="shared" ref="CW3:FH3" si="11">CV3+($BK3+$BP3)/2</f>
        <v>721</v>
      </c>
      <c r="CX3">
        <f t="shared" si="11"/>
        <v>755</v>
      </c>
      <c r="CY3">
        <f t="shared" si="11"/>
        <v>789</v>
      </c>
      <c r="CZ3">
        <f t="shared" si="11"/>
        <v>823</v>
      </c>
      <c r="DA3">
        <f t="shared" si="11"/>
        <v>857</v>
      </c>
      <c r="DB3">
        <f t="shared" si="11"/>
        <v>891</v>
      </c>
      <c r="DC3">
        <f t="shared" si="11"/>
        <v>925</v>
      </c>
      <c r="DD3">
        <f t="shared" si="11"/>
        <v>959</v>
      </c>
      <c r="DE3">
        <f t="shared" si="11"/>
        <v>993</v>
      </c>
      <c r="DF3">
        <f t="shared" si="11"/>
        <v>1027</v>
      </c>
      <c r="DG3">
        <f t="shared" si="11"/>
        <v>1061</v>
      </c>
      <c r="DH3">
        <f t="shared" si="11"/>
        <v>1095</v>
      </c>
      <c r="DI3">
        <f t="shared" si="11"/>
        <v>1129</v>
      </c>
      <c r="DJ3">
        <f t="shared" si="11"/>
        <v>1163</v>
      </c>
      <c r="DK3">
        <f t="shared" si="11"/>
        <v>1197</v>
      </c>
      <c r="DL3">
        <f t="shared" si="11"/>
        <v>1231</v>
      </c>
      <c r="DM3">
        <f t="shared" si="11"/>
        <v>1265</v>
      </c>
      <c r="DN3">
        <f t="shared" si="11"/>
        <v>1299</v>
      </c>
      <c r="DO3">
        <f t="shared" si="11"/>
        <v>1333</v>
      </c>
      <c r="DP3">
        <f t="shared" si="11"/>
        <v>1367</v>
      </c>
      <c r="DQ3">
        <f t="shared" si="11"/>
        <v>1401</v>
      </c>
      <c r="DR3">
        <f t="shared" si="11"/>
        <v>1435</v>
      </c>
      <c r="DS3">
        <f t="shared" si="11"/>
        <v>1469</v>
      </c>
      <c r="DT3">
        <f t="shared" si="11"/>
        <v>1503</v>
      </c>
      <c r="DU3">
        <f t="shared" si="11"/>
        <v>1537</v>
      </c>
      <c r="DV3">
        <f t="shared" si="11"/>
        <v>1571</v>
      </c>
      <c r="DW3">
        <f t="shared" si="11"/>
        <v>1605</v>
      </c>
      <c r="DX3">
        <f t="shared" si="11"/>
        <v>1639</v>
      </c>
      <c r="DY3">
        <f t="shared" si="11"/>
        <v>1673</v>
      </c>
      <c r="DZ3">
        <f t="shared" si="11"/>
        <v>1707</v>
      </c>
      <c r="EA3">
        <f t="shared" si="11"/>
        <v>1741</v>
      </c>
      <c r="EB3">
        <f t="shared" si="11"/>
        <v>1775</v>
      </c>
      <c r="EC3">
        <f t="shared" si="11"/>
        <v>1809</v>
      </c>
      <c r="ED3">
        <f t="shared" si="11"/>
        <v>1843</v>
      </c>
      <c r="EE3">
        <f t="shared" si="11"/>
        <v>1877</v>
      </c>
      <c r="EF3">
        <f t="shared" si="11"/>
        <v>1911</v>
      </c>
      <c r="EG3">
        <f t="shared" si="11"/>
        <v>1945</v>
      </c>
      <c r="EH3">
        <f t="shared" si="11"/>
        <v>1979</v>
      </c>
      <c r="EI3">
        <f t="shared" si="11"/>
        <v>2013</v>
      </c>
      <c r="EJ3">
        <f t="shared" si="11"/>
        <v>2047</v>
      </c>
      <c r="EK3">
        <f t="shared" si="11"/>
        <v>2081</v>
      </c>
      <c r="EL3">
        <f t="shared" si="11"/>
        <v>2115</v>
      </c>
      <c r="EM3">
        <f t="shared" si="11"/>
        <v>2149</v>
      </c>
      <c r="EN3">
        <f t="shared" si="11"/>
        <v>2183</v>
      </c>
      <c r="EO3">
        <f t="shared" si="11"/>
        <v>2217</v>
      </c>
      <c r="EP3">
        <f t="shared" si="11"/>
        <v>2251</v>
      </c>
      <c r="EQ3">
        <f t="shared" si="11"/>
        <v>2285</v>
      </c>
      <c r="ER3">
        <f t="shared" si="11"/>
        <v>2319</v>
      </c>
      <c r="ES3">
        <f t="shared" si="11"/>
        <v>2353</v>
      </c>
      <c r="ET3">
        <f t="shared" si="11"/>
        <v>2387</v>
      </c>
      <c r="EU3">
        <f t="shared" si="11"/>
        <v>2421</v>
      </c>
      <c r="EV3">
        <f t="shared" si="11"/>
        <v>2455</v>
      </c>
      <c r="EW3">
        <f t="shared" si="11"/>
        <v>2489</v>
      </c>
      <c r="EX3">
        <f t="shared" si="11"/>
        <v>2523</v>
      </c>
      <c r="EY3">
        <f t="shared" si="11"/>
        <v>2557</v>
      </c>
      <c r="EZ3">
        <f t="shared" si="11"/>
        <v>2591</v>
      </c>
      <c r="FA3">
        <f t="shared" si="11"/>
        <v>2625</v>
      </c>
      <c r="FB3">
        <f t="shared" si="11"/>
        <v>2659</v>
      </c>
      <c r="FC3">
        <f t="shared" si="11"/>
        <v>2693</v>
      </c>
      <c r="FD3">
        <f t="shared" si="11"/>
        <v>2727</v>
      </c>
      <c r="FE3">
        <f t="shared" si="11"/>
        <v>2761</v>
      </c>
      <c r="FF3">
        <f t="shared" si="11"/>
        <v>2795</v>
      </c>
      <c r="FG3">
        <f t="shared" si="11"/>
        <v>2829</v>
      </c>
      <c r="FH3">
        <f t="shared" si="11"/>
        <v>2863</v>
      </c>
      <c r="FI3">
        <f t="shared" ref="FI3:FN3" si="12">FH3+($BK3+$BP3)/2</f>
        <v>2897</v>
      </c>
      <c r="FJ3">
        <f t="shared" si="12"/>
        <v>2931</v>
      </c>
      <c r="FK3">
        <f t="shared" si="12"/>
        <v>2965</v>
      </c>
      <c r="FL3">
        <f t="shared" si="12"/>
        <v>2999</v>
      </c>
      <c r="FM3">
        <f t="shared" si="12"/>
        <v>3033</v>
      </c>
      <c r="FN3">
        <f t="shared" si="12"/>
        <v>3067</v>
      </c>
    </row>
    <row r="4" spans="4:170" x14ac:dyDescent="0.2">
      <c r="D4">
        <v>1</v>
      </c>
      <c r="E4">
        <v>9.9</v>
      </c>
      <c r="F4">
        <f t="shared" ref="F4:F18" si="13">(E5-E4)/(D5-D4)</f>
        <v>1.0249999999999999</v>
      </c>
      <c r="H4">
        <v>1</v>
      </c>
      <c r="I4">
        <v>6.75</v>
      </c>
      <c r="J4">
        <f>(I5-I4)/(H5-H4)</f>
        <v>0.39500000000000002</v>
      </c>
      <c r="L4">
        <v>1</v>
      </c>
      <c r="M4">
        <f>IFERROR(VLOOKUP(L4,$H:$I,2,0),1)</f>
        <v>6.75</v>
      </c>
      <c r="N4">
        <f>ROUND(M4,2)</f>
        <v>6.75</v>
      </c>
      <c r="P4">
        <v>9.9</v>
      </c>
      <c r="Q4">
        <f>ROUND(P4,2)</f>
        <v>9.9</v>
      </c>
      <c r="S4">
        <v>1</v>
      </c>
      <c r="T4">
        <f>ROUND(IFERROR(VLOOKUP(S4,$W:$AB,4,0),VLOOKUP(S4,$W:$AB,6,1)+T3),2)</f>
        <v>10</v>
      </c>
      <c r="W4">
        <v>5</v>
      </c>
      <c r="Z4">
        <v>21</v>
      </c>
      <c r="AA4">
        <v>30</v>
      </c>
      <c r="AB4">
        <f t="shared" ref="AB4:AB11" si="14">(Z5-Z4)/(W5-W4)</f>
        <v>3.3333333333333335</v>
      </c>
      <c r="AD4">
        <v>2</v>
      </c>
      <c r="AE4" s="3">
        <v>2</v>
      </c>
      <c r="AF4">
        <f>MAX(MIN(MIN(($AD4-INT(VLOOKUP(AF$1,$BC:$BD,2,0))+1),20),$AE4),0)+IF(MAX(MIN(MIN(($AD4-INT(VLOOKUP(AF$1,$BC:$BD,2,0))+1),20),$AE4),0)&gt;0,$AX4,0)</f>
        <v>2</v>
      </c>
      <c r="AG4">
        <f t="shared" ref="AG4:AG67" si="15">MIN(MAX(MIN(($AE4-AF4),$AD4-30),0),20)+$AX4</f>
        <v>0</v>
      </c>
      <c r="AH4">
        <f t="shared" ref="AH4:AH67" si="16">HLOOKUP(AF4,$BS:$FN,2,0)*(1+HLOOKUP(AG4,$BS:$FN,8,0)/100)*(1+MIN(MAX(($AE4-AF4-AG4),0),20)*$BQ$2/100)*(1+MIN(MAX(($AE4-AF4-AG4-20),0),20)*$BR$2/100)</f>
        <v>12</v>
      </c>
      <c r="AI4">
        <f t="shared" ref="AI4:AI67" si="17">MAX(MIN(MIN(($AD4-INT(VLOOKUP(AI$1,$BC:$BD,2,0))+1),20),$AE4),0)+IF(MAX(MIN(MIN(($AD4-INT(VLOOKUP(AI$1,$BC:$BD,2,0))+1),20),$AE4),0)&gt;0,$AX4,0)</f>
        <v>0</v>
      </c>
      <c r="AJ4">
        <f t="shared" ref="AJ4:AJ67" si="18">MIN(MAX(MIN(($AE4-AI4),$AD4-30),0),20)+$AX4</f>
        <v>0</v>
      </c>
      <c r="AK4">
        <f t="shared" ref="AK4:AK67" si="19">HLOOKUP(AI4,$BS:$FN,3,0)*(1+HLOOKUP(AJ4,$BS:$FN,8,0)/100)*(1+MIN(MAX(($AE4-AI4-AJ4),0),20)*$BQ$3/100)*(1+MIN(MAX(($AE4-AI4-AJ4-20),0),20)*$BR$3/100)</f>
        <v>0</v>
      </c>
      <c r="AL4">
        <f t="shared" ref="AL4:AL67" si="20">MAX(MIN(MIN(($AD4-INT(VLOOKUP(AL$1,$BC:$BD,2,0))+1),20),$AE4),0)+IF(MAX(MIN(MIN(($AD4-INT(VLOOKUP(AL$1,$BC:$BD,2,0))+1),20),$AE4),0)&gt;0,$AX4,0)</f>
        <v>0</v>
      </c>
      <c r="AM4">
        <f t="shared" ref="AM4:AM67" si="21">MIN(MAX(MIN(($AE4-AL4),$AD4-30),0),20)+$AX4</f>
        <v>0</v>
      </c>
      <c r="AN4">
        <f t="shared" ref="AN4:AN67" si="22">HLOOKUP(AL4,$BS:$FN,4,0)*(1+HLOOKUP(AM4,$BS:$FN,8,0)/100)*(1+MIN(MAX(($AE4-AL4-AM4),0),20)*$BQ$4/100)*(1+MIN(MAX(($AE4-AL4-AM4-20),0),20)*$BR$4/100)</f>
        <v>0</v>
      </c>
      <c r="AO4">
        <f t="shared" ref="AO4:AO67" si="23">MAX(MIN(MIN(($AD4-INT(VLOOKUP(AO$1,$BC:$BD,2,0))+1),20),$AE4),0)+IF(MAX(MIN(MIN(($AD4-INT(VLOOKUP(AO$1,$BC:$BD,2,0))+1),20),$AE4),0)&gt;0,$AX4,0)</f>
        <v>0</v>
      </c>
      <c r="AP4">
        <f t="shared" ref="AP4:AP67" si="24">MIN(MAX(MIN(($AE4-AO4),$AD4-30),0),20)+$AX4</f>
        <v>0</v>
      </c>
      <c r="AQ4">
        <f t="shared" ref="AQ4:AQ67" si="25">HLOOKUP(AO4,$BS:$FN,5,0)*(1+HLOOKUP(AP4,$BS:$FN,8,0)/100)*(1+MIN(MAX(($AE4-AO4-AP4),0),20)*$BQ$5/100)*(1+MIN(MAX(($AE4-AO4-AP4-20),0),20)*$BR$5/100)</f>
        <v>0</v>
      </c>
      <c r="AR4">
        <f t="shared" ref="AR4:AR67" si="26">MAX(MIN(MIN(($AD4-INT(VLOOKUP(AR$1,$BC:$BD,2,0))+1),20),$AE4),0)+IF(MAX(MIN(MIN(($AD4-INT(VLOOKUP(AR$1,$BC:$BD,2,0))+1),20),$AE4),0)&gt;0,$AX4,0)</f>
        <v>0</v>
      </c>
      <c r="AS4">
        <f t="shared" ref="AS4:AS67" si="27">MIN(MAX(MIN(($AE4-AR4),$AD4-30),0),20)+$AX4</f>
        <v>0</v>
      </c>
      <c r="AT4">
        <f t="shared" ref="AT4:AT67" si="28">HLOOKUP(AR4,$BS:$FN,6,0)*(1+HLOOKUP(AS4,$BS:$FN,8,0)/100)*(1+MIN(MAX(($AE4-AR4-AS4),0),20)*$BQ$6/100)*(1+MIN(MAX(($AE4-AR4-AS4-20),0),20)*$BR$6/100)</f>
        <v>0</v>
      </c>
      <c r="AU4">
        <f t="shared" ref="AU4:AU67" si="29">MAX(MIN(MIN(($AD4-INT(VLOOKUP(AU$1,$BC:$BD,2,0))+1),20),$AE4),0)+IF(MAX(MIN(MIN(($AD4-INT(VLOOKUP(AU$1,$BC:$BD,2,0))+1),20),$AE4),0)&gt;0,$AX4,0)</f>
        <v>0</v>
      </c>
      <c r="AV4">
        <f t="shared" ref="AV4:AV67" si="30">MIN(MAX(MIN(($AE4-AU4),$AD4-30),0),20)+$AX4</f>
        <v>0</v>
      </c>
      <c r="AW4">
        <f t="shared" ref="AW4:AW67" si="31">(HLOOKUP(AU4,$BS:$FN,6,0)*(1+HLOOKUP(AV4,$BS:$FN,8,0)/100)*(1+MIN(MAX(($AE4-AU4-AV4),0),20)*$BQ$6/100)*(1+MIN(MAX(($AE4-AU4-AV4-20),0),20)*$BR$6/100))*6</f>
        <v>0</v>
      </c>
      <c r="AX4">
        <f>AX3</f>
        <v>0</v>
      </c>
      <c r="AY4" s="7">
        <f t="shared" ref="AY4:AY67" si="32">MAX(AH4,AK4,AN4,AQ4,AT4,AW4)</f>
        <v>12</v>
      </c>
      <c r="AZ4" t="str">
        <f t="shared" ref="AZ4:AZ67" si="33">IF(MATCH(AY4,AD4:AW4,0)=5,"火球术Lv",IF(MATCH(AY4,AD4:AW4,0)=8,"火焰弹Lv",IF(MATCH(AY4,AD4:AW4,0)=11,"炼狱之火Lv",IF(MATCH(AY4,AD4:AW4,0)=14,"火墙Lv",IF(MATCH(AY4,AD4:AW4,0)=17,"陨石术Lv",IF(MATCH(AY4,AD4:AW4,0)=20,"火蛇Lv"))))))&amp;VLOOKUP(AD4,AD4:AW4,MATCH(AY4,AD4:AW4,0)-2,0)</f>
        <v>火球术Lv2</v>
      </c>
      <c r="BA4">
        <v>2</v>
      </c>
      <c r="BC4" s="1" t="s">
        <v>4195</v>
      </c>
      <c r="BD4">
        <v>6</v>
      </c>
      <c r="BE4">
        <v>32</v>
      </c>
      <c r="BF4">
        <v>24</v>
      </c>
      <c r="BG4">
        <v>26</v>
      </c>
      <c r="BH4">
        <v>28</v>
      </c>
      <c r="BI4">
        <v>32</v>
      </c>
      <c r="BJ4">
        <v>36</v>
      </c>
      <c r="BK4">
        <v>64</v>
      </c>
      <c r="BL4">
        <v>24</v>
      </c>
      <c r="BM4">
        <v>27</v>
      </c>
      <c r="BN4">
        <v>29</v>
      </c>
      <c r="BO4">
        <v>33</v>
      </c>
      <c r="BP4">
        <v>37</v>
      </c>
      <c r="BQ4">
        <v>13</v>
      </c>
      <c r="BS4" s="1">
        <v>0</v>
      </c>
      <c r="BT4">
        <f t="shared" si="0"/>
        <v>48</v>
      </c>
      <c r="BU4">
        <f t="shared" ref="BU4:CA4" si="34">BT4+($BF4+$BL4)/2</f>
        <v>72</v>
      </c>
      <c r="BV4">
        <f t="shared" si="34"/>
        <v>96</v>
      </c>
      <c r="BW4">
        <f t="shared" si="34"/>
        <v>120</v>
      </c>
      <c r="BX4">
        <f t="shared" si="34"/>
        <v>144</v>
      </c>
      <c r="BY4">
        <f t="shared" si="34"/>
        <v>168</v>
      </c>
      <c r="BZ4">
        <f t="shared" si="34"/>
        <v>192</v>
      </c>
      <c r="CA4">
        <f t="shared" si="34"/>
        <v>216</v>
      </c>
      <c r="CB4">
        <f t="shared" ref="CB4:CJ4" si="35">CA4+($BG4+$BM4)/2</f>
        <v>242.5</v>
      </c>
      <c r="CC4">
        <f t="shared" si="35"/>
        <v>269</v>
      </c>
      <c r="CD4">
        <f t="shared" si="35"/>
        <v>295.5</v>
      </c>
      <c r="CE4">
        <f t="shared" si="35"/>
        <v>322</v>
      </c>
      <c r="CF4">
        <f t="shared" si="35"/>
        <v>348.5</v>
      </c>
      <c r="CG4">
        <f t="shared" si="35"/>
        <v>375</v>
      </c>
      <c r="CH4">
        <f t="shared" si="35"/>
        <v>401.5</v>
      </c>
      <c r="CI4">
        <f t="shared" si="35"/>
        <v>428</v>
      </c>
      <c r="CJ4">
        <f t="shared" si="35"/>
        <v>454.5</v>
      </c>
      <c r="CK4">
        <f t="shared" si="9"/>
        <v>483</v>
      </c>
      <c r="CL4">
        <f t="shared" si="9"/>
        <v>511.5</v>
      </c>
      <c r="CM4">
        <f t="shared" si="9"/>
        <v>540</v>
      </c>
      <c r="CN4">
        <f t="shared" si="9"/>
        <v>568.5</v>
      </c>
      <c r="CO4">
        <f t="shared" si="9"/>
        <v>597</v>
      </c>
      <c r="CP4">
        <f t="shared" ref="CP4:CU4" si="36">CO4+($BJ4+$BO4)/2</f>
        <v>631.5</v>
      </c>
      <c r="CQ4">
        <f t="shared" si="36"/>
        <v>666</v>
      </c>
      <c r="CR4">
        <f t="shared" si="36"/>
        <v>700.5</v>
      </c>
      <c r="CS4">
        <f t="shared" si="36"/>
        <v>735</v>
      </c>
      <c r="CT4">
        <f t="shared" si="36"/>
        <v>769.5</v>
      </c>
      <c r="CU4">
        <f t="shared" si="36"/>
        <v>804</v>
      </c>
      <c r="CV4">
        <f t="shared" si="4"/>
        <v>854.5</v>
      </c>
      <c r="CW4">
        <f t="shared" ref="CW4:FH4" si="37">CV4+($BK4+$BP4)/2</f>
        <v>905</v>
      </c>
      <c r="CX4">
        <f t="shared" si="37"/>
        <v>955.5</v>
      </c>
      <c r="CY4">
        <f t="shared" si="37"/>
        <v>1006</v>
      </c>
      <c r="CZ4">
        <f t="shared" si="37"/>
        <v>1056.5</v>
      </c>
      <c r="DA4">
        <f t="shared" si="37"/>
        <v>1107</v>
      </c>
      <c r="DB4">
        <f t="shared" si="37"/>
        <v>1157.5</v>
      </c>
      <c r="DC4">
        <f t="shared" si="37"/>
        <v>1208</v>
      </c>
      <c r="DD4">
        <f t="shared" si="37"/>
        <v>1258.5</v>
      </c>
      <c r="DE4">
        <f t="shared" si="37"/>
        <v>1309</v>
      </c>
      <c r="DF4">
        <f t="shared" si="37"/>
        <v>1359.5</v>
      </c>
      <c r="DG4">
        <f t="shared" si="37"/>
        <v>1410</v>
      </c>
      <c r="DH4">
        <f t="shared" si="37"/>
        <v>1460.5</v>
      </c>
      <c r="DI4">
        <f t="shared" si="37"/>
        <v>1511</v>
      </c>
      <c r="DJ4">
        <f t="shared" si="37"/>
        <v>1561.5</v>
      </c>
      <c r="DK4">
        <f t="shared" si="37"/>
        <v>1612</v>
      </c>
      <c r="DL4">
        <f t="shared" si="37"/>
        <v>1662.5</v>
      </c>
      <c r="DM4">
        <f t="shared" si="37"/>
        <v>1713</v>
      </c>
      <c r="DN4">
        <f t="shared" si="37"/>
        <v>1763.5</v>
      </c>
      <c r="DO4">
        <f t="shared" si="37"/>
        <v>1814</v>
      </c>
      <c r="DP4">
        <f t="shared" si="37"/>
        <v>1864.5</v>
      </c>
      <c r="DQ4">
        <f t="shared" si="37"/>
        <v>1915</v>
      </c>
      <c r="DR4">
        <f t="shared" si="37"/>
        <v>1965.5</v>
      </c>
      <c r="DS4">
        <f t="shared" si="37"/>
        <v>2016</v>
      </c>
      <c r="DT4">
        <f t="shared" si="37"/>
        <v>2066.5</v>
      </c>
      <c r="DU4">
        <f t="shared" si="37"/>
        <v>2117</v>
      </c>
      <c r="DV4">
        <f t="shared" si="37"/>
        <v>2167.5</v>
      </c>
      <c r="DW4">
        <f t="shared" si="37"/>
        <v>2218</v>
      </c>
      <c r="DX4">
        <f t="shared" si="37"/>
        <v>2268.5</v>
      </c>
      <c r="DY4">
        <f t="shared" si="37"/>
        <v>2319</v>
      </c>
      <c r="DZ4">
        <f t="shared" si="37"/>
        <v>2369.5</v>
      </c>
      <c r="EA4">
        <f t="shared" si="37"/>
        <v>2420</v>
      </c>
      <c r="EB4">
        <f t="shared" si="37"/>
        <v>2470.5</v>
      </c>
      <c r="EC4">
        <f t="shared" si="37"/>
        <v>2521</v>
      </c>
      <c r="ED4">
        <f t="shared" si="37"/>
        <v>2571.5</v>
      </c>
      <c r="EE4">
        <f t="shared" si="37"/>
        <v>2622</v>
      </c>
      <c r="EF4">
        <f t="shared" si="37"/>
        <v>2672.5</v>
      </c>
      <c r="EG4">
        <f t="shared" si="37"/>
        <v>2723</v>
      </c>
      <c r="EH4">
        <f t="shared" si="37"/>
        <v>2773.5</v>
      </c>
      <c r="EI4">
        <f t="shared" si="37"/>
        <v>2824</v>
      </c>
      <c r="EJ4">
        <f t="shared" si="37"/>
        <v>2874.5</v>
      </c>
      <c r="EK4">
        <f t="shared" si="37"/>
        <v>2925</v>
      </c>
      <c r="EL4">
        <f t="shared" si="37"/>
        <v>2975.5</v>
      </c>
      <c r="EM4">
        <f t="shared" si="37"/>
        <v>3026</v>
      </c>
      <c r="EN4">
        <f t="shared" si="37"/>
        <v>3076.5</v>
      </c>
      <c r="EO4">
        <f t="shared" si="37"/>
        <v>3127</v>
      </c>
      <c r="EP4">
        <f t="shared" si="37"/>
        <v>3177.5</v>
      </c>
      <c r="EQ4">
        <f t="shared" si="37"/>
        <v>3228</v>
      </c>
      <c r="ER4">
        <f t="shared" si="37"/>
        <v>3278.5</v>
      </c>
      <c r="ES4">
        <f t="shared" si="37"/>
        <v>3329</v>
      </c>
      <c r="ET4">
        <f t="shared" si="37"/>
        <v>3379.5</v>
      </c>
      <c r="EU4">
        <f t="shared" si="37"/>
        <v>3430</v>
      </c>
      <c r="EV4">
        <f t="shared" si="37"/>
        <v>3480.5</v>
      </c>
      <c r="EW4">
        <f t="shared" si="37"/>
        <v>3531</v>
      </c>
      <c r="EX4">
        <f t="shared" si="37"/>
        <v>3581.5</v>
      </c>
      <c r="EY4">
        <f t="shared" si="37"/>
        <v>3632</v>
      </c>
      <c r="EZ4">
        <f t="shared" si="37"/>
        <v>3682.5</v>
      </c>
      <c r="FA4">
        <f t="shared" si="37"/>
        <v>3733</v>
      </c>
      <c r="FB4">
        <f t="shared" si="37"/>
        <v>3783.5</v>
      </c>
      <c r="FC4">
        <f t="shared" si="37"/>
        <v>3834</v>
      </c>
      <c r="FD4">
        <f t="shared" si="37"/>
        <v>3884.5</v>
      </c>
      <c r="FE4">
        <f t="shared" si="37"/>
        <v>3935</v>
      </c>
      <c r="FF4">
        <f t="shared" si="37"/>
        <v>3985.5</v>
      </c>
      <c r="FG4">
        <f t="shared" si="37"/>
        <v>4036</v>
      </c>
      <c r="FH4">
        <f t="shared" si="37"/>
        <v>4086.5</v>
      </c>
      <c r="FI4">
        <f t="shared" ref="FI4:FN4" si="38">FH4+($BK4+$BP4)/2</f>
        <v>4137</v>
      </c>
      <c r="FJ4">
        <f t="shared" si="38"/>
        <v>4187.5</v>
      </c>
      <c r="FK4">
        <f t="shared" si="38"/>
        <v>4238</v>
      </c>
      <c r="FL4">
        <f t="shared" si="38"/>
        <v>4288.5</v>
      </c>
      <c r="FM4">
        <f t="shared" si="38"/>
        <v>4339</v>
      </c>
      <c r="FN4">
        <f t="shared" si="38"/>
        <v>4389.5</v>
      </c>
    </row>
    <row r="5" spans="4:170" x14ac:dyDescent="0.2">
      <c r="D5">
        <v>5</v>
      </c>
      <c r="E5">
        <v>14</v>
      </c>
      <c r="F5">
        <f t="shared" si="13"/>
        <v>1.1600000000000001</v>
      </c>
      <c r="G5" s="1"/>
      <c r="H5">
        <v>5</v>
      </c>
      <c r="I5">
        <v>8.33</v>
      </c>
      <c r="J5">
        <f t="shared" ref="J5:J25" si="39">(I6-I5)/(H6-H5)</f>
        <v>0.40399999999999991</v>
      </c>
      <c r="L5">
        <v>2</v>
      </c>
      <c r="M5">
        <f>IFERROR(VLOOKUP(L5,$H:$I,2,0),VLOOKUP(L5,$H:$J,3,1)+M4)</f>
        <v>7.1449999999999996</v>
      </c>
      <c r="N5">
        <f t="shared" ref="N5:N68" si="40">ROUND(M5,2)</f>
        <v>7.15</v>
      </c>
      <c r="P5">
        <f>IFERROR(VLOOKUP(L5,D:F,2,0),VLOOKUP(L5,D:F,3,1)+P4)</f>
        <v>10.925000000000001</v>
      </c>
      <c r="Q5">
        <f t="shared" ref="Q5:Q68" si="41">ROUND(P5,2)</f>
        <v>10.93</v>
      </c>
      <c r="S5">
        <v>2</v>
      </c>
      <c r="T5">
        <f t="shared" ref="T5:T68" si="42">ROUND(IFERROR(VLOOKUP(S5,$W:$AB,4,0),VLOOKUP(S5,$W:$AB,6,1)+T4),2)</f>
        <v>12.75</v>
      </c>
      <c r="W5">
        <v>8</v>
      </c>
      <c r="Z5">
        <v>31</v>
      </c>
      <c r="AA5">
        <v>40</v>
      </c>
      <c r="AB5">
        <f t="shared" si="14"/>
        <v>1.6666666666666667</v>
      </c>
      <c r="AD5">
        <v>3</v>
      </c>
      <c r="AE5">
        <f t="shared" ref="AE5:AE68" si="43">AE4+1</f>
        <v>3</v>
      </c>
      <c r="AF5">
        <f t="shared" ref="AF5:AF68" si="44">MAX(MIN(MIN(($AD5-INT(VLOOKUP(AF$1,$BC:$BD,2,0))+1),20),$AE5),0)+IF(MAX(MIN(MIN(($AD5-INT(VLOOKUP(AF$1,$BC:$BD,2,0))+1),20),$AE5),0)&gt;0,$AX5,0)</f>
        <v>3</v>
      </c>
      <c r="AG5">
        <f t="shared" si="15"/>
        <v>0</v>
      </c>
      <c r="AH5">
        <f t="shared" si="16"/>
        <v>15</v>
      </c>
      <c r="AI5">
        <f t="shared" si="17"/>
        <v>0</v>
      </c>
      <c r="AJ5">
        <f t="shared" si="18"/>
        <v>0</v>
      </c>
      <c r="AK5">
        <f t="shared" si="19"/>
        <v>0</v>
      </c>
      <c r="AL5">
        <f t="shared" si="20"/>
        <v>0</v>
      </c>
      <c r="AM5">
        <f t="shared" si="21"/>
        <v>0</v>
      </c>
      <c r="AN5">
        <f t="shared" si="22"/>
        <v>0</v>
      </c>
      <c r="AO5">
        <f t="shared" si="23"/>
        <v>0</v>
      </c>
      <c r="AP5">
        <f t="shared" si="24"/>
        <v>0</v>
      </c>
      <c r="AQ5">
        <f t="shared" si="25"/>
        <v>0</v>
      </c>
      <c r="AR5">
        <f t="shared" si="26"/>
        <v>0</v>
      </c>
      <c r="AS5">
        <f t="shared" si="27"/>
        <v>0</v>
      </c>
      <c r="AT5">
        <f t="shared" si="28"/>
        <v>0</v>
      </c>
      <c r="AU5">
        <f t="shared" si="29"/>
        <v>0</v>
      </c>
      <c r="AV5">
        <f t="shared" si="30"/>
        <v>0</v>
      </c>
      <c r="AW5">
        <f t="shared" si="31"/>
        <v>0</v>
      </c>
      <c r="AX5">
        <f t="shared" ref="AX5:AX68" si="45">AX4</f>
        <v>0</v>
      </c>
      <c r="AY5" s="7">
        <f t="shared" si="32"/>
        <v>15</v>
      </c>
      <c r="AZ5" t="str">
        <f t="shared" si="33"/>
        <v>火球术Lv3</v>
      </c>
      <c r="BA5">
        <v>3</v>
      </c>
      <c r="BC5" s="1" t="s">
        <v>4196</v>
      </c>
      <c r="BD5">
        <v>18</v>
      </c>
      <c r="BE5">
        <v>15</v>
      </c>
      <c r="BF5">
        <v>9</v>
      </c>
      <c r="BG5">
        <v>14</v>
      </c>
      <c r="BH5">
        <v>21</v>
      </c>
      <c r="BI5">
        <v>21</v>
      </c>
      <c r="BJ5">
        <v>21</v>
      </c>
      <c r="BK5">
        <v>20</v>
      </c>
      <c r="BL5">
        <v>9</v>
      </c>
      <c r="BM5">
        <v>14</v>
      </c>
      <c r="BN5">
        <v>21</v>
      </c>
      <c r="BO5">
        <v>21</v>
      </c>
      <c r="BP5">
        <v>21</v>
      </c>
      <c r="BQ5">
        <v>4</v>
      </c>
      <c r="BR5">
        <v>1</v>
      </c>
      <c r="BS5" s="1">
        <v>0</v>
      </c>
      <c r="BT5">
        <f t="shared" si="0"/>
        <v>17.5</v>
      </c>
      <c r="BU5">
        <f t="shared" ref="BU5:CA5" si="46">BT5+($BF5+$BL5)/2</f>
        <v>26.5</v>
      </c>
      <c r="BV5">
        <f t="shared" si="46"/>
        <v>35.5</v>
      </c>
      <c r="BW5">
        <f t="shared" si="46"/>
        <v>44.5</v>
      </c>
      <c r="BX5">
        <f t="shared" si="46"/>
        <v>53.5</v>
      </c>
      <c r="BY5">
        <f t="shared" si="46"/>
        <v>62.5</v>
      </c>
      <c r="BZ5">
        <f t="shared" si="46"/>
        <v>71.5</v>
      </c>
      <c r="CA5">
        <f t="shared" si="46"/>
        <v>80.5</v>
      </c>
      <c r="CB5">
        <f t="shared" ref="CB5:CJ5" si="47">CA5+($BG5+$BM5)/2</f>
        <v>94.5</v>
      </c>
      <c r="CC5">
        <f t="shared" si="47"/>
        <v>108.5</v>
      </c>
      <c r="CD5">
        <f t="shared" si="47"/>
        <v>122.5</v>
      </c>
      <c r="CE5">
        <f t="shared" si="47"/>
        <v>136.5</v>
      </c>
      <c r="CF5">
        <f t="shared" si="47"/>
        <v>150.5</v>
      </c>
      <c r="CG5">
        <f t="shared" si="47"/>
        <v>164.5</v>
      </c>
      <c r="CH5">
        <f t="shared" si="47"/>
        <v>178.5</v>
      </c>
      <c r="CI5">
        <f t="shared" si="47"/>
        <v>192.5</v>
      </c>
      <c r="CJ5">
        <f t="shared" si="47"/>
        <v>206.5</v>
      </c>
      <c r="CK5">
        <f t="shared" si="9"/>
        <v>227.5</v>
      </c>
      <c r="CL5">
        <f t="shared" si="9"/>
        <v>248.5</v>
      </c>
      <c r="CM5">
        <f t="shared" si="9"/>
        <v>269.5</v>
      </c>
      <c r="CN5">
        <f t="shared" si="9"/>
        <v>290.5</v>
      </c>
      <c r="CO5">
        <f t="shared" si="9"/>
        <v>311.5</v>
      </c>
      <c r="CP5">
        <f t="shared" ref="CP5:CU5" si="48">CO5+($BJ5+$BO5)/2</f>
        <v>332.5</v>
      </c>
      <c r="CQ5">
        <f t="shared" si="48"/>
        <v>353.5</v>
      </c>
      <c r="CR5">
        <f t="shared" si="48"/>
        <v>374.5</v>
      </c>
      <c r="CS5">
        <f t="shared" si="48"/>
        <v>395.5</v>
      </c>
      <c r="CT5">
        <f t="shared" si="48"/>
        <v>416.5</v>
      </c>
      <c r="CU5">
        <f t="shared" si="48"/>
        <v>437.5</v>
      </c>
      <c r="CV5">
        <f t="shared" si="4"/>
        <v>458</v>
      </c>
      <c r="CW5">
        <f t="shared" ref="CW5:FH5" si="49">CV5+($BK5+$BP5)/2</f>
        <v>478.5</v>
      </c>
      <c r="CX5">
        <f t="shared" si="49"/>
        <v>499</v>
      </c>
      <c r="CY5">
        <f t="shared" si="49"/>
        <v>519.5</v>
      </c>
      <c r="CZ5">
        <f t="shared" si="49"/>
        <v>540</v>
      </c>
      <c r="DA5">
        <f t="shared" si="49"/>
        <v>560.5</v>
      </c>
      <c r="DB5">
        <f t="shared" si="49"/>
        <v>581</v>
      </c>
      <c r="DC5">
        <f t="shared" si="49"/>
        <v>601.5</v>
      </c>
      <c r="DD5">
        <f t="shared" si="49"/>
        <v>622</v>
      </c>
      <c r="DE5">
        <f t="shared" si="49"/>
        <v>642.5</v>
      </c>
      <c r="DF5">
        <f t="shared" si="49"/>
        <v>663</v>
      </c>
      <c r="DG5">
        <f t="shared" si="49"/>
        <v>683.5</v>
      </c>
      <c r="DH5">
        <f t="shared" si="49"/>
        <v>704</v>
      </c>
      <c r="DI5">
        <f t="shared" si="49"/>
        <v>724.5</v>
      </c>
      <c r="DJ5">
        <f t="shared" si="49"/>
        <v>745</v>
      </c>
      <c r="DK5">
        <f t="shared" si="49"/>
        <v>765.5</v>
      </c>
      <c r="DL5">
        <f t="shared" si="49"/>
        <v>786</v>
      </c>
      <c r="DM5">
        <f t="shared" si="49"/>
        <v>806.5</v>
      </c>
      <c r="DN5">
        <f t="shared" si="49"/>
        <v>827</v>
      </c>
      <c r="DO5">
        <f t="shared" si="49"/>
        <v>847.5</v>
      </c>
      <c r="DP5">
        <f t="shared" si="49"/>
        <v>868</v>
      </c>
      <c r="DQ5">
        <f t="shared" si="49"/>
        <v>888.5</v>
      </c>
      <c r="DR5">
        <f t="shared" si="49"/>
        <v>909</v>
      </c>
      <c r="DS5">
        <f t="shared" si="49"/>
        <v>929.5</v>
      </c>
      <c r="DT5">
        <f t="shared" si="49"/>
        <v>950</v>
      </c>
      <c r="DU5">
        <f t="shared" si="49"/>
        <v>970.5</v>
      </c>
      <c r="DV5">
        <f t="shared" si="49"/>
        <v>991</v>
      </c>
      <c r="DW5">
        <f t="shared" si="49"/>
        <v>1011.5</v>
      </c>
      <c r="DX5">
        <f t="shared" si="49"/>
        <v>1032</v>
      </c>
      <c r="DY5">
        <f t="shared" si="49"/>
        <v>1052.5</v>
      </c>
      <c r="DZ5">
        <f t="shared" si="49"/>
        <v>1073</v>
      </c>
      <c r="EA5">
        <f t="shared" si="49"/>
        <v>1093.5</v>
      </c>
      <c r="EB5">
        <f t="shared" si="49"/>
        <v>1114</v>
      </c>
      <c r="EC5">
        <f t="shared" si="49"/>
        <v>1134.5</v>
      </c>
      <c r="ED5">
        <f t="shared" si="49"/>
        <v>1155</v>
      </c>
      <c r="EE5">
        <f t="shared" si="49"/>
        <v>1175.5</v>
      </c>
      <c r="EF5">
        <f t="shared" si="49"/>
        <v>1196</v>
      </c>
      <c r="EG5">
        <f t="shared" si="49"/>
        <v>1216.5</v>
      </c>
      <c r="EH5">
        <f t="shared" si="49"/>
        <v>1237</v>
      </c>
      <c r="EI5">
        <f t="shared" si="49"/>
        <v>1257.5</v>
      </c>
      <c r="EJ5">
        <f t="shared" si="49"/>
        <v>1278</v>
      </c>
      <c r="EK5">
        <f t="shared" si="49"/>
        <v>1298.5</v>
      </c>
      <c r="EL5">
        <f t="shared" si="49"/>
        <v>1319</v>
      </c>
      <c r="EM5">
        <f t="shared" si="49"/>
        <v>1339.5</v>
      </c>
      <c r="EN5">
        <f t="shared" si="49"/>
        <v>1360</v>
      </c>
      <c r="EO5">
        <f t="shared" si="49"/>
        <v>1380.5</v>
      </c>
      <c r="EP5">
        <f t="shared" si="49"/>
        <v>1401</v>
      </c>
      <c r="EQ5">
        <f t="shared" si="49"/>
        <v>1421.5</v>
      </c>
      <c r="ER5">
        <f t="shared" si="49"/>
        <v>1442</v>
      </c>
      <c r="ES5">
        <f t="shared" si="49"/>
        <v>1462.5</v>
      </c>
      <c r="ET5">
        <f t="shared" si="49"/>
        <v>1483</v>
      </c>
      <c r="EU5">
        <f t="shared" si="49"/>
        <v>1503.5</v>
      </c>
      <c r="EV5">
        <f t="shared" si="49"/>
        <v>1524</v>
      </c>
      <c r="EW5">
        <f t="shared" si="49"/>
        <v>1544.5</v>
      </c>
      <c r="EX5">
        <f t="shared" si="49"/>
        <v>1565</v>
      </c>
      <c r="EY5">
        <f t="shared" si="49"/>
        <v>1585.5</v>
      </c>
      <c r="EZ5">
        <f t="shared" si="49"/>
        <v>1606</v>
      </c>
      <c r="FA5">
        <f t="shared" si="49"/>
        <v>1626.5</v>
      </c>
      <c r="FB5">
        <f t="shared" si="49"/>
        <v>1647</v>
      </c>
      <c r="FC5">
        <f t="shared" si="49"/>
        <v>1667.5</v>
      </c>
      <c r="FD5">
        <f t="shared" si="49"/>
        <v>1688</v>
      </c>
      <c r="FE5">
        <f t="shared" si="49"/>
        <v>1708.5</v>
      </c>
      <c r="FF5">
        <f t="shared" si="49"/>
        <v>1729</v>
      </c>
      <c r="FG5">
        <f t="shared" si="49"/>
        <v>1749.5</v>
      </c>
      <c r="FH5">
        <f t="shared" si="49"/>
        <v>1770</v>
      </c>
      <c r="FI5">
        <f t="shared" ref="FI5:FN5" si="50">FH5+($BK5+$BP5)/2</f>
        <v>1790.5</v>
      </c>
      <c r="FJ5">
        <f t="shared" si="50"/>
        <v>1811</v>
      </c>
      <c r="FK5">
        <f t="shared" si="50"/>
        <v>1831.5</v>
      </c>
      <c r="FL5">
        <f t="shared" si="50"/>
        <v>1852</v>
      </c>
      <c r="FM5">
        <f t="shared" si="50"/>
        <v>1872.5</v>
      </c>
      <c r="FN5">
        <f t="shared" si="50"/>
        <v>1893</v>
      </c>
    </row>
    <row r="6" spans="4:170" x14ac:dyDescent="0.2">
      <c r="D6">
        <v>10</v>
      </c>
      <c r="E6">
        <v>19.8</v>
      </c>
      <c r="F6">
        <f t="shared" si="13"/>
        <v>1.1699999999999995</v>
      </c>
      <c r="G6" s="1"/>
      <c r="H6">
        <v>10</v>
      </c>
      <c r="I6">
        <v>10.35</v>
      </c>
      <c r="J6">
        <f t="shared" si="39"/>
        <v>0.25</v>
      </c>
      <c r="L6">
        <v>3</v>
      </c>
      <c r="M6">
        <f t="shared" ref="M6:M69" si="51">IFERROR(VLOOKUP(L6,$H:$I,2,0),VLOOKUP(L6,$H:$J,3,1)+M5)</f>
        <v>7.5399999999999991</v>
      </c>
      <c r="N6">
        <f t="shared" si="40"/>
        <v>7.54</v>
      </c>
      <c r="O6">
        <f>M11-M4</f>
        <v>2.7919999999999998</v>
      </c>
      <c r="P6">
        <f t="shared" ref="P6:P69" si="52">IFERROR(VLOOKUP(L6,D:F,2,0),VLOOKUP(L6,D:F,3,1)+P5)</f>
        <v>11.950000000000001</v>
      </c>
      <c r="Q6">
        <f t="shared" si="41"/>
        <v>11.95</v>
      </c>
      <c r="S6">
        <v>3</v>
      </c>
      <c r="T6">
        <f t="shared" si="42"/>
        <v>15.5</v>
      </c>
      <c r="W6">
        <v>14</v>
      </c>
      <c r="Z6">
        <v>41</v>
      </c>
      <c r="AA6">
        <v>50</v>
      </c>
      <c r="AB6">
        <f t="shared" si="14"/>
        <v>1.6666666666666667</v>
      </c>
      <c r="AD6">
        <v>4</v>
      </c>
      <c r="AE6">
        <f t="shared" si="43"/>
        <v>4</v>
      </c>
      <c r="AF6">
        <f t="shared" si="44"/>
        <v>4</v>
      </c>
      <c r="AG6">
        <f t="shared" si="15"/>
        <v>0</v>
      </c>
      <c r="AH6">
        <f t="shared" si="16"/>
        <v>18</v>
      </c>
      <c r="AI6">
        <f t="shared" si="17"/>
        <v>0</v>
      </c>
      <c r="AJ6">
        <f t="shared" si="18"/>
        <v>0</v>
      </c>
      <c r="AK6">
        <f t="shared" si="19"/>
        <v>0</v>
      </c>
      <c r="AL6">
        <f t="shared" si="20"/>
        <v>0</v>
      </c>
      <c r="AM6">
        <f t="shared" si="21"/>
        <v>0</v>
      </c>
      <c r="AN6">
        <f t="shared" si="22"/>
        <v>0</v>
      </c>
      <c r="AO6">
        <f t="shared" si="23"/>
        <v>0</v>
      </c>
      <c r="AP6">
        <f t="shared" si="24"/>
        <v>0</v>
      </c>
      <c r="AQ6">
        <f t="shared" si="25"/>
        <v>0</v>
      </c>
      <c r="AR6">
        <f t="shared" si="26"/>
        <v>0</v>
      </c>
      <c r="AS6">
        <f t="shared" si="27"/>
        <v>0</v>
      </c>
      <c r="AT6">
        <f t="shared" si="28"/>
        <v>0</v>
      </c>
      <c r="AU6">
        <f t="shared" si="29"/>
        <v>0</v>
      </c>
      <c r="AV6">
        <f t="shared" si="30"/>
        <v>0</v>
      </c>
      <c r="AW6">
        <f t="shared" si="31"/>
        <v>0</v>
      </c>
      <c r="AX6">
        <f t="shared" si="45"/>
        <v>0</v>
      </c>
      <c r="AY6" s="7">
        <f t="shared" si="32"/>
        <v>18</v>
      </c>
      <c r="AZ6" t="str">
        <f t="shared" si="33"/>
        <v>火球术Lv4</v>
      </c>
      <c r="BA6">
        <v>5</v>
      </c>
      <c r="BC6" s="1" t="s">
        <v>4197</v>
      </c>
      <c r="BD6">
        <v>24</v>
      </c>
      <c r="BE6">
        <v>80</v>
      </c>
      <c r="BF6">
        <v>23</v>
      </c>
      <c r="BG6">
        <v>39</v>
      </c>
      <c r="BH6">
        <v>79</v>
      </c>
      <c r="BI6">
        <v>81</v>
      </c>
      <c r="BJ6">
        <v>83</v>
      </c>
      <c r="BK6">
        <v>100</v>
      </c>
      <c r="BL6">
        <v>25</v>
      </c>
      <c r="BM6">
        <v>41</v>
      </c>
      <c r="BN6">
        <v>81</v>
      </c>
      <c r="BO6">
        <v>83</v>
      </c>
      <c r="BP6">
        <v>85</v>
      </c>
      <c r="BQ6">
        <v>8</v>
      </c>
      <c r="BR6">
        <v>8</v>
      </c>
      <c r="BS6" s="1">
        <v>0</v>
      </c>
      <c r="BT6">
        <f t="shared" si="0"/>
        <v>90</v>
      </c>
      <c r="BU6">
        <f t="shared" ref="BU6:CA6" si="53">BT6+($BF6+$BL6)/2</f>
        <v>114</v>
      </c>
      <c r="BV6">
        <f t="shared" si="53"/>
        <v>138</v>
      </c>
      <c r="BW6">
        <f t="shared" si="53"/>
        <v>162</v>
      </c>
      <c r="BX6">
        <f t="shared" si="53"/>
        <v>186</v>
      </c>
      <c r="BY6">
        <f t="shared" si="53"/>
        <v>210</v>
      </c>
      <c r="BZ6">
        <f t="shared" si="53"/>
        <v>234</v>
      </c>
      <c r="CA6">
        <f t="shared" si="53"/>
        <v>258</v>
      </c>
      <c r="CB6">
        <f t="shared" ref="CB6:CJ6" si="54">CA6+($BG6+$BM6)/2</f>
        <v>298</v>
      </c>
      <c r="CC6">
        <f t="shared" si="54"/>
        <v>338</v>
      </c>
      <c r="CD6">
        <f t="shared" si="54"/>
        <v>378</v>
      </c>
      <c r="CE6">
        <f t="shared" si="54"/>
        <v>418</v>
      </c>
      <c r="CF6">
        <f t="shared" si="54"/>
        <v>458</v>
      </c>
      <c r="CG6">
        <f t="shared" si="54"/>
        <v>498</v>
      </c>
      <c r="CH6">
        <f t="shared" si="54"/>
        <v>538</v>
      </c>
      <c r="CI6">
        <f t="shared" si="54"/>
        <v>578</v>
      </c>
      <c r="CJ6">
        <f t="shared" si="54"/>
        <v>618</v>
      </c>
      <c r="CK6">
        <f t="shared" si="9"/>
        <v>698</v>
      </c>
      <c r="CL6">
        <f t="shared" si="9"/>
        <v>778</v>
      </c>
      <c r="CM6">
        <f t="shared" si="9"/>
        <v>858</v>
      </c>
      <c r="CN6">
        <f t="shared" si="9"/>
        <v>938</v>
      </c>
      <c r="CO6">
        <f t="shared" si="9"/>
        <v>1018</v>
      </c>
      <c r="CP6">
        <f t="shared" ref="CP6:CU6" si="55">CO6+($BJ6+$BO6)/2</f>
        <v>1101</v>
      </c>
      <c r="CQ6">
        <f t="shared" si="55"/>
        <v>1184</v>
      </c>
      <c r="CR6">
        <f t="shared" si="55"/>
        <v>1267</v>
      </c>
      <c r="CS6">
        <f t="shared" si="55"/>
        <v>1350</v>
      </c>
      <c r="CT6">
        <f t="shared" si="55"/>
        <v>1433</v>
      </c>
      <c r="CU6">
        <f t="shared" si="55"/>
        <v>1516</v>
      </c>
      <c r="CV6">
        <f t="shared" si="4"/>
        <v>1608.5</v>
      </c>
      <c r="CW6">
        <f t="shared" ref="CW6:FH6" si="56">CV6+($BK6+$BP6)/2</f>
        <v>1701</v>
      </c>
      <c r="CX6">
        <f t="shared" si="56"/>
        <v>1793.5</v>
      </c>
      <c r="CY6">
        <f t="shared" si="56"/>
        <v>1886</v>
      </c>
      <c r="CZ6">
        <f t="shared" si="56"/>
        <v>1978.5</v>
      </c>
      <c r="DA6">
        <f t="shared" si="56"/>
        <v>2071</v>
      </c>
      <c r="DB6">
        <f t="shared" si="56"/>
        <v>2163.5</v>
      </c>
      <c r="DC6">
        <f t="shared" si="56"/>
        <v>2256</v>
      </c>
      <c r="DD6">
        <f t="shared" si="56"/>
        <v>2348.5</v>
      </c>
      <c r="DE6">
        <f t="shared" si="56"/>
        <v>2441</v>
      </c>
      <c r="DF6">
        <f t="shared" si="56"/>
        <v>2533.5</v>
      </c>
      <c r="DG6">
        <f t="shared" si="56"/>
        <v>2626</v>
      </c>
      <c r="DH6">
        <f t="shared" si="56"/>
        <v>2718.5</v>
      </c>
      <c r="DI6">
        <f t="shared" si="56"/>
        <v>2811</v>
      </c>
      <c r="DJ6">
        <f t="shared" si="56"/>
        <v>2903.5</v>
      </c>
      <c r="DK6">
        <f t="shared" si="56"/>
        <v>2996</v>
      </c>
      <c r="DL6">
        <f t="shared" si="56"/>
        <v>3088.5</v>
      </c>
      <c r="DM6">
        <f t="shared" si="56"/>
        <v>3181</v>
      </c>
      <c r="DN6">
        <f t="shared" si="56"/>
        <v>3273.5</v>
      </c>
      <c r="DO6">
        <f t="shared" si="56"/>
        <v>3366</v>
      </c>
      <c r="DP6">
        <f t="shared" si="56"/>
        <v>3458.5</v>
      </c>
      <c r="DQ6">
        <f t="shared" si="56"/>
        <v>3551</v>
      </c>
      <c r="DR6">
        <f t="shared" si="56"/>
        <v>3643.5</v>
      </c>
      <c r="DS6">
        <f t="shared" si="56"/>
        <v>3736</v>
      </c>
      <c r="DT6">
        <f t="shared" si="56"/>
        <v>3828.5</v>
      </c>
      <c r="DU6">
        <f t="shared" si="56"/>
        <v>3921</v>
      </c>
      <c r="DV6">
        <f t="shared" si="56"/>
        <v>4013.5</v>
      </c>
      <c r="DW6">
        <f t="shared" si="56"/>
        <v>4106</v>
      </c>
      <c r="DX6">
        <f t="shared" si="56"/>
        <v>4198.5</v>
      </c>
      <c r="DY6">
        <f t="shared" si="56"/>
        <v>4291</v>
      </c>
      <c r="DZ6">
        <f t="shared" si="56"/>
        <v>4383.5</v>
      </c>
      <c r="EA6">
        <f t="shared" si="56"/>
        <v>4476</v>
      </c>
      <c r="EB6">
        <f t="shared" si="56"/>
        <v>4568.5</v>
      </c>
      <c r="EC6">
        <f t="shared" si="56"/>
        <v>4661</v>
      </c>
      <c r="ED6">
        <f t="shared" si="56"/>
        <v>4753.5</v>
      </c>
      <c r="EE6">
        <f t="shared" si="56"/>
        <v>4846</v>
      </c>
      <c r="EF6">
        <f t="shared" si="56"/>
        <v>4938.5</v>
      </c>
      <c r="EG6">
        <f t="shared" si="56"/>
        <v>5031</v>
      </c>
      <c r="EH6">
        <f t="shared" si="56"/>
        <v>5123.5</v>
      </c>
      <c r="EI6">
        <f t="shared" si="56"/>
        <v>5216</v>
      </c>
      <c r="EJ6">
        <f t="shared" si="56"/>
        <v>5308.5</v>
      </c>
      <c r="EK6">
        <f t="shared" si="56"/>
        <v>5401</v>
      </c>
      <c r="EL6">
        <f t="shared" si="56"/>
        <v>5493.5</v>
      </c>
      <c r="EM6">
        <f t="shared" si="56"/>
        <v>5586</v>
      </c>
      <c r="EN6">
        <f t="shared" si="56"/>
        <v>5678.5</v>
      </c>
      <c r="EO6">
        <f t="shared" si="56"/>
        <v>5771</v>
      </c>
      <c r="EP6">
        <f t="shared" si="56"/>
        <v>5863.5</v>
      </c>
      <c r="EQ6">
        <f t="shared" si="56"/>
        <v>5956</v>
      </c>
      <c r="ER6">
        <f t="shared" si="56"/>
        <v>6048.5</v>
      </c>
      <c r="ES6">
        <f t="shared" si="56"/>
        <v>6141</v>
      </c>
      <c r="ET6">
        <f t="shared" si="56"/>
        <v>6233.5</v>
      </c>
      <c r="EU6">
        <f t="shared" si="56"/>
        <v>6326</v>
      </c>
      <c r="EV6">
        <f t="shared" si="56"/>
        <v>6418.5</v>
      </c>
      <c r="EW6">
        <f t="shared" si="56"/>
        <v>6511</v>
      </c>
      <c r="EX6">
        <f t="shared" si="56"/>
        <v>6603.5</v>
      </c>
      <c r="EY6">
        <f t="shared" si="56"/>
        <v>6696</v>
      </c>
      <c r="EZ6">
        <f t="shared" si="56"/>
        <v>6788.5</v>
      </c>
      <c r="FA6">
        <f t="shared" si="56"/>
        <v>6881</v>
      </c>
      <c r="FB6">
        <f t="shared" si="56"/>
        <v>6973.5</v>
      </c>
      <c r="FC6">
        <f t="shared" si="56"/>
        <v>7066</v>
      </c>
      <c r="FD6">
        <f t="shared" si="56"/>
        <v>7158.5</v>
      </c>
      <c r="FE6">
        <f t="shared" si="56"/>
        <v>7251</v>
      </c>
      <c r="FF6">
        <f t="shared" si="56"/>
        <v>7343.5</v>
      </c>
      <c r="FG6">
        <f t="shared" si="56"/>
        <v>7436</v>
      </c>
      <c r="FH6">
        <f t="shared" si="56"/>
        <v>7528.5</v>
      </c>
      <c r="FI6">
        <f t="shared" ref="FI6:FN6" si="57">FH6+($BK6+$BP6)/2</f>
        <v>7621</v>
      </c>
      <c r="FJ6">
        <f t="shared" si="57"/>
        <v>7713.5</v>
      </c>
      <c r="FK6">
        <f t="shared" si="57"/>
        <v>7806</v>
      </c>
      <c r="FL6">
        <f t="shared" si="57"/>
        <v>7898.5</v>
      </c>
      <c r="FM6">
        <f t="shared" si="57"/>
        <v>7991</v>
      </c>
      <c r="FN6">
        <f t="shared" si="57"/>
        <v>8083.5</v>
      </c>
    </row>
    <row r="7" spans="4:170" x14ac:dyDescent="0.2">
      <c r="D7">
        <v>15</v>
      </c>
      <c r="E7">
        <v>25.65</v>
      </c>
      <c r="F7">
        <f t="shared" si="13"/>
        <v>1.5299999999999998</v>
      </c>
      <c r="H7">
        <v>17</v>
      </c>
      <c r="I7">
        <v>12.1</v>
      </c>
      <c r="J7">
        <f t="shared" si="39"/>
        <v>1.7249999999999996</v>
      </c>
      <c r="L7">
        <v>4</v>
      </c>
      <c r="M7">
        <f t="shared" si="51"/>
        <v>7.9349999999999987</v>
      </c>
      <c r="N7">
        <f t="shared" si="40"/>
        <v>7.94</v>
      </c>
      <c r="O7">
        <f>O6/7</f>
        <v>0.39885714285714285</v>
      </c>
      <c r="P7">
        <f t="shared" si="52"/>
        <v>12.975000000000001</v>
      </c>
      <c r="Q7">
        <f t="shared" si="41"/>
        <v>12.98</v>
      </c>
      <c r="S7">
        <v>4</v>
      </c>
      <c r="T7">
        <f t="shared" si="42"/>
        <v>18.25</v>
      </c>
      <c r="W7">
        <v>20</v>
      </c>
      <c r="Z7">
        <v>51</v>
      </c>
      <c r="AA7">
        <v>65</v>
      </c>
      <c r="AB7">
        <f t="shared" si="14"/>
        <v>2.5</v>
      </c>
      <c r="AD7">
        <v>5</v>
      </c>
      <c r="AE7">
        <f t="shared" si="43"/>
        <v>5</v>
      </c>
      <c r="AF7">
        <f t="shared" si="44"/>
        <v>5</v>
      </c>
      <c r="AG7">
        <f t="shared" si="15"/>
        <v>0</v>
      </c>
      <c r="AH7">
        <f t="shared" si="16"/>
        <v>21</v>
      </c>
      <c r="AI7">
        <f t="shared" si="17"/>
        <v>0</v>
      </c>
      <c r="AJ7">
        <f t="shared" si="18"/>
        <v>0</v>
      </c>
      <c r="AK7">
        <f t="shared" si="19"/>
        <v>0</v>
      </c>
      <c r="AL7">
        <f t="shared" si="20"/>
        <v>0</v>
      </c>
      <c r="AM7">
        <f t="shared" si="21"/>
        <v>0</v>
      </c>
      <c r="AN7">
        <f t="shared" si="22"/>
        <v>0</v>
      </c>
      <c r="AO7">
        <f t="shared" si="23"/>
        <v>0</v>
      </c>
      <c r="AP7">
        <f t="shared" si="24"/>
        <v>0</v>
      </c>
      <c r="AQ7">
        <f t="shared" si="25"/>
        <v>0</v>
      </c>
      <c r="AR7">
        <f t="shared" si="26"/>
        <v>0</v>
      </c>
      <c r="AS7">
        <f t="shared" si="27"/>
        <v>0</v>
      </c>
      <c r="AT7">
        <f t="shared" si="28"/>
        <v>0</v>
      </c>
      <c r="AU7">
        <f t="shared" si="29"/>
        <v>0</v>
      </c>
      <c r="AV7">
        <f t="shared" si="30"/>
        <v>0</v>
      </c>
      <c r="AW7">
        <f t="shared" si="31"/>
        <v>0</v>
      </c>
      <c r="AX7">
        <f t="shared" si="45"/>
        <v>0</v>
      </c>
      <c r="AY7" s="7">
        <f t="shared" si="32"/>
        <v>21</v>
      </c>
      <c r="AZ7" t="str">
        <f t="shared" si="33"/>
        <v>火球术Lv5</v>
      </c>
      <c r="BA7">
        <v>6</v>
      </c>
      <c r="BC7" s="1" t="s">
        <v>4198</v>
      </c>
      <c r="BD7">
        <v>30</v>
      </c>
      <c r="BE7">
        <v>84</v>
      </c>
      <c r="BF7">
        <v>33</v>
      </c>
      <c r="BG7">
        <v>45</v>
      </c>
      <c r="BH7">
        <v>57</v>
      </c>
      <c r="BI7">
        <v>69</v>
      </c>
      <c r="BJ7">
        <v>81</v>
      </c>
      <c r="BK7">
        <v>117</v>
      </c>
      <c r="BL7">
        <v>39</v>
      </c>
      <c r="BM7">
        <v>51</v>
      </c>
      <c r="BN7">
        <v>63</v>
      </c>
      <c r="BO7">
        <v>75</v>
      </c>
      <c r="BP7">
        <v>87</v>
      </c>
      <c r="BQ7">
        <v>3</v>
      </c>
      <c r="BR7">
        <v>3</v>
      </c>
      <c r="BS7" s="1">
        <v>0</v>
      </c>
      <c r="BT7">
        <f t="shared" si="0"/>
        <v>100.5</v>
      </c>
      <c r="BU7">
        <f t="shared" ref="BU7:CA8" si="58">BT7+($BF7+$BL7)/2</f>
        <v>136.5</v>
      </c>
      <c r="BV7">
        <f t="shared" si="58"/>
        <v>172.5</v>
      </c>
      <c r="BW7">
        <f t="shared" si="58"/>
        <v>208.5</v>
      </c>
      <c r="BX7">
        <f t="shared" si="58"/>
        <v>244.5</v>
      </c>
      <c r="BY7">
        <f t="shared" si="58"/>
        <v>280.5</v>
      </c>
      <c r="BZ7">
        <f t="shared" si="58"/>
        <v>316.5</v>
      </c>
      <c r="CA7">
        <f t="shared" si="58"/>
        <v>352.5</v>
      </c>
      <c r="CB7">
        <f t="shared" ref="CB7:CJ8" si="59">CA7+($BG7+$BM7)/2</f>
        <v>400.5</v>
      </c>
      <c r="CC7">
        <f t="shared" si="59"/>
        <v>448.5</v>
      </c>
      <c r="CD7">
        <f t="shared" si="59"/>
        <v>496.5</v>
      </c>
      <c r="CE7">
        <f t="shared" si="59"/>
        <v>544.5</v>
      </c>
      <c r="CF7">
        <f t="shared" si="59"/>
        <v>592.5</v>
      </c>
      <c r="CG7">
        <f t="shared" si="59"/>
        <v>640.5</v>
      </c>
      <c r="CH7">
        <f t="shared" si="59"/>
        <v>688.5</v>
      </c>
      <c r="CI7">
        <f t="shared" si="59"/>
        <v>736.5</v>
      </c>
      <c r="CJ7">
        <f t="shared" si="59"/>
        <v>784.5</v>
      </c>
      <c r="CK7">
        <f t="shared" si="9"/>
        <v>844.5</v>
      </c>
      <c r="CL7">
        <f t="shared" si="9"/>
        <v>904.5</v>
      </c>
      <c r="CM7">
        <f t="shared" si="9"/>
        <v>964.5</v>
      </c>
      <c r="CN7">
        <f t="shared" si="9"/>
        <v>1024.5</v>
      </c>
      <c r="CO7">
        <f t="shared" si="9"/>
        <v>1084.5</v>
      </c>
      <c r="CP7">
        <f t="shared" ref="CP7:CU8" si="60">CO7+($BJ7+$BO7)/2</f>
        <v>1162.5</v>
      </c>
      <c r="CQ7">
        <f t="shared" si="60"/>
        <v>1240.5</v>
      </c>
      <c r="CR7">
        <f t="shared" si="60"/>
        <v>1318.5</v>
      </c>
      <c r="CS7">
        <f t="shared" si="60"/>
        <v>1396.5</v>
      </c>
      <c r="CT7">
        <f t="shared" si="60"/>
        <v>1474.5</v>
      </c>
      <c r="CU7">
        <f t="shared" si="60"/>
        <v>1552.5</v>
      </c>
      <c r="CV7">
        <f t="shared" si="4"/>
        <v>1654.5</v>
      </c>
      <c r="CW7">
        <f t="shared" ref="CW7:FH8" si="61">CV7+($BK7+$BP7)/2</f>
        <v>1756.5</v>
      </c>
      <c r="CX7">
        <f t="shared" si="61"/>
        <v>1858.5</v>
      </c>
      <c r="CY7">
        <f t="shared" si="61"/>
        <v>1960.5</v>
      </c>
      <c r="CZ7">
        <f t="shared" si="61"/>
        <v>2062.5</v>
      </c>
      <c r="DA7">
        <f t="shared" si="61"/>
        <v>2164.5</v>
      </c>
      <c r="DB7">
        <f t="shared" si="61"/>
        <v>2266.5</v>
      </c>
      <c r="DC7">
        <f t="shared" si="61"/>
        <v>2368.5</v>
      </c>
      <c r="DD7">
        <f t="shared" si="61"/>
        <v>2470.5</v>
      </c>
      <c r="DE7">
        <f t="shared" si="61"/>
        <v>2572.5</v>
      </c>
      <c r="DF7">
        <f t="shared" si="61"/>
        <v>2674.5</v>
      </c>
      <c r="DG7">
        <f t="shared" si="61"/>
        <v>2776.5</v>
      </c>
      <c r="DH7">
        <f t="shared" si="61"/>
        <v>2878.5</v>
      </c>
      <c r="DI7">
        <f t="shared" si="61"/>
        <v>2980.5</v>
      </c>
      <c r="DJ7">
        <f t="shared" si="61"/>
        <v>3082.5</v>
      </c>
      <c r="DK7">
        <f t="shared" si="61"/>
        <v>3184.5</v>
      </c>
      <c r="DL7">
        <f t="shared" si="61"/>
        <v>3286.5</v>
      </c>
      <c r="DM7">
        <f t="shared" si="61"/>
        <v>3388.5</v>
      </c>
      <c r="DN7">
        <f t="shared" si="61"/>
        <v>3490.5</v>
      </c>
      <c r="DO7">
        <f t="shared" si="61"/>
        <v>3592.5</v>
      </c>
      <c r="DP7">
        <f t="shared" si="61"/>
        <v>3694.5</v>
      </c>
      <c r="DQ7">
        <f t="shared" si="61"/>
        <v>3796.5</v>
      </c>
      <c r="DR7">
        <f t="shared" si="61"/>
        <v>3898.5</v>
      </c>
      <c r="DS7">
        <f t="shared" si="61"/>
        <v>4000.5</v>
      </c>
      <c r="DT7">
        <f t="shared" si="61"/>
        <v>4102.5</v>
      </c>
      <c r="DU7">
        <f t="shared" si="61"/>
        <v>4204.5</v>
      </c>
      <c r="DV7">
        <f t="shared" si="61"/>
        <v>4306.5</v>
      </c>
      <c r="DW7">
        <f t="shared" si="61"/>
        <v>4408.5</v>
      </c>
      <c r="DX7">
        <f t="shared" si="61"/>
        <v>4510.5</v>
      </c>
      <c r="DY7">
        <f t="shared" si="61"/>
        <v>4612.5</v>
      </c>
      <c r="DZ7">
        <f t="shared" si="61"/>
        <v>4714.5</v>
      </c>
      <c r="EA7">
        <f t="shared" si="61"/>
        <v>4816.5</v>
      </c>
      <c r="EB7">
        <f t="shared" si="61"/>
        <v>4918.5</v>
      </c>
      <c r="EC7">
        <f t="shared" si="61"/>
        <v>5020.5</v>
      </c>
      <c r="ED7">
        <f t="shared" si="61"/>
        <v>5122.5</v>
      </c>
      <c r="EE7">
        <f t="shared" si="61"/>
        <v>5224.5</v>
      </c>
      <c r="EF7">
        <f t="shared" si="61"/>
        <v>5326.5</v>
      </c>
      <c r="EG7">
        <f t="shared" si="61"/>
        <v>5428.5</v>
      </c>
      <c r="EH7">
        <f t="shared" si="61"/>
        <v>5530.5</v>
      </c>
      <c r="EI7">
        <f t="shared" si="61"/>
        <v>5632.5</v>
      </c>
      <c r="EJ7">
        <f t="shared" si="61"/>
        <v>5734.5</v>
      </c>
      <c r="EK7">
        <f t="shared" si="61"/>
        <v>5836.5</v>
      </c>
      <c r="EL7">
        <f t="shared" si="61"/>
        <v>5938.5</v>
      </c>
      <c r="EM7">
        <f t="shared" si="61"/>
        <v>6040.5</v>
      </c>
      <c r="EN7">
        <f t="shared" si="61"/>
        <v>6142.5</v>
      </c>
      <c r="EO7">
        <f t="shared" si="61"/>
        <v>6244.5</v>
      </c>
      <c r="EP7">
        <f t="shared" si="61"/>
        <v>6346.5</v>
      </c>
      <c r="EQ7">
        <f t="shared" si="61"/>
        <v>6448.5</v>
      </c>
      <c r="ER7">
        <f t="shared" si="61"/>
        <v>6550.5</v>
      </c>
      <c r="ES7">
        <f t="shared" si="61"/>
        <v>6652.5</v>
      </c>
      <c r="ET7">
        <f t="shared" si="61"/>
        <v>6754.5</v>
      </c>
      <c r="EU7">
        <f t="shared" si="61"/>
        <v>6856.5</v>
      </c>
      <c r="EV7">
        <f t="shared" si="61"/>
        <v>6958.5</v>
      </c>
      <c r="EW7">
        <f t="shared" si="61"/>
        <v>7060.5</v>
      </c>
      <c r="EX7">
        <f t="shared" si="61"/>
        <v>7162.5</v>
      </c>
      <c r="EY7">
        <f t="shared" si="61"/>
        <v>7264.5</v>
      </c>
      <c r="EZ7">
        <f t="shared" si="61"/>
        <v>7366.5</v>
      </c>
      <c r="FA7">
        <f t="shared" si="61"/>
        <v>7468.5</v>
      </c>
      <c r="FB7">
        <f t="shared" si="61"/>
        <v>7570.5</v>
      </c>
      <c r="FC7">
        <f t="shared" si="61"/>
        <v>7672.5</v>
      </c>
      <c r="FD7">
        <f t="shared" si="61"/>
        <v>7774.5</v>
      </c>
      <c r="FE7">
        <f t="shared" si="61"/>
        <v>7876.5</v>
      </c>
      <c r="FF7">
        <f t="shared" si="61"/>
        <v>7978.5</v>
      </c>
      <c r="FG7">
        <f t="shared" si="61"/>
        <v>8080.5</v>
      </c>
      <c r="FH7">
        <f t="shared" si="61"/>
        <v>8182.5</v>
      </c>
      <c r="FI7">
        <f t="shared" ref="FI7:FN8" si="62">FH7+($BK7+$BP7)/2</f>
        <v>8284.5</v>
      </c>
      <c r="FJ7">
        <f t="shared" si="62"/>
        <v>8386.5</v>
      </c>
      <c r="FK7">
        <f t="shared" si="62"/>
        <v>8488.5</v>
      </c>
      <c r="FL7">
        <f t="shared" si="62"/>
        <v>8590.5</v>
      </c>
      <c r="FM7">
        <f t="shared" si="62"/>
        <v>8692.5</v>
      </c>
      <c r="FN7">
        <f t="shared" si="62"/>
        <v>8794.5</v>
      </c>
    </row>
    <row r="8" spans="4:170" x14ac:dyDescent="0.2">
      <c r="D8">
        <v>20</v>
      </c>
      <c r="E8">
        <v>33.299999999999997</v>
      </c>
      <c r="F8">
        <f t="shared" si="13"/>
        <v>1.2666666666666682</v>
      </c>
      <c r="H8">
        <v>18</v>
      </c>
      <c r="I8">
        <v>13.824999999999999</v>
      </c>
      <c r="J8">
        <f t="shared" si="39"/>
        <v>0.85500000000000043</v>
      </c>
      <c r="L8">
        <v>5</v>
      </c>
      <c r="M8">
        <f t="shared" si="51"/>
        <v>8.33</v>
      </c>
      <c r="N8">
        <f t="shared" si="40"/>
        <v>8.33</v>
      </c>
      <c r="P8">
        <f t="shared" si="52"/>
        <v>14</v>
      </c>
      <c r="Q8">
        <f t="shared" si="41"/>
        <v>14</v>
      </c>
      <c r="S8">
        <v>5</v>
      </c>
      <c r="T8">
        <f t="shared" si="42"/>
        <v>21</v>
      </c>
      <c r="W8">
        <v>26</v>
      </c>
      <c r="Z8">
        <v>66</v>
      </c>
      <c r="AA8">
        <v>80</v>
      </c>
      <c r="AB8">
        <f t="shared" si="14"/>
        <v>2.5</v>
      </c>
      <c r="AD8">
        <v>6</v>
      </c>
      <c r="AE8">
        <f t="shared" si="43"/>
        <v>6</v>
      </c>
      <c r="AF8">
        <f t="shared" si="44"/>
        <v>6</v>
      </c>
      <c r="AG8">
        <f t="shared" si="15"/>
        <v>0</v>
      </c>
      <c r="AH8">
        <f t="shared" si="16"/>
        <v>24</v>
      </c>
      <c r="AI8">
        <f t="shared" si="17"/>
        <v>1</v>
      </c>
      <c r="AJ8">
        <f t="shared" si="18"/>
        <v>0</v>
      </c>
      <c r="AK8">
        <f t="shared" si="19"/>
        <v>34</v>
      </c>
      <c r="AL8">
        <f t="shared" si="20"/>
        <v>1</v>
      </c>
      <c r="AM8">
        <f t="shared" si="21"/>
        <v>0</v>
      </c>
      <c r="AN8">
        <f t="shared" si="22"/>
        <v>79.199999999999989</v>
      </c>
      <c r="AO8">
        <f t="shared" si="23"/>
        <v>0</v>
      </c>
      <c r="AP8">
        <f t="shared" si="24"/>
        <v>0</v>
      </c>
      <c r="AQ8">
        <f t="shared" si="25"/>
        <v>0</v>
      </c>
      <c r="AR8">
        <f t="shared" si="26"/>
        <v>0</v>
      </c>
      <c r="AS8">
        <f t="shared" si="27"/>
        <v>0</v>
      </c>
      <c r="AT8">
        <f t="shared" si="28"/>
        <v>0</v>
      </c>
      <c r="AU8">
        <f t="shared" si="29"/>
        <v>0</v>
      </c>
      <c r="AV8">
        <f t="shared" si="30"/>
        <v>0</v>
      </c>
      <c r="AW8">
        <f t="shared" si="31"/>
        <v>0</v>
      </c>
      <c r="AX8">
        <f t="shared" si="45"/>
        <v>0</v>
      </c>
      <c r="AY8" s="7">
        <f t="shared" si="32"/>
        <v>79.199999999999989</v>
      </c>
      <c r="AZ8" t="str">
        <f t="shared" si="33"/>
        <v>炼狱之火Lv1</v>
      </c>
      <c r="BA8">
        <v>8</v>
      </c>
      <c r="BC8" s="1" t="s">
        <v>4214</v>
      </c>
      <c r="BD8">
        <v>30</v>
      </c>
      <c r="BE8">
        <v>30</v>
      </c>
      <c r="BF8">
        <v>7</v>
      </c>
      <c r="BG8">
        <v>7</v>
      </c>
      <c r="BH8">
        <v>7</v>
      </c>
      <c r="BI8">
        <v>7</v>
      </c>
      <c r="BJ8">
        <v>7</v>
      </c>
      <c r="BK8">
        <v>30</v>
      </c>
      <c r="BL8">
        <v>7</v>
      </c>
      <c r="BM8">
        <v>7</v>
      </c>
      <c r="BN8">
        <v>7</v>
      </c>
      <c r="BO8">
        <v>7</v>
      </c>
      <c r="BP8">
        <v>7</v>
      </c>
      <c r="BS8" s="1">
        <v>0</v>
      </c>
      <c r="BT8">
        <f t="shared" ref="BT8" si="63">(BE8+BK8)/2</f>
        <v>30</v>
      </c>
      <c r="BU8">
        <f t="shared" si="58"/>
        <v>37</v>
      </c>
      <c r="BV8">
        <f t="shared" si="58"/>
        <v>44</v>
      </c>
      <c r="BW8">
        <f t="shared" si="58"/>
        <v>51</v>
      </c>
      <c r="BX8">
        <f t="shared" si="58"/>
        <v>58</v>
      </c>
      <c r="BY8">
        <f t="shared" si="58"/>
        <v>65</v>
      </c>
      <c r="BZ8">
        <f t="shared" si="58"/>
        <v>72</v>
      </c>
      <c r="CA8">
        <f t="shared" si="58"/>
        <v>79</v>
      </c>
      <c r="CB8">
        <f t="shared" si="59"/>
        <v>86</v>
      </c>
      <c r="CC8">
        <f t="shared" si="59"/>
        <v>93</v>
      </c>
      <c r="CD8">
        <f t="shared" si="59"/>
        <v>100</v>
      </c>
      <c r="CE8">
        <f t="shared" si="59"/>
        <v>107</v>
      </c>
      <c r="CF8">
        <f t="shared" si="59"/>
        <v>114</v>
      </c>
      <c r="CG8">
        <f t="shared" si="59"/>
        <v>121</v>
      </c>
      <c r="CH8">
        <f t="shared" si="59"/>
        <v>128</v>
      </c>
      <c r="CI8">
        <f t="shared" si="59"/>
        <v>135</v>
      </c>
      <c r="CJ8">
        <f t="shared" si="59"/>
        <v>142</v>
      </c>
      <c r="CK8">
        <f t="shared" si="9"/>
        <v>149</v>
      </c>
      <c r="CL8">
        <f t="shared" si="9"/>
        <v>156</v>
      </c>
      <c r="CM8">
        <f t="shared" si="9"/>
        <v>163</v>
      </c>
      <c r="CN8">
        <f t="shared" si="9"/>
        <v>170</v>
      </c>
      <c r="CO8">
        <f t="shared" si="9"/>
        <v>177</v>
      </c>
      <c r="CP8">
        <f t="shared" si="60"/>
        <v>184</v>
      </c>
      <c r="CQ8">
        <f t="shared" si="60"/>
        <v>191</v>
      </c>
      <c r="CR8">
        <f t="shared" si="60"/>
        <v>198</v>
      </c>
      <c r="CS8">
        <f t="shared" si="60"/>
        <v>205</v>
      </c>
      <c r="CT8">
        <f t="shared" si="60"/>
        <v>212</v>
      </c>
      <c r="CU8">
        <f t="shared" si="60"/>
        <v>219</v>
      </c>
      <c r="CV8">
        <f t="shared" si="4"/>
        <v>237.5</v>
      </c>
      <c r="CW8">
        <f t="shared" si="61"/>
        <v>256</v>
      </c>
      <c r="CX8">
        <f t="shared" si="61"/>
        <v>274.5</v>
      </c>
      <c r="CY8">
        <f t="shared" si="61"/>
        <v>293</v>
      </c>
      <c r="CZ8">
        <f t="shared" si="61"/>
        <v>311.5</v>
      </c>
      <c r="DA8">
        <f t="shared" si="61"/>
        <v>330</v>
      </c>
      <c r="DB8">
        <f t="shared" si="61"/>
        <v>348.5</v>
      </c>
      <c r="DC8">
        <f t="shared" si="61"/>
        <v>367</v>
      </c>
      <c r="DD8">
        <f t="shared" si="61"/>
        <v>385.5</v>
      </c>
      <c r="DE8">
        <f t="shared" si="61"/>
        <v>404</v>
      </c>
      <c r="DF8">
        <f t="shared" si="61"/>
        <v>422.5</v>
      </c>
      <c r="DG8">
        <f t="shared" si="61"/>
        <v>441</v>
      </c>
      <c r="DH8">
        <f t="shared" si="61"/>
        <v>459.5</v>
      </c>
      <c r="DI8">
        <f t="shared" si="61"/>
        <v>478</v>
      </c>
      <c r="DJ8">
        <f t="shared" si="61"/>
        <v>496.5</v>
      </c>
      <c r="DK8">
        <f t="shared" si="61"/>
        <v>515</v>
      </c>
      <c r="DL8">
        <f t="shared" si="61"/>
        <v>533.5</v>
      </c>
      <c r="DM8">
        <f t="shared" si="61"/>
        <v>552</v>
      </c>
      <c r="DN8">
        <f t="shared" si="61"/>
        <v>570.5</v>
      </c>
      <c r="DO8">
        <f t="shared" si="61"/>
        <v>589</v>
      </c>
      <c r="DP8">
        <f t="shared" si="61"/>
        <v>607.5</v>
      </c>
      <c r="DQ8">
        <f t="shared" si="61"/>
        <v>626</v>
      </c>
      <c r="DR8">
        <f t="shared" si="61"/>
        <v>644.5</v>
      </c>
      <c r="DS8">
        <f t="shared" si="61"/>
        <v>663</v>
      </c>
      <c r="DT8">
        <f t="shared" si="61"/>
        <v>681.5</v>
      </c>
      <c r="DU8">
        <f t="shared" si="61"/>
        <v>700</v>
      </c>
      <c r="DV8">
        <f t="shared" si="61"/>
        <v>718.5</v>
      </c>
      <c r="DW8">
        <f t="shared" si="61"/>
        <v>737</v>
      </c>
      <c r="DX8">
        <f t="shared" si="61"/>
        <v>755.5</v>
      </c>
      <c r="DY8">
        <f t="shared" si="61"/>
        <v>774</v>
      </c>
      <c r="DZ8">
        <f t="shared" si="61"/>
        <v>792.5</v>
      </c>
      <c r="EA8">
        <f t="shared" si="61"/>
        <v>811</v>
      </c>
      <c r="EB8">
        <f t="shared" si="61"/>
        <v>829.5</v>
      </c>
      <c r="EC8">
        <f t="shared" si="61"/>
        <v>848</v>
      </c>
      <c r="ED8">
        <f t="shared" si="61"/>
        <v>866.5</v>
      </c>
      <c r="EE8">
        <f t="shared" si="61"/>
        <v>885</v>
      </c>
      <c r="EF8">
        <f t="shared" si="61"/>
        <v>903.5</v>
      </c>
      <c r="EG8">
        <f t="shared" si="61"/>
        <v>922</v>
      </c>
      <c r="EH8">
        <f t="shared" si="61"/>
        <v>940.5</v>
      </c>
      <c r="EI8">
        <f t="shared" si="61"/>
        <v>959</v>
      </c>
      <c r="EJ8">
        <f t="shared" si="61"/>
        <v>977.5</v>
      </c>
      <c r="EK8">
        <f t="shared" si="61"/>
        <v>996</v>
      </c>
      <c r="EL8">
        <f t="shared" si="61"/>
        <v>1014.5</v>
      </c>
      <c r="EM8">
        <f t="shared" si="61"/>
        <v>1033</v>
      </c>
      <c r="EN8">
        <f t="shared" si="61"/>
        <v>1051.5</v>
      </c>
      <c r="EO8">
        <f t="shared" si="61"/>
        <v>1070</v>
      </c>
      <c r="EP8">
        <f t="shared" si="61"/>
        <v>1088.5</v>
      </c>
      <c r="EQ8">
        <f t="shared" si="61"/>
        <v>1107</v>
      </c>
      <c r="ER8">
        <f t="shared" si="61"/>
        <v>1125.5</v>
      </c>
      <c r="ES8">
        <f t="shared" si="61"/>
        <v>1144</v>
      </c>
      <c r="ET8">
        <f t="shared" si="61"/>
        <v>1162.5</v>
      </c>
      <c r="EU8">
        <f t="shared" si="61"/>
        <v>1181</v>
      </c>
      <c r="EV8">
        <f t="shared" si="61"/>
        <v>1199.5</v>
      </c>
      <c r="EW8">
        <f t="shared" si="61"/>
        <v>1218</v>
      </c>
      <c r="EX8">
        <f t="shared" si="61"/>
        <v>1236.5</v>
      </c>
      <c r="EY8">
        <f t="shared" si="61"/>
        <v>1255</v>
      </c>
      <c r="EZ8">
        <f t="shared" si="61"/>
        <v>1273.5</v>
      </c>
      <c r="FA8">
        <f t="shared" si="61"/>
        <v>1292</v>
      </c>
      <c r="FB8">
        <f t="shared" si="61"/>
        <v>1310.5</v>
      </c>
      <c r="FC8">
        <f t="shared" si="61"/>
        <v>1329</v>
      </c>
      <c r="FD8">
        <f t="shared" si="61"/>
        <v>1347.5</v>
      </c>
      <c r="FE8">
        <f t="shared" si="61"/>
        <v>1366</v>
      </c>
      <c r="FF8">
        <f t="shared" si="61"/>
        <v>1384.5</v>
      </c>
      <c r="FG8">
        <f t="shared" si="61"/>
        <v>1403</v>
      </c>
      <c r="FH8">
        <f t="shared" si="61"/>
        <v>1421.5</v>
      </c>
      <c r="FI8">
        <f t="shared" si="62"/>
        <v>1440</v>
      </c>
      <c r="FJ8">
        <f t="shared" si="62"/>
        <v>1458.5</v>
      </c>
      <c r="FK8">
        <f t="shared" si="62"/>
        <v>1477</v>
      </c>
      <c r="FL8">
        <f t="shared" si="62"/>
        <v>1495.5</v>
      </c>
      <c r="FM8">
        <f t="shared" si="62"/>
        <v>1514</v>
      </c>
      <c r="FN8">
        <f t="shared" si="62"/>
        <v>1532.5</v>
      </c>
    </row>
    <row r="9" spans="4:170" x14ac:dyDescent="0.2">
      <c r="D9">
        <v>23</v>
      </c>
      <c r="E9">
        <v>37.1</v>
      </c>
      <c r="F9">
        <f t="shared" si="13"/>
        <v>0.89999999999999858</v>
      </c>
      <c r="H9">
        <v>19</v>
      </c>
      <c r="I9">
        <v>14.68</v>
      </c>
      <c r="J9">
        <f t="shared" si="39"/>
        <v>1.3200000000000003</v>
      </c>
      <c r="L9">
        <v>6</v>
      </c>
      <c r="M9">
        <f t="shared" si="51"/>
        <v>8.734</v>
      </c>
      <c r="N9">
        <f t="shared" si="40"/>
        <v>8.73</v>
      </c>
      <c r="P9">
        <f t="shared" si="52"/>
        <v>15.16</v>
      </c>
      <c r="Q9">
        <f t="shared" si="41"/>
        <v>15.16</v>
      </c>
      <c r="S9">
        <v>6</v>
      </c>
      <c r="T9">
        <f t="shared" si="42"/>
        <v>24.33</v>
      </c>
      <c r="W9">
        <v>32</v>
      </c>
      <c r="Z9">
        <v>81</v>
      </c>
      <c r="AA9">
        <v>100</v>
      </c>
      <c r="AB9">
        <f t="shared" si="14"/>
        <v>2.2222222222222223</v>
      </c>
      <c r="AD9">
        <v>7</v>
      </c>
      <c r="AE9">
        <f t="shared" si="43"/>
        <v>7</v>
      </c>
      <c r="AF9">
        <f t="shared" si="44"/>
        <v>7</v>
      </c>
      <c r="AG9">
        <f t="shared" si="15"/>
        <v>0</v>
      </c>
      <c r="AH9">
        <f t="shared" si="16"/>
        <v>27</v>
      </c>
      <c r="AI9">
        <f t="shared" si="17"/>
        <v>2</v>
      </c>
      <c r="AJ9">
        <f t="shared" si="18"/>
        <v>0</v>
      </c>
      <c r="AK9">
        <f t="shared" si="19"/>
        <v>57.8</v>
      </c>
      <c r="AL9">
        <f t="shared" si="20"/>
        <v>2</v>
      </c>
      <c r="AM9">
        <f t="shared" si="21"/>
        <v>0</v>
      </c>
      <c r="AN9">
        <f t="shared" si="22"/>
        <v>118.8</v>
      </c>
      <c r="AO9">
        <f t="shared" si="23"/>
        <v>0</v>
      </c>
      <c r="AP9">
        <f t="shared" si="24"/>
        <v>0</v>
      </c>
      <c r="AQ9">
        <f t="shared" si="25"/>
        <v>0</v>
      </c>
      <c r="AR9">
        <f t="shared" si="26"/>
        <v>0</v>
      </c>
      <c r="AS9">
        <f t="shared" si="27"/>
        <v>0</v>
      </c>
      <c r="AT9">
        <f t="shared" si="28"/>
        <v>0</v>
      </c>
      <c r="AU9">
        <f t="shared" si="29"/>
        <v>0</v>
      </c>
      <c r="AV9">
        <f t="shared" si="30"/>
        <v>0</v>
      </c>
      <c r="AW9">
        <f t="shared" si="31"/>
        <v>0</v>
      </c>
      <c r="AX9">
        <f t="shared" si="45"/>
        <v>0</v>
      </c>
      <c r="AY9" s="7">
        <f t="shared" si="32"/>
        <v>118.8</v>
      </c>
      <c r="AZ9" t="str">
        <f t="shared" si="33"/>
        <v>炼狱之火Lv2</v>
      </c>
      <c r="BA9">
        <v>9</v>
      </c>
    </row>
    <row r="10" spans="4:170" x14ac:dyDescent="0.2">
      <c r="D10">
        <v>24</v>
      </c>
      <c r="E10">
        <v>38</v>
      </c>
      <c r="F10">
        <f t="shared" si="13"/>
        <v>1.7999999999999972</v>
      </c>
      <c r="H10">
        <v>20</v>
      </c>
      <c r="I10">
        <v>16</v>
      </c>
      <c r="J10">
        <f t="shared" si="39"/>
        <v>1.3999999999999986</v>
      </c>
      <c r="L10">
        <v>7</v>
      </c>
      <c r="M10">
        <f t="shared" si="51"/>
        <v>9.1379999999999999</v>
      </c>
      <c r="N10">
        <f t="shared" si="40"/>
        <v>9.14</v>
      </c>
      <c r="P10">
        <f t="shared" si="52"/>
        <v>16.32</v>
      </c>
      <c r="Q10">
        <f t="shared" si="41"/>
        <v>16.32</v>
      </c>
      <c r="S10">
        <v>7</v>
      </c>
      <c r="T10">
        <f t="shared" si="42"/>
        <v>27.66</v>
      </c>
      <c r="W10">
        <v>41</v>
      </c>
      <c r="Z10">
        <v>101</v>
      </c>
      <c r="AA10" s="4">
        <v>130</v>
      </c>
      <c r="AB10">
        <f t="shared" si="14"/>
        <v>2</v>
      </c>
      <c r="AD10">
        <v>8</v>
      </c>
      <c r="AE10">
        <f t="shared" si="43"/>
        <v>8</v>
      </c>
      <c r="AF10">
        <f t="shared" si="44"/>
        <v>8</v>
      </c>
      <c r="AG10">
        <f t="shared" si="15"/>
        <v>0</v>
      </c>
      <c r="AH10">
        <f t="shared" si="16"/>
        <v>30</v>
      </c>
      <c r="AI10">
        <f t="shared" si="17"/>
        <v>3</v>
      </c>
      <c r="AJ10">
        <f t="shared" si="18"/>
        <v>0</v>
      </c>
      <c r="AK10">
        <f t="shared" si="19"/>
        <v>81.599999999999994</v>
      </c>
      <c r="AL10">
        <f t="shared" si="20"/>
        <v>3</v>
      </c>
      <c r="AM10">
        <f t="shared" si="21"/>
        <v>0</v>
      </c>
      <c r="AN10">
        <f t="shared" si="22"/>
        <v>158.39999999999998</v>
      </c>
      <c r="AO10">
        <f t="shared" si="23"/>
        <v>0</v>
      </c>
      <c r="AP10">
        <f t="shared" si="24"/>
        <v>0</v>
      </c>
      <c r="AQ10">
        <f t="shared" si="25"/>
        <v>0</v>
      </c>
      <c r="AR10">
        <f t="shared" si="26"/>
        <v>0</v>
      </c>
      <c r="AS10">
        <f t="shared" si="27"/>
        <v>0</v>
      </c>
      <c r="AT10">
        <f t="shared" si="28"/>
        <v>0</v>
      </c>
      <c r="AU10">
        <f t="shared" si="29"/>
        <v>0</v>
      </c>
      <c r="AV10">
        <f t="shared" si="30"/>
        <v>0</v>
      </c>
      <c r="AW10">
        <f t="shared" si="31"/>
        <v>0</v>
      </c>
      <c r="AX10">
        <f t="shared" si="45"/>
        <v>0</v>
      </c>
      <c r="AY10" s="7">
        <f t="shared" si="32"/>
        <v>158.39999999999998</v>
      </c>
      <c r="AZ10" t="str">
        <f t="shared" si="33"/>
        <v>炼狱之火Lv3</v>
      </c>
      <c r="BA10">
        <v>11</v>
      </c>
    </row>
    <row r="11" spans="4:170" x14ac:dyDescent="0.2">
      <c r="D11">
        <v>25</v>
      </c>
      <c r="E11">
        <v>39.799999999999997</v>
      </c>
      <c r="F11">
        <f t="shared" si="13"/>
        <v>0.38571428571428612</v>
      </c>
      <c r="H11">
        <v>21</v>
      </c>
      <c r="I11">
        <v>17.399999999999999</v>
      </c>
      <c r="J11">
        <f t="shared" si="39"/>
        <v>1.4000000000000021</v>
      </c>
      <c r="L11">
        <v>8</v>
      </c>
      <c r="M11">
        <f t="shared" si="51"/>
        <v>9.5419999999999998</v>
      </c>
      <c r="N11">
        <f t="shared" si="40"/>
        <v>9.5399999999999991</v>
      </c>
      <c r="P11">
        <f t="shared" si="52"/>
        <v>17.48</v>
      </c>
      <c r="Q11">
        <f t="shared" si="41"/>
        <v>17.48</v>
      </c>
      <c r="S11">
        <v>8</v>
      </c>
      <c r="T11">
        <f t="shared" si="42"/>
        <v>31</v>
      </c>
      <c r="W11">
        <v>56</v>
      </c>
      <c r="Z11" s="4">
        <v>131</v>
      </c>
      <c r="AA11" s="4">
        <v>300</v>
      </c>
      <c r="AB11">
        <f t="shared" si="14"/>
        <v>2.3392857142857144</v>
      </c>
      <c r="AD11">
        <v>9</v>
      </c>
      <c r="AE11">
        <f t="shared" si="43"/>
        <v>9</v>
      </c>
      <c r="AF11">
        <f t="shared" si="44"/>
        <v>9</v>
      </c>
      <c r="AG11">
        <f t="shared" si="15"/>
        <v>0</v>
      </c>
      <c r="AH11">
        <f t="shared" si="16"/>
        <v>35</v>
      </c>
      <c r="AI11">
        <f t="shared" si="17"/>
        <v>4</v>
      </c>
      <c r="AJ11">
        <f t="shared" si="18"/>
        <v>0</v>
      </c>
      <c r="AK11">
        <f t="shared" si="19"/>
        <v>105.39999999999999</v>
      </c>
      <c r="AL11">
        <f t="shared" si="20"/>
        <v>4</v>
      </c>
      <c r="AM11">
        <f t="shared" si="21"/>
        <v>0</v>
      </c>
      <c r="AN11">
        <f t="shared" si="22"/>
        <v>198</v>
      </c>
      <c r="AO11">
        <f t="shared" si="23"/>
        <v>0</v>
      </c>
      <c r="AP11">
        <f t="shared" si="24"/>
        <v>0</v>
      </c>
      <c r="AQ11">
        <f t="shared" si="25"/>
        <v>0</v>
      </c>
      <c r="AR11">
        <f t="shared" si="26"/>
        <v>0</v>
      </c>
      <c r="AS11">
        <f t="shared" si="27"/>
        <v>0</v>
      </c>
      <c r="AT11">
        <f t="shared" si="28"/>
        <v>0</v>
      </c>
      <c r="AU11">
        <f t="shared" si="29"/>
        <v>0</v>
      </c>
      <c r="AV11">
        <f t="shared" si="30"/>
        <v>0</v>
      </c>
      <c r="AW11">
        <f t="shared" si="31"/>
        <v>0</v>
      </c>
      <c r="AX11">
        <f t="shared" si="45"/>
        <v>0</v>
      </c>
      <c r="AY11" s="7">
        <f t="shared" si="32"/>
        <v>198</v>
      </c>
      <c r="AZ11" t="str">
        <f t="shared" si="33"/>
        <v>炼狱之火Lv4</v>
      </c>
      <c r="BA11">
        <v>12</v>
      </c>
    </row>
    <row r="12" spans="4:170" x14ac:dyDescent="0.2">
      <c r="D12">
        <v>32</v>
      </c>
      <c r="E12">
        <v>42.5</v>
      </c>
      <c r="F12">
        <f t="shared" si="13"/>
        <v>0.83333333333333337</v>
      </c>
      <c r="H12">
        <v>22</v>
      </c>
      <c r="I12">
        <v>18.8</v>
      </c>
      <c r="J12">
        <f t="shared" si="39"/>
        <v>1.3999999999999986</v>
      </c>
      <c r="L12">
        <v>9</v>
      </c>
      <c r="M12">
        <f t="shared" si="51"/>
        <v>9.9459999999999997</v>
      </c>
      <c r="N12">
        <f t="shared" si="40"/>
        <v>9.9499999999999993</v>
      </c>
      <c r="P12">
        <f t="shared" si="52"/>
        <v>18.64</v>
      </c>
      <c r="Q12">
        <f t="shared" si="41"/>
        <v>18.64</v>
      </c>
      <c r="S12">
        <v>9</v>
      </c>
      <c r="T12">
        <f t="shared" si="42"/>
        <v>32.67</v>
      </c>
      <c r="AD12">
        <v>10</v>
      </c>
      <c r="AE12">
        <f t="shared" si="43"/>
        <v>10</v>
      </c>
      <c r="AF12">
        <f t="shared" si="44"/>
        <v>10</v>
      </c>
      <c r="AG12">
        <f t="shared" si="15"/>
        <v>0</v>
      </c>
      <c r="AH12">
        <f t="shared" si="16"/>
        <v>40</v>
      </c>
      <c r="AI12">
        <f t="shared" si="17"/>
        <v>5</v>
      </c>
      <c r="AJ12">
        <f t="shared" si="18"/>
        <v>0</v>
      </c>
      <c r="AK12">
        <f t="shared" si="19"/>
        <v>129.19999999999999</v>
      </c>
      <c r="AL12">
        <f t="shared" si="20"/>
        <v>5</v>
      </c>
      <c r="AM12">
        <f t="shared" si="21"/>
        <v>0</v>
      </c>
      <c r="AN12">
        <f t="shared" si="22"/>
        <v>237.6</v>
      </c>
      <c r="AO12">
        <f t="shared" si="23"/>
        <v>0</v>
      </c>
      <c r="AP12">
        <f t="shared" si="24"/>
        <v>0</v>
      </c>
      <c r="AQ12">
        <f t="shared" si="25"/>
        <v>0</v>
      </c>
      <c r="AR12">
        <f t="shared" si="26"/>
        <v>0</v>
      </c>
      <c r="AS12">
        <f t="shared" si="27"/>
        <v>0</v>
      </c>
      <c r="AT12">
        <f t="shared" si="28"/>
        <v>0</v>
      </c>
      <c r="AU12">
        <f t="shared" si="29"/>
        <v>0</v>
      </c>
      <c r="AV12">
        <f t="shared" si="30"/>
        <v>0</v>
      </c>
      <c r="AW12">
        <f t="shared" si="31"/>
        <v>0</v>
      </c>
      <c r="AX12">
        <f t="shared" si="45"/>
        <v>0</v>
      </c>
      <c r="AY12" s="7">
        <f t="shared" si="32"/>
        <v>237.6</v>
      </c>
      <c r="AZ12" t="str">
        <f t="shared" si="33"/>
        <v>炼狱之火Lv5</v>
      </c>
      <c r="BA12">
        <v>14</v>
      </c>
    </row>
    <row r="13" spans="4:170" x14ac:dyDescent="0.2">
      <c r="D13">
        <v>41</v>
      </c>
      <c r="E13">
        <v>50</v>
      </c>
      <c r="F13">
        <f t="shared" si="13"/>
        <v>1.8500000000000014</v>
      </c>
      <c r="H13">
        <v>23</v>
      </c>
      <c r="I13">
        <v>20.2</v>
      </c>
      <c r="J13">
        <f t="shared" si="39"/>
        <v>1.6999999999999993</v>
      </c>
      <c r="L13">
        <v>10</v>
      </c>
      <c r="M13">
        <f t="shared" si="51"/>
        <v>10.35</v>
      </c>
      <c r="N13">
        <f t="shared" si="40"/>
        <v>10.35</v>
      </c>
      <c r="P13">
        <f t="shared" si="52"/>
        <v>19.8</v>
      </c>
      <c r="Q13">
        <f t="shared" si="41"/>
        <v>19.8</v>
      </c>
      <c r="S13">
        <v>10</v>
      </c>
      <c r="T13">
        <f t="shared" si="42"/>
        <v>34.340000000000003</v>
      </c>
      <c r="AD13">
        <v>11</v>
      </c>
      <c r="AE13">
        <f t="shared" si="43"/>
        <v>11</v>
      </c>
      <c r="AF13">
        <f t="shared" si="44"/>
        <v>11</v>
      </c>
      <c r="AG13">
        <f t="shared" si="15"/>
        <v>0</v>
      </c>
      <c r="AH13">
        <f t="shared" si="16"/>
        <v>45</v>
      </c>
      <c r="AI13">
        <f t="shared" si="17"/>
        <v>6</v>
      </c>
      <c r="AJ13">
        <f t="shared" si="18"/>
        <v>0</v>
      </c>
      <c r="AK13">
        <f t="shared" si="19"/>
        <v>153</v>
      </c>
      <c r="AL13">
        <f t="shared" si="20"/>
        <v>6</v>
      </c>
      <c r="AM13">
        <f t="shared" si="21"/>
        <v>0</v>
      </c>
      <c r="AN13">
        <f t="shared" si="22"/>
        <v>277.2</v>
      </c>
      <c r="AO13">
        <f t="shared" si="23"/>
        <v>0</v>
      </c>
      <c r="AP13">
        <f t="shared" si="24"/>
        <v>0</v>
      </c>
      <c r="AQ13">
        <f t="shared" si="25"/>
        <v>0</v>
      </c>
      <c r="AR13">
        <f t="shared" si="26"/>
        <v>0</v>
      </c>
      <c r="AS13">
        <f t="shared" si="27"/>
        <v>0</v>
      </c>
      <c r="AT13">
        <f t="shared" si="28"/>
        <v>0</v>
      </c>
      <c r="AU13">
        <f t="shared" si="29"/>
        <v>0</v>
      </c>
      <c r="AV13">
        <f t="shared" si="30"/>
        <v>0</v>
      </c>
      <c r="AW13">
        <f t="shared" si="31"/>
        <v>0</v>
      </c>
      <c r="AX13">
        <f t="shared" si="45"/>
        <v>0</v>
      </c>
      <c r="AY13" s="7">
        <f t="shared" si="32"/>
        <v>277.2</v>
      </c>
      <c r="AZ13" t="str">
        <f t="shared" si="33"/>
        <v>炼狱之火Lv6</v>
      </c>
      <c r="BA13">
        <v>15</v>
      </c>
    </row>
    <row r="14" spans="4:170" x14ac:dyDescent="0.2">
      <c r="D14">
        <v>43</v>
      </c>
      <c r="E14">
        <v>53.7</v>
      </c>
      <c r="F14">
        <f t="shared" si="13"/>
        <v>0.45999999999999941</v>
      </c>
      <c r="H14">
        <v>24</v>
      </c>
      <c r="I14">
        <v>21.9</v>
      </c>
      <c r="J14">
        <f t="shared" si="39"/>
        <v>1.6000000000000014</v>
      </c>
      <c r="L14">
        <v>11</v>
      </c>
      <c r="M14">
        <f t="shared" si="51"/>
        <v>10.6</v>
      </c>
      <c r="N14">
        <f t="shared" si="40"/>
        <v>10.6</v>
      </c>
      <c r="P14">
        <f t="shared" si="52"/>
        <v>20.97</v>
      </c>
      <c r="Q14">
        <f t="shared" si="41"/>
        <v>20.97</v>
      </c>
      <c r="S14">
        <v>11</v>
      </c>
      <c r="T14">
        <f t="shared" si="42"/>
        <v>36.01</v>
      </c>
      <c r="AD14">
        <v>12</v>
      </c>
      <c r="AE14">
        <f t="shared" si="43"/>
        <v>12</v>
      </c>
      <c r="AF14">
        <f t="shared" si="44"/>
        <v>12</v>
      </c>
      <c r="AG14">
        <f t="shared" si="15"/>
        <v>0</v>
      </c>
      <c r="AH14">
        <f t="shared" si="16"/>
        <v>50</v>
      </c>
      <c r="AI14">
        <f t="shared" si="17"/>
        <v>7</v>
      </c>
      <c r="AJ14">
        <f t="shared" si="18"/>
        <v>0</v>
      </c>
      <c r="AK14">
        <f t="shared" si="19"/>
        <v>176.79999999999998</v>
      </c>
      <c r="AL14">
        <f t="shared" si="20"/>
        <v>7</v>
      </c>
      <c r="AM14">
        <f t="shared" si="21"/>
        <v>0</v>
      </c>
      <c r="AN14">
        <f t="shared" si="22"/>
        <v>316.79999999999995</v>
      </c>
      <c r="AO14">
        <f t="shared" si="23"/>
        <v>0</v>
      </c>
      <c r="AP14">
        <f t="shared" si="24"/>
        <v>0</v>
      </c>
      <c r="AQ14">
        <f t="shared" si="25"/>
        <v>0</v>
      </c>
      <c r="AR14">
        <f t="shared" si="26"/>
        <v>0</v>
      </c>
      <c r="AS14">
        <f t="shared" si="27"/>
        <v>0</v>
      </c>
      <c r="AT14">
        <f t="shared" si="28"/>
        <v>0</v>
      </c>
      <c r="AU14">
        <f t="shared" si="29"/>
        <v>0</v>
      </c>
      <c r="AV14">
        <f t="shared" si="30"/>
        <v>0</v>
      </c>
      <c r="AW14">
        <f t="shared" si="31"/>
        <v>0</v>
      </c>
      <c r="AX14">
        <f t="shared" si="45"/>
        <v>0</v>
      </c>
      <c r="AY14" s="7">
        <f t="shared" si="32"/>
        <v>316.79999999999995</v>
      </c>
      <c r="AZ14" t="str">
        <f t="shared" si="33"/>
        <v>炼狱之火Lv7</v>
      </c>
      <c r="BA14">
        <v>17</v>
      </c>
    </row>
    <row r="15" spans="4:170" x14ac:dyDescent="0.2">
      <c r="D15">
        <v>48</v>
      </c>
      <c r="E15">
        <v>56</v>
      </c>
      <c r="F15">
        <f t="shared" si="13"/>
        <v>2</v>
      </c>
      <c r="H15">
        <v>25</v>
      </c>
      <c r="I15">
        <v>23.5</v>
      </c>
      <c r="J15">
        <f t="shared" si="39"/>
        <v>1.5</v>
      </c>
      <c r="L15">
        <v>12</v>
      </c>
      <c r="M15">
        <f t="shared" si="51"/>
        <v>10.85</v>
      </c>
      <c r="N15">
        <f t="shared" si="40"/>
        <v>10.85</v>
      </c>
      <c r="P15">
        <f t="shared" si="52"/>
        <v>22.139999999999997</v>
      </c>
      <c r="Q15">
        <f t="shared" si="41"/>
        <v>22.14</v>
      </c>
      <c r="S15">
        <v>12</v>
      </c>
      <c r="T15">
        <f t="shared" si="42"/>
        <v>37.68</v>
      </c>
      <c r="AD15">
        <v>13</v>
      </c>
      <c r="AE15">
        <f t="shared" si="43"/>
        <v>13</v>
      </c>
      <c r="AF15">
        <f t="shared" si="44"/>
        <v>13</v>
      </c>
      <c r="AG15">
        <f t="shared" si="15"/>
        <v>0</v>
      </c>
      <c r="AH15">
        <f t="shared" si="16"/>
        <v>55</v>
      </c>
      <c r="AI15">
        <f t="shared" si="17"/>
        <v>8</v>
      </c>
      <c r="AJ15">
        <f t="shared" si="18"/>
        <v>0</v>
      </c>
      <c r="AK15">
        <f t="shared" si="19"/>
        <v>200.6</v>
      </c>
      <c r="AL15">
        <f t="shared" si="20"/>
        <v>8</v>
      </c>
      <c r="AM15">
        <f t="shared" si="21"/>
        <v>0</v>
      </c>
      <c r="AN15">
        <f t="shared" si="22"/>
        <v>356.4</v>
      </c>
      <c r="AO15">
        <f t="shared" si="23"/>
        <v>0</v>
      </c>
      <c r="AP15">
        <f t="shared" si="24"/>
        <v>0</v>
      </c>
      <c r="AQ15">
        <f t="shared" si="25"/>
        <v>0</v>
      </c>
      <c r="AR15">
        <f t="shared" si="26"/>
        <v>0</v>
      </c>
      <c r="AS15">
        <f t="shared" si="27"/>
        <v>0</v>
      </c>
      <c r="AT15">
        <f t="shared" si="28"/>
        <v>0</v>
      </c>
      <c r="AU15">
        <f t="shared" si="29"/>
        <v>0</v>
      </c>
      <c r="AV15">
        <f t="shared" si="30"/>
        <v>0</v>
      </c>
      <c r="AW15">
        <f t="shared" si="31"/>
        <v>0</v>
      </c>
      <c r="AX15">
        <f t="shared" si="45"/>
        <v>0</v>
      </c>
      <c r="AY15" s="7">
        <f t="shared" si="32"/>
        <v>356.4</v>
      </c>
      <c r="AZ15" t="str">
        <f t="shared" si="33"/>
        <v>炼狱之火Lv8</v>
      </c>
      <c r="BA15">
        <v>18</v>
      </c>
    </row>
    <row r="16" spans="4:170" x14ac:dyDescent="0.2">
      <c r="D16">
        <v>55</v>
      </c>
      <c r="E16">
        <v>70</v>
      </c>
      <c r="F16">
        <f t="shared" si="13"/>
        <v>2</v>
      </c>
      <c r="H16">
        <v>26</v>
      </c>
      <c r="I16">
        <v>25</v>
      </c>
      <c r="J16">
        <f t="shared" si="39"/>
        <v>1.6000000000000014</v>
      </c>
      <c r="L16">
        <v>13</v>
      </c>
      <c r="M16">
        <f t="shared" si="51"/>
        <v>11.1</v>
      </c>
      <c r="N16">
        <f t="shared" si="40"/>
        <v>11.1</v>
      </c>
      <c r="P16">
        <f t="shared" si="52"/>
        <v>23.309999999999995</v>
      </c>
      <c r="Q16">
        <f t="shared" si="41"/>
        <v>23.31</v>
      </c>
      <c r="S16">
        <v>13</v>
      </c>
      <c r="T16">
        <f t="shared" si="42"/>
        <v>39.35</v>
      </c>
      <c r="AD16">
        <v>14</v>
      </c>
      <c r="AE16" s="3">
        <v>15</v>
      </c>
      <c r="AF16">
        <f t="shared" si="44"/>
        <v>14</v>
      </c>
      <c r="AG16">
        <f t="shared" si="15"/>
        <v>0</v>
      </c>
      <c r="AH16">
        <f t="shared" si="16"/>
        <v>69.599999999999994</v>
      </c>
      <c r="AI16">
        <f t="shared" si="17"/>
        <v>9</v>
      </c>
      <c r="AJ16">
        <f t="shared" si="18"/>
        <v>0</v>
      </c>
      <c r="AK16">
        <f t="shared" si="19"/>
        <v>252.07999999999998</v>
      </c>
      <c r="AL16">
        <f t="shared" si="20"/>
        <v>9</v>
      </c>
      <c r="AM16">
        <f t="shared" si="21"/>
        <v>0</v>
      </c>
      <c r="AN16">
        <f t="shared" si="22"/>
        <v>431.65000000000003</v>
      </c>
      <c r="AO16">
        <f t="shared" si="23"/>
        <v>0</v>
      </c>
      <c r="AP16">
        <f t="shared" si="24"/>
        <v>0</v>
      </c>
      <c r="AQ16">
        <f t="shared" si="25"/>
        <v>0</v>
      </c>
      <c r="AR16">
        <f t="shared" si="26"/>
        <v>0</v>
      </c>
      <c r="AS16">
        <f t="shared" si="27"/>
        <v>0</v>
      </c>
      <c r="AT16">
        <f t="shared" si="28"/>
        <v>0</v>
      </c>
      <c r="AU16">
        <f t="shared" si="29"/>
        <v>0</v>
      </c>
      <c r="AV16">
        <f t="shared" si="30"/>
        <v>0</v>
      </c>
      <c r="AW16">
        <f t="shared" si="31"/>
        <v>0</v>
      </c>
      <c r="AX16">
        <f t="shared" si="45"/>
        <v>0</v>
      </c>
      <c r="AY16" s="7">
        <f t="shared" si="32"/>
        <v>431.65000000000003</v>
      </c>
      <c r="AZ16" t="str">
        <f t="shared" si="33"/>
        <v>炼狱之火Lv9</v>
      </c>
      <c r="BA16">
        <v>20</v>
      </c>
    </row>
    <row r="17" spans="4:53" x14ac:dyDescent="0.2">
      <c r="D17">
        <v>60</v>
      </c>
      <c r="E17">
        <v>80</v>
      </c>
      <c r="F17">
        <f t="shared" si="13"/>
        <v>1.0833333333333333</v>
      </c>
      <c r="H17">
        <v>27</v>
      </c>
      <c r="I17">
        <v>26.6</v>
      </c>
      <c r="J17">
        <f t="shared" si="39"/>
        <v>0.79999999999999949</v>
      </c>
      <c r="L17">
        <v>14</v>
      </c>
      <c r="M17">
        <f t="shared" si="51"/>
        <v>11.35</v>
      </c>
      <c r="N17">
        <f t="shared" si="40"/>
        <v>11.35</v>
      </c>
      <c r="P17">
        <f t="shared" si="52"/>
        <v>24.479999999999993</v>
      </c>
      <c r="Q17">
        <f t="shared" si="41"/>
        <v>24.48</v>
      </c>
      <c r="S17">
        <v>14</v>
      </c>
      <c r="T17">
        <f t="shared" si="42"/>
        <v>41</v>
      </c>
      <c r="AD17">
        <v>15</v>
      </c>
      <c r="AE17">
        <f t="shared" si="43"/>
        <v>16</v>
      </c>
      <c r="AF17">
        <f t="shared" si="44"/>
        <v>15</v>
      </c>
      <c r="AG17">
        <f t="shared" si="15"/>
        <v>0</v>
      </c>
      <c r="AH17">
        <f t="shared" si="16"/>
        <v>75.399999999999991</v>
      </c>
      <c r="AI17">
        <f t="shared" si="17"/>
        <v>10</v>
      </c>
      <c r="AJ17">
        <f t="shared" si="18"/>
        <v>0</v>
      </c>
      <c r="AK17">
        <f t="shared" si="19"/>
        <v>287.03999999999996</v>
      </c>
      <c r="AL17">
        <f t="shared" si="20"/>
        <v>10</v>
      </c>
      <c r="AM17">
        <f t="shared" si="21"/>
        <v>0</v>
      </c>
      <c r="AN17">
        <f t="shared" si="22"/>
        <v>478.82</v>
      </c>
      <c r="AO17">
        <f t="shared" si="23"/>
        <v>0</v>
      </c>
      <c r="AP17">
        <f t="shared" si="24"/>
        <v>0</v>
      </c>
      <c r="AQ17">
        <f t="shared" si="25"/>
        <v>0</v>
      </c>
      <c r="AR17">
        <f t="shared" si="26"/>
        <v>0</v>
      </c>
      <c r="AS17">
        <f t="shared" si="27"/>
        <v>0</v>
      </c>
      <c r="AT17">
        <f t="shared" si="28"/>
        <v>0</v>
      </c>
      <c r="AU17">
        <f t="shared" si="29"/>
        <v>0</v>
      </c>
      <c r="AV17">
        <f t="shared" si="30"/>
        <v>0</v>
      </c>
      <c r="AW17">
        <f t="shared" si="31"/>
        <v>0</v>
      </c>
      <c r="AX17">
        <f t="shared" si="45"/>
        <v>0</v>
      </c>
      <c r="AY17" s="7">
        <f t="shared" si="32"/>
        <v>478.82</v>
      </c>
      <c r="AZ17" t="str">
        <f t="shared" si="33"/>
        <v>炼狱之火Lv10</v>
      </c>
      <c r="BA17">
        <v>21</v>
      </c>
    </row>
    <row r="18" spans="4:53" x14ac:dyDescent="0.2">
      <c r="D18">
        <v>66</v>
      </c>
      <c r="E18">
        <v>86.5</v>
      </c>
      <c r="F18">
        <f t="shared" si="13"/>
        <v>1.3106060606060606</v>
      </c>
      <c r="H18">
        <v>30</v>
      </c>
      <c r="I18">
        <v>29</v>
      </c>
      <c r="J18">
        <f t="shared" si="39"/>
        <v>1.3333333333333333</v>
      </c>
      <c r="L18">
        <v>15</v>
      </c>
      <c r="M18">
        <f t="shared" si="51"/>
        <v>11.6</v>
      </c>
      <c r="N18">
        <f t="shared" si="40"/>
        <v>11.6</v>
      </c>
      <c r="P18">
        <f t="shared" si="52"/>
        <v>25.65</v>
      </c>
      <c r="Q18">
        <f t="shared" si="41"/>
        <v>25.65</v>
      </c>
      <c r="S18">
        <v>15</v>
      </c>
      <c r="T18">
        <f t="shared" si="42"/>
        <v>42.67</v>
      </c>
      <c r="AD18">
        <v>16</v>
      </c>
      <c r="AE18">
        <f t="shared" si="43"/>
        <v>17</v>
      </c>
      <c r="AF18">
        <f t="shared" si="44"/>
        <v>16</v>
      </c>
      <c r="AG18">
        <f t="shared" si="15"/>
        <v>0</v>
      </c>
      <c r="AH18">
        <f t="shared" si="16"/>
        <v>81.199999999999989</v>
      </c>
      <c r="AI18">
        <f t="shared" si="17"/>
        <v>11</v>
      </c>
      <c r="AJ18">
        <f t="shared" si="18"/>
        <v>0</v>
      </c>
      <c r="AK18">
        <f t="shared" si="19"/>
        <v>322</v>
      </c>
      <c r="AL18">
        <f t="shared" si="20"/>
        <v>11</v>
      </c>
      <c r="AM18">
        <f t="shared" si="21"/>
        <v>0</v>
      </c>
      <c r="AN18">
        <f t="shared" si="22"/>
        <v>525.99</v>
      </c>
      <c r="AO18">
        <f t="shared" si="23"/>
        <v>0</v>
      </c>
      <c r="AP18">
        <f t="shared" si="24"/>
        <v>0</v>
      </c>
      <c r="AQ18">
        <f t="shared" si="25"/>
        <v>0</v>
      </c>
      <c r="AR18">
        <f t="shared" si="26"/>
        <v>0</v>
      </c>
      <c r="AS18">
        <f t="shared" si="27"/>
        <v>0</v>
      </c>
      <c r="AT18">
        <f t="shared" si="28"/>
        <v>0</v>
      </c>
      <c r="AU18">
        <f t="shared" si="29"/>
        <v>0</v>
      </c>
      <c r="AV18">
        <f t="shared" si="30"/>
        <v>0</v>
      </c>
      <c r="AW18">
        <f t="shared" si="31"/>
        <v>0</v>
      </c>
      <c r="AX18">
        <f t="shared" si="45"/>
        <v>0</v>
      </c>
      <c r="AY18" s="7">
        <f t="shared" si="32"/>
        <v>525.99</v>
      </c>
      <c r="AZ18" t="str">
        <f t="shared" si="33"/>
        <v>炼狱之火Lv11</v>
      </c>
      <c r="BA18">
        <v>23</v>
      </c>
    </row>
    <row r="19" spans="4:53" x14ac:dyDescent="0.2">
      <c r="H19">
        <v>33</v>
      </c>
      <c r="I19">
        <v>33</v>
      </c>
      <c r="J19">
        <f t="shared" si="39"/>
        <v>1.2000000000000028</v>
      </c>
      <c r="L19">
        <v>16</v>
      </c>
      <c r="M19">
        <f t="shared" si="51"/>
        <v>11.85</v>
      </c>
      <c r="N19">
        <f t="shared" si="40"/>
        <v>11.85</v>
      </c>
      <c r="P19">
        <f t="shared" si="52"/>
        <v>27.18</v>
      </c>
      <c r="Q19">
        <f t="shared" si="41"/>
        <v>27.18</v>
      </c>
      <c r="S19">
        <v>16</v>
      </c>
      <c r="T19">
        <f t="shared" si="42"/>
        <v>44.34</v>
      </c>
      <c r="AD19">
        <v>17</v>
      </c>
      <c r="AE19">
        <f t="shared" si="43"/>
        <v>18</v>
      </c>
      <c r="AF19">
        <f t="shared" si="44"/>
        <v>17</v>
      </c>
      <c r="AG19">
        <f t="shared" si="15"/>
        <v>0</v>
      </c>
      <c r="AH19">
        <f t="shared" si="16"/>
        <v>87</v>
      </c>
      <c r="AI19">
        <f t="shared" si="17"/>
        <v>12</v>
      </c>
      <c r="AJ19">
        <f t="shared" si="18"/>
        <v>0</v>
      </c>
      <c r="AK19">
        <f t="shared" si="19"/>
        <v>356.96</v>
      </c>
      <c r="AL19">
        <f t="shared" si="20"/>
        <v>12</v>
      </c>
      <c r="AM19">
        <f t="shared" si="21"/>
        <v>0</v>
      </c>
      <c r="AN19">
        <f t="shared" si="22"/>
        <v>573.16</v>
      </c>
      <c r="AO19">
        <f t="shared" si="23"/>
        <v>0</v>
      </c>
      <c r="AP19">
        <f t="shared" si="24"/>
        <v>0</v>
      </c>
      <c r="AQ19">
        <f t="shared" si="25"/>
        <v>0</v>
      </c>
      <c r="AR19">
        <f t="shared" si="26"/>
        <v>0</v>
      </c>
      <c r="AS19">
        <f t="shared" si="27"/>
        <v>0</v>
      </c>
      <c r="AT19">
        <f t="shared" si="28"/>
        <v>0</v>
      </c>
      <c r="AU19">
        <f t="shared" si="29"/>
        <v>0</v>
      </c>
      <c r="AV19">
        <f t="shared" si="30"/>
        <v>0</v>
      </c>
      <c r="AW19">
        <f t="shared" si="31"/>
        <v>0</v>
      </c>
      <c r="AX19">
        <f t="shared" si="45"/>
        <v>0</v>
      </c>
      <c r="AY19" s="7">
        <f t="shared" si="32"/>
        <v>573.16</v>
      </c>
      <c r="AZ19" t="str">
        <f t="shared" si="33"/>
        <v>炼狱之火Lv12</v>
      </c>
      <c r="BA19">
        <v>24</v>
      </c>
    </row>
    <row r="20" spans="4:53" x14ac:dyDescent="0.2">
      <c r="H20">
        <v>34</v>
      </c>
      <c r="I20">
        <v>34.200000000000003</v>
      </c>
      <c r="J20">
        <f t="shared" si="39"/>
        <v>0.73333333333333195</v>
      </c>
      <c r="L20">
        <v>17</v>
      </c>
      <c r="M20">
        <f t="shared" si="51"/>
        <v>12.1</v>
      </c>
      <c r="N20">
        <f t="shared" si="40"/>
        <v>12.1</v>
      </c>
      <c r="P20">
        <f t="shared" si="52"/>
        <v>28.71</v>
      </c>
      <c r="Q20">
        <f t="shared" si="41"/>
        <v>28.71</v>
      </c>
      <c r="S20">
        <v>17</v>
      </c>
      <c r="T20">
        <f t="shared" si="42"/>
        <v>46.01</v>
      </c>
      <c r="AD20">
        <v>18</v>
      </c>
      <c r="AE20">
        <f t="shared" si="43"/>
        <v>19</v>
      </c>
      <c r="AF20">
        <f t="shared" si="44"/>
        <v>18</v>
      </c>
      <c r="AG20">
        <f t="shared" si="15"/>
        <v>0</v>
      </c>
      <c r="AH20">
        <f t="shared" si="16"/>
        <v>97.44</v>
      </c>
      <c r="AI20">
        <f t="shared" si="17"/>
        <v>13</v>
      </c>
      <c r="AJ20">
        <f t="shared" si="18"/>
        <v>0</v>
      </c>
      <c r="AK20">
        <f t="shared" si="19"/>
        <v>391.91999999999996</v>
      </c>
      <c r="AL20">
        <f t="shared" si="20"/>
        <v>13</v>
      </c>
      <c r="AM20">
        <f t="shared" si="21"/>
        <v>0</v>
      </c>
      <c r="AN20">
        <f t="shared" si="22"/>
        <v>620.33000000000004</v>
      </c>
      <c r="AO20">
        <f t="shared" si="23"/>
        <v>1</v>
      </c>
      <c r="AP20">
        <f t="shared" si="24"/>
        <v>0</v>
      </c>
      <c r="AQ20">
        <f t="shared" si="25"/>
        <v>30.099999999999998</v>
      </c>
      <c r="AR20">
        <f t="shared" si="26"/>
        <v>0</v>
      </c>
      <c r="AS20">
        <f t="shared" si="27"/>
        <v>0</v>
      </c>
      <c r="AT20">
        <f t="shared" si="28"/>
        <v>0</v>
      </c>
      <c r="AU20">
        <f t="shared" si="29"/>
        <v>0</v>
      </c>
      <c r="AV20">
        <f t="shared" si="30"/>
        <v>0</v>
      </c>
      <c r="AW20">
        <f t="shared" si="31"/>
        <v>0</v>
      </c>
      <c r="AX20">
        <f t="shared" si="45"/>
        <v>0</v>
      </c>
      <c r="AY20" s="7">
        <f t="shared" si="32"/>
        <v>620.33000000000004</v>
      </c>
      <c r="AZ20" t="str">
        <f t="shared" si="33"/>
        <v>炼狱之火Lv13</v>
      </c>
      <c r="BA20">
        <v>26</v>
      </c>
    </row>
    <row r="21" spans="4:53" x14ac:dyDescent="0.2">
      <c r="H21">
        <v>37</v>
      </c>
      <c r="I21">
        <v>36.4</v>
      </c>
      <c r="J21">
        <f t="shared" si="39"/>
        <v>1.3000000000000007</v>
      </c>
      <c r="L21">
        <v>18</v>
      </c>
      <c r="M21">
        <f t="shared" si="51"/>
        <v>13.824999999999999</v>
      </c>
      <c r="N21">
        <f t="shared" si="40"/>
        <v>13.83</v>
      </c>
      <c r="P21">
        <f t="shared" si="52"/>
        <v>30.240000000000002</v>
      </c>
      <c r="Q21">
        <f t="shared" si="41"/>
        <v>30.24</v>
      </c>
      <c r="S21">
        <v>18</v>
      </c>
      <c r="T21">
        <f t="shared" si="42"/>
        <v>47.68</v>
      </c>
      <c r="AD21">
        <v>19</v>
      </c>
      <c r="AE21">
        <f t="shared" si="43"/>
        <v>20</v>
      </c>
      <c r="AF21">
        <f t="shared" si="44"/>
        <v>19</v>
      </c>
      <c r="AG21">
        <f t="shared" si="15"/>
        <v>0</v>
      </c>
      <c r="AH21">
        <f t="shared" si="16"/>
        <v>107.88</v>
      </c>
      <c r="AI21">
        <f t="shared" si="17"/>
        <v>14</v>
      </c>
      <c r="AJ21">
        <f t="shared" si="18"/>
        <v>0</v>
      </c>
      <c r="AK21">
        <f t="shared" si="19"/>
        <v>426.88</v>
      </c>
      <c r="AL21">
        <f t="shared" si="20"/>
        <v>14</v>
      </c>
      <c r="AM21">
        <f t="shared" si="21"/>
        <v>0</v>
      </c>
      <c r="AN21">
        <f t="shared" si="22"/>
        <v>667.5</v>
      </c>
      <c r="AO21">
        <f t="shared" si="23"/>
        <v>2</v>
      </c>
      <c r="AP21">
        <f t="shared" si="24"/>
        <v>0</v>
      </c>
      <c r="AQ21">
        <f t="shared" si="25"/>
        <v>45.58</v>
      </c>
      <c r="AR21">
        <f t="shared" si="26"/>
        <v>0</v>
      </c>
      <c r="AS21">
        <f t="shared" si="27"/>
        <v>0</v>
      </c>
      <c r="AT21">
        <f t="shared" si="28"/>
        <v>0</v>
      </c>
      <c r="AU21">
        <f t="shared" si="29"/>
        <v>0</v>
      </c>
      <c r="AV21">
        <f t="shared" si="30"/>
        <v>0</v>
      </c>
      <c r="AW21">
        <f t="shared" si="31"/>
        <v>0</v>
      </c>
      <c r="AX21">
        <f t="shared" si="45"/>
        <v>0</v>
      </c>
      <c r="AY21" s="7">
        <f t="shared" si="32"/>
        <v>667.5</v>
      </c>
      <c r="AZ21" t="str">
        <f t="shared" si="33"/>
        <v>炼狱之火Lv14</v>
      </c>
      <c r="BA21">
        <v>27</v>
      </c>
    </row>
    <row r="22" spans="4:53" x14ac:dyDescent="0.2">
      <c r="H22">
        <v>39</v>
      </c>
      <c r="I22">
        <v>39</v>
      </c>
      <c r="J22">
        <f t="shared" si="39"/>
        <v>1.5</v>
      </c>
      <c r="L22">
        <v>19</v>
      </c>
      <c r="M22">
        <f t="shared" si="51"/>
        <v>14.68</v>
      </c>
      <c r="N22">
        <f t="shared" si="40"/>
        <v>14.68</v>
      </c>
      <c r="P22">
        <f t="shared" si="52"/>
        <v>31.770000000000003</v>
      </c>
      <c r="Q22">
        <f t="shared" si="41"/>
        <v>31.77</v>
      </c>
      <c r="S22">
        <v>19</v>
      </c>
      <c r="T22">
        <f t="shared" si="42"/>
        <v>49.35</v>
      </c>
      <c r="AD22">
        <v>20</v>
      </c>
      <c r="AE22">
        <f t="shared" si="43"/>
        <v>21</v>
      </c>
      <c r="AF22">
        <f t="shared" si="44"/>
        <v>21</v>
      </c>
      <c r="AG22">
        <f t="shared" si="15"/>
        <v>1</v>
      </c>
      <c r="AH22">
        <f t="shared" si="16"/>
        <v>144.30000000000001</v>
      </c>
      <c r="AI22">
        <f t="shared" si="17"/>
        <v>16</v>
      </c>
      <c r="AJ22">
        <f t="shared" si="18"/>
        <v>1</v>
      </c>
      <c r="AK22">
        <f t="shared" si="19"/>
        <v>547.56000000000006</v>
      </c>
      <c r="AL22">
        <f t="shared" si="20"/>
        <v>16</v>
      </c>
      <c r="AM22">
        <f t="shared" si="21"/>
        <v>1</v>
      </c>
      <c r="AN22">
        <f t="shared" si="22"/>
        <v>845.72799999999995</v>
      </c>
      <c r="AO22">
        <f t="shared" si="23"/>
        <v>4</v>
      </c>
      <c r="AP22">
        <f t="shared" si="24"/>
        <v>1</v>
      </c>
      <c r="AQ22">
        <f t="shared" si="25"/>
        <v>94.874000000000009</v>
      </c>
      <c r="AR22">
        <f t="shared" si="26"/>
        <v>0</v>
      </c>
      <c r="AS22">
        <f t="shared" si="27"/>
        <v>1</v>
      </c>
      <c r="AT22">
        <f t="shared" si="28"/>
        <v>0</v>
      </c>
      <c r="AU22">
        <f t="shared" si="29"/>
        <v>0</v>
      </c>
      <c r="AV22">
        <f t="shared" si="30"/>
        <v>1</v>
      </c>
      <c r="AW22">
        <f t="shared" si="31"/>
        <v>0</v>
      </c>
      <c r="AX22">
        <v>1</v>
      </c>
      <c r="AY22" s="7">
        <f t="shared" si="32"/>
        <v>845.72799999999995</v>
      </c>
      <c r="AZ22" t="str">
        <f t="shared" si="33"/>
        <v>炼狱之火Lv16</v>
      </c>
      <c r="BA22" s="8">
        <v>30</v>
      </c>
    </row>
    <row r="23" spans="4:53" x14ac:dyDescent="0.2">
      <c r="H23">
        <v>40</v>
      </c>
      <c r="I23">
        <v>40.5</v>
      </c>
      <c r="J23">
        <f t="shared" si="39"/>
        <v>1.25</v>
      </c>
      <c r="L23">
        <v>20</v>
      </c>
      <c r="M23">
        <f t="shared" si="51"/>
        <v>16</v>
      </c>
      <c r="N23">
        <f t="shared" si="40"/>
        <v>16</v>
      </c>
      <c r="P23">
        <f t="shared" si="52"/>
        <v>33.299999999999997</v>
      </c>
      <c r="Q23">
        <f t="shared" si="41"/>
        <v>33.299999999999997</v>
      </c>
      <c r="S23">
        <v>20</v>
      </c>
      <c r="T23">
        <f t="shared" si="42"/>
        <v>51</v>
      </c>
      <c r="AD23">
        <v>21</v>
      </c>
      <c r="AE23">
        <f t="shared" si="43"/>
        <v>22</v>
      </c>
      <c r="AF23">
        <f t="shared" si="44"/>
        <v>21</v>
      </c>
      <c r="AG23">
        <f t="shared" si="15"/>
        <v>1</v>
      </c>
      <c r="AH23">
        <f t="shared" si="16"/>
        <v>144.30000000000001</v>
      </c>
      <c r="AI23">
        <f t="shared" si="17"/>
        <v>17</v>
      </c>
      <c r="AJ23">
        <f t="shared" si="18"/>
        <v>1</v>
      </c>
      <c r="AK23">
        <f t="shared" si="19"/>
        <v>586.09199999999998</v>
      </c>
      <c r="AL23">
        <f t="shared" si="20"/>
        <v>17</v>
      </c>
      <c r="AM23">
        <f t="shared" si="21"/>
        <v>1</v>
      </c>
      <c r="AN23">
        <f t="shared" si="22"/>
        <v>898.0920000000001</v>
      </c>
      <c r="AO23">
        <f t="shared" si="23"/>
        <v>5</v>
      </c>
      <c r="AP23">
        <f t="shared" si="24"/>
        <v>1</v>
      </c>
      <c r="AQ23">
        <f t="shared" si="25"/>
        <v>114.062</v>
      </c>
      <c r="AR23">
        <f t="shared" si="26"/>
        <v>0</v>
      </c>
      <c r="AS23">
        <f t="shared" si="27"/>
        <v>1</v>
      </c>
      <c r="AT23">
        <f t="shared" si="28"/>
        <v>0</v>
      </c>
      <c r="AU23">
        <f t="shared" si="29"/>
        <v>0</v>
      </c>
      <c r="AV23">
        <f t="shared" si="30"/>
        <v>1</v>
      </c>
      <c r="AW23">
        <f t="shared" si="31"/>
        <v>0</v>
      </c>
      <c r="AX23">
        <f t="shared" si="45"/>
        <v>1</v>
      </c>
      <c r="AY23" s="7">
        <f t="shared" si="32"/>
        <v>898.0920000000001</v>
      </c>
      <c r="AZ23" t="str">
        <f t="shared" si="33"/>
        <v>炼狱之火Lv17</v>
      </c>
      <c r="BA23">
        <v>32</v>
      </c>
    </row>
    <row r="24" spans="4:53" x14ac:dyDescent="0.2">
      <c r="H24">
        <v>42</v>
      </c>
      <c r="I24">
        <v>43</v>
      </c>
      <c r="J24">
        <f t="shared" si="39"/>
        <v>0.75</v>
      </c>
      <c r="L24">
        <v>21</v>
      </c>
      <c r="M24">
        <f t="shared" si="51"/>
        <v>17.399999999999999</v>
      </c>
      <c r="N24">
        <f t="shared" si="40"/>
        <v>17.399999999999999</v>
      </c>
      <c r="P24">
        <f t="shared" si="52"/>
        <v>34.566666666666663</v>
      </c>
      <c r="Q24">
        <f t="shared" si="41"/>
        <v>34.57</v>
      </c>
      <c r="S24">
        <v>21</v>
      </c>
      <c r="T24">
        <f t="shared" si="42"/>
        <v>53.5</v>
      </c>
      <c r="AD24">
        <v>22</v>
      </c>
      <c r="AE24">
        <f t="shared" si="43"/>
        <v>23</v>
      </c>
      <c r="AF24">
        <f t="shared" si="44"/>
        <v>21</v>
      </c>
      <c r="AG24">
        <f t="shared" si="15"/>
        <v>1</v>
      </c>
      <c r="AH24">
        <f t="shared" si="16"/>
        <v>167.38800000000001</v>
      </c>
      <c r="AI24">
        <f t="shared" si="17"/>
        <v>18</v>
      </c>
      <c r="AJ24">
        <f t="shared" si="18"/>
        <v>1</v>
      </c>
      <c r="AK24">
        <f t="shared" si="19"/>
        <v>644.90400000000011</v>
      </c>
      <c r="AL24">
        <f t="shared" si="20"/>
        <v>18</v>
      </c>
      <c r="AM24">
        <f t="shared" si="21"/>
        <v>1</v>
      </c>
      <c r="AN24">
        <f t="shared" si="22"/>
        <v>954.40800000000002</v>
      </c>
      <c r="AO24">
        <f t="shared" si="23"/>
        <v>6</v>
      </c>
      <c r="AP24">
        <f t="shared" si="24"/>
        <v>1</v>
      </c>
      <c r="AQ24">
        <f t="shared" si="25"/>
        <v>133.25</v>
      </c>
      <c r="AR24">
        <f t="shared" si="26"/>
        <v>0</v>
      </c>
      <c r="AS24">
        <f t="shared" si="27"/>
        <v>1</v>
      </c>
      <c r="AT24">
        <f t="shared" si="28"/>
        <v>0</v>
      </c>
      <c r="AU24">
        <f t="shared" si="29"/>
        <v>0</v>
      </c>
      <c r="AV24">
        <f t="shared" si="30"/>
        <v>1</v>
      </c>
      <c r="AW24">
        <f t="shared" si="31"/>
        <v>0</v>
      </c>
      <c r="AX24">
        <f t="shared" si="45"/>
        <v>1</v>
      </c>
      <c r="AY24" s="7">
        <f t="shared" si="32"/>
        <v>954.40800000000002</v>
      </c>
      <c r="AZ24" t="str">
        <f t="shared" si="33"/>
        <v>炼狱之火Lv18</v>
      </c>
      <c r="BA24">
        <v>33</v>
      </c>
    </row>
    <row r="25" spans="4:53" x14ac:dyDescent="0.2">
      <c r="H25">
        <v>46</v>
      </c>
      <c r="I25">
        <v>46</v>
      </c>
      <c r="J25">
        <f t="shared" si="39"/>
        <v>0.66666666666666663</v>
      </c>
      <c r="L25">
        <v>22</v>
      </c>
      <c r="M25">
        <f t="shared" si="51"/>
        <v>18.8</v>
      </c>
      <c r="N25">
        <f t="shared" si="40"/>
        <v>18.8</v>
      </c>
      <c r="P25">
        <f t="shared" si="52"/>
        <v>35.833333333333329</v>
      </c>
      <c r="Q25">
        <f t="shared" si="41"/>
        <v>35.83</v>
      </c>
      <c r="S25">
        <v>22</v>
      </c>
      <c r="T25">
        <f t="shared" si="42"/>
        <v>56</v>
      </c>
      <c r="AD25">
        <v>23</v>
      </c>
      <c r="AE25">
        <f t="shared" si="43"/>
        <v>24</v>
      </c>
      <c r="AF25">
        <f t="shared" si="44"/>
        <v>21</v>
      </c>
      <c r="AG25">
        <f t="shared" si="15"/>
        <v>1</v>
      </c>
      <c r="AH25">
        <f t="shared" si="16"/>
        <v>190.47600000000003</v>
      </c>
      <c r="AI25">
        <f t="shared" si="17"/>
        <v>19</v>
      </c>
      <c r="AJ25">
        <f t="shared" si="18"/>
        <v>1</v>
      </c>
      <c r="AK25">
        <f t="shared" si="19"/>
        <v>703.71600000000001</v>
      </c>
      <c r="AL25">
        <f t="shared" si="20"/>
        <v>19</v>
      </c>
      <c r="AM25">
        <f t="shared" si="21"/>
        <v>1</v>
      </c>
      <c r="AN25">
        <f t="shared" si="22"/>
        <v>1010.724</v>
      </c>
      <c r="AO25">
        <f t="shared" si="23"/>
        <v>7</v>
      </c>
      <c r="AP25">
        <f t="shared" si="24"/>
        <v>1</v>
      </c>
      <c r="AQ25">
        <f t="shared" si="25"/>
        <v>152.43800000000002</v>
      </c>
      <c r="AR25">
        <f t="shared" si="26"/>
        <v>0</v>
      </c>
      <c r="AS25">
        <f t="shared" si="27"/>
        <v>1</v>
      </c>
      <c r="AT25">
        <f t="shared" si="28"/>
        <v>0</v>
      </c>
      <c r="AU25">
        <f t="shared" si="29"/>
        <v>0</v>
      </c>
      <c r="AV25">
        <f t="shared" si="30"/>
        <v>1</v>
      </c>
      <c r="AW25">
        <f t="shared" si="31"/>
        <v>0</v>
      </c>
      <c r="AX25">
        <f t="shared" si="45"/>
        <v>1</v>
      </c>
      <c r="AY25" s="7">
        <f t="shared" si="32"/>
        <v>1010.724</v>
      </c>
      <c r="AZ25" t="str">
        <f t="shared" si="33"/>
        <v>炼狱之火Lv19</v>
      </c>
      <c r="BA25">
        <v>34</v>
      </c>
    </row>
    <row r="26" spans="4:53" x14ac:dyDescent="0.2">
      <c r="H26">
        <v>64</v>
      </c>
      <c r="I26">
        <v>58</v>
      </c>
      <c r="J26">
        <v>0.5</v>
      </c>
      <c r="L26">
        <v>23</v>
      </c>
      <c r="M26">
        <f t="shared" si="51"/>
        <v>20.2</v>
      </c>
      <c r="N26">
        <f t="shared" si="40"/>
        <v>20.2</v>
      </c>
      <c r="P26">
        <f t="shared" si="52"/>
        <v>37.1</v>
      </c>
      <c r="Q26">
        <f t="shared" si="41"/>
        <v>37.1</v>
      </c>
      <c r="S26">
        <v>23</v>
      </c>
      <c r="T26">
        <f t="shared" si="42"/>
        <v>58.5</v>
      </c>
      <c r="AD26">
        <v>24</v>
      </c>
      <c r="AE26">
        <f t="shared" si="43"/>
        <v>25</v>
      </c>
      <c r="AF26">
        <f t="shared" si="44"/>
        <v>21</v>
      </c>
      <c r="AG26">
        <f t="shared" si="15"/>
        <v>1</v>
      </c>
      <c r="AH26">
        <f t="shared" si="16"/>
        <v>213.56400000000002</v>
      </c>
      <c r="AI26">
        <f t="shared" si="17"/>
        <v>20</v>
      </c>
      <c r="AJ26">
        <f t="shared" si="18"/>
        <v>1</v>
      </c>
      <c r="AK26">
        <f t="shared" si="19"/>
        <v>762.52800000000002</v>
      </c>
      <c r="AL26">
        <f t="shared" si="20"/>
        <v>20</v>
      </c>
      <c r="AM26">
        <f t="shared" si="21"/>
        <v>1</v>
      </c>
      <c r="AN26">
        <f t="shared" si="22"/>
        <v>1067.04</v>
      </c>
      <c r="AO26">
        <f t="shared" si="23"/>
        <v>8</v>
      </c>
      <c r="AP26">
        <f t="shared" si="24"/>
        <v>1</v>
      </c>
      <c r="AQ26">
        <f t="shared" si="25"/>
        <v>171.62600000000003</v>
      </c>
      <c r="AR26">
        <f t="shared" si="26"/>
        <v>2</v>
      </c>
      <c r="AS26">
        <f t="shared" si="27"/>
        <v>1</v>
      </c>
      <c r="AT26">
        <f t="shared" si="28"/>
        <v>446.97120000000001</v>
      </c>
      <c r="AU26">
        <f t="shared" si="29"/>
        <v>0</v>
      </c>
      <c r="AV26">
        <f t="shared" si="30"/>
        <v>1</v>
      </c>
      <c r="AW26">
        <f t="shared" si="31"/>
        <v>0</v>
      </c>
      <c r="AX26">
        <f t="shared" si="45"/>
        <v>1</v>
      </c>
      <c r="AY26" s="7">
        <f t="shared" si="32"/>
        <v>1067.04</v>
      </c>
      <c r="AZ26" t="str">
        <f t="shared" si="33"/>
        <v>炼狱之火Lv20</v>
      </c>
      <c r="BA26">
        <v>36</v>
      </c>
    </row>
    <row r="27" spans="4:53" x14ac:dyDescent="0.2">
      <c r="L27">
        <v>24</v>
      </c>
      <c r="M27">
        <f t="shared" si="51"/>
        <v>21.9</v>
      </c>
      <c r="N27">
        <f t="shared" si="40"/>
        <v>21.9</v>
      </c>
      <c r="P27">
        <f t="shared" si="52"/>
        <v>38</v>
      </c>
      <c r="Q27">
        <f t="shared" si="41"/>
        <v>38</v>
      </c>
      <c r="S27">
        <v>24</v>
      </c>
      <c r="T27">
        <f t="shared" si="42"/>
        <v>61</v>
      </c>
      <c r="AD27">
        <v>25</v>
      </c>
      <c r="AE27">
        <f t="shared" si="43"/>
        <v>26</v>
      </c>
      <c r="AF27">
        <f t="shared" si="44"/>
        <v>23</v>
      </c>
      <c r="AG27">
        <f t="shared" si="15"/>
        <v>3</v>
      </c>
      <c r="AH27">
        <f t="shared" si="16"/>
        <v>226.07999999999998</v>
      </c>
      <c r="AI27">
        <f t="shared" si="17"/>
        <v>23</v>
      </c>
      <c r="AJ27">
        <f t="shared" si="18"/>
        <v>3</v>
      </c>
      <c r="AK27">
        <f t="shared" si="19"/>
        <v>677.52</v>
      </c>
      <c r="AL27">
        <f t="shared" si="20"/>
        <v>23</v>
      </c>
      <c r="AM27">
        <f t="shared" si="21"/>
        <v>3</v>
      </c>
      <c r="AN27">
        <f t="shared" si="22"/>
        <v>909.36</v>
      </c>
      <c r="AO27">
        <f t="shared" si="23"/>
        <v>11</v>
      </c>
      <c r="AP27">
        <f t="shared" si="24"/>
        <v>3</v>
      </c>
      <c r="AQ27">
        <f t="shared" si="25"/>
        <v>261.072</v>
      </c>
      <c r="AR27">
        <f t="shared" si="26"/>
        <v>5</v>
      </c>
      <c r="AS27">
        <f t="shared" si="27"/>
        <v>3</v>
      </c>
      <c r="AT27">
        <f t="shared" si="28"/>
        <v>653.52959999999996</v>
      </c>
      <c r="AU27">
        <f t="shared" si="29"/>
        <v>0</v>
      </c>
      <c r="AV27">
        <f t="shared" si="30"/>
        <v>3</v>
      </c>
      <c r="AW27">
        <f t="shared" si="31"/>
        <v>0</v>
      </c>
      <c r="AX27">
        <v>3</v>
      </c>
      <c r="AY27" s="7">
        <f t="shared" si="32"/>
        <v>909.36</v>
      </c>
      <c r="AZ27" t="str">
        <f t="shared" si="33"/>
        <v>炼狱之火Lv23</v>
      </c>
      <c r="BA27">
        <v>37</v>
      </c>
    </row>
    <row r="28" spans="4:53" x14ac:dyDescent="0.2">
      <c r="L28">
        <v>25</v>
      </c>
      <c r="M28">
        <f t="shared" si="51"/>
        <v>23.5</v>
      </c>
      <c r="N28">
        <f t="shared" si="40"/>
        <v>23.5</v>
      </c>
      <c r="P28">
        <f t="shared" si="52"/>
        <v>39.799999999999997</v>
      </c>
      <c r="Q28">
        <f t="shared" si="41"/>
        <v>39.799999999999997</v>
      </c>
      <c r="S28">
        <v>25</v>
      </c>
      <c r="T28">
        <f t="shared" si="42"/>
        <v>63.5</v>
      </c>
      <c r="AD28">
        <v>26</v>
      </c>
      <c r="AE28" s="3">
        <v>29</v>
      </c>
      <c r="AF28">
        <f t="shared" si="44"/>
        <v>23</v>
      </c>
      <c r="AG28">
        <f t="shared" si="15"/>
        <v>3</v>
      </c>
      <c r="AH28">
        <f t="shared" si="16"/>
        <v>334.59839999999997</v>
      </c>
      <c r="AI28">
        <f t="shared" si="17"/>
        <v>23</v>
      </c>
      <c r="AJ28">
        <f t="shared" si="18"/>
        <v>3</v>
      </c>
      <c r="AK28">
        <f t="shared" si="19"/>
        <v>962.07839999999987</v>
      </c>
      <c r="AL28">
        <f t="shared" si="20"/>
        <v>23</v>
      </c>
      <c r="AM28">
        <f t="shared" si="21"/>
        <v>3</v>
      </c>
      <c r="AN28">
        <f t="shared" si="22"/>
        <v>1264.0104000000001</v>
      </c>
      <c r="AO28">
        <f t="shared" si="23"/>
        <v>12</v>
      </c>
      <c r="AP28">
        <f t="shared" si="24"/>
        <v>3</v>
      </c>
      <c r="AQ28">
        <f t="shared" si="25"/>
        <v>306.6336</v>
      </c>
      <c r="AR28">
        <f t="shared" si="26"/>
        <v>6</v>
      </c>
      <c r="AS28">
        <f t="shared" si="27"/>
        <v>3</v>
      </c>
      <c r="AT28">
        <f t="shared" si="28"/>
        <v>786.24</v>
      </c>
      <c r="AU28">
        <f t="shared" si="29"/>
        <v>0</v>
      </c>
      <c r="AV28">
        <f t="shared" si="30"/>
        <v>3</v>
      </c>
      <c r="AW28">
        <f t="shared" si="31"/>
        <v>0</v>
      </c>
      <c r="AX28">
        <f t="shared" si="45"/>
        <v>3</v>
      </c>
      <c r="AY28" s="7">
        <f t="shared" si="32"/>
        <v>1264.0104000000001</v>
      </c>
      <c r="AZ28" t="str">
        <f t="shared" si="33"/>
        <v>炼狱之火Lv23</v>
      </c>
      <c r="BA28">
        <v>38</v>
      </c>
    </row>
    <row r="29" spans="4:53" x14ac:dyDescent="0.2">
      <c r="L29">
        <v>26</v>
      </c>
      <c r="M29">
        <f t="shared" si="51"/>
        <v>25</v>
      </c>
      <c r="N29">
        <f t="shared" si="40"/>
        <v>25</v>
      </c>
      <c r="P29">
        <f t="shared" si="52"/>
        <v>40.185714285714283</v>
      </c>
      <c r="Q29">
        <f t="shared" si="41"/>
        <v>40.19</v>
      </c>
      <c r="S29">
        <v>26</v>
      </c>
      <c r="T29">
        <f t="shared" si="42"/>
        <v>66</v>
      </c>
      <c r="AD29">
        <v>27</v>
      </c>
      <c r="AE29">
        <f t="shared" si="43"/>
        <v>30</v>
      </c>
      <c r="AF29">
        <f t="shared" si="44"/>
        <v>23</v>
      </c>
      <c r="AG29">
        <f t="shared" si="15"/>
        <v>3</v>
      </c>
      <c r="AH29">
        <f t="shared" si="16"/>
        <v>370.77120000000002</v>
      </c>
      <c r="AI29">
        <f t="shared" si="17"/>
        <v>23</v>
      </c>
      <c r="AJ29">
        <f t="shared" si="18"/>
        <v>3</v>
      </c>
      <c r="AK29">
        <f t="shared" si="19"/>
        <v>1056.9312</v>
      </c>
      <c r="AL29">
        <f t="shared" si="20"/>
        <v>23</v>
      </c>
      <c r="AM29">
        <f t="shared" si="21"/>
        <v>3</v>
      </c>
      <c r="AN29">
        <f t="shared" si="22"/>
        <v>1382.2272</v>
      </c>
      <c r="AO29">
        <f t="shared" si="23"/>
        <v>13</v>
      </c>
      <c r="AP29">
        <f t="shared" si="24"/>
        <v>3</v>
      </c>
      <c r="AQ29">
        <f t="shared" si="25"/>
        <v>338.08320000000003</v>
      </c>
      <c r="AR29">
        <f t="shared" si="26"/>
        <v>7</v>
      </c>
      <c r="AS29">
        <f t="shared" si="27"/>
        <v>3</v>
      </c>
      <c r="AT29">
        <f t="shared" si="28"/>
        <v>876.096</v>
      </c>
      <c r="AU29">
        <f t="shared" si="29"/>
        <v>0</v>
      </c>
      <c r="AV29">
        <f t="shared" si="30"/>
        <v>3</v>
      </c>
      <c r="AW29">
        <f t="shared" si="31"/>
        <v>0</v>
      </c>
      <c r="AX29">
        <f t="shared" si="45"/>
        <v>3</v>
      </c>
      <c r="AY29" s="7">
        <f t="shared" si="32"/>
        <v>1382.2272</v>
      </c>
      <c r="AZ29" t="str">
        <f t="shared" si="33"/>
        <v>炼狱之火Lv23</v>
      </c>
      <c r="BA29">
        <v>40</v>
      </c>
    </row>
    <row r="30" spans="4:53" x14ac:dyDescent="0.2">
      <c r="L30">
        <v>27</v>
      </c>
      <c r="M30">
        <f t="shared" si="51"/>
        <v>26.6</v>
      </c>
      <c r="N30">
        <f t="shared" si="40"/>
        <v>26.6</v>
      </c>
      <c r="P30">
        <f t="shared" si="52"/>
        <v>40.571428571428569</v>
      </c>
      <c r="Q30">
        <f t="shared" si="41"/>
        <v>40.57</v>
      </c>
      <c r="S30">
        <v>27</v>
      </c>
      <c r="T30">
        <f t="shared" si="42"/>
        <v>68.5</v>
      </c>
      <c r="AD30">
        <v>28</v>
      </c>
      <c r="AE30">
        <f t="shared" si="43"/>
        <v>31</v>
      </c>
      <c r="AF30">
        <f t="shared" si="44"/>
        <v>23</v>
      </c>
      <c r="AG30">
        <f t="shared" si="15"/>
        <v>3</v>
      </c>
      <c r="AH30">
        <f t="shared" si="16"/>
        <v>406.94399999999996</v>
      </c>
      <c r="AI30">
        <f t="shared" si="17"/>
        <v>23</v>
      </c>
      <c r="AJ30">
        <f t="shared" si="18"/>
        <v>3</v>
      </c>
      <c r="AK30">
        <f t="shared" si="19"/>
        <v>1151.7839999999999</v>
      </c>
      <c r="AL30">
        <f t="shared" si="20"/>
        <v>23</v>
      </c>
      <c r="AM30">
        <f t="shared" si="21"/>
        <v>3</v>
      </c>
      <c r="AN30">
        <f t="shared" si="22"/>
        <v>1500.444</v>
      </c>
      <c r="AO30">
        <f t="shared" si="23"/>
        <v>14</v>
      </c>
      <c r="AP30">
        <f t="shared" si="24"/>
        <v>3</v>
      </c>
      <c r="AQ30">
        <f t="shared" si="25"/>
        <v>369.53280000000001</v>
      </c>
      <c r="AR30">
        <f t="shared" si="26"/>
        <v>8</v>
      </c>
      <c r="AS30">
        <f t="shared" si="27"/>
        <v>3</v>
      </c>
      <c r="AT30">
        <f t="shared" si="28"/>
        <v>965.952</v>
      </c>
      <c r="AU30">
        <f t="shared" si="29"/>
        <v>0</v>
      </c>
      <c r="AV30">
        <f t="shared" si="30"/>
        <v>3</v>
      </c>
      <c r="AW30">
        <f t="shared" si="31"/>
        <v>0</v>
      </c>
      <c r="AX30">
        <f t="shared" si="45"/>
        <v>3</v>
      </c>
      <c r="AY30" s="7">
        <f t="shared" si="32"/>
        <v>1500.444</v>
      </c>
      <c r="AZ30" t="str">
        <f t="shared" si="33"/>
        <v>炼狱之火Lv23</v>
      </c>
      <c r="BA30">
        <v>41</v>
      </c>
    </row>
    <row r="31" spans="4:53" x14ac:dyDescent="0.2">
      <c r="L31">
        <v>28</v>
      </c>
      <c r="M31">
        <f t="shared" si="51"/>
        <v>27.400000000000002</v>
      </c>
      <c r="N31">
        <f t="shared" si="40"/>
        <v>27.4</v>
      </c>
      <c r="P31">
        <f t="shared" si="52"/>
        <v>40.957142857142856</v>
      </c>
      <c r="Q31">
        <f t="shared" si="41"/>
        <v>40.96</v>
      </c>
      <c r="S31">
        <v>28</v>
      </c>
      <c r="T31">
        <f t="shared" si="42"/>
        <v>71</v>
      </c>
      <c r="AD31">
        <v>29</v>
      </c>
      <c r="AE31">
        <f t="shared" si="43"/>
        <v>32</v>
      </c>
      <c r="AF31">
        <f t="shared" si="44"/>
        <v>23</v>
      </c>
      <c r="AG31">
        <f t="shared" si="15"/>
        <v>3</v>
      </c>
      <c r="AH31">
        <f t="shared" si="16"/>
        <v>443.11679999999996</v>
      </c>
      <c r="AI31">
        <f t="shared" si="17"/>
        <v>23</v>
      </c>
      <c r="AJ31">
        <f t="shared" si="18"/>
        <v>3</v>
      </c>
      <c r="AK31">
        <f t="shared" si="19"/>
        <v>1246.6367999999998</v>
      </c>
      <c r="AL31">
        <f t="shared" si="20"/>
        <v>23</v>
      </c>
      <c r="AM31">
        <f t="shared" si="21"/>
        <v>3</v>
      </c>
      <c r="AN31">
        <f t="shared" si="22"/>
        <v>1618.6608000000001</v>
      </c>
      <c r="AO31">
        <f t="shared" si="23"/>
        <v>15</v>
      </c>
      <c r="AP31">
        <f t="shared" si="24"/>
        <v>3</v>
      </c>
      <c r="AQ31">
        <f t="shared" si="25"/>
        <v>400.98239999999998</v>
      </c>
      <c r="AR31">
        <f t="shared" si="26"/>
        <v>9</v>
      </c>
      <c r="AS31">
        <f t="shared" si="27"/>
        <v>3</v>
      </c>
      <c r="AT31">
        <f t="shared" si="28"/>
        <v>1115.712</v>
      </c>
      <c r="AU31">
        <f t="shared" si="29"/>
        <v>0</v>
      </c>
      <c r="AV31">
        <f t="shared" si="30"/>
        <v>3</v>
      </c>
      <c r="AW31">
        <f t="shared" si="31"/>
        <v>0</v>
      </c>
      <c r="AX31">
        <f t="shared" si="45"/>
        <v>3</v>
      </c>
      <c r="AY31" s="7">
        <f t="shared" si="32"/>
        <v>1618.6608000000001</v>
      </c>
      <c r="AZ31" t="str">
        <f t="shared" si="33"/>
        <v>炼狱之火Lv23</v>
      </c>
      <c r="BA31">
        <v>42</v>
      </c>
    </row>
    <row r="32" spans="4:53" x14ac:dyDescent="0.2">
      <c r="L32">
        <v>29</v>
      </c>
      <c r="M32">
        <f t="shared" si="51"/>
        <v>28.200000000000003</v>
      </c>
      <c r="N32">
        <f t="shared" si="40"/>
        <v>28.2</v>
      </c>
      <c r="P32">
        <f t="shared" si="52"/>
        <v>41.342857142857142</v>
      </c>
      <c r="Q32">
        <f t="shared" si="41"/>
        <v>41.34</v>
      </c>
      <c r="S32">
        <v>29</v>
      </c>
      <c r="T32">
        <f t="shared" si="42"/>
        <v>73.5</v>
      </c>
      <c r="AD32">
        <v>30</v>
      </c>
      <c r="AE32">
        <f t="shared" si="43"/>
        <v>33</v>
      </c>
      <c r="AF32">
        <f t="shared" si="44"/>
        <v>23</v>
      </c>
      <c r="AG32">
        <f t="shared" si="15"/>
        <v>3</v>
      </c>
      <c r="AH32">
        <f t="shared" si="16"/>
        <v>479.28960000000001</v>
      </c>
      <c r="AI32">
        <f t="shared" si="17"/>
        <v>23</v>
      </c>
      <c r="AJ32">
        <f t="shared" si="18"/>
        <v>3</v>
      </c>
      <c r="AK32">
        <f t="shared" si="19"/>
        <v>1341.4895999999999</v>
      </c>
      <c r="AL32">
        <f t="shared" si="20"/>
        <v>23</v>
      </c>
      <c r="AM32">
        <f t="shared" si="21"/>
        <v>3</v>
      </c>
      <c r="AN32">
        <f t="shared" si="22"/>
        <v>1736.8776000000003</v>
      </c>
      <c r="AO32">
        <f t="shared" si="23"/>
        <v>16</v>
      </c>
      <c r="AP32">
        <f t="shared" si="24"/>
        <v>3</v>
      </c>
      <c r="AQ32">
        <f t="shared" si="25"/>
        <v>432.43200000000002</v>
      </c>
      <c r="AR32">
        <f t="shared" si="26"/>
        <v>10</v>
      </c>
      <c r="AS32">
        <f t="shared" si="27"/>
        <v>3</v>
      </c>
      <c r="AT32">
        <f t="shared" si="28"/>
        <v>1265.472</v>
      </c>
      <c r="AU32">
        <f t="shared" si="29"/>
        <v>4</v>
      </c>
      <c r="AV32">
        <f t="shared" si="30"/>
        <v>3</v>
      </c>
      <c r="AW32">
        <f t="shared" si="31"/>
        <v>5385.9686400000001</v>
      </c>
      <c r="AX32">
        <f t="shared" si="45"/>
        <v>3</v>
      </c>
      <c r="AY32" s="7">
        <f t="shared" si="32"/>
        <v>5385.9686400000001</v>
      </c>
      <c r="AZ32" t="str">
        <f t="shared" si="33"/>
        <v>火蛇Lv4</v>
      </c>
      <c r="BA32">
        <v>44</v>
      </c>
    </row>
    <row r="33" spans="12:53" x14ac:dyDescent="0.2">
      <c r="L33">
        <v>30</v>
      </c>
      <c r="M33">
        <f t="shared" si="51"/>
        <v>29</v>
      </c>
      <c r="N33">
        <f t="shared" si="40"/>
        <v>29</v>
      </c>
      <c r="P33">
        <f t="shared" si="52"/>
        <v>41.728571428571428</v>
      </c>
      <c r="Q33">
        <f t="shared" si="41"/>
        <v>41.73</v>
      </c>
      <c r="S33">
        <v>30</v>
      </c>
      <c r="T33">
        <f t="shared" si="42"/>
        <v>76</v>
      </c>
      <c r="AD33">
        <v>31</v>
      </c>
      <c r="AE33">
        <f t="shared" si="43"/>
        <v>34</v>
      </c>
      <c r="AF33">
        <f t="shared" si="44"/>
        <v>23</v>
      </c>
      <c r="AG33">
        <f t="shared" si="15"/>
        <v>4</v>
      </c>
      <c r="AH33">
        <f t="shared" si="16"/>
        <v>502.58840000000004</v>
      </c>
      <c r="AI33">
        <f t="shared" si="17"/>
        <v>23</v>
      </c>
      <c r="AJ33">
        <f t="shared" si="18"/>
        <v>4</v>
      </c>
      <c r="AK33">
        <f t="shared" si="19"/>
        <v>1406.7009</v>
      </c>
      <c r="AL33">
        <f t="shared" si="20"/>
        <v>23</v>
      </c>
      <c r="AM33">
        <f t="shared" si="21"/>
        <v>4</v>
      </c>
      <c r="AN33">
        <f t="shared" si="22"/>
        <v>1821.3091500000003</v>
      </c>
      <c r="AO33">
        <f t="shared" si="23"/>
        <v>17</v>
      </c>
      <c r="AP33">
        <f t="shared" si="24"/>
        <v>4</v>
      </c>
      <c r="AQ33">
        <f t="shared" si="25"/>
        <v>473.9588</v>
      </c>
      <c r="AR33">
        <f t="shared" si="26"/>
        <v>11</v>
      </c>
      <c r="AS33">
        <f t="shared" si="27"/>
        <v>4</v>
      </c>
      <c r="AT33">
        <f t="shared" si="28"/>
        <v>1438.3655999999999</v>
      </c>
      <c r="AU33">
        <f t="shared" si="29"/>
        <v>5</v>
      </c>
      <c r="AV33">
        <f t="shared" si="30"/>
        <v>4</v>
      </c>
      <c r="AW33">
        <f t="shared" si="31"/>
        <v>6133.9824000000008</v>
      </c>
      <c r="AX33">
        <f t="shared" si="45"/>
        <v>3</v>
      </c>
      <c r="AY33" s="7">
        <f t="shared" si="32"/>
        <v>6133.9824000000008</v>
      </c>
      <c r="AZ33" t="str">
        <f t="shared" si="33"/>
        <v>火蛇Lv5</v>
      </c>
      <c r="BA33">
        <v>45</v>
      </c>
    </row>
    <row r="34" spans="12:53" x14ac:dyDescent="0.2">
      <c r="L34">
        <v>31</v>
      </c>
      <c r="M34">
        <f t="shared" si="51"/>
        <v>30.333333333333332</v>
      </c>
      <c r="N34">
        <f t="shared" si="40"/>
        <v>30.33</v>
      </c>
      <c r="P34">
        <f t="shared" si="52"/>
        <v>42.114285714285714</v>
      </c>
      <c r="Q34">
        <f t="shared" si="41"/>
        <v>42.11</v>
      </c>
      <c r="S34">
        <v>31</v>
      </c>
      <c r="T34">
        <f t="shared" si="42"/>
        <v>78.5</v>
      </c>
      <c r="AD34">
        <v>32</v>
      </c>
      <c r="AE34">
        <f t="shared" si="43"/>
        <v>35</v>
      </c>
      <c r="AF34">
        <f t="shared" si="44"/>
        <v>23</v>
      </c>
      <c r="AG34">
        <f t="shared" si="15"/>
        <v>5</v>
      </c>
      <c r="AH34">
        <f t="shared" si="16"/>
        <v>525.88720000000001</v>
      </c>
      <c r="AI34">
        <f t="shared" si="17"/>
        <v>23</v>
      </c>
      <c r="AJ34">
        <f t="shared" si="18"/>
        <v>5</v>
      </c>
      <c r="AK34">
        <f t="shared" si="19"/>
        <v>1471.9122</v>
      </c>
      <c r="AL34">
        <f t="shared" si="20"/>
        <v>23</v>
      </c>
      <c r="AM34">
        <f t="shared" si="21"/>
        <v>5</v>
      </c>
      <c r="AN34">
        <f t="shared" si="22"/>
        <v>1905.7407000000003</v>
      </c>
      <c r="AO34">
        <f t="shared" si="23"/>
        <v>18</v>
      </c>
      <c r="AP34">
        <f t="shared" si="24"/>
        <v>5</v>
      </c>
      <c r="AQ34">
        <f t="shared" si="25"/>
        <v>531.98599999999999</v>
      </c>
      <c r="AR34">
        <f t="shared" si="26"/>
        <v>12</v>
      </c>
      <c r="AS34">
        <f t="shared" si="27"/>
        <v>5</v>
      </c>
      <c r="AT34">
        <f t="shared" si="28"/>
        <v>1611.4736</v>
      </c>
      <c r="AU34">
        <f t="shared" si="29"/>
        <v>6</v>
      </c>
      <c r="AV34">
        <f t="shared" si="30"/>
        <v>5</v>
      </c>
      <c r="AW34">
        <f t="shared" si="31"/>
        <v>6832.4256000000005</v>
      </c>
      <c r="AX34">
        <f t="shared" si="45"/>
        <v>3</v>
      </c>
      <c r="AY34" s="7">
        <f t="shared" si="32"/>
        <v>6832.4256000000005</v>
      </c>
      <c r="AZ34" t="str">
        <f t="shared" si="33"/>
        <v>火蛇Lv6</v>
      </c>
      <c r="BA34">
        <v>46</v>
      </c>
    </row>
    <row r="35" spans="12:53" x14ac:dyDescent="0.2">
      <c r="L35">
        <v>32</v>
      </c>
      <c r="M35">
        <f t="shared" si="51"/>
        <v>31.666666666666664</v>
      </c>
      <c r="N35">
        <f t="shared" si="40"/>
        <v>31.67</v>
      </c>
      <c r="P35">
        <f t="shared" si="52"/>
        <v>42.5</v>
      </c>
      <c r="Q35">
        <f t="shared" si="41"/>
        <v>42.5</v>
      </c>
      <c r="S35">
        <v>32</v>
      </c>
      <c r="T35">
        <f t="shared" si="42"/>
        <v>81</v>
      </c>
      <c r="AD35">
        <v>33</v>
      </c>
      <c r="AE35">
        <f t="shared" si="43"/>
        <v>36</v>
      </c>
      <c r="AF35">
        <f t="shared" si="44"/>
        <v>23</v>
      </c>
      <c r="AG35">
        <f t="shared" si="15"/>
        <v>6</v>
      </c>
      <c r="AH35">
        <f t="shared" si="16"/>
        <v>549.18600000000004</v>
      </c>
      <c r="AI35">
        <f t="shared" si="17"/>
        <v>23</v>
      </c>
      <c r="AJ35">
        <f t="shared" si="18"/>
        <v>6</v>
      </c>
      <c r="AK35">
        <f t="shared" si="19"/>
        <v>1537.1234999999999</v>
      </c>
      <c r="AL35">
        <f t="shared" si="20"/>
        <v>23</v>
      </c>
      <c r="AM35">
        <f t="shared" si="21"/>
        <v>6</v>
      </c>
      <c r="AN35">
        <f t="shared" si="22"/>
        <v>1990.1722500000001</v>
      </c>
      <c r="AO35">
        <f t="shared" si="23"/>
        <v>19</v>
      </c>
      <c r="AP35">
        <f t="shared" si="24"/>
        <v>6</v>
      </c>
      <c r="AQ35">
        <f t="shared" si="25"/>
        <v>590.43599999999992</v>
      </c>
      <c r="AR35">
        <f t="shared" si="26"/>
        <v>13</v>
      </c>
      <c r="AS35">
        <f t="shared" si="27"/>
        <v>6</v>
      </c>
      <c r="AT35">
        <f t="shared" si="28"/>
        <v>1783.452</v>
      </c>
      <c r="AU35">
        <f t="shared" si="29"/>
        <v>7</v>
      </c>
      <c r="AV35">
        <f t="shared" si="30"/>
        <v>6</v>
      </c>
      <c r="AW35">
        <f t="shared" si="31"/>
        <v>7468.7183999999997</v>
      </c>
      <c r="AX35">
        <f t="shared" si="45"/>
        <v>3</v>
      </c>
      <c r="AY35" s="7">
        <f t="shared" si="32"/>
        <v>7468.7183999999997</v>
      </c>
      <c r="AZ35" t="str">
        <f t="shared" si="33"/>
        <v>火蛇Lv7</v>
      </c>
      <c r="BA35">
        <v>48</v>
      </c>
    </row>
    <row r="36" spans="12:53" x14ac:dyDescent="0.2">
      <c r="L36">
        <v>33</v>
      </c>
      <c r="M36">
        <f t="shared" si="51"/>
        <v>33</v>
      </c>
      <c r="N36">
        <f t="shared" si="40"/>
        <v>33</v>
      </c>
      <c r="P36">
        <f t="shared" si="52"/>
        <v>43.333333333333336</v>
      </c>
      <c r="Q36">
        <f t="shared" si="41"/>
        <v>43.33</v>
      </c>
      <c r="S36">
        <v>33</v>
      </c>
      <c r="T36">
        <f t="shared" si="42"/>
        <v>83.22</v>
      </c>
      <c r="AD36">
        <v>34</v>
      </c>
      <c r="AE36">
        <f t="shared" si="43"/>
        <v>37</v>
      </c>
      <c r="AF36">
        <f t="shared" si="44"/>
        <v>23</v>
      </c>
      <c r="AG36">
        <f t="shared" si="15"/>
        <v>7</v>
      </c>
      <c r="AH36">
        <f t="shared" si="16"/>
        <v>572.48480000000006</v>
      </c>
      <c r="AI36">
        <f t="shared" si="17"/>
        <v>23</v>
      </c>
      <c r="AJ36">
        <f t="shared" si="18"/>
        <v>7</v>
      </c>
      <c r="AK36">
        <f t="shared" si="19"/>
        <v>1602.3347999999999</v>
      </c>
      <c r="AL36">
        <f t="shared" si="20"/>
        <v>23</v>
      </c>
      <c r="AM36">
        <f t="shared" si="21"/>
        <v>7</v>
      </c>
      <c r="AN36">
        <f t="shared" si="22"/>
        <v>2074.6038000000003</v>
      </c>
      <c r="AO36">
        <f t="shared" si="23"/>
        <v>20</v>
      </c>
      <c r="AP36">
        <f t="shared" si="24"/>
        <v>7</v>
      </c>
      <c r="AQ36">
        <f t="shared" si="25"/>
        <v>648.95600000000002</v>
      </c>
      <c r="AR36">
        <f t="shared" si="26"/>
        <v>14</v>
      </c>
      <c r="AS36">
        <f t="shared" si="27"/>
        <v>7</v>
      </c>
      <c r="AT36">
        <f t="shared" si="28"/>
        <v>1952.9568000000002</v>
      </c>
      <c r="AU36">
        <f t="shared" si="29"/>
        <v>8</v>
      </c>
      <c r="AV36">
        <f t="shared" si="30"/>
        <v>7</v>
      </c>
      <c r="AW36">
        <f t="shared" si="31"/>
        <v>8030.2809600000001</v>
      </c>
      <c r="AX36">
        <f t="shared" si="45"/>
        <v>3</v>
      </c>
      <c r="AY36" s="7">
        <f t="shared" si="32"/>
        <v>8030.2809600000001</v>
      </c>
      <c r="AZ36" t="str">
        <f t="shared" si="33"/>
        <v>火蛇Lv8</v>
      </c>
      <c r="BA36">
        <v>49</v>
      </c>
    </row>
    <row r="37" spans="12:53" x14ac:dyDescent="0.2">
      <c r="L37">
        <v>34</v>
      </c>
      <c r="M37">
        <f t="shared" si="51"/>
        <v>34.200000000000003</v>
      </c>
      <c r="N37">
        <f t="shared" si="40"/>
        <v>34.200000000000003</v>
      </c>
      <c r="P37">
        <f t="shared" si="52"/>
        <v>44.166666666666671</v>
      </c>
      <c r="Q37">
        <f t="shared" si="41"/>
        <v>44.17</v>
      </c>
      <c r="S37">
        <v>34</v>
      </c>
      <c r="T37">
        <f t="shared" si="42"/>
        <v>85.44</v>
      </c>
      <c r="AD37">
        <v>35</v>
      </c>
      <c r="AE37">
        <f t="shared" si="43"/>
        <v>38</v>
      </c>
      <c r="AF37">
        <f t="shared" si="44"/>
        <v>23</v>
      </c>
      <c r="AG37">
        <f t="shared" si="15"/>
        <v>8</v>
      </c>
      <c r="AH37">
        <f t="shared" si="16"/>
        <v>595.78360000000009</v>
      </c>
      <c r="AI37">
        <f t="shared" si="17"/>
        <v>23</v>
      </c>
      <c r="AJ37">
        <f t="shared" si="18"/>
        <v>8</v>
      </c>
      <c r="AK37">
        <f t="shared" si="19"/>
        <v>1667.5461</v>
      </c>
      <c r="AL37">
        <f t="shared" si="20"/>
        <v>23</v>
      </c>
      <c r="AM37">
        <f t="shared" si="21"/>
        <v>8</v>
      </c>
      <c r="AN37">
        <f t="shared" si="22"/>
        <v>2159.0353500000001</v>
      </c>
      <c r="AO37">
        <f t="shared" si="23"/>
        <v>21</v>
      </c>
      <c r="AP37">
        <f t="shared" si="24"/>
        <v>8</v>
      </c>
      <c r="AQ37">
        <f t="shared" si="25"/>
        <v>707.19319999999993</v>
      </c>
      <c r="AR37">
        <f t="shared" si="26"/>
        <v>15</v>
      </c>
      <c r="AS37">
        <f t="shared" si="27"/>
        <v>8</v>
      </c>
      <c r="AT37">
        <f t="shared" si="28"/>
        <v>2118.6440000000002</v>
      </c>
      <c r="AU37">
        <f t="shared" si="29"/>
        <v>9</v>
      </c>
      <c r="AV37">
        <f t="shared" si="30"/>
        <v>8</v>
      </c>
      <c r="AW37">
        <f t="shared" si="31"/>
        <v>8987.0601600000009</v>
      </c>
      <c r="AX37">
        <f t="shared" si="45"/>
        <v>3</v>
      </c>
      <c r="AY37" s="7">
        <f t="shared" si="32"/>
        <v>8987.0601600000009</v>
      </c>
      <c r="AZ37" t="str">
        <f t="shared" si="33"/>
        <v>火蛇Lv9</v>
      </c>
      <c r="BA37">
        <v>50</v>
      </c>
    </row>
    <row r="38" spans="12:53" x14ac:dyDescent="0.2">
      <c r="L38">
        <v>35</v>
      </c>
      <c r="M38">
        <f t="shared" si="51"/>
        <v>34.933333333333337</v>
      </c>
      <c r="N38">
        <f t="shared" si="40"/>
        <v>34.93</v>
      </c>
      <c r="P38">
        <f t="shared" si="52"/>
        <v>45.000000000000007</v>
      </c>
      <c r="Q38">
        <f t="shared" si="41"/>
        <v>45</v>
      </c>
      <c r="S38">
        <v>35</v>
      </c>
      <c r="T38">
        <f t="shared" si="42"/>
        <v>87.66</v>
      </c>
      <c r="AD38">
        <v>36</v>
      </c>
      <c r="AE38" s="3">
        <v>40</v>
      </c>
      <c r="AF38">
        <f t="shared" si="44"/>
        <v>23</v>
      </c>
      <c r="AG38">
        <f t="shared" si="15"/>
        <v>9</v>
      </c>
      <c r="AH38">
        <f t="shared" si="16"/>
        <v>665.80560000000003</v>
      </c>
      <c r="AI38">
        <f t="shared" si="17"/>
        <v>23</v>
      </c>
      <c r="AJ38">
        <f t="shared" si="18"/>
        <v>9</v>
      </c>
      <c r="AK38">
        <f t="shared" si="19"/>
        <v>1855.2756000000002</v>
      </c>
      <c r="AL38">
        <f t="shared" si="20"/>
        <v>23</v>
      </c>
      <c r="AM38">
        <f t="shared" si="21"/>
        <v>9</v>
      </c>
      <c r="AN38">
        <f t="shared" si="22"/>
        <v>2396.1635999999999</v>
      </c>
      <c r="AO38">
        <f t="shared" si="23"/>
        <v>22</v>
      </c>
      <c r="AP38">
        <f t="shared" si="24"/>
        <v>9</v>
      </c>
      <c r="AQ38">
        <f t="shared" si="25"/>
        <v>787.97039999999993</v>
      </c>
      <c r="AR38">
        <f t="shared" si="26"/>
        <v>16</v>
      </c>
      <c r="AS38">
        <f t="shared" si="27"/>
        <v>9</v>
      </c>
      <c r="AT38">
        <f t="shared" si="28"/>
        <v>2365.1759999999999</v>
      </c>
      <c r="AU38">
        <f t="shared" si="29"/>
        <v>10</v>
      </c>
      <c r="AV38">
        <f t="shared" si="30"/>
        <v>9</v>
      </c>
      <c r="AW38">
        <f t="shared" si="31"/>
        <v>10592.00064</v>
      </c>
      <c r="AX38">
        <f t="shared" si="45"/>
        <v>3</v>
      </c>
      <c r="AY38" s="7">
        <f t="shared" si="32"/>
        <v>10592.00064</v>
      </c>
      <c r="AZ38" t="str">
        <f t="shared" si="33"/>
        <v>火蛇Lv10</v>
      </c>
      <c r="BA38">
        <v>52</v>
      </c>
    </row>
    <row r="39" spans="12:53" x14ac:dyDescent="0.2">
      <c r="L39">
        <v>36</v>
      </c>
      <c r="M39">
        <f t="shared" si="51"/>
        <v>35.666666666666671</v>
      </c>
      <c r="N39">
        <f t="shared" si="40"/>
        <v>35.67</v>
      </c>
      <c r="P39">
        <f t="shared" si="52"/>
        <v>45.833333333333343</v>
      </c>
      <c r="Q39">
        <f t="shared" si="41"/>
        <v>45.83</v>
      </c>
      <c r="S39">
        <v>36</v>
      </c>
      <c r="T39">
        <f t="shared" si="42"/>
        <v>89.88</v>
      </c>
      <c r="AD39">
        <v>37</v>
      </c>
      <c r="AE39">
        <f t="shared" si="43"/>
        <v>41</v>
      </c>
      <c r="AF39">
        <f t="shared" si="44"/>
        <v>23</v>
      </c>
      <c r="AG39">
        <f t="shared" si="15"/>
        <v>10</v>
      </c>
      <c r="AH39">
        <f t="shared" si="16"/>
        <v>690.86280000000022</v>
      </c>
      <c r="AI39">
        <f t="shared" si="17"/>
        <v>23</v>
      </c>
      <c r="AJ39">
        <f t="shared" si="18"/>
        <v>10</v>
      </c>
      <c r="AK39">
        <f t="shared" si="19"/>
        <v>1925.0978000000002</v>
      </c>
      <c r="AL39">
        <f t="shared" si="20"/>
        <v>23</v>
      </c>
      <c r="AM39">
        <f t="shared" si="21"/>
        <v>10</v>
      </c>
      <c r="AN39">
        <f t="shared" si="22"/>
        <v>2486.3418000000001</v>
      </c>
      <c r="AO39">
        <f t="shared" si="23"/>
        <v>23</v>
      </c>
      <c r="AP39">
        <f t="shared" si="24"/>
        <v>10</v>
      </c>
      <c r="AQ39">
        <f t="shared" si="25"/>
        <v>847.07700000000011</v>
      </c>
      <c r="AR39">
        <f t="shared" si="26"/>
        <v>17</v>
      </c>
      <c r="AS39">
        <f t="shared" si="27"/>
        <v>10</v>
      </c>
      <c r="AT39">
        <f t="shared" si="28"/>
        <v>2528.6088</v>
      </c>
      <c r="AU39">
        <f t="shared" si="29"/>
        <v>11</v>
      </c>
      <c r="AV39">
        <f t="shared" si="30"/>
        <v>10</v>
      </c>
      <c r="AW39">
        <f t="shared" si="31"/>
        <v>11380.824000000002</v>
      </c>
      <c r="AX39">
        <f t="shared" si="45"/>
        <v>3</v>
      </c>
      <c r="AY39" s="7">
        <f t="shared" si="32"/>
        <v>11380.824000000002</v>
      </c>
      <c r="AZ39" t="str">
        <f t="shared" si="33"/>
        <v>火蛇Lv11</v>
      </c>
      <c r="BA39">
        <v>53</v>
      </c>
    </row>
    <row r="40" spans="12:53" x14ac:dyDescent="0.2">
      <c r="L40">
        <v>37</v>
      </c>
      <c r="M40">
        <f t="shared" si="51"/>
        <v>36.4</v>
      </c>
      <c r="N40">
        <f t="shared" si="40"/>
        <v>36.4</v>
      </c>
      <c r="P40">
        <f t="shared" si="52"/>
        <v>46.666666666666679</v>
      </c>
      <c r="Q40">
        <f t="shared" si="41"/>
        <v>46.67</v>
      </c>
      <c r="S40">
        <v>37</v>
      </c>
      <c r="T40">
        <f t="shared" si="42"/>
        <v>92.1</v>
      </c>
      <c r="AD40">
        <v>38</v>
      </c>
      <c r="AE40">
        <f t="shared" si="43"/>
        <v>42</v>
      </c>
      <c r="AF40">
        <f t="shared" si="44"/>
        <v>23</v>
      </c>
      <c r="AG40">
        <f t="shared" si="15"/>
        <v>11</v>
      </c>
      <c r="AH40">
        <f t="shared" si="16"/>
        <v>715.92000000000007</v>
      </c>
      <c r="AI40">
        <f t="shared" si="17"/>
        <v>23</v>
      </c>
      <c r="AJ40">
        <f t="shared" si="18"/>
        <v>11</v>
      </c>
      <c r="AK40">
        <f t="shared" si="19"/>
        <v>1994.92</v>
      </c>
      <c r="AL40">
        <f t="shared" si="20"/>
        <v>23</v>
      </c>
      <c r="AM40">
        <f t="shared" si="21"/>
        <v>11</v>
      </c>
      <c r="AN40">
        <f t="shared" si="22"/>
        <v>2576.52</v>
      </c>
      <c r="AO40">
        <f t="shared" si="23"/>
        <v>23</v>
      </c>
      <c r="AP40">
        <f t="shared" si="24"/>
        <v>11</v>
      </c>
      <c r="AQ40">
        <f t="shared" si="25"/>
        <v>877.80000000000007</v>
      </c>
      <c r="AR40">
        <f t="shared" si="26"/>
        <v>18</v>
      </c>
      <c r="AS40">
        <f t="shared" si="27"/>
        <v>11</v>
      </c>
      <c r="AT40">
        <f t="shared" si="28"/>
        <v>2847.84</v>
      </c>
      <c r="AU40">
        <f t="shared" si="29"/>
        <v>12</v>
      </c>
      <c r="AV40">
        <f t="shared" si="30"/>
        <v>11</v>
      </c>
      <c r="AW40">
        <f t="shared" si="31"/>
        <v>12640.32</v>
      </c>
      <c r="AX40">
        <f t="shared" si="45"/>
        <v>3</v>
      </c>
      <c r="AY40" s="7">
        <f t="shared" si="32"/>
        <v>12640.32</v>
      </c>
      <c r="AZ40" t="str">
        <f t="shared" si="33"/>
        <v>火蛇Lv12</v>
      </c>
      <c r="BA40">
        <v>54</v>
      </c>
    </row>
    <row r="41" spans="12:53" x14ac:dyDescent="0.2">
      <c r="L41">
        <v>38</v>
      </c>
      <c r="M41">
        <f t="shared" si="51"/>
        <v>37.700000000000003</v>
      </c>
      <c r="N41">
        <f t="shared" si="40"/>
        <v>37.700000000000003</v>
      </c>
      <c r="P41">
        <f t="shared" si="52"/>
        <v>47.500000000000014</v>
      </c>
      <c r="Q41">
        <f t="shared" si="41"/>
        <v>47.5</v>
      </c>
      <c r="S41">
        <v>38</v>
      </c>
      <c r="T41">
        <f t="shared" si="42"/>
        <v>94.32</v>
      </c>
      <c r="AD41">
        <v>39</v>
      </c>
      <c r="AE41">
        <f t="shared" si="43"/>
        <v>43</v>
      </c>
      <c r="AF41">
        <f t="shared" si="44"/>
        <v>23</v>
      </c>
      <c r="AG41">
        <f t="shared" si="15"/>
        <v>12</v>
      </c>
      <c r="AH41">
        <f t="shared" si="16"/>
        <v>740.97720000000027</v>
      </c>
      <c r="AI41">
        <f t="shared" si="17"/>
        <v>23</v>
      </c>
      <c r="AJ41">
        <f t="shared" si="18"/>
        <v>12</v>
      </c>
      <c r="AK41">
        <f t="shared" si="19"/>
        <v>2064.7422000000006</v>
      </c>
      <c r="AL41">
        <f t="shared" si="20"/>
        <v>23</v>
      </c>
      <c r="AM41">
        <f t="shared" si="21"/>
        <v>12</v>
      </c>
      <c r="AN41">
        <f t="shared" si="22"/>
        <v>2666.6982000000003</v>
      </c>
      <c r="AO41">
        <f t="shared" si="23"/>
        <v>23</v>
      </c>
      <c r="AP41">
        <f t="shared" si="24"/>
        <v>12</v>
      </c>
      <c r="AQ41">
        <f t="shared" si="25"/>
        <v>908.52300000000014</v>
      </c>
      <c r="AR41">
        <f t="shared" si="26"/>
        <v>19</v>
      </c>
      <c r="AS41">
        <f t="shared" si="27"/>
        <v>12</v>
      </c>
      <c r="AT41">
        <f t="shared" si="28"/>
        <v>3156.5016000000005</v>
      </c>
      <c r="AU41">
        <f t="shared" si="29"/>
        <v>13</v>
      </c>
      <c r="AV41">
        <f t="shared" si="30"/>
        <v>12</v>
      </c>
      <c r="AW41">
        <f t="shared" si="31"/>
        <v>13879.598400000003</v>
      </c>
      <c r="AX41">
        <f t="shared" si="45"/>
        <v>3</v>
      </c>
      <c r="AY41" s="7">
        <f t="shared" si="32"/>
        <v>13879.598400000003</v>
      </c>
      <c r="AZ41" t="str">
        <f t="shared" si="33"/>
        <v>火蛇Lv13</v>
      </c>
      <c r="BA41">
        <v>56</v>
      </c>
    </row>
    <row r="42" spans="12:53" x14ac:dyDescent="0.2">
      <c r="L42">
        <v>39</v>
      </c>
      <c r="M42">
        <f t="shared" si="51"/>
        <v>39</v>
      </c>
      <c r="N42">
        <f t="shared" si="40"/>
        <v>39</v>
      </c>
      <c r="P42">
        <f t="shared" si="52"/>
        <v>48.33333333333335</v>
      </c>
      <c r="Q42">
        <f t="shared" si="41"/>
        <v>48.33</v>
      </c>
      <c r="S42">
        <v>39</v>
      </c>
      <c r="T42">
        <f t="shared" si="42"/>
        <v>96.54</v>
      </c>
      <c r="AD42">
        <v>40</v>
      </c>
      <c r="AE42">
        <f t="shared" si="43"/>
        <v>44</v>
      </c>
      <c r="AF42">
        <f t="shared" si="44"/>
        <v>23</v>
      </c>
      <c r="AG42">
        <f t="shared" si="15"/>
        <v>13</v>
      </c>
      <c r="AH42">
        <f t="shared" si="16"/>
        <v>766.03440000000001</v>
      </c>
      <c r="AI42">
        <f t="shared" si="17"/>
        <v>23</v>
      </c>
      <c r="AJ42">
        <f t="shared" si="18"/>
        <v>13</v>
      </c>
      <c r="AK42">
        <f t="shared" si="19"/>
        <v>2134.5643999999998</v>
      </c>
      <c r="AL42">
        <f t="shared" si="20"/>
        <v>23</v>
      </c>
      <c r="AM42">
        <f t="shared" si="21"/>
        <v>13</v>
      </c>
      <c r="AN42">
        <f t="shared" si="22"/>
        <v>2756.8763999999996</v>
      </c>
      <c r="AO42">
        <f t="shared" si="23"/>
        <v>23</v>
      </c>
      <c r="AP42">
        <f t="shared" si="24"/>
        <v>13</v>
      </c>
      <c r="AQ42">
        <f t="shared" si="25"/>
        <v>939.24599999999987</v>
      </c>
      <c r="AR42">
        <f t="shared" si="26"/>
        <v>20</v>
      </c>
      <c r="AS42">
        <f t="shared" si="27"/>
        <v>13</v>
      </c>
      <c r="AT42">
        <f t="shared" si="28"/>
        <v>3451.9055999999991</v>
      </c>
      <c r="AU42">
        <f t="shared" si="29"/>
        <v>14</v>
      </c>
      <c r="AV42">
        <f t="shared" si="30"/>
        <v>13</v>
      </c>
      <c r="AW42">
        <f t="shared" si="31"/>
        <v>15090.595199999998</v>
      </c>
      <c r="AX42">
        <f t="shared" si="45"/>
        <v>3</v>
      </c>
      <c r="AY42" s="7">
        <f t="shared" si="32"/>
        <v>15090.595199999998</v>
      </c>
      <c r="AZ42" t="str">
        <f t="shared" si="33"/>
        <v>火蛇Lv14</v>
      </c>
      <c r="BA42">
        <v>57</v>
      </c>
    </row>
    <row r="43" spans="12:53" x14ac:dyDescent="0.2">
      <c r="L43">
        <v>40</v>
      </c>
      <c r="M43">
        <f t="shared" si="51"/>
        <v>40.5</v>
      </c>
      <c r="N43">
        <f t="shared" si="40"/>
        <v>40.5</v>
      </c>
      <c r="P43">
        <f t="shared" si="52"/>
        <v>49.166666666666686</v>
      </c>
      <c r="Q43">
        <f t="shared" si="41"/>
        <v>49.17</v>
      </c>
      <c r="S43">
        <v>40</v>
      </c>
      <c r="T43">
        <f t="shared" si="42"/>
        <v>98.76</v>
      </c>
      <c r="AD43">
        <v>41</v>
      </c>
      <c r="AE43">
        <f t="shared" si="43"/>
        <v>45</v>
      </c>
      <c r="AF43">
        <f t="shared" si="44"/>
        <v>23</v>
      </c>
      <c r="AG43">
        <f t="shared" si="15"/>
        <v>14</v>
      </c>
      <c r="AH43">
        <f t="shared" si="16"/>
        <v>791.09159999999997</v>
      </c>
      <c r="AI43">
        <f t="shared" si="17"/>
        <v>23</v>
      </c>
      <c r="AJ43">
        <f t="shared" si="18"/>
        <v>14</v>
      </c>
      <c r="AK43">
        <f t="shared" si="19"/>
        <v>2204.3866000000003</v>
      </c>
      <c r="AL43">
        <f t="shared" si="20"/>
        <v>23</v>
      </c>
      <c r="AM43">
        <f t="shared" si="21"/>
        <v>14</v>
      </c>
      <c r="AN43">
        <f t="shared" si="22"/>
        <v>2847.0545999999999</v>
      </c>
      <c r="AO43">
        <f t="shared" si="23"/>
        <v>23</v>
      </c>
      <c r="AP43">
        <f t="shared" si="24"/>
        <v>14</v>
      </c>
      <c r="AQ43">
        <f t="shared" si="25"/>
        <v>969.96899999999994</v>
      </c>
      <c r="AR43">
        <f t="shared" si="26"/>
        <v>21</v>
      </c>
      <c r="AS43">
        <f t="shared" si="27"/>
        <v>14</v>
      </c>
      <c r="AT43">
        <f t="shared" si="28"/>
        <v>3731.364</v>
      </c>
      <c r="AU43">
        <f t="shared" si="29"/>
        <v>15</v>
      </c>
      <c r="AV43">
        <f t="shared" si="30"/>
        <v>14</v>
      </c>
      <c r="AW43">
        <f t="shared" si="31"/>
        <v>16265.2464</v>
      </c>
      <c r="AX43">
        <f t="shared" si="45"/>
        <v>3</v>
      </c>
      <c r="AY43" s="7">
        <f t="shared" si="32"/>
        <v>16265.2464</v>
      </c>
      <c r="AZ43" t="str">
        <f t="shared" si="33"/>
        <v>火蛇Lv15</v>
      </c>
      <c r="BA43">
        <v>58</v>
      </c>
    </row>
    <row r="44" spans="12:53" x14ac:dyDescent="0.2">
      <c r="L44">
        <v>41</v>
      </c>
      <c r="M44">
        <f t="shared" si="51"/>
        <v>41.75</v>
      </c>
      <c r="N44">
        <f t="shared" si="40"/>
        <v>41.75</v>
      </c>
      <c r="P44">
        <f t="shared" si="52"/>
        <v>50</v>
      </c>
      <c r="Q44">
        <f t="shared" si="41"/>
        <v>50</v>
      </c>
      <c r="S44">
        <v>41</v>
      </c>
      <c r="T44">
        <f t="shared" si="42"/>
        <v>101</v>
      </c>
      <c r="AD44">
        <v>42</v>
      </c>
      <c r="AE44">
        <f t="shared" si="43"/>
        <v>46</v>
      </c>
      <c r="AF44">
        <f t="shared" si="44"/>
        <v>23</v>
      </c>
      <c r="AG44">
        <f t="shared" si="15"/>
        <v>15</v>
      </c>
      <c r="AH44">
        <f t="shared" si="16"/>
        <v>816.14880000000016</v>
      </c>
      <c r="AI44">
        <f t="shared" si="17"/>
        <v>23</v>
      </c>
      <c r="AJ44">
        <f t="shared" si="18"/>
        <v>15</v>
      </c>
      <c r="AK44">
        <f t="shared" si="19"/>
        <v>2274.2088000000003</v>
      </c>
      <c r="AL44">
        <f t="shared" si="20"/>
        <v>23</v>
      </c>
      <c r="AM44">
        <f t="shared" si="21"/>
        <v>15</v>
      </c>
      <c r="AN44">
        <f t="shared" si="22"/>
        <v>2937.2328000000002</v>
      </c>
      <c r="AO44">
        <f t="shared" si="23"/>
        <v>23</v>
      </c>
      <c r="AP44">
        <f t="shared" si="24"/>
        <v>15</v>
      </c>
      <c r="AQ44">
        <f t="shared" si="25"/>
        <v>1000.6920000000002</v>
      </c>
      <c r="AR44">
        <f t="shared" si="26"/>
        <v>22</v>
      </c>
      <c r="AS44">
        <f t="shared" si="27"/>
        <v>15</v>
      </c>
      <c r="AT44">
        <f t="shared" si="28"/>
        <v>3992.1888000000008</v>
      </c>
      <c r="AU44">
        <f t="shared" si="29"/>
        <v>16</v>
      </c>
      <c r="AV44">
        <f t="shared" si="30"/>
        <v>15</v>
      </c>
      <c r="AW44">
        <f t="shared" si="31"/>
        <v>17395.488000000005</v>
      </c>
      <c r="AX44">
        <f t="shared" si="45"/>
        <v>3</v>
      </c>
      <c r="AY44" s="7">
        <f t="shared" si="32"/>
        <v>17395.488000000005</v>
      </c>
      <c r="AZ44" t="str">
        <f t="shared" si="33"/>
        <v>火蛇Lv16</v>
      </c>
      <c r="BA44">
        <v>60</v>
      </c>
    </row>
    <row r="45" spans="12:53" x14ac:dyDescent="0.2">
      <c r="L45">
        <v>42</v>
      </c>
      <c r="M45">
        <f t="shared" si="51"/>
        <v>43</v>
      </c>
      <c r="N45">
        <f t="shared" si="40"/>
        <v>43</v>
      </c>
      <c r="P45">
        <f t="shared" si="52"/>
        <v>51.85</v>
      </c>
      <c r="Q45">
        <f t="shared" si="41"/>
        <v>51.85</v>
      </c>
      <c r="S45">
        <v>42</v>
      </c>
      <c r="T45">
        <f t="shared" si="42"/>
        <v>103</v>
      </c>
      <c r="AD45">
        <v>43</v>
      </c>
      <c r="AE45">
        <f t="shared" si="43"/>
        <v>47</v>
      </c>
      <c r="AF45">
        <f t="shared" si="44"/>
        <v>23</v>
      </c>
      <c r="AG45">
        <f t="shared" si="15"/>
        <v>16</v>
      </c>
      <c r="AH45">
        <f t="shared" si="16"/>
        <v>841.20600000000002</v>
      </c>
      <c r="AI45">
        <f t="shared" si="17"/>
        <v>23</v>
      </c>
      <c r="AJ45">
        <f t="shared" si="18"/>
        <v>16</v>
      </c>
      <c r="AK45">
        <f t="shared" si="19"/>
        <v>2344.0309999999999</v>
      </c>
      <c r="AL45">
        <f t="shared" si="20"/>
        <v>23</v>
      </c>
      <c r="AM45">
        <f t="shared" si="21"/>
        <v>16</v>
      </c>
      <c r="AN45">
        <f t="shared" si="22"/>
        <v>3027.4110000000001</v>
      </c>
      <c r="AO45">
        <f t="shared" si="23"/>
        <v>23</v>
      </c>
      <c r="AP45">
        <f t="shared" si="24"/>
        <v>16</v>
      </c>
      <c r="AQ45">
        <f t="shared" si="25"/>
        <v>1031.415</v>
      </c>
      <c r="AR45">
        <f t="shared" si="26"/>
        <v>23</v>
      </c>
      <c r="AS45">
        <f t="shared" si="27"/>
        <v>16</v>
      </c>
      <c r="AT45">
        <f t="shared" si="28"/>
        <v>4243.2539999999999</v>
      </c>
      <c r="AU45">
        <f t="shared" si="29"/>
        <v>17</v>
      </c>
      <c r="AV45">
        <f t="shared" si="30"/>
        <v>16</v>
      </c>
      <c r="AW45">
        <f t="shared" si="31"/>
        <v>18473.256000000001</v>
      </c>
      <c r="AX45">
        <f t="shared" si="45"/>
        <v>3</v>
      </c>
      <c r="AY45" s="7">
        <f t="shared" si="32"/>
        <v>18473.256000000001</v>
      </c>
      <c r="AZ45" t="str">
        <f t="shared" si="33"/>
        <v>火蛇Lv17</v>
      </c>
      <c r="BA45">
        <v>61</v>
      </c>
    </row>
    <row r="46" spans="12:53" x14ac:dyDescent="0.2">
      <c r="L46">
        <v>43</v>
      </c>
      <c r="M46">
        <f t="shared" si="51"/>
        <v>43.75</v>
      </c>
      <c r="N46">
        <f t="shared" si="40"/>
        <v>43.75</v>
      </c>
      <c r="P46">
        <f t="shared" si="52"/>
        <v>53.7</v>
      </c>
      <c r="Q46">
        <f t="shared" si="41"/>
        <v>53.7</v>
      </c>
      <c r="S46">
        <v>43</v>
      </c>
      <c r="T46">
        <f t="shared" si="42"/>
        <v>105</v>
      </c>
      <c r="AD46">
        <v>44</v>
      </c>
      <c r="AE46" s="3">
        <v>49</v>
      </c>
      <c r="AF46">
        <f t="shared" si="44"/>
        <v>23</v>
      </c>
      <c r="AG46">
        <f t="shared" si="15"/>
        <v>17</v>
      </c>
      <c r="AH46">
        <f t="shared" si="16"/>
        <v>927.05359999999996</v>
      </c>
      <c r="AI46">
        <f t="shared" si="17"/>
        <v>23</v>
      </c>
      <c r="AJ46">
        <f t="shared" si="18"/>
        <v>17</v>
      </c>
      <c r="AK46">
        <f t="shared" si="19"/>
        <v>2573.2585999999997</v>
      </c>
      <c r="AL46">
        <f t="shared" si="20"/>
        <v>23</v>
      </c>
      <c r="AM46">
        <f t="shared" si="21"/>
        <v>17</v>
      </c>
      <c r="AN46">
        <f t="shared" si="22"/>
        <v>3316.2590999999998</v>
      </c>
      <c r="AO46">
        <f t="shared" si="23"/>
        <v>23</v>
      </c>
      <c r="AP46">
        <f t="shared" si="24"/>
        <v>17</v>
      </c>
      <c r="AQ46">
        <f t="shared" si="25"/>
        <v>1094.3239999999998</v>
      </c>
      <c r="AR46">
        <f t="shared" si="26"/>
        <v>23</v>
      </c>
      <c r="AS46">
        <f t="shared" si="27"/>
        <v>17</v>
      </c>
      <c r="AT46">
        <f t="shared" si="28"/>
        <v>4582.8024000000005</v>
      </c>
      <c r="AU46">
        <f t="shared" si="29"/>
        <v>18</v>
      </c>
      <c r="AV46">
        <f t="shared" si="30"/>
        <v>17</v>
      </c>
      <c r="AW46">
        <f t="shared" si="31"/>
        <v>21486.1152</v>
      </c>
      <c r="AX46">
        <f t="shared" si="45"/>
        <v>3</v>
      </c>
      <c r="AY46" s="7">
        <f t="shared" si="32"/>
        <v>21486.1152</v>
      </c>
      <c r="AZ46" t="str">
        <f t="shared" si="33"/>
        <v>火蛇Lv18</v>
      </c>
      <c r="BA46">
        <v>62</v>
      </c>
    </row>
    <row r="47" spans="12:53" x14ac:dyDescent="0.2">
      <c r="L47">
        <v>44</v>
      </c>
      <c r="M47">
        <f t="shared" si="51"/>
        <v>44.5</v>
      </c>
      <c r="N47">
        <f t="shared" si="40"/>
        <v>44.5</v>
      </c>
      <c r="P47">
        <f t="shared" si="52"/>
        <v>54.160000000000004</v>
      </c>
      <c r="Q47">
        <f t="shared" si="41"/>
        <v>54.16</v>
      </c>
      <c r="S47">
        <v>44</v>
      </c>
      <c r="T47">
        <f t="shared" si="42"/>
        <v>107</v>
      </c>
      <c r="AD47">
        <v>45</v>
      </c>
      <c r="AE47">
        <f t="shared" si="43"/>
        <v>50</v>
      </c>
      <c r="AF47">
        <f t="shared" si="44"/>
        <v>23</v>
      </c>
      <c r="AG47">
        <f t="shared" si="15"/>
        <v>18</v>
      </c>
      <c r="AH47">
        <f t="shared" si="16"/>
        <v>953.86919999999998</v>
      </c>
      <c r="AI47">
        <f t="shared" si="17"/>
        <v>23</v>
      </c>
      <c r="AJ47">
        <f t="shared" si="18"/>
        <v>18</v>
      </c>
      <c r="AK47">
        <f t="shared" si="19"/>
        <v>2647.6916999999999</v>
      </c>
      <c r="AL47">
        <f t="shared" si="20"/>
        <v>23</v>
      </c>
      <c r="AM47">
        <f t="shared" si="21"/>
        <v>18</v>
      </c>
      <c r="AN47">
        <f t="shared" si="22"/>
        <v>3412.1839500000001</v>
      </c>
      <c r="AO47">
        <f t="shared" si="23"/>
        <v>23</v>
      </c>
      <c r="AP47">
        <f t="shared" si="24"/>
        <v>18</v>
      </c>
      <c r="AQ47">
        <f t="shared" si="25"/>
        <v>1125.9780000000001</v>
      </c>
      <c r="AR47">
        <f t="shared" si="26"/>
        <v>23</v>
      </c>
      <c r="AS47">
        <f t="shared" si="27"/>
        <v>18</v>
      </c>
      <c r="AT47">
        <f t="shared" si="28"/>
        <v>4715.3627999999999</v>
      </c>
      <c r="AU47">
        <f t="shared" si="29"/>
        <v>19</v>
      </c>
      <c r="AV47">
        <f t="shared" si="30"/>
        <v>18</v>
      </c>
      <c r="AW47">
        <f t="shared" si="31"/>
        <v>23711.572800000002</v>
      </c>
      <c r="AX47">
        <f t="shared" si="45"/>
        <v>3</v>
      </c>
      <c r="AY47" s="7">
        <f t="shared" si="32"/>
        <v>23711.572800000002</v>
      </c>
      <c r="AZ47" t="str">
        <f t="shared" si="33"/>
        <v>火蛇Lv19</v>
      </c>
      <c r="BA47">
        <v>64</v>
      </c>
    </row>
    <row r="48" spans="12:53" x14ac:dyDescent="0.2">
      <c r="L48">
        <v>45</v>
      </c>
      <c r="M48">
        <f t="shared" si="51"/>
        <v>45.25</v>
      </c>
      <c r="N48">
        <f t="shared" si="40"/>
        <v>45.25</v>
      </c>
      <c r="P48">
        <f t="shared" si="52"/>
        <v>54.620000000000005</v>
      </c>
      <c r="Q48">
        <f t="shared" si="41"/>
        <v>54.62</v>
      </c>
      <c r="S48">
        <v>45</v>
      </c>
      <c r="T48">
        <f t="shared" si="42"/>
        <v>109</v>
      </c>
      <c r="AD48">
        <v>46</v>
      </c>
      <c r="AE48">
        <f t="shared" si="43"/>
        <v>51</v>
      </c>
      <c r="AF48">
        <f t="shared" si="44"/>
        <v>23</v>
      </c>
      <c r="AG48">
        <f t="shared" si="15"/>
        <v>19</v>
      </c>
      <c r="AH48">
        <f t="shared" si="16"/>
        <v>980.6848</v>
      </c>
      <c r="AI48">
        <f t="shared" si="17"/>
        <v>23</v>
      </c>
      <c r="AJ48">
        <f t="shared" si="18"/>
        <v>19</v>
      </c>
      <c r="AK48">
        <f t="shared" si="19"/>
        <v>2722.1247999999996</v>
      </c>
      <c r="AL48">
        <f t="shared" si="20"/>
        <v>23</v>
      </c>
      <c r="AM48">
        <f t="shared" si="21"/>
        <v>19</v>
      </c>
      <c r="AN48">
        <f t="shared" si="22"/>
        <v>3508.1088</v>
      </c>
      <c r="AO48">
        <f t="shared" si="23"/>
        <v>23</v>
      </c>
      <c r="AP48">
        <f t="shared" si="24"/>
        <v>19</v>
      </c>
      <c r="AQ48">
        <f t="shared" si="25"/>
        <v>1157.6320000000001</v>
      </c>
      <c r="AR48">
        <f t="shared" si="26"/>
        <v>23</v>
      </c>
      <c r="AS48">
        <f t="shared" si="27"/>
        <v>19</v>
      </c>
      <c r="AT48">
        <f t="shared" si="28"/>
        <v>4847.9232000000002</v>
      </c>
      <c r="AU48">
        <f t="shared" si="29"/>
        <v>20</v>
      </c>
      <c r="AV48">
        <f t="shared" si="30"/>
        <v>19</v>
      </c>
      <c r="AW48">
        <f t="shared" si="31"/>
        <v>25830.604800000001</v>
      </c>
      <c r="AX48">
        <f t="shared" si="45"/>
        <v>3</v>
      </c>
      <c r="AY48" s="7">
        <f t="shared" si="32"/>
        <v>25830.604800000001</v>
      </c>
      <c r="AZ48" t="str">
        <f t="shared" si="33"/>
        <v>火蛇Lv20</v>
      </c>
      <c r="BA48">
        <v>65</v>
      </c>
    </row>
    <row r="49" spans="12:53" x14ac:dyDescent="0.2">
      <c r="L49">
        <v>46</v>
      </c>
      <c r="M49">
        <f t="shared" si="51"/>
        <v>46</v>
      </c>
      <c r="N49">
        <f t="shared" si="40"/>
        <v>46</v>
      </c>
      <c r="P49">
        <f t="shared" si="52"/>
        <v>55.080000000000005</v>
      </c>
      <c r="Q49">
        <f t="shared" si="41"/>
        <v>55.08</v>
      </c>
      <c r="S49">
        <v>46</v>
      </c>
      <c r="T49">
        <f t="shared" si="42"/>
        <v>111</v>
      </c>
      <c r="AD49">
        <v>47</v>
      </c>
      <c r="AE49">
        <f t="shared" si="43"/>
        <v>52</v>
      </c>
      <c r="AF49">
        <f t="shared" si="44"/>
        <v>23</v>
      </c>
      <c r="AG49">
        <f t="shared" si="15"/>
        <v>20</v>
      </c>
      <c r="AH49">
        <f t="shared" si="16"/>
        <v>1007.5003999999999</v>
      </c>
      <c r="AI49">
        <f t="shared" si="17"/>
        <v>23</v>
      </c>
      <c r="AJ49">
        <f t="shared" si="18"/>
        <v>20</v>
      </c>
      <c r="AK49">
        <f t="shared" si="19"/>
        <v>2796.5578999999998</v>
      </c>
      <c r="AL49">
        <f t="shared" si="20"/>
        <v>23</v>
      </c>
      <c r="AM49">
        <f t="shared" si="21"/>
        <v>20</v>
      </c>
      <c r="AN49">
        <f t="shared" si="22"/>
        <v>3604.0336499999999</v>
      </c>
      <c r="AO49">
        <f t="shared" si="23"/>
        <v>23</v>
      </c>
      <c r="AP49">
        <f t="shared" si="24"/>
        <v>20</v>
      </c>
      <c r="AQ49">
        <f t="shared" si="25"/>
        <v>1189.2859999999998</v>
      </c>
      <c r="AR49">
        <f t="shared" si="26"/>
        <v>23</v>
      </c>
      <c r="AS49">
        <f t="shared" si="27"/>
        <v>20</v>
      </c>
      <c r="AT49">
        <f t="shared" si="28"/>
        <v>4980.4836000000005</v>
      </c>
      <c r="AU49">
        <f t="shared" si="29"/>
        <v>21</v>
      </c>
      <c r="AV49">
        <f t="shared" si="30"/>
        <v>20</v>
      </c>
      <c r="AW49">
        <f t="shared" si="31"/>
        <v>27827.083200000001</v>
      </c>
      <c r="AX49">
        <f t="shared" si="45"/>
        <v>3</v>
      </c>
      <c r="AY49" s="7">
        <f t="shared" si="32"/>
        <v>27827.083200000001</v>
      </c>
      <c r="AZ49" t="str">
        <f t="shared" si="33"/>
        <v>火蛇Lv21</v>
      </c>
      <c r="BA49">
        <v>66</v>
      </c>
    </row>
    <row r="50" spans="12:53" x14ac:dyDescent="0.2">
      <c r="L50">
        <v>47</v>
      </c>
      <c r="M50">
        <f t="shared" si="51"/>
        <v>46.666666666666664</v>
      </c>
      <c r="N50">
        <f t="shared" si="40"/>
        <v>46.67</v>
      </c>
      <c r="P50">
        <f t="shared" si="52"/>
        <v>55.540000000000006</v>
      </c>
      <c r="Q50">
        <f t="shared" si="41"/>
        <v>55.54</v>
      </c>
      <c r="S50">
        <v>47</v>
      </c>
      <c r="T50">
        <f t="shared" si="42"/>
        <v>113</v>
      </c>
      <c r="AD50">
        <v>48</v>
      </c>
      <c r="AE50">
        <f t="shared" si="43"/>
        <v>53</v>
      </c>
      <c r="AF50">
        <f t="shared" si="44"/>
        <v>23</v>
      </c>
      <c r="AG50">
        <f t="shared" si="15"/>
        <v>21</v>
      </c>
      <c r="AH50">
        <f t="shared" si="16"/>
        <v>1034.316</v>
      </c>
      <c r="AI50">
        <f t="shared" si="17"/>
        <v>23</v>
      </c>
      <c r="AJ50">
        <f t="shared" si="18"/>
        <v>21</v>
      </c>
      <c r="AK50">
        <f t="shared" si="19"/>
        <v>2870.991</v>
      </c>
      <c r="AL50">
        <f t="shared" si="20"/>
        <v>23</v>
      </c>
      <c r="AM50">
        <f t="shared" si="21"/>
        <v>21</v>
      </c>
      <c r="AN50">
        <f t="shared" si="22"/>
        <v>3699.9585000000002</v>
      </c>
      <c r="AO50">
        <f t="shared" si="23"/>
        <v>23</v>
      </c>
      <c r="AP50">
        <f t="shared" si="24"/>
        <v>21</v>
      </c>
      <c r="AQ50">
        <f t="shared" si="25"/>
        <v>1220.94</v>
      </c>
      <c r="AR50">
        <f t="shared" si="26"/>
        <v>23</v>
      </c>
      <c r="AS50">
        <f t="shared" si="27"/>
        <v>21</v>
      </c>
      <c r="AT50">
        <f t="shared" si="28"/>
        <v>5113.0440000000008</v>
      </c>
      <c r="AU50">
        <f t="shared" si="29"/>
        <v>22</v>
      </c>
      <c r="AV50">
        <f t="shared" si="30"/>
        <v>21</v>
      </c>
      <c r="AW50">
        <f t="shared" si="31"/>
        <v>29684.880000000005</v>
      </c>
      <c r="AX50">
        <f t="shared" si="45"/>
        <v>3</v>
      </c>
      <c r="AY50" s="7">
        <f t="shared" si="32"/>
        <v>29684.880000000005</v>
      </c>
      <c r="AZ50" t="str">
        <f t="shared" si="33"/>
        <v>火蛇Lv22</v>
      </c>
      <c r="BA50">
        <v>68</v>
      </c>
    </row>
    <row r="51" spans="12:53" x14ac:dyDescent="0.2">
      <c r="L51">
        <v>48</v>
      </c>
      <c r="M51">
        <f t="shared" si="51"/>
        <v>47.333333333333329</v>
      </c>
      <c r="N51">
        <f t="shared" si="40"/>
        <v>47.33</v>
      </c>
      <c r="P51">
        <f t="shared" si="52"/>
        <v>56</v>
      </c>
      <c r="Q51">
        <f t="shared" si="41"/>
        <v>56</v>
      </c>
      <c r="S51">
        <v>48</v>
      </c>
      <c r="T51">
        <f t="shared" si="42"/>
        <v>115</v>
      </c>
      <c r="AD51">
        <v>49</v>
      </c>
      <c r="AE51">
        <f t="shared" si="43"/>
        <v>54</v>
      </c>
      <c r="AF51">
        <f t="shared" si="44"/>
        <v>23</v>
      </c>
      <c r="AG51">
        <f t="shared" si="15"/>
        <v>22</v>
      </c>
      <c r="AH51">
        <f t="shared" si="16"/>
        <v>1061.1315999999999</v>
      </c>
      <c r="AI51">
        <f t="shared" si="17"/>
        <v>23</v>
      </c>
      <c r="AJ51">
        <f t="shared" si="18"/>
        <v>22</v>
      </c>
      <c r="AK51">
        <f t="shared" si="19"/>
        <v>2945.4240999999997</v>
      </c>
      <c r="AL51">
        <f t="shared" si="20"/>
        <v>23</v>
      </c>
      <c r="AM51">
        <f t="shared" si="21"/>
        <v>22</v>
      </c>
      <c r="AN51">
        <f t="shared" si="22"/>
        <v>3795.8833500000001</v>
      </c>
      <c r="AO51">
        <f t="shared" si="23"/>
        <v>23</v>
      </c>
      <c r="AP51">
        <f t="shared" si="24"/>
        <v>22</v>
      </c>
      <c r="AQ51">
        <f t="shared" si="25"/>
        <v>1252.5939999999998</v>
      </c>
      <c r="AR51">
        <f t="shared" si="26"/>
        <v>23</v>
      </c>
      <c r="AS51">
        <f t="shared" si="27"/>
        <v>22</v>
      </c>
      <c r="AT51">
        <f t="shared" si="28"/>
        <v>5245.6044000000002</v>
      </c>
      <c r="AU51">
        <f t="shared" si="29"/>
        <v>23</v>
      </c>
      <c r="AV51">
        <f t="shared" si="30"/>
        <v>22</v>
      </c>
      <c r="AW51">
        <f t="shared" si="31"/>
        <v>31473.626400000001</v>
      </c>
      <c r="AX51">
        <f t="shared" si="45"/>
        <v>3</v>
      </c>
      <c r="AY51" s="7">
        <f t="shared" si="32"/>
        <v>31473.626400000001</v>
      </c>
      <c r="AZ51" t="str">
        <f t="shared" si="33"/>
        <v>火蛇Lv23</v>
      </c>
      <c r="BA51">
        <v>69</v>
      </c>
    </row>
    <row r="52" spans="12:53" x14ac:dyDescent="0.2">
      <c r="L52">
        <v>49</v>
      </c>
      <c r="M52">
        <f t="shared" si="51"/>
        <v>47.999999999999993</v>
      </c>
      <c r="N52">
        <f t="shared" si="40"/>
        <v>48</v>
      </c>
      <c r="P52">
        <f t="shared" si="52"/>
        <v>58</v>
      </c>
      <c r="Q52">
        <f t="shared" si="41"/>
        <v>58</v>
      </c>
      <c r="S52">
        <v>49</v>
      </c>
      <c r="T52">
        <f t="shared" si="42"/>
        <v>117</v>
      </c>
      <c r="AD52">
        <v>50</v>
      </c>
      <c r="AE52">
        <f t="shared" si="43"/>
        <v>55</v>
      </c>
      <c r="AF52">
        <f t="shared" si="44"/>
        <v>25</v>
      </c>
      <c r="AG52">
        <f t="shared" si="15"/>
        <v>25</v>
      </c>
      <c r="AH52">
        <f t="shared" si="16"/>
        <v>1239.0840000000001</v>
      </c>
      <c r="AI52">
        <f t="shared" si="17"/>
        <v>25</v>
      </c>
      <c r="AJ52">
        <f t="shared" si="18"/>
        <v>25</v>
      </c>
      <c r="AK52">
        <f t="shared" si="19"/>
        <v>2753.3709999999996</v>
      </c>
      <c r="AL52">
        <f t="shared" si="20"/>
        <v>25</v>
      </c>
      <c r="AM52">
        <f t="shared" si="21"/>
        <v>25</v>
      </c>
      <c r="AN52">
        <f t="shared" si="22"/>
        <v>3444.3584999999994</v>
      </c>
      <c r="AO52">
        <f t="shared" si="23"/>
        <v>25</v>
      </c>
      <c r="AP52">
        <f t="shared" si="24"/>
        <v>25</v>
      </c>
      <c r="AQ52">
        <f t="shared" si="25"/>
        <v>1339.212</v>
      </c>
      <c r="AR52">
        <f t="shared" si="26"/>
        <v>25</v>
      </c>
      <c r="AS52">
        <f t="shared" si="27"/>
        <v>25</v>
      </c>
      <c r="AT52">
        <f t="shared" si="28"/>
        <v>5285.9239999999991</v>
      </c>
      <c r="AU52">
        <f t="shared" si="29"/>
        <v>25</v>
      </c>
      <c r="AV52">
        <f t="shared" si="30"/>
        <v>25</v>
      </c>
      <c r="AW52">
        <f t="shared" si="31"/>
        <v>31715.543999999994</v>
      </c>
      <c r="AX52">
        <v>5</v>
      </c>
      <c r="AY52" s="7">
        <f t="shared" si="32"/>
        <v>31715.543999999994</v>
      </c>
      <c r="AZ52" t="str">
        <f t="shared" si="33"/>
        <v>火蛇Lv25</v>
      </c>
      <c r="BA52" s="8">
        <v>70</v>
      </c>
    </row>
    <row r="53" spans="12:53" x14ac:dyDescent="0.2">
      <c r="L53">
        <v>50</v>
      </c>
      <c r="M53">
        <f t="shared" si="51"/>
        <v>48.666666666666657</v>
      </c>
      <c r="N53">
        <f t="shared" si="40"/>
        <v>48.67</v>
      </c>
      <c r="P53">
        <f t="shared" si="52"/>
        <v>60</v>
      </c>
      <c r="Q53">
        <f t="shared" si="41"/>
        <v>60</v>
      </c>
      <c r="S53">
        <v>50</v>
      </c>
      <c r="T53">
        <f t="shared" si="42"/>
        <v>119</v>
      </c>
      <c r="AD53">
        <v>51</v>
      </c>
      <c r="AE53">
        <f t="shared" si="43"/>
        <v>56</v>
      </c>
      <c r="AF53">
        <f t="shared" si="44"/>
        <v>25</v>
      </c>
      <c r="AG53">
        <f t="shared" si="15"/>
        <v>25</v>
      </c>
      <c r="AH53">
        <f t="shared" si="16"/>
        <v>1349.2248</v>
      </c>
      <c r="AI53">
        <f t="shared" si="17"/>
        <v>25</v>
      </c>
      <c r="AJ53">
        <f t="shared" si="18"/>
        <v>25</v>
      </c>
      <c r="AK53">
        <f t="shared" si="19"/>
        <v>2980.1191999999996</v>
      </c>
      <c r="AL53">
        <f t="shared" si="20"/>
        <v>25</v>
      </c>
      <c r="AM53">
        <f t="shared" si="21"/>
        <v>25</v>
      </c>
      <c r="AN53">
        <f t="shared" si="22"/>
        <v>3715.7321999999995</v>
      </c>
      <c r="AO53">
        <f t="shared" si="23"/>
        <v>25</v>
      </c>
      <c r="AP53">
        <f t="shared" si="24"/>
        <v>25</v>
      </c>
      <c r="AQ53">
        <f t="shared" si="25"/>
        <v>1383.8524</v>
      </c>
      <c r="AR53">
        <f t="shared" si="26"/>
        <v>25</v>
      </c>
      <c r="AS53">
        <f t="shared" si="27"/>
        <v>25</v>
      </c>
      <c r="AT53">
        <f t="shared" si="28"/>
        <v>5587.9767999999995</v>
      </c>
      <c r="AU53">
        <f t="shared" si="29"/>
        <v>25</v>
      </c>
      <c r="AV53">
        <f t="shared" si="30"/>
        <v>25</v>
      </c>
      <c r="AW53">
        <f t="shared" si="31"/>
        <v>33527.860799999995</v>
      </c>
      <c r="AX53">
        <f t="shared" si="45"/>
        <v>5</v>
      </c>
      <c r="AY53" s="7">
        <f t="shared" si="32"/>
        <v>33527.860799999995</v>
      </c>
      <c r="AZ53" t="str">
        <f t="shared" si="33"/>
        <v>火蛇Lv25</v>
      </c>
      <c r="BA53">
        <v>71</v>
      </c>
    </row>
    <row r="54" spans="12:53" x14ac:dyDescent="0.2">
      <c r="L54">
        <v>51</v>
      </c>
      <c r="M54">
        <f t="shared" si="51"/>
        <v>49.333333333333321</v>
      </c>
      <c r="N54">
        <f t="shared" si="40"/>
        <v>49.33</v>
      </c>
      <c r="P54">
        <f t="shared" si="52"/>
        <v>62</v>
      </c>
      <c r="Q54">
        <f t="shared" si="41"/>
        <v>62</v>
      </c>
      <c r="S54">
        <v>51</v>
      </c>
      <c r="T54">
        <f t="shared" si="42"/>
        <v>121</v>
      </c>
      <c r="AD54">
        <v>52</v>
      </c>
      <c r="AE54">
        <f t="shared" si="43"/>
        <v>57</v>
      </c>
      <c r="AF54">
        <f t="shared" si="44"/>
        <v>25</v>
      </c>
      <c r="AG54">
        <f t="shared" si="15"/>
        <v>25</v>
      </c>
      <c r="AH54">
        <f t="shared" si="16"/>
        <v>1459.3656000000001</v>
      </c>
      <c r="AI54">
        <f t="shared" si="17"/>
        <v>25</v>
      </c>
      <c r="AJ54">
        <f t="shared" si="18"/>
        <v>25</v>
      </c>
      <c r="AK54">
        <f t="shared" si="19"/>
        <v>3206.8673999999996</v>
      </c>
      <c r="AL54">
        <f t="shared" si="20"/>
        <v>25</v>
      </c>
      <c r="AM54">
        <f t="shared" si="21"/>
        <v>25</v>
      </c>
      <c r="AN54">
        <f t="shared" si="22"/>
        <v>3987.1059</v>
      </c>
      <c r="AO54">
        <f t="shared" si="23"/>
        <v>25</v>
      </c>
      <c r="AP54">
        <f t="shared" si="24"/>
        <v>25</v>
      </c>
      <c r="AQ54">
        <f t="shared" si="25"/>
        <v>1428.4928</v>
      </c>
      <c r="AR54">
        <f t="shared" si="26"/>
        <v>25</v>
      </c>
      <c r="AS54">
        <f t="shared" si="27"/>
        <v>25</v>
      </c>
      <c r="AT54">
        <f t="shared" si="28"/>
        <v>5890.0295999999998</v>
      </c>
      <c r="AU54">
        <f t="shared" si="29"/>
        <v>25</v>
      </c>
      <c r="AV54">
        <f t="shared" si="30"/>
        <v>25</v>
      </c>
      <c r="AW54">
        <f t="shared" si="31"/>
        <v>35340.177599999995</v>
      </c>
      <c r="AX54">
        <f t="shared" si="45"/>
        <v>5</v>
      </c>
      <c r="AY54" s="7">
        <f t="shared" si="32"/>
        <v>35340.177599999995</v>
      </c>
      <c r="AZ54" t="str">
        <f t="shared" si="33"/>
        <v>火蛇Lv25</v>
      </c>
      <c r="BA54">
        <v>71</v>
      </c>
    </row>
    <row r="55" spans="12:53" x14ac:dyDescent="0.2">
      <c r="L55">
        <v>52</v>
      </c>
      <c r="M55">
        <f t="shared" si="51"/>
        <v>49.999999999999986</v>
      </c>
      <c r="N55">
        <f t="shared" si="40"/>
        <v>50</v>
      </c>
      <c r="P55">
        <f t="shared" si="52"/>
        <v>64</v>
      </c>
      <c r="Q55">
        <f t="shared" si="41"/>
        <v>64</v>
      </c>
      <c r="S55">
        <v>52</v>
      </c>
      <c r="T55">
        <f t="shared" si="42"/>
        <v>123</v>
      </c>
      <c r="AD55">
        <v>53</v>
      </c>
      <c r="AE55">
        <f t="shared" si="43"/>
        <v>58</v>
      </c>
      <c r="AF55">
        <f t="shared" si="44"/>
        <v>25</v>
      </c>
      <c r="AG55">
        <f t="shared" si="15"/>
        <v>25</v>
      </c>
      <c r="AH55">
        <f t="shared" si="16"/>
        <v>1569.5064000000002</v>
      </c>
      <c r="AI55">
        <f t="shared" si="17"/>
        <v>25</v>
      </c>
      <c r="AJ55">
        <f t="shared" si="18"/>
        <v>25</v>
      </c>
      <c r="AK55">
        <f t="shared" si="19"/>
        <v>3433.6156000000001</v>
      </c>
      <c r="AL55">
        <f t="shared" si="20"/>
        <v>25</v>
      </c>
      <c r="AM55">
        <f t="shared" si="21"/>
        <v>25</v>
      </c>
      <c r="AN55">
        <f t="shared" si="22"/>
        <v>4258.4795999999997</v>
      </c>
      <c r="AO55">
        <f t="shared" si="23"/>
        <v>25</v>
      </c>
      <c r="AP55">
        <f t="shared" si="24"/>
        <v>25</v>
      </c>
      <c r="AQ55">
        <f t="shared" si="25"/>
        <v>1473.1332</v>
      </c>
      <c r="AR55">
        <f t="shared" si="26"/>
        <v>25</v>
      </c>
      <c r="AS55">
        <f t="shared" si="27"/>
        <v>25</v>
      </c>
      <c r="AT55">
        <f t="shared" si="28"/>
        <v>6192.0824000000002</v>
      </c>
      <c r="AU55">
        <f t="shared" si="29"/>
        <v>25</v>
      </c>
      <c r="AV55">
        <f t="shared" si="30"/>
        <v>25</v>
      </c>
      <c r="AW55">
        <f t="shared" si="31"/>
        <v>37152.494400000003</v>
      </c>
      <c r="AX55">
        <f t="shared" si="45"/>
        <v>5</v>
      </c>
      <c r="AY55" s="7">
        <f t="shared" si="32"/>
        <v>37152.494400000003</v>
      </c>
      <c r="AZ55" t="str">
        <f t="shared" si="33"/>
        <v>火蛇Lv25</v>
      </c>
      <c r="BA55">
        <v>72</v>
      </c>
    </row>
    <row r="56" spans="12:53" x14ac:dyDescent="0.2">
      <c r="L56">
        <v>53</v>
      </c>
      <c r="M56">
        <f t="shared" si="51"/>
        <v>50.66666666666665</v>
      </c>
      <c r="N56">
        <f t="shared" si="40"/>
        <v>50.67</v>
      </c>
      <c r="P56">
        <f t="shared" si="52"/>
        <v>66</v>
      </c>
      <c r="Q56">
        <f t="shared" si="41"/>
        <v>66</v>
      </c>
      <c r="S56">
        <v>53</v>
      </c>
      <c r="T56">
        <f t="shared" si="42"/>
        <v>125</v>
      </c>
      <c r="AD56">
        <v>54</v>
      </c>
      <c r="AE56">
        <f t="shared" si="43"/>
        <v>59</v>
      </c>
      <c r="AF56">
        <f t="shared" si="44"/>
        <v>25</v>
      </c>
      <c r="AG56">
        <f t="shared" si="15"/>
        <v>25</v>
      </c>
      <c r="AH56">
        <f t="shared" si="16"/>
        <v>1679.6471999999999</v>
      </c>
      <c r="AI56">
        <f t="shared" si="17"/>
        <v>25</v>
      </c>
      <c r="AJ56">
        <f t="shared" si="18"/>
        <v>25</v>
      </c>
      <c r="AK56">
        <f t="shared" si="19"/>
        <v>3660.3637999999992</v>
      </c>
      <c r="AL56">
        <f t="shared" si="20"/>
        <v>25</v>
      </c>
      <c r="AM56">
        <f t="shared" si="21"/>
        <v>25</v>
      </c>
      <c r="AN56">
        <f t="shared" si="22"/>
        <v>4529.8532999999998</v>
      </c>
      <c r="AO56">
        <f t="shared" si="23"/>
        <v>25</v>
      </c>
      <c r="AP56">
        <f t="shared" si="24"/>
        <v>25</v>
      </c>
      <c r="AQ56">
        <f t="shared" si="25"/>
        <v>1517.7735999999998</v>
      </c>
      <c r="AR56">
        <f t="shared" si="26"/>
        <v>25</v>
      </c>
      <c r="AS56">
        <f t="shared" si="27"/>
        <v>25</v>
      </c>
      <c r="AT56">
        <f t="shared" si="28"/>
        <v>6494.1351999999997</v>
      </c>
      <c r="AU56">
        <f t="shared" si="29"/>
        <v>25</v>
      </c>
      <c r="AV56">
        <f t="shared" si="30"/>
        <v>25</v>
      </c>
      <c r="AW56">
        <f t="shared" si="31"/>
        <v>38964.811199999996</v>
      </c>
      <c r="AX56">
        <f t="shared" si="45"/>
        <v>5</v>
      </c>
      <c r="AY56" s="7">
        <f t="shared" si="32"/>
        <v>38964.811199999996</v>
      </c>
      <c r="AZ56" t="str">
        <f t="shared" si="33"/>
        <v>火蛇Lv25</v>
      </c>
      <c r="BA56">
        <v>72</v>
      </c>
    </row>
    <row r="57" spans="12:53" x14ac:dyDescent="0.2">
      <c r="L57">
        <v>54</v>
      </c>
      <c r="M57">
        <f t="shared" si="51"/>
        <v>51.333333333333314</v>
      </c>
      <c r="N57">
        <f t="shared" si="40"/>
        <v>51.33</v>
      </c>
      <c r="P57">
        <f t="shared" si="52"/>
        <v>68</v>
      </c>
      <c r="Q57">
        <f t="shared" si="41"/>
        <v>68</v>
      </c>
      <c r="S57">
        <v>54</v>
      </c>
      <c r="T57">
        <f t="shared" si="42"/>
        <v>127</v>
      </c>
      <c r="AD57">
        <v>55</v>
      </c>
      <c r="AE57">
        <f t="shared" si="43"/>
        <v>60</v>
      </c>
      <c r="AF57">
        <f t="shared" si="44"/>
        <v>25</v>
      </c>
      <c r="AG57">
        <f t="shared" si="15"/>
        <v>25</v>
      </c>
      <c r="AH57">
        <f t="shared" si="16"/>
        <v>1789.788</v>
      </c>
      <c r="AI57">
        <f t="shared" si="17"/>
        <v>25</v>
      </c>
      <c r="AJ57">
        <f t="shared" si="18"/>
        <v>25</v>
      </c>
      <c r="AK57">
        <f t="shared" si="19"/>
        <v>3887.1119999999996</v>
      </c>
      <c r="AL57">
        <f t="shared" si="20"/>
        <v>25</v>
      </c>
      <c r="AM57">
        <f t="shared" si="21"/>
        <v>25</v>
      </c>
      <c r="AN57">
        <f t="shared" si="22"/>
        <v>4801.226999999999</v>
      </c>
      <c r="AO57">
        <f t="shared" si="23"/>
        <v>25</v>
      </c>
      <c r="AP57">
        <f t="shared" si="24"/>
        <v>25</v>
      </c>
      <c r="AQ57">
        <f t="shared" si="25"/>
        <v>1562.414</v>
      </c>
      <c r="AR57">
        <f t="shared" si="26"/>
        <v>25</v>
      </c>
      <c r="AS57">
        <f t="shared" si="27"/>
        <v>25</v>
      </c>
      <c r="AT57">
        <f t="shared" si="28"/>
        <v>6796.1880000000001</v>
      </c>
      <c r="AU57">
        <f t="shared" si="29"/>
        <v>25</v>
      </c>
      <c r="AV57">
        <f t="shared" si="30"/>
        <v>25</v>
      </c>
      <c r="AW57">
        <f t="shared" si="31"/>
        <v>40777.127999999997</v>
      </c>
      <c r="AX57">
        <f t="shared" si="45"/>
        <v>5</v>
      </c>
      <c r="AY57" s="7">
        <f t="shared" si="32"/>
        <v>40777.127999999997</v>
      </c>
      <c r="AZ57" t="str">
        <f t="shared" si="33"/>
        <v>火蛇Lv25</v>
      </c>
      <c r="BA57">
        <v>73</v>
      </c>
    </row>
    <row r="58" spans="12:53" x14ac:dyDescent="0.2">
      <c r="L58">
        <v>55</v>
      </c>
      <c r="M58">
        <f t="shared" si="51"/>
        <v>51.999999999999979</v>
      </c>
      <c r="N58">
        <f t="shared" si="40"/>
        <v>52</v>
      </c>
      <c r="P58">
        <f t="shared" si="52"/>
        <v>70</v>
      </c>
      <c r="Q58">
        <f t="shared" si="41"/>
        <v>70</v>
      </c>
      <c r="S58">
        <v>55</v>
      </c>
      <c r="T58">
        <f t="shared" si="42"/>
        <v>129</v>
      </c>
      <c r="AD58">
        <v>56</v>
      </c>
      <c r="AE58" s="3">
        <v>63</v>
      </c>
      <c r="AF58">
        <f t="shared" si="44"/>
        <v>25</v>
      </c>
      <c r="AG58">
        <f t="shared" si="15"/>
        <v>25</v>
      </c>
      <c r="AH58">
        <f t="shared" si="16"/>
        <v>2120.2103999999999</v>
      </c>
      <c r="AI58">
        <f t="shared" si="17"/>
        <v>25</v>
      </c>
      <c r="AJ58">
        <f t="shared" si="18"/>
        <v>25</v>
      </c>
      <c r="AK58">
        <f t="shared" si="19"/>
        <v>4567.3566000000001</v>
      </c>
      <c r="AL58">
        <f t="shared" si="20"/>
        <v>25</v>
      </c>
      <c r="AM58">
        <f t="shared" si="21"/>
        <v>25</v>
      </c>
      <c r="AN58">
        <f t="shared" si="22"/>
        <v>5615.3480999999992</v>
      </c>
      <c r="AO58">
        <f t="shared" si="23"/>
        <v>25</v>
      </c>
      <c r="AP58">
        <f t="shared" si="24"/>
        <v>25</v>
      </c>
      <c r="AQ58">
        <f t="shared" si="25"/>
        <v>1696.3352</v>
      </c>
      <c r="AR58">
        <f t="shared" si="26"/>
        <v>25</v>
      </c>
      <c r="AS58">
        <f t="shared" si="27"/>
        <v>25</v>
      </c>
      <c r="AT58">
        <f t="shared" si="28"/>
        <v>7702.3463999999994</v>
      </c>
      <c r="AU58">
        <f t="shared" si="29"/>
        <v>25</v>
      </c>
      <c r="AV58">
        <f t="shared" si="30"/>
        <v>25</v>
      </c>
      <c r="AW58">
        <f t="shared" si="31"/>
        <v>46214.078399999999</v>
      </c>
      <c r="AX58">
        <f t="shared" si="45"/>
        <v>5</v>
      </c>
      <c r="AY58" s="7">
        <f t="shared" si="32"/>
        <v>46214.078399999999</v>
      </c>
      <c r="AZ58" t="str">
        <f t="shared" si="33"/>
        <v>火蛇Lv25</v>
      </c>
      <c r="BA58">
        <v>73</v>
      </c>
    </row>
    <row r="59" spans="12:53" x14ac:dyDescent="0.2">
      <c r="L59">
        <v>56</v>
      </c>
      <c r="M59">
        <f t="shared" si="51"/>
        <v>52.666666666666643</v>
      </c>
      <c r="N59">
        <f t="shared" si="40"/>
        <v>52.67</v>
      </c>
      <c r="P59">
        <f t="shared" si="52"/>
        <v>72</v>
      </c>
      <c r="Q59">
        <f t="shared" si="41"/>
        <v>72</v>
      </c>
      <c r="S59">
        <v>56</v>
      </c>
      <c r="T59">
        <f t="shared" si="42"/>
        <v>131</v>
      </c>
      <c r="AD59">
        <v>57</v>
      </c>
      <c r="AE59">
        <f t="shared" si="43"/>
        <v>64</v>
      </c>
      <c r="AF59">
        <f t="shared" si="44"/>
        <v>25</v>
      </c>
      <c r="AG59">
        <f t="shared" si="15"/>
        <v>25</v>
      </c>
      <c r="AH59">
        <f t="shared" si="16"/>
        <v>2230.3512000000001</v>
      </c>
      <c r="AI59">
        <f t="shared" si="17"/>
        <v>25</v>
      </c>
      <c r="AJ59">
        <f t="shared" si="18"/>
        <v>25</v>
      </c>
      <c r="AK59">
        <f t="shared" si="19"/>
        <v>4794.1047999999992</v>
      </c>
      <c r="AL59">
        <f t="shared" si="20"/>
        <v>25</v>
      </c>
      <c r="AM59">
        <f t="shared" si="21"/>
        <v>25</v>
      </c>
      <c r="AN59">
        <f t="shared" si="22"/>
        <v>5886.7218000000003</v>
      </c>
      <c r="AO59">
        <f t="shared" si="23"/>
        <v>25</v>
      </c>
      <c r="AP59">
        <f t="shared" si="24"/>
        <v>25</v>
      </c>
      <c r="AQ59">
        <f t="shared" si="25"/>
        <v>1740.9756</v>
      </c>
      <c r="AR59">
        <f t="shared" si="26"/>
        <v>25</v>
      </c>
      <c r="AS59">
        <f t="shared" si="27"/>
        <v>25</v>
      </c>
      <c r="AT59">
        <f t="shared" si="28"/>
        <v>8004.3991999999998</v>
      </c>
      <c r="AU59">
        <f t="shared" si="29"/>
        <v>25</v>
      </c>
      <c r="AV59">
        <f t="shared" si="30"/>
        <v>25</v>
      </c>
      <c r="AW59">
        <f t="shared" si="31"/>
        <v>48026.395199999999</v>
      </c>
      <c r="AX59">
        <f t="shared" si="45"/>
        <v>5</v>
      </c>
      <c r="AY59" s="7">
        <f t="shared" si="32"/>
        <v>48026.395199999999</v>
      </c>
      <c r="AZ59" t="str">
        <f t="shared" si="33"/>
        <v>火蛇Lv25</v>
      </c>
      <c r="BA59">
        <v>74</v>
      </c>
    </row>
    <row r="60" spans="12:53" x14ac:dyDescent="0.2">
      <c r="L60">
        <v>57</v>
      </c>
      <c r="M60">
        <f t="shared" si="51"/>
        <v>53.333333333333307</v>
      </c>
      <c r="N60">
        <f t="shared" si="40"/>
        <v>53.33</v>
      </c>
      <c r="P60">
        <f t="shared" si="52"/>
        <v>74</v>
      </c>
      <c r="Q60">
        <f t="shared" si="41"/>
        <v>74</v>
      </c>
      <c r="S60">
        <v>57</v>
      </c>
      <c r="T60">
        <f t="shared" si="42"/>
        <v>133.34</v>
      </c>
      <c r="AD60">
        <v>58</v>
      </c>
      <c r="AE60">
        <f t="shared" si="43"/>
        <v>65</v>
      </c>
      <c r="AF60">
        <f t="shared" si="44"/>
        <v>25</v>
      </c>
      <c r="AG60">
        <f t="shared" si="15"/>
        <v>25</v>
      </c>
      <c r="AH60">
        <f t="shared" si="16"/>
        <v>2340.4919999999997</v>
      </c>
      <c r="AI60">
        <f t="shared" si="17"/>
        <v>25</v>
      </c>
      <c r="AJ60">
        <f t="shared" si="18"/>
        <v>25</v>
      </c>
      <c r="AK60">
        <f t="shared" si="19"/>
        <v>5020.8530000000001</v>
      </c>
      <c r="AL60">
        <f t="shared" si="20"/>
        <v>25</v>
      </c>
      <c r="AM60">
        <f t="shared" si="21"/>
        <v>25</v>
      </c>
      <c r="AN60">
        <f t="shared" si="22"/>
        <v>6158.0954999999994</v>
      </c>
      <c r="AO60">
        <f t="shared" si="23"/>
        <v>25</v>
      </c>
      <c r="AP60">
        <f t="shared" si="24"/>
        <v>25</v>
      </c>
      <c r="AQ60">
        <f t="shared" si="25"/>
        <v>1785.616</v>
      </c>
      <c r="AR60">
        <f t="shared" si="26"/>
        <v>25</v>
      </c>
      <c r="AS60">
        <f t="shared" si="27"/>
        <v>25</v>
      </c>
      <c r="AT60">
        <f t="shared" si="28"/>
        <v>8306.4520000000011</v>
      </c>
      <c r="AU60">
        <f t="shared" si="29"/>
        <v>25</v>
      </c>
      <c r="AV60">
        <f t="shared" si="30"/>
        <v>25</v>
      </c>
      <c r="AW60">
        <f t="shared" si="31"/>
        <v>49838.712000000007</v>
      </c>
      <c r="AX60">
        <f t="shared" si="45"/>
        <v>5</v>
      </c>
      <c r="AY60" s="7">
        <f t="shared" si="32"/>
        <v>49838.712000000007</v>
      </c>
      <c r="AZ60" t="str">
        <f t="shared" si="33"/>
        <v>火蛇Lv25</v>
      </c>
      <c r="BA60">
        <v>74</v>
      </c>
    </row>
    <row r="61" spans="12:53" x14ac:dyDescent="0.2">
      <c r="L61">
        <v>58</v>
      </c>
      <c r="M61">
        <f t="shared" si="51"/>
        <v>53.999999999999972</v>
      </c>
      <c r="N61">
        <f t="shared" si="40"/>
        <v>54</v>
      </c>
      <c r="P61">
        <f t="shared" si="52"/>
        <v>76</v>
      </c>
      <c r="Q61">
        <f t="shared" si="41"/>
        <v>76</v>
      </c>
      <c r="S61">
        <v>58</v>
      </c>
      <c r="T61">
        <f t="shared" si="42"/>
        <v>135.68</v>
      </c>
      <c r="AD61">
        <v>59</v>
      </c>
      <c r="AE61">
        <f t="shared" si="43"/>
        <v>66</v>
      </c>
      <c r="AF61">
        <f t="shared" si="44"/>
        <v>25</v>
      </c>
      <c r="AG61">
        <f t="shared" si="15"/>
        <v>25</v>
      </c>
      <c r="AH61">
        <f t="shared" si="16"/>
        <v>2450.6327999999999</v>
      </c>
      <c r="AI61">
        <f t="shared" si="17"/>
        <v>25</v>
      </c>
      <c r="AJ61">
        <f t="shared" si="18"/>
        <v>25</v>
      </c>
      <c r="AK61">
        <f t="shared" si="19"/>
        <v>5247.6012000000001</v>
      </c>
      <c r="AL61">
        <f t="shared" si="20"/>
        <v>25</v>
      </c>
      <c r="AM61">
        <f t="shared" si="21"/>
        <v>25</v>
      </c>
      <c r="AN61">
        <f t="shared" si="22"/>
        <v>6429.4691999999995</v>
      </c>
      <c r="AO61">
        <f t="shared" si="23"/>
        <v>25</v>
      </c>
      <c r="AP61">
        <f t="shared" si="24"/>
        <v>25</v>
      </c>
      <c r="AQ61">
        <f t="shared" si="25"/>
        <v>1830.2564000000002</v>
      </c>
      <c r="AR61">
        <f t="shared" si="26"/>
        <v>25</v>
      </c>
      <c r="AS61">
        <f t="shared" si="27"/>
        <v>25</v>
      </c>
      <c r="AT61">
        <f t="shared" si="28"/>
        <v>8608.5048000000006</v>
      </c>
      <c r="AU61">
        <f t="shared" si="29"/>
        <v>25</v>
      </c>
      <c r="AV61">
        <f t="shared" si="30"/>
        <v>25</v>
      </c>
      <c r="AW61">
        <f t="shared" si="31"/>
        <v>51651.0288</v>
      </c>
      <c r="AX61">
        <f t="shared" si="45"/>
        <v>5</v>
      </c>
      <c r="AY61" s="7">
        <f t="shared" si="32"/>
        <v>51651.0288</v>
      </c>
      <c r="AZ61" t="str">
        <f t="shared" si="33"/>
        <v>火蛇Lv25</v>
      </c>
      <c r="BA61">
        <v>75</v>
      </c>
    </row>
    <row r="62" spans="12:53" x14ac:dyDescent="0.2">
      <c r="L62">
        <v>59</v>
      </c>
      <c r="M62">
        <f t="shared" si="51"/>
        <v>54.666666666666636</v>
      </c>
      <c r="N62">
        <f t="shared" si="40"/>
        <v>54.67</v>
      </c>
      <c r="P62">
        <f t="shared" si="52"/>
        <v>78</v>
      </c>
      <c r="Q62">
        <f t="shared" si="41"/>
        <v>78</v>
      </c>
      <c r="S62">
        <v>59</v>
      </c>
      <c r="T62">
        <f t="shared" si="42"/>
        <v>138.02000000000001</v>
      </c>
      <c r="AD62">
        <v>60</v>
      </c>
      <c r="AE62">
        <f t="shared" si="43"/>
        <v>67</v>
      </c>
      <c r="AF62">
        <f t="shared" si="44"/>
        <v>27</v>
      </c>
      <c r="AG62">
        <f t="shared" si="15"/>
        <v>27</v>
      </c>
      <c r="AH62">
        <f t="shared" si="16"/>
        <v>2930.9280000000003</v>
      </c>
      <c r="AI62">
        <f t="shared" si="17"/>
        <v>27</v>
      </c>
      <c r="AJ62">
        <f t="shared" si="18"/>
        <v>27</v>
      </c>
      <c r="AK62">
        <f t="shared" si="19"/>
        <v>5424.213600000001</v>
      </c>
      <c r="AL62">
        <f t="shared" si="20"/>
        <v>27</v>
      </c>
      <c r="AM62">
        <f t="shared" si="21"/>
        <v>27</v>
      </c>
      <c r="AN62">
        <f t="shared" si="22"/>
        <v>6458.2596000000003</v>
      </c>
      <c r="AO62">
        <f t="shared" si="23"/>
        <v>27</v>
      </c>
      <c r="AP62">
        <f t="shared" si="24"/>
        <v>27</v>
      </c>
      <c r="AQ62">
        <f t="shared" si="25"/>
        <v>1975.2096000000001</v>
      </c>
      <c r="AR62">
        <f t="shared" si="26"/>
        <v>27</v>
      </c>
      <c r="AS62">
        <f t="shared" si="27"/>
        <v>27</v>
      </c>
      <c r="AT62">
        <f t="shared" si="28"/>
        <v>9120.7584000000006</v>
      </c>
      <c r="AU62">
        <f t="shared" si="29"/>
        <v>27</v>
      </c>
      <c r="AV62">
        <f t="shared" si="30"/>
        <v>27</v>
      </c>
      <c r="AW62">
        <f t="shared" si="31"/>
        <v>54724.550400000007</v>
      </c>
      <c r="AX62">
        <v>7</v>
      </c>
      <c r="AY62" s="7">
        <f t="shared" si="32"/>
        <v>54724.550400000007</v>
      </c>
      <c r="AZ62" t="str">
        <f t="shared" si="33"/>
        <v>火蛇Lv27</v>
      </c>
      <c r="BA62">
        <v>75</v>
      </c>
    </row>
    <row r="63" spans="12:53" x14ac:dyDescent="0.2">
      <c r="L63">
        <v>60</v>
      </c>
      <c r="M63">
        <f t="shared" si="51"/>
        <v>55.3333333333333</v>
      </c>
      <c r="N63">
        <f t="shared" si="40"/>
        <v>55.33</v>
      </c>
      <c r="P63">
        <f t="shared" si="52"/>
        <v>80</v>
      </c>
      <c r="Q63">
        <f t="shared" si="41"/>
        <v>80</v>
      </c>
      <c r="S63">
        <v>60</v>
      </c>
      <c r="T63">
        <f t="shared" si="42"/>
        <v>140.36000000000001</v>
      </c>
      <c r="AD63">
        <v>61</v>
      </c>
      <c r="AE63">
        <f t="shared" si="43"/>
        <v>68</v>
      </c>
      <c r="AF63">
        <f t="shared" si="44"/>
        <v>27</v>
      </c>
      <c r="AG63">
        <f t="shared" si="15"/>
        <v>27</v>
      </c>
      <c r="AH63">
        <f t="shared" si="16"/>
        <v>3083.1840000000002</v>
      </c>
      <c r="AI63">
        <f t="shared" si="17"/>
        <v>27</v>
      </c>
      <c r="AJ63">
        <f t="shared" si="18"/>
        <v>27</v>
      </c>
      <c r="AK63">
        <f t="shared" si="19"/>
        <v>5693.5007999999998</v>
      </c>
      <c r="AL63">
        <f t="shared" si="20"/>
        <v>27</v>
      </c>
      <c r="AM63">
        <f t="shared" si="21"/>
        <v>27</v>
      </c>
      <c r="AN63">
        <f t="shared" si="22"/>
        <v>6770.3688000000011</v>
      </c>
      <c r="AO63">
        <f t="shared" si="23"/>
        <v>27</v>
      </c>
      <c r="AP63">
        <f t="shared" si="24"/>
        <v>27</v>
      </c>
      <c r="AQ63">
        <f t="shared" si="25"/>
        <v>2027.1888000000001</v>
      </c>
      <c r="AR63">
        <f t="shared" si="26"/>
        <v>27</v>
      </c>
      <c r="AS63">
        <f t="shared" si="27"/>
        <v>27</v>
      </c>
      <c r="AT63">
        <f t="shared" si="28"/>
        <v>9478.4351999999999</v>
      </c>
      <c r="AU63">
        <f t="shared" si="29"/>
        <v>27</v>
      </c>
      <c r="AV63">
        <f t="shared" si="30"/>
        <v>27</v>
      </c>
      <c r="AW63">
        <f t="shared" si="31"/>
        <v>56870.611199999999</v>
      </c>
      <c r="AX63">
        <f t="shared" si="45"/>
        <v>7</v>
      </c>
      <c r="AY63" s="7">
        <f t="shared" si="32"/>
        <v>56870.611199999999</v>
      </c>
      <c r="AZ63" t="str">
        <f t="shared" si="33"/>
        <v>火蛇Lv27</v>
      </c>
      <c r="BA63">
        <v>76</v>
      </c>
    </row>
    <row r="64" spans="12:53" x14ac:dyDescent="0.2">
      <c r="L64">
        <v>61</v>
      </c>
      <c r="M64">
        <f t="shared" si="51"/>
        <v>55.999999999999964</v>
      </c>
      <c r="N64">
        <f t="shared" si="40"/>
        <v>56</v>
      </c>
      <c r="P64">
        <f t="shared" si="52"/>
        <v>81.083333333333329</v>
      </c>
      <c r="Q64">
        <f t="shared" si="41"/>
        <v>81.08</v>
      </c>
      <c r="S64">
        <v>61</v>
      </c>
      <c r="T64">
        <f t="shared" si="42"/>
        <v>142.69999999999999</v>
      </c>
      <c r="AD64">
        <v>62</v>
      </c>
      <c r="AE64">
        <f t="shared" si="43"/>
        <v>69</v>
      </c>
      <c r="AF64">
        <f t="shared" si="44"/>
        <v>27</v>
      </c>
      <c r="AG64">
        <f t="shared" si="15"/>
        <v>27</v>
      </c>
      <c r="AH64">
        <f t="shared" si="16"/>
        <v>3235.44</v>
      </c>
      <c r="AI64">
        <f t="shared" si="17"/>
        <v>27</v>
      </c>
      <c r="AJ64">
        <f t="shared" si="18"/>
        <v>27</v>
      </c>
      <c r="AK64">
        <f t="shared" si="19"/>
        <v>5962.7880000000005</v>
      </c>
      <c r="AL64">
        <f t="shared" si="20"/>
        <v>27</v>
      </c>
      <c r="AM64">
        <f t="shared" si="21"/>
        <v>27</v>
      </c>
      <c r="AN64">
        <f t="shared" si="22"/>
        <v>7082.478000000001</v>
      </c>
      <c r="AO64">
        <f t="shared" si="23"/>
        <v>27</v>
      </c>
      <c r="AP64">
        <f t="shared" si="24"/>
        <v>27</v>
      </c>
      <c r="AQ64">
        <f t="shared" si="25"/>
        <v>2079.1680000000001</v>
      </c>
      <c r="AR64">
        <f t="shared" si="26"/>
        <v>27</v>
      </c>
      <c r="AS64">
        <f t="shared" si="27"/>
        <v>27</v>
      </c>
      <c r="AT64">
        <f t="shared" si="28"/>
        <v>9836.112000000001</v>
      </c>
      <c r="AU64">
        <f t="shared" si="29"/>
        <v>27</v>
      </c>
      <c r="AV64">
        <f t="shared" si="30"/>
        <v>27</v>
      </c>
      <c r="AW64">
        <f t="shared" si="31"/>
        <v>59016.672000000006</v>
      </c>
      <c r="AX64">
        <f t="shared" si="45"/>
        <v>7</v>
      </c>
      <c r="AY64" s="7">
        <f t="shared" si="32"/>
        <v>59016.672000000006</v>
      </c>
      <c r="AZ64" t="str">
        <f t="shared" si="33"/>
        <v>火蛇Lv27</v>
      </c>
      <c r="BA64">
        <v>76</v>
      </c>
    </row>
    <row r="65" spans="12:53" x14ac:dyDescent="0.2">
      <c r="L65">
        <v>62</v>
      </c>
      <c r="M65">
        <f t="shared" si="51"/>
        <v>56.666666666666629</v>
      </c>
      <c r="N65">
        <f t="shared" si="40"/>
        <v>56.67</v>
      </c>
      <c r="P65">
        <f t="shared" si="52"/>
        <v>82.166666666666657</v>
      </c>
      <c r="Q65">
        <f t="shared" si="41"/>
        <v>82.17</v>
      </c>
      <c r="S65">
        <v>62</v>
      </c>
      <c r="T65">
        <f t="shared" si="42"/>
        <v>145.04</v>
      </c>
      <c r="AD65">
        <v>63</v>
      </c>
      <c r="AE65">
        <f t="shared" si="43"/>
        <v>70</v>
      </c>
      <c r="AF65">
        <f t="shared" si="44"/>
        <v>27</v>
      </c>
      <c r="AG65">
        <f t="shared" si="15"/>
        <v>27</v>
      </c>
      <c r="AH65">
        <f t="shared" si="16"/>
        <v>3387.6959999999999</v>
      </c>
      <c r="AI65">
        <f t="shared" si="17"/>
        <v>27</v>
      </c>
      <c r="AJ65">
        <f t="shared" si="18"/>
        <v>27</v>
      </c>
      <c r="AK65">
        <f t="shared" si="19"/>
        <v>6232.0752000000002</v>
      </c>
      <c r="AL65">
        <f t="shared" si="20"/>
        <v>27</v>
      </c>
      <c r="AM65">
        <f t="shared" si="21"/>
        <v>27</v>
      </c>
      <c r="AN65">
        <f t="shared" si="22"/>
        <v>7394.5872000000008</v>
      </c>
      <c r="AO65">
        <f t="shared" si="23"/>
        <v>27</v>
      </c>
      <c r="AP65">
        <f t="shared" si="24"/>
        <v>27</v>
      </c>
      <c r="AQ65">
        <f t="shared" si="25"/>
        <v>2131.1472000000003</v>
      </c>
      <c r="AR65">
        <f t="shared" si="26"/>
        <v>27</v>
      </c>
      <c r="AS65">
        <f t="shared" si="27"/>
        <v>27</v>
      </c>
      <c r="AT65">
        <f t="shared" si="28"/>
        <v>10193.788800000002</v>
      </c>
      <c r="AU65">
        <f t="shared" si="29"/>
        <v>27</v>
      </c>
      <c r="AV65">
        <f t="shared" si="30"/>
        <v>27</v>
      </c>
      <c r="AW65">
        <f t="shared" si="31"/>
        <v>61162.732800000013</v>
      </c>
      <c r="AX65">
        <f t="shared" si="45"/>
        <v>7</v>
      </c>
      <c r="AY65" s="7">
        <f t="shared" si="32"/>
        <v>61162.732800000013</v>
      </c>
      <c r="AZ65" t="str">
        <f t="shared" si="33"/>
        <v>火蛇Lv27</v>
      </c>
      <c r="BA65">
        <v>77</v>
      </c>
    </row>
    <row r="66" spans="12:53" x14ac:dyDescent="0.2">
      <c r="L66">
        <v>63</v>
      </c>
      <c r="M66">
        <f t="shared" si="51"/>
        <v>57.333333333333293</v>
      </c>
      <c r="N66">
        <f t="shared" si="40"/>
        <v>57.33</v>
      </c>
      <c r="P66">
        <f t="shared" si="52"/>
        <v>83.249999999999986</v>
      </c>
      <c r="Q66">
        <f t="shared" si="41"/>
        <v>83.25</v>
      </c>
      <c r="S66">
        <v>63</v>
      </c>
      <c r="T66">
        <f t="shared" si="42"/>
        <v>147.38</v>
      </c>
      <c r="AD66">
        <v>64</v>
      </c>
      <c r="AE66">
        <f t="shared" si="43"/>
        <v>71</v>
      </c>
      <c r="AF66">
        <f t="shared" si="44"/>
        <v>27</v>
      </c>
      <c r="AG66">
        <f t="shared" si="15"/>
        <v>27</v>
      </c>
      <c r="AH66">
        <f t="shared" si="16"/>
        <v>3539.9520000000002</v>
      </c>
      <c r="AI66">
        <f t="shared" si="17"/>
        <v>27</v>
      </c>
      <c r="AJ66">
        <f t="shared" si="18"/>
        <v>27</v>
      </c>
      <c r="AK66">
        <f t="shared" si="19"/>
        <v>6501.3624</v>
      </c>
      <c r="AL66">
        <f t="shared" si="20"/>
        <v>27</v>
      </c>
      <c r="AM66">
        <f t="shared" si="21"/>
        <v>27</v>
      </c>
      <c r="AN66">
        <f t="shared" si="22"/>
        <v>7706.6964000000007</v>
      </c>
      <c r="AO66">
        <f t="shared" si="23"/>
        <v>27</v>
      </c>
      <c r="AP66">
        <f t="shared" si="24"/>
        <v>27</v>
      </c>
      <c r="AQ66">
        <f t="shared" si="25"/>
        <v>2183.1264000000001</v>
      </c>
      <c r="AR66">
        <f t="shared" si="26"/>
        <v>27</v>
      </c>
      <c r="AS66">
        <f t="shared" si="27"/>
        <v>27</v>
      </c>
      <c r="AT66">
        <f t="shared" si="28"/>
        <v>10551.465600000001</v>
      </c>
      <c r="AU66">
        <f t="shared" si="29"/>
        <v>27</v>
      </c>
      <c r="AV66">
        <f t="shared" si="30"/>
        <v>27</v>
      </c>
      <c r="AW66">
        <f t="shared" si="31"/>
        <v>63308.793600000005</v>
      </c>
      <c r="AX66">
        <f t="shared" si="45"/>
        <v>7</v>
      </c>
      <c r="AY66" s="7">
        <f t="shared" si="32"/>
        <v>63308.793600000005</v>
      </c>
      <c r="AZ66" t="str">
        <f t="shared" si="33"/>
        <v>火蛇Lv27</v>
      </c>
      <c r="BA66">
        <v>77</v>
      </c>
    </row>
    <row r="67" spans="12:53" x14ac:dyDescent="0.2">
      <c r="L67">
        <v>64</v>
      </c>
      <c r="M67">
        <f t="shared" si="51"/>
        <v>58</v>
      </c>
      <c r="N67">
        <f t="shared" si="40"/>
        <v>58</v>
      </c>
      <c r="P67">
        <f t="shared" si="52"/>
        <v>84.333333333333314</v>
      </c>
      <c r="Q67">
        <f t="shared" si="41"/>
        <v>84.33</v>
      </c>
      <c r="S67">
        <v>64</v>
      </c>
      <c r="T67">
        <f t="shared" si="42"/>
        <v>149.72</v>
      </c>
      <c r="AD67">
        <v>65</v>
      </c>
      <c r="AE67">
        <f t="shared" si="43"/>
        <v>72</v>
      </c>
      <c r="AF67">
        <f t="shared" si="44"/>
        <v>27</v>
      </c>
      <c r="AG67">
        <f t="shared" si="15"/>
        <v>27</v>
      </c>
      <c r="AH67">
        <f t="shared" si="16"/>
        <v>3692.2080000000001</v>
      </c>
      <c r="AI67">
        <f t="shared" si="17"/>
        <v>27</v>
      </c>
      <c r="AJ67">
        <f t="shared" si="18"/>
        <v>27</v>
      </c>
      <c r="AK67">
        <f t="shared" si="19"/>
        <v>6770.6495999999997</v>
      </c>
      <c r="AL67">
        <f t="shared" si="20"/>
        <v>27</v>
      </c>
      <c r="AM67">
        <f t="shared" si="21"/>
        <v>27</v>
      </c>
      <c r="AN67">
        <f t="shared" si="22"/>
        <v>8018.8056000000006</v>
      </c>
      <c r="AO67">
        <f t="shared" si="23"/>
        <v>27</v>
      </c>
      <c r="AP67">
        <f t="shared" si="24"/>
        <v>27</v>
      </c>
      <c r="AQ67">
        <f t="shared" si="25"/>
        <v>2235.1055999999999</v>
      </c>
      <c r="AR67">
        <f t="shared" si="26"/>
        <v>27</v>
      </c>
      <c r="AS67">
        <f t="shared" si="27"/>
        <v>27</v>
      </c>
      <c r="AT67">
        <f t="shared" si="28"/>
        <v>10909.142400000001</v>
      </c>
      <c r="AU67">
        <f t="shared" si="29"/>
        <v>27</v>
      </c>
      <c r="AV67">
        <f t="shared" si="30"/>
        <v>27</v>
      </c>
      <c r="AW67">
        <f t="shared" si="31"/>
        <v>65454.854400000004</v>
      </c>
      <c r="AX67">
        <f t="shared" si="45"/>
        <v>7</v>
      </c>
      <c r="AY67" s="7">
        <f t="shared" si="32"/>
        <v>65454.854400000004</v>
      </c>
      <c r="AZ67" t="str">
        <f t="shared" si="33"/>
        <v>火蛇Lv27</v>
      </c>
      <c r="BA67">
        <v>78</v>
      </c>
    </row>
    <row r="68" spans="12:53" x14ac:dyDescent="0.2">
      <c r="L68">
        <v>65</v>
      </c>
      <c r="M68">
        <f t="shared" si="51"/>
        <v>58.5</v>
      </c>
      <c r="N68">
        <f t="shared" si="40"/>
        <v>58.5</v>
      </c>
      <c r="P68">
        <f t="shared" si="52"/>
        <v>85.416666666666643</v>
      </c>
      <c r="Q68">
        <f t="shared" si="41"/>
        <v>85.42</v>
      </c>
      <c r="S68">
        <v>65</v>
      </c>
      <c r="T68">
        <f t="shared" si="42"/>
        <v>152.06</v>
      </c>
      <c r="AD68">
        <v>66</v>
      </c>
      <c r="AE68">
        <f t="shared" si="43"/>
        <v>73</v>
      </c>
      <c r="AF68">
        <f t="shared" si="44"/>
        <v>27</v>
      </c>
      <c r="AG68">
        <f t="shared" ref="AG68:AG101" si="64">MIN(MAX(MIN(($AE68-AF68),$AD68-30),0),20)+$AX68</f>
        <v>27</v>
      </c>
      <c r="AH68">
        <f t="shared" ref="AH68:AH101" si="65">HLOOKUP(AF68,$BS:$FN,2,0)*(1+HLOOKUP(AG68,$BS:$FN,8,0)/100)*(1+MIN(MAX(($AE68-AF68-AG68),0),20)*$BQ$2/100)*(1+MIN(MAX(($AE68-AF68-AG68-20),0),20)*$BR$2/100)</f>
        <v>3844.4639999999999</v>
      </c>
      <c r="AI68">
        <f t="shared" ref="AI68:AI101" si="66">MAX(MIN(MIN(($AD68-INT(VLOOKUP(AI$1,$BC:$BD,2,0))+1),20),$AE68),0)+IF(MAX(MIN(MIN(($AD68-INT(VLOOKUP(AI$1,$BC:$BD,2,0))+1),20),$AE68),0)&gt;0,$AX68,0)</f>
        <v>27</v>
      </c>
      <c r="AJ68">
        <f t="shared" ref="AJ68:AJ101" si="67">MIN(MAX(MIN(($AE68-AI68),$AD68-30),0),20)+$AX68</f>
        <v>27</v>
      </c>
      <c r="AK68">
        <f t="shared" ref="AK68:AK101" si="68">HLOOKUP(AI68,$BS:$FN,3,0)*(1+HLOOKUP(AJ68,$BS:$FN,8,0)/100)*(1+MIN(MAX(($AE68-AI68-AJ68),0),20)*$BQ$3/100)*(1+MIN(MAX(($AE68-AI68-AJ68-20),0),20)*$BR$3/100)</f>
        <v>7039.9368000000004</v>
      </c>
      <c r="AL68">
        <f t="shared" ref="AL68:AL101" si="69">MAX(MIN(MIN(($AD68-INT(VLOOKUP(AL$1,$BC:$BD,2,0))+1),20),$AE68),0)+IF(MAX(MIN(MIN(($AD68-INT(VLOOKUP(AL$1,$BC:$BD,2,0))+1),20),$AE68),0)&gt;0,$AX68,0)</f>
        <v>27</v>
      </c>
      <c r="AM68">
        <f t="shared" ref="AM68:AM101" si="70">MIN(MAX(MIN(($AE68-AL68),$AD68-30),0),20)+$AX68</f>
        <v>27</v>
      </c>
      <c r="AN68">
        <f t="shared" ref="AN68:AN101" si="71">HLOOKUP(AL68,$BS:$FN,4,0)*(1+HLOOKUP(AM68,$BS:$FN,8,0)/100)*(1+MIN(MAX(($AE68-AL68-AM68),0),20)*$BQ$4/100)*(1+MIN(MAX(($AE68-AL68-AM68-20),0),20)*$BR$4/100)</f>
        <v>8330.9148000000005</v>
      </c>
      <c r="AO68">
        <f t="shared" ref="AO68:AO101" si="72">MAX(MIN(MIN(($AD68-INT(VLOOKUP(AO$1,$BC:$BD,2,0))+1),20),$AE68),0)+IF(MAX(MIN(MIN(($AD68-INT(VLOOKUP(AO$1,$BC:$BD,2,0))+1),20),$AE68),0)&gt;0,$AX68,0)</f>
        <v>27</v>
      </c>
      <c r="AP68">
        <f t="shared" ref="AP68:AP101" si="73">MIN(MAX(MIN(($AE68-AO68),$AD68-30),0),20)+$AX68</f>
        <v>27</v>
      </c>
      <c r="AQ68">
        <f t="shared" ref="AQ68:AQ101" si="74">HLOOKUP(AO68,$BS:$FN,5,0)*(1+HLOOKUP(AP68,$BS:$FN,8,0)/100)*(1+MIN(MAX(($AE68-AO68-AP68),0),20)*$BQ$5/100)*(1+MIN(MAX(($AE68-AO68-AP68-20),0),20)*$BR$5/100)</f>
        <v>2287.0848000000001</v>
      </c>
      <c r="AR68">
        <f t="shared" ref="AR68:AR101" si="75">MAX(MIN(MIN(($AD68-INT(VLOOKUP(AR$1,$BC:$BD,2,0))+1),20),$AE68),0)+IF(MAX(MIN(MIN(($AD68-INT(VLOOKUP(AR$1,$BC:$BD,2,0))+1),20),$AE68),0)&gt;0,$AX68,0)</f>
        <v>27</v>
      </c>
      <c r="AS68">
        <f t="shared" ref="AS68:AS101" si="76">MIN(MAX(MIN(($AE68-AR68),$AD68-30),0),20)+$AX68</f>
        <v>27</v>
      </c>
      <c r="AT68">
        <f t="shared" ref="AT68:AT101" si="77">HLOOKUP(AR68,$BS:$FN,6,0)*(1+HLOOKUP(AS68,$BS:$FN,8,0)/100)*(1+MIN(MAX(($AE68-AR68-AS68),0),20)*$BQ$6/100)*(1+MIN(MAX(($AE68-AR68-AS68-20),0),20)*$BR$6/100)</f>
        <v>11266.8192</v>
      </c>
      <c r="AU68">
        <f t="shared" ref="AU68:AU101" si="78">MAX(MIN(MIN(($AD68-INT(VLOOKUP(AU$1,$BC:$BD,2,0))+1),20),$AE68),0)+IF(MAX(MIN(MIN(($AD68-INT(VLOOKUP(AU$1,$BC:$BD,2,0))+1),20),$AE68),0)&gt;0,$AX68,0)</f>
        <v>27</v>
      </c>
      <c r="AV68">
        <f t="shared" ref="AV68:AV101" si="79">MIN(MAX(MIN(($AE68-AU68),$AD68-30),0),20)+$AX68</f>
        <v>27</v>
      </c>
      <c r="AW68">
        <f t="shared" ref="AW68:AW101" si="80">(HLOOKUP(AU68,$BS:$FN,6,0)*(1+HLOOKUP(AV68,$BS:$FN,8,0)/100)*(1+MIN(MAX(($AE68-AU68-AV68),0),20)*$BQ$6/100)*(1+MIN(MAX(($AE68-AU68-AV68-20),0),20)*$BR$6/100))*6</f>
        <v>67600.915200000003</v>
      </c>
      <c r="AX68">
        <f t="shared" si="45"/>
        <v>7</v>
      </c>
      <c r="AY68" s="7">
        <f t="shared" ref="AY68:AY101" si="81">MAX(AH68,AK68,AN68,AQ68,AT68,AW68)</f>
        <v>67600.915200000003</v>
      </c>
      <c r="AZ68" t="str">
        <f t="shared" ref="AZ68:AZ101" si="82">IF(MATCH(AY68,AD68:AW68,0)=5,"火球术Lv",IF(MATCH(AY68,AD68:AW68,0)=8,"火焰弹Lv",IF(MATCH(AY68,AD68:AW68,0)=11,"炼狱之火Lv",IF(MATCH(AY68,AD68:AW68,0)=14,"火墙Lv",IF(MATCH(AY68,AD68:AW68,0)=17,"陨石术Lv",IF(MATCH(AY68,AD68:AW68,0)=20,"火蛇Lv"))))))&amp;VLOOKUP(AD68,AD68:AW68,MATCH(AY68,AD68:AW68,0)-2,0)</f>
        <v>火蛇Lv27</v>
      </c>
      <c r="BA68">
        <v>78</v>
      </c>
    </row>
    <row r="69" spans="12:53" x14ac:dyDescent="0.2">
      <c r="L69">
        <v>66</v>
      </c>
      <c r="M69">
        <f t="shared" si="51"/>
        <v>59</v>
      </c>
      <c r="N69">
        <f t="shared" ref="N69:N102" si="83">ROUND(M69,2)</f>
        <v>59</v>
      </c>
      <c r="P69">
        <f t="shared" si="52"/>
        <v>86.5</v>
      </c>
      <c r="Q69">
        <f t="shared" ref="Q69:Q102" si="84">ROUND(P69,2)</f>
        <v>86.5</v>
      </c>
      <c r="S69">
        <v>66</v>
      </c>
      <c r="T69">
        <f t="shared" ref="T69:T102" si="85">ROUND(IFERROR(VLOOKUP(S69,$W:$AB,4,0),VLOOKUP(S69,$W:$AB,6,1)+T68),2)</f>
        <v>154.4</v>
      </c>
      <c r="AD69">
        <v>67</v>
      </c>
      <c r="AE69" s="3">
        <v>75</v>
      </c>
      <c r="AF69">
        <f t="shared" ref="AF69:AF101" si="86">MAX(MIN(MIN(($AD69-INT(VLOOKUP(AF$1,$BC:$BD,2,0))+1),20),$AE69),0)+IF(MAX(MIN(MIN(($AD69-INT(VLOOKUP(AF$1,$BC:$BD,2,0))+1),20),$AE69),0)&gt;0,$AX69,0)</f>
        <v>27</v>
      </c>
      <c r="AG69">
        <f t="shared" si="64"/>
        <v>27</v>
      </c>
      <c r="AH69">
        <f t="shared" si="65"/>
        <v>4636.1952000000001</v>
      </c>
      <c r="AI69">
        <f t="shared" si="66"/>
        <v>27</v>
      </c>
      <c r="AJ69">
        <f t="shared" si="67"/>
        <v>27</v>
      </c>
      <c r="AK69">
        <f t="shared" si="68"/>
        <v>8332.5153600000012</v>
      </c>
      <c r="AL69">
        <f t="shared" si="69"/>
        <v>27</v>
      </c>
      <c r="AM69">
        <f t="shared" si="70"/>
        <v>27</v>
      </c>
      <c r="AN69">
        <f t="shared" si="71"/>
        <v>8643.0240000000013</v>
      </c>
      <c r="AO69">
        <f t="shared" si="72"/>
        <v>27</v>
      </c>
      <c r="AP69">
        <f t="shared" si="73"/>
        <v>27</v>
      </c>
      <c r="AQ69">
        <f t="shared" si="74"/>
        <v>2362.4546400000004</v>
      </c>
      <c r="AR69">
        <f t="shared" si="75"/>
        <v>27</v>
      </c>
      <c r="AS69">
        <f t="shared" si="76"/>
        <v>27</v>
      </c>
      <c r="AT69">
        <f t="shared" si="77"/>
        <v>12554.455680000003</v>
      </c>
      <c r="AU69">
        <f t="shared" si="78"/>
        <v>27</v>
      </c>
      <c r="AV69">
        <f t="shared" si="79"/>
        <v>27</v>
      </c>
      <c r="AW69">
        <f t="shared" si="80"/>
        <v>75326.734080000024</v>
      </c>
      <c r="AX69">
        <f t="shared" ref="AX69:AX101" si="87">AX68</f>
        <v>7</v>
      </c>
      <c r="AY69" s="7">
        <f t="shared" si="81"/>
        <v>75326.734080000024</v>
      </c>
      <c r="AZ69" t="str">
        <f t="shared" si="82"/>
        <v>火蛇Lv27</v>
      </c>
      <c r="BA69">
        <v>79</v>
      </c>
    </row>
    <row r="70" spans="12:53" x14ac:dyDescent="0.2">
      <c r="L70">
        <v>67</v>
      </c>
      <c r="M70">
        <f t="shared" ref="M70:M102" si="88">IFERROR(VLOOKUP(L70,$H:$I,2,0),VLOOKUP(L70,$H:$J,3,1)+M69)</f>
        <v>59.5</v>
      </c>
      <c r="N70">
        <f t="shared" si="83"/>
        <v>59.5</v>
      </c>
      <c r="P70">
        <f t="shared" ref="P70:P102" si="89">IFERROR(VLOOKUP(L70,D:F,2,0),VLOOKUP(L70,D:F,3,1)+P69)</f>
        <v>87.810606060606062</v>
      </c>
      <c r="Q70">
        <f t="shared" si="84"/>
        <v>87.81</v>
      </c>
      <c r="S70">
        <v>67</v>
      </c>
      <c r="T70">
        <f t="shared" si="85"/>
        <v>156.74</v>
      </c>
      <c r="AD70">
        <v>68</v>
      </c>
      <c r="AE70">
        <f t="shared" ref="AE70:AE101" si="90">AE69+1</f>
        <v>76</v>
      </c>
      <c r="AF70">
        <f t="shared" si="86"/>
        <v>27</v>
      </c>
      <c r="AG70">
        <f t="shared" si="64"/>
        <v>27</v>
      </c>
      <c r="AH70">
        <f t="shared" si="65"/>
        <v>5275.6704000000009</v>
      </c>
      <c r="AI70">
        <f t="shared" si="66"/>
        <v>27</v>
      </c>
      <c r="AJ70">
        <f t="shared" si="67"/>
        <v>27</v>
      </c>
      <c r="AK70">
        <f t="shared" si="68"/>
        <v>9355.8067200000005</v>
      </c>
      <c r="AL70">
        <f t="shared" si="69"/>
        <v>27</v>
      </c>
      <c r="AM70">
        <f t="shared" si="70"/>
        <v>27</v>
      </c>
      <c r="AN70">
        <f t="shared" si="71"/>
        <v>8643.0240000000013</v>
      </c>
      <c r="AO70">
        <f t="shared" si="72"/>
        <v>27</v>
      </c>
      <c r="AP70">
        <f t="shared" si="73"/>
        <v>27</v>
      </c>
      <c r="AQ70">
        <f t="shared" si="74"/>
        <v>2385.8452800000005</v>
      </c>
      <c r="AR70">
        <f t="shared" si="75"/>
        <v>27</v>
      </c>
      <c r="AS70">
        <f t="shared" si="76"/>
        <v>27</v>
      </c>
      <c r="AT70">
        <f t="shared" si="77"/>
        <v>13484.415360000001</v>
      </c>
      <c r="AU70">
        <f t="shared" si="78"/>
        <v>27</v>
      </c>
      <c r="AV70">
        <f t="shared" si="79"/>
        <v>27</v>
      </c>
      <c r="AW70">
        <f t="shared" si="80"/>
        <v>80906.492160000009</v>
      </c>
      <c r="AX70">
        <f t="shared" si="87"/>
        <v>7</v>
      </c>
      <c r="AY70" s="7">
        <f t="shared" si="81"/>
        <v>80906.492160000009</v>
      </c>
      <c r="AZ70" t="str">
        <f t="shared" si="82"/>
        <v>火蛇Lv27</v>
      </c>
      <c r="BA70">
        <v>79</v>
      </c>
    </row>
    <row r="71" spans="12:53" x14ac:dyDescent="0.2">
      <c r="L71">
        <v>68</v>
      </c>
      <c r="M71">
        <f t="shared" si="88"/>
        <v>60</v>
      </c>
      <c r="N71">
        <f t="shared" si="83"/>
        <v>60</v>
      </c>
      <c r="P71">
        <f t="shared" si="89"/>
        <v>89.121212121212125</v>
      </c>
      <c r="Q71">
        <f t="shared" si="84"/>
        <v>89.12</v>
      </c>
      <c r="S71">
        <v>68</v>
      </c>
      <c r="T71">
        <f t="shared" si="85"/>
        <v>159.08000000000001</v>
      </c>
      <c r="AD71">
        <v>69</v>
      </c>
      <c r="AE71">
        <f t="shared" si="90"/>
        <v>77</v>
      </c>
      <c r="AF71">
        <f t="shared" si="86"/>
        <v>27</v>
      </c>
      <c r="AG71">
        <f t="shared" si="64"/>
        <v>27</v>
      </c>
      <c r="AH71">
        <f t="shared" si="65"/>
        <v>5915.1456000000007</v>
      </c>
      <c r="AI71">
        <f t="shared" si="66"/>
        <v>27</v>
      </c>
      <c r="AJ71">
        <f t="shared" si="67"/>
        <v>27</v>
      </c>
      <c r="AK71">
        <f t="shared" si="68"/>
        <v>10379.09808</v>
      </c>
      <c r="AL71">
        <f t="shared" si="69"/>
        <v>27</v>
      </c>
      <c r="AM71">
        <f t="shared" si="70"/>
        <v>27</v>
      </c>
      <c r="AN71">
        <f t="shared" si="71"/>
        <v>8643.0240000000013</v>
      </c>
      <c r="AO71">
        <f t="shared" si="72"/>
        <v>27</v>
      </c>
      <c r="AP71">
        <f t="shared" si="73"/>
        <v>27</v>
      </c>
      <c r="AQ71">
        <f t="shared" si="74"/>
        <v>2409.2359200000005</v>
      </c>
      <c r="AR71">
        <f t="shared" si="75"/>
        <v>27</v>
      </c>
      <c r="AS71">
        <f t="shared" si="76"/>
        <v>27</v>
      </c>
      <c r="AT71">
        <f t="shared" si="77"/>
        <v>14414.375040000001</v>
      </c>
      <c r="AU71">
        <f t="shared" si="78"/>
        <v>27</v>
      </c>
      <c r="AV71">
        <f t="shared" si="79"/>
        <v>27</v>
      </c>
      <c r="AW71">
        <f t="shared" si="80"/>
        <v>86486.250240000008</v>
      </c>
      <c r="AX71">
        <f t="shared" si="87"/>
        <v>7</v>
      </c>
      <c r="AY71" s="7">
        <f t="shared" si="81"/>
        <v>86486.250240000008</v>
      </c>
      <c r="AZ71" t="str">
        <f t="shared" si="82"/>
        <v>火蛇Lv27</v>
      </c>
      <c r="BA71">
        <v>80</v>
      </c>
    </row>
    <row r="72" spans="12:53" x14ac:dyDescent="0.2">
      <c r="L72">
        <v>69</v>
      </c>
      <c r="M72">
        <f t="shared" si="88"/>
        <v>60.5</v>
      </c>
      <c r="N72">
        <f t="shared" si="83"/>
        <v>60.5</v>
      </c>
      <c r="P72">
        <f t="shared" si="89"/>
        <v>90.431818181818187</v>
      </c>
      <c r="Q72">
        <f t="shared" si="84"/>
        <v>90.43</v>
      </c>
      <c r="S72">
        <v>69</v>
      </c>
      <c r="T72">
        <f t="shared" si="85"/>
        <v>161.41999999999999</v>
      </c>
      <c r="AD72">
        <v>70</v>
      </c>
      <c r="AE72">
        <f t="shared" si="90"/>
        <v>78</v>
      </c>
      <c r="AF72">
        <f t="shared" si="86"/>
        <v>29</v>
      </c>
      <c r="AG72">
        <f t="shared" si="64"/>
        <v>29</v>
      </c>
      <c r="AH72">
        <f t="shared" si="65"/>
        <v>5329.8</v>
      </c>
      <c r="AI72">
        <f t="shared" si="66"/>
        <v>29</v>
      </c>
      <c r="AJ72">
        <f t="shared" si="67"/>
        <v>29</v>
      </c>
      <c r="AK72">
        <f t="shared" si="68"/>
        <v>8810.7749999999996</v>
      </c>
      <c r="AL72">
        <f t="shared" si="69"/>
        <v>29</v>
      </c>
      <c r="AM72">
        <f t="shared" si="70"/>
        <v>29</v>
      </c>
      <c r="AN72">
        <f t="shared" si="71"/>
        <v>10382.175000000001</v>
      </c>
      <c r="AO72">
        <f t="shared" si="72"/>
        <v>29</v>
      </c>
      <c r="AP72">
        <f t="shared" si="73"/>
        <v>29</v>
      </c>
      <c r="AQ72">
        <f t="shared" si="74"/>
        <v>2782.35</v>
      </c>
      <c r="AR72">
        <f t="shared" si="75"/>
        <v>29</v>
      </c>
      <c r="AS72">
        <f t="shared" si="76"/>
        <v>29</v>
      </c>
      <c r="AT72">
        <f t="shared" si="77"/>
        <v>14114.5875</v>
      </c>
      <c r="AU72">
        <f t="shared" si="78"/>
        <v>29</v>
      </c>
      <c r="AV72">
        <f t="shared" si="79"/>
        <v>29</v>
      </c>
      <c r="AW72">
        <f t="shared" si="80"/>
        <v>84687.524999999994</v>
      </c>
      <c r="AX72">
        <v>9</v>
      </c>
      <c r="AY72" s="7">
        <f t="shared" si="81"/>
        <v>84687.524999999994</v>
      </c>
      <c r="AZ72" t="str">
        <f t="shared" si="82"/>
        <v>火蛇Lv29</v>
      </c>
      <c r="BA72">
        <v>80</v>
      </c>
    </row>
    <row r="73" spans="12:53" x14ac:dyDescent="0.2">
      <c r="L73">
        <v>70</v>
      </c>
      <c r="M73">
        <f t="shared" si="88"/>
        <v>61</v>
      </c>
      <c r="N73">
        <f t="shared" si="83"/>
        <v>61</v>
      </c>
      <c r="P73">
        <f t="shared" si="89"/>
        <v>91.742424242424249</v>
      </c>
      <c r="Q73">
        <f t="shared" si="84"/>
        <v>91.74</v>
      </c>
      <c r="S73">
        <v>70</v>
      </c>
      <c r="T73">
        <f t="shared" si="85"/>
        <v>163.76</v>
      </c>
      <c r="AD73">
        <v>71</v>
      </c>
      <c r="AE73">
        <f t="shared" si="90"/>
        <v>79</v>
      </c>
      <c r="AF73">
        <f t="shared" si="86"/>
        <v>29</v>
      </c>
      <c r="AG73">
        <f t="shared" si="64"/>
        <v>29</v>
      </c>
      <c r="AH73">
        <f t="shared" si="65"/>
        <v>6182.5680000000002</v>
      </c>
      <c r="AI73">
        <f t="shared" si="66"/>
        <v>29</v>
      </c>
      <c r="AJ73">
        <f t="shared" si="67"/>
        <v>29</v>
      </c>
      <c r="AK73">
        <f t="shared" si="68"/>
        <v>10044.283500000001</v>
      </c>
      <c r="AL73">
        <f t="shared" si="69"/>
        <v>29</v>
      </c>
      <c r="AM73">
        <f t="shared" si="70"/>
        <v>29</v>
      </c>
      <c r="AN73">
        <f t="shared" si="71"/>
        <v>10382.175000000001</v>
      </c>
      <c r="AO73">
        <f t="shared" si="72"/>
        <v>29</v>
      </c>
      <c r="AP73">
        <f t="shared" si="73"/>
        <v>29</v>
      </c>
      <c r="AQ73">
        <f t="shared" si="74"/>
        <v>2810.1734999999999</v>
      </c>
      <c r="AR73">
        <f t="shared" si="75"/>
        <v>29</v>
      </c>
      <c r="AS73">
        <f t="shared" si="76"/>
        <v>29</v>
      </c>
      <c r="AT73">
        <f t="shared" si="77"/>
        <v>15243.754500000001</v>
      </c>
      <c r="AU73">
        <f t="shared" si="78"/>
        <v>29</v>
      </c>
      <c r="AV73">
        <f t="shared" si="79"/>
        <v>29</v>
      </c>
      <c r="AW73">
        <f t="shared" si="80"/>
        <v>91462.527000000002</v>
      </c>
      <c r="AX73">
        <f t="shared" si="87"/>
        <v>9</v>
      </c>
      <c r="AY73" s="7">
        <f t="shared" si="81"/>
        <v>91462.527000000002</v>
      </c>
      <c r="AZ73" t="str">
        <f t="shared" si="82"/>
        <v>火蛇Lv29</v>
      </c>
      <c r="BA73">
        <v>81</v>
      </c>
    </row>
    <row r="74" spans="12:53" x14ac:dyDescent="0.2">
      <c r="L74">
        <v>71</v>
      </c>
      <c r="M74">
        <f t="shared" si="88"/>
        <v>61.5</v>
      </c>
      <c r="N74">
        <f t="shared" si="83"/>
        <v>61.5</v>
      </c>
      <c r="P74">
        <f t="shared" si="89"/>
        <v>93.053030303030312</v>
      </c>
      <c r="Q74">
        <f t="shared" si="84"/>
        <v>93.05</v>
      </c>
      <c r="S74">
        <v>71</v>
      </c>
      <c r="T74">
        <f t="shared" si="85"/>
        <v>166.1</v>
      </c>
      <c r="AD74">
        <v>72</v>
      </c>
      <c r="AE74">
        <f t="shared" si="90"/>
        <v>80</v>
      </c>
      <c r="AF74">
        <f t="shared" si="86"/>
        <v>29</v>
      </c>
      <c r="AG74">
        <f t="shared" si="64"/>
        <v>29</v>
      </c>
      <c r="AH74">
        <f t="shared" si="65"/>
        <v>7035.3360000000002</v>
      </c>
      <c r="AI74">
        <f t="shared" si="66"/>
        <v>29</v>
      </c>
      <c r="AJ74">
        <f t="shared" si="67"/>
        <v>29</v>
      </c>
      <c r="AK74">
        <f t="shared" si="68"/>
        <v>11277.791999999999</v>
      </c>
      <c r="AL74">
        <f t="shared" si="69"/>
        <v>29</v>
      </c>
      <c r="AM74">
        <f t="shared" si="70"/>
        <v>29</v>
      </c>
      <c r="AN74">
        <f t="shared" si="71"/>
        <v>10382.175000000001</v>
      </c>
      <c r="AO74">
        <f t="shared" si="72"/>
        <v>29</v>
      </c>
      <c r="AP74">
        <f t="shared" si="73"/>
        <v>29</v>
      </c>
      <c r="AQ74">
        <f t="shared" si="74"/>
        <v>2837.9969999999998</v>
      </c>
      <c r="AR74">
        <f t="shared" si="75"/>
        <v>29</v>
      </c>
      <c r="AS74">
        <f t="shared" si="76"/>
        <v>29</v>
      </c>
      <c r="AT74">
        <f t="shared" si="77"/>
        <v>16372.921499999999</v>
      </c>
      <c r="AU74">
        <f t="shared" si="78"/>
        <v>29</v>
      </c>
      <c r="AV74">
        <f t="shared" si="79"/>
        <v>29</v>
      </c>
      <c r="AW74">
        <f t="shared" si="80"/>
        <v>98237.528999999995</v>
      </c>
      <c r="AX74">
        <f t="shared" si="87"/>
        <v>9</v>
      </c>
      <c r="AY74" s="7">
        <f t="shared" si="81"/>
        <v>98237.528999999995</v>
      </c>
      <c r="AZ74" t="str">
        <f t="shared" si="82"/>
        <v>火蛇Lv29</v>
      </c>
      <c r="BA74">
        <v>81</v>
      </c>
    </row>
    <row r="75" spans="12:53" x14ac:dyDescent="0.2">
      <c r="L75">
        <v>72</v>
      </c>
      <c r="M75">
        <f t="shared" si="88"/>
        <v>62</v>
      </c>
      <c r="N75">
        <f t="shared" si="83"/>
        <v>62</v>
      </c>
      <c r="P75">
        <f t="shared" si="89"/>
        <v>94.363636363636374</v>
      </c>
      <c r="Q75">
        <f t="shared" si="84"/>
        <v>94.36</v>
      </c>
      <c r="S75">
        <v>72</v>
      </c>
      <c r="T75">
        <f t="shared" si="85"/>
        <v>168.44</v>
      </c>
      <c r="AD75">
        <v>73</v>
      </c>
      <c r="AE75">
        <f t="shared" si="90"/>
        <v>81</v>
      </c>
      <c r="AF75">
        <f t="shared" si="86"/>
        <v>29</v>
      </c>
      <c r="AG75">
        <f t="shared" si="64"/>
        <v>29</v>
      </c>
      <c r="AH75">
        <f t="shared" si="65"/>
        <v>7888.1040000000003</v>
      </c>
      <c r="AI75">
        <f t="shared" si="66"/>
        <v>29</v>
      </c>
      <c r="AJ75">
        <f t="shared" si="67"/>
        <v>29</v>
      </c>
      <c r="AK75">
        <f t="shared" si="68"/>
        <v>12511.300499999999</v>
      </c>
      <c r="AL75">
        <f t="shared" si="69"/>
        <v>29</v>
      </c>
      <c r="AM75">
        <f t="shared" si="70"/>
        <v>29</v>
      </c>
      <c r="AN75">
        <f t="shared" si="71"/>
        <v>10382.175000000001</v>
      </c>
      <c r="AO75">
        <f t="shared" si="72"/>
        <v>29</v>
      </c>
      <c r="AP75">
        <f t="shared" si="73"/>
        <v>29</v>
      </c>
      <c r="AQ75">
        <f t="shared" si="74"/>
        <v>2865.8204999999998</v>
      </c>
      <c r="AR75">
        <f t="shared" si="75"/>
        <v>29</v>
      </c>
      <c r="AS75">
        <f t="shared" si="76"/>
        <v>29</v>
      </c>
      <c r="AT75">
        <f t="shared" si="77"/>
        <v>17502.088499999998</v>
      </c>
      <c r="AU75">
        <f t="shared" si="78"/>
        <v>29</v>
      </c>
      <c r="AV75">
        <f t="shared" si="79"/>
        <v>29</v>
      </c>
      <c r="AW75">
        <f t="shared" si="80"/>
        <v>105012.53099999999</v>
      </c>
      <c r="AX75">
        <f t="shared" si="87"/>
        <v>9</v>
      </c>
      <c r="AY75" s="7">
        <f t="shared" si="81"/>
        <v>105012.53099999999</v>
      </c>
      <c r="AZ75" t="str">
        <f t="shared" si="82"/>
        <v>火蛇Lv29</v>
      </c>
      <c r="BA75">
        <v>82</v>
      </c>
    </row>
    <row r="76" spans="12:53" x14ac:dyDescent="0.2">
      <c r="L76">
        <v>73</v>
      </c>
      <c r="M76">
        <f t="shared" si="88"/>
        <v>62.5</v>
      </c>
      <c r="N76">
        <f t="shared" si="83"/>
        <v>62.5</v>
      </c>
      <c r="P76">
        <f t="shared" si="89"/>
        <v>95.674242424242436</v>
      </c>
      <c r="Q76">
        <f t="shared" si="84"/>
        <v>95.67</v>
      </c>
      <c r="S76">
        <v>73</v>
      </c>
      <c r="T76">
        <f t="shared" si="85"/>
        <v>170.78</v>
      </c>
      <c r="AD76">
        <v>74</v>
      </c>
      <c r="AE76">
        <f t="shared" si="90"/>
        <v>82</v>
      </c>
      <c r="AF76">
        <f t="shared" si="86"/>
        <v>29</v>
      </c>
      <c r="AG76">
        <f t="shared" si="64"/>
        <v>29</v>
      </c>
      <c r="AH76">
        <f t="shared" si="65"/>
        <v>8740.8720000000012</v>
      </c>
      <c r="AI76">
        <f t="shared" si="66"/>
        <v>29</v>
      </c>
      <c r="AJ76">
        <f t="shared" si="67"/>
        <v>29</v>
      </c>
      <c r="AK76">
        <f t="shared" si="68"/>
        <v>13744.808999999999</v>
      </c>
      <c r="AL76">
        <f t="shared" si="69"/>
        <v>29</v>
      </c>
      <c r="AM76">
        <f t="shared" si="70"/>
        <v>29</v>
      </c>
      <c r="AN76">
        <f t="shared" si="71"/>
        <v>10382.175000000001</v>
      </c>
      <c r="AO76">
        <f t="shared" si="72"/>
        <v>29</v>
      </c>
      <c r="AP76">
        <f t="shared" si="73"/>
        <v>29</v>
      </c>
      <c r="AQ76">
        <f t="shared" si="74"/>
        <v>2893.6439999999998</v>
      </c>
      <c r="AR76">
        <f t="shared" si="75"/>
        <v>29</v>
      </c>
      <c r="AS76">
        <f t="shared" si="76"/>
        <v>29</v>
      </c>
      <c r="AT76">
        <f t="shared" si="77"/>
        <v>18631.255499999999</v>
      </c>
      <c r="AU76">
        <f t="shared" si="78"/>
        <v>29</v>
      </c>
      <c r="AV76">
        <f t="shared" si="79"/>
        <v>29</v>
      </c>
      <c r="AW76">
        <f t="shared" si="80"/>
        <v>111787.533</v>
      </c>
      <c r="AX76">
        <f t="shared" si="87"/>
        <v>9</v>
      </c>
      <c r="AY76" s="7">
        <f t="shared" si="81"/>
        <v>111787.533</v>
      </c>
      <c r="AZ76" t="str">
        <f t="shared" si="82"/>
        <v>火蛇Lv29</v>
      </c>
      <c r="BA76">
        <v>82</v>
      </c>
    </row>
    <row r="77" spans="12:53" x14ac:dyDescent="0.2">
      <c r="L77">
        <v>74</v>
      </c>
      <c r="M77">
        <f t="shared" si="88"/>
        <v>63</v>
      </c>
      <c r="N77">
        <f t="shared" si="83"/>
        <v>63</v>
      </c>
      <c r="P77">
        <f t="shared" si="89"/>
        <v>96.984848484848499</v>
      </c>
      <c r="Q77">
        <f t="shared" si="84"/>
        <v>96.98</v>
      </c>
      <c r="S77">
        <v>74</v>
      </c>
      <c r="T77">
        <f t="shared" si="85"/>
        <v>173.12</v>
      </c>
      <c r="AD77">
        <v>75</v>
      </c>
      <c r="AE77" s="3">
        <v>84</v>
      </c>
      <c r="AF77">
        <f t="shared" si="86"/>
        <v>29</v>
      </c>
      <c r="AG77">
        <f t="shared" si="64"/>
        <v>29</v>
      </c>
      <c r="AH77">
        <f t="shared" si="65"/>
        <v>10446.407999999999</v>
      </c>
      <c r="AI77">
        <f t="shared" si="66"/>
        <v>29</v>
      </c>
      <c r="AJ77">
        <f t="shared" si="67"/>
        <v>29</v>
      </c>
      <c r="AK77">
        <f t="shared" si="68"/>
        <v>16211.825999999997</v>
      </c>
      <c r="AL77">
        <f t="shared" si="69"/>
        <v>29</v>
      </c>
      <c r="AM77">
        <f t="shared" si="70"/>
        <v>29</v>
      </c>
      <c r="AN77">
        <f t="shared" si="71"/>
        <v>10382.175000000001</v>
      </c>
      <c r="AO77">
        <f t="shared" si="72"/>
        <v>29</v>
      </c>
      <c r="AP77">
        <f t="shared" si="73"/>
        <v>29</v>
      </c>
      <c r="AQ77">
        <f t="shared" si="74"/>
        <v>2949.2910000000002</v>
      </c>
      <c r="AR77">
        <f t="shared" si="75"/>
        <v>29</v>
      </c>
      <c r="AS77">
        <f t="shared" si="76"/>
        <v>29</v>
      </c>
      <c r="AT77">
        <f t="shared" si="77"/>
        <v>20889.589499999998</v>
      </c>
      <c r="AU77">
        <f t="shared" si="78"/>
        <v>29</v>
      </c>
      <c r="AV77">
        <f t="shared" si="79"/>
        <v>29</v>
      </c>
      <c r="AW77">
        <f t="shared" si="80"/>
        <v>125337.53699999998</v>
      </c>
      <c r="AX77">
        <f t="shared" si="87"/>
        <v>9</v>
      </c>
      <c r="AY77" s="7">
        <f t="shared" si="81"/>
        <v>125337.53699999998</v>
      </c>
      <c r="AZ77" t="str">
        <f t="shared" si="82"/>
        <v>火蛇Lv29</v>
      </c>
      <c r="BA77">
        <v>83</v>
      </c>
    </row>
    <row r="78" spans="12:53" x14ac:dyDescent="0.2">
      <c r="L78">
        <v>75</v>
      </c>
      <c r="M78">
        <f t="shared" si="88"/>
        <v>63.5</v>
      </c>
      <c r="N78">
        <f t="shared" si="83"/>
        <v>63.5</v>
      </c>
      <c r="P78">
        <f t="shared" si="89"/>
        <v>98.295454545454561</v>
      </c>
      <c r="Q78">
        <f t="shared" si="84"/>
        <v>98.3</v>
      </c>
      <c r="S78">
        <v>75</v>
      </c>
      <c r="T78">
        <f t="shared" si="85"/>
        <v>175.46</v>
      </c>
      <c r="AD78">
        <v>76</v>
      </c>
      <c r="AE78">
        <f t="shared" si="90"/>
        <v>85</v>
      </c>
      <c r="AF78">
        <f t="shared" si="86"/>
        <v>29</v>
      </c>
      <c r="AG78">
        <f t="shared" si="64"/>
        <v>29</v>
      </c>
      <c r="AH78">
        <f t="shared" si="65"/>
        <v>11299.176000000001</v>
      </c>
      <c r="AI78">
        <f t="shared" si="66"/>
        <v>29</v>
      </c>
      <c r="AJ78">
        <f t="shared" si="67"/>
        <v>29</v>
      </c>
      <c r="AK78">
        <f t="shared" si="68"/>
        <v>17445.334500000001</v>
      </c>
      <c r="AL78">
        <f t="shared" si="69"/>
        <v>29</v>
      </c>
      <c r="AM78">
        <f t="shared" si="70"/>
        <v>29</v>
      </c>
      <c r="AN78">
        <f t="shared" si="71"/>
        <v>10382.175000000001</v>
      </c>
      <c r="AO78">
        <f t="shared" si="72"/>
        <v>29</v>
      </c>
      <c r="AP78">
        <f t="shared" si="73"/>
        <v>29</v>
      </c>
      <c r="AQ78">
        <f t="shared" si="74"/>
        <v>2977.1145000000001</v>
      </c>
      <c r="AR78">
        <f t="shared" si="75"/>
        <v>29</v>
      </c>
      <c r="AS78">
        <f t="shared" si="76"/>
        <v>29</v>
      </c>
      <c r="AT78">
        <f t="shared" si="77"/>
        <v>22018.7565</v>
      </c>
      <c r="AU78">
        <f t="shared" si="78"/>
        <v>29</v>
      </c>
      <c r="AV78">
        <f t="shared" si="79"/>
        <v>29</v>
      </c>
      <c r="AW78">
        <f t="shared" si="80"/>
        <v>132112.53899999999</v>
      </c>
      <c r="AX78">
        <f t="shared" si="87"/>
        <v>9</v>
      </c>
      <c r="AY78" s="7">
        <f t="shared" si="81"/>
        <v>132112.53899999999</v>
      </c>
      <c r="AZ78" t="str">
        <f t="shared" si="82"/>
        <v>火蛇Lv29</v>
      </c>
      <c r="BA78">
        <v>83</v>
      </c>
    </row>
    <row r="79" spans="12:53" x14ac:dyDescent="0.2">
      <c r="L79">
        <v>76</v>
      </c>
      <c r="M79">
        <f t="shared" si="88"/>
        <v>64</v>
      </c>
      <c r="N79">
        <f t="shared" si="83"/>
        <v>64</v>
      </c>
      <c r="P79">
        <f t="shared" si="89"/>
        <v>99.606060606060623</v>
      </c>
      <c r="Q79">
        <f t="shared" si="84"/>
        <v>99.61</v>
      </c>
      <c r="S79">
        <v>76</v>
      </c>
      <c r="T79">
        <f t="shared" si="85"/>
        <v>177.8</v>
      </c>
      <c r="AD79">
        <v>77</v>
      </c>
      <c r="AE79">
        <f t="shared" si="90"/>
        <v>86</v>
      </c>
      <c r="AF79">
        <f t="shared" si="86"/>
        <v>29</v>
      </c>
      <c r="AG79">
        <f t="shared" si="64"/>
        <v>29</v>
      </c>
      <c r="AH79">
        <f t="shared" si="65"/>
        <v>12151.944000000001</v>
      </c>
      <c r="AI79">
        <f t="shared" si="66"/>
        <v>29</v>
      </c>
      <c r="AJ79">
        <f t="shared" si="67"/>
        <v>29</v>
      </c>
      <c r="AK79">
        <f t="shared" si="68"/>
        <v>18678.843000000001</v>
      </c>
      <c r="AL79">
        <f t="shared" si="69"/>
        <v>29</v>
      </c>
      <c r="AM79">
        <f t="shared" si="70"/>
        <v>29</v>
      </c>
      <c r="AN79">
        <f t="shared" si="71"/>
        <v>10382.175000000001</v>
      </c>
      <c r="AO79">
        <f t="shared" si="72"/>
        <v>29</v>
      </c>
      <c r="AP79">
        <f t="shared" si="73"/>
        <v>29</v>
      </c>
      <c r="AQ79">
        <f t="shared" si="74"/>
        <v>3004.9380000000001</v>
      </c>
      <c r="AR79">
        <f t="shared" si="75"/>
        <v>29</v>
      </c>
      <c r="AS79">
        <f t="shared" si="76"/>
        <v>29</v>
      </c>
      <c r="AT79">
        <f t="shared" si="77"/>
        <v>23147.923500000001</v>
      </c>
      <c r="AU79">
        <f t="shared" si="78"/>
        <v>29</v>
      </c>
      <c r="AV79">
        <f t="shared" si="79"/>
        <v>29</v>
      </c>
      <c r="AW79">
        <f t="shared" si="80"/>
        <v>138887.541</v>
      </c>
      <c r="AX79">
        <f t="shared" si="87"/>
        <v>9</v>
      </c>
      <c r="AY79" s="7">
        <f t="shared" si="81"/>
        <v>138887.541</v>
      </c>
      <c r="AZ79" t="str">
        <f t="shared" si="82"/>
        <v>火蛇Lv29</v>
      </c>
      <c r="BA79">
        <v>84</v>
      </c>
    </row>
    <row r="80" spans="12:53" x14ac:dyDescent="0.2">
      <c r="L80">
        <v>77</v>
      </c>
      <c r="M80">
        <f t="shared" si="88"/>
        <v>64.5</v>
      </c>
      <c r="N80">
        <f t="shared" si="83"/>
        <v>64.5</v>
      </c>
      <c r="P80">
        <f t="shared" si="89"/>
        <v>100.91666666666669</v>
      </c>
      <c r="Q80">
        <f t="shared" si="84"/>
        <v>100.92</v>
      </c>
      <c r="S80">
        <v>77</v>
      </c>
      <c r="T80">
        <f t="shared" si="85"/>
        <v>180.14</v>
      </c>
      <c r="AD80">
        <v>78</v>
      </c>
      <c r="AE80">
        <f t="shared" si="90"/>
        <v>87</v>
      </c>
      <c r="AF80">
        <f t="shared" si="86"/>
        <v>29</v>
      </c>
      <c r="AG80">
        <f t="shared" si="64"/>
        <v>29</v>
      </c>
      <c r="AH80">
        <f t="shared" si="65"/>
        <v>13004.712</v>
      </c>
      <c r="AI80">
        <f t="shared" si="66"/>
        <v>29</v>
      </c>
      <c r="AJ80">
        <f t="shared" si="67"/>
        <v>29</v>
      </c>
      <c r="AK80">
        <f t="shared" si="68"/>
        <v>19912.351499999997</v>
      </c>
      <c r="AL80">
        <f t="shared" si="69"/>
        <v>29</v>
      </c>
      <c r="AM80">
        <f t="shared" si="70"/>
        <v>29</v>
      </c>
      <c r="AN80">
        <f t="shared" si="71"/>
        <v>10382.175000000001</v>
      </c>
      <c r="AO80">
        <f t="shared" si="72"/>
        <v>29</v>
      </c>
      <c r="AP80">
        <f t="shared" si="73"/>
        <v>29</v>
      </c>
      <c r="AQ80">
        <f t="shared" si="74"/>
        <v>3032.7615000000001</v>
      </c>
      <c r="AR80">
        <f t="shared" si="75"/>
        <v>29</v>
      </c>
      <c r="AS80">
        <f t="shared" si="76"/>
        <v>29</v>
      </c>
      <c r="AT80">
        <f t="shared" si="77"/>
        <v>24277.090499999998</v>
      </c>
      <c r="AU80">
        <f t="shared" si="78"/>
        <v>29</v>
      </c>
      <c r="AV80">
        <f t="shared" si="79"/>
        <v>29</v>
      </c>
      <c r="AW80">
        <f t="shared" si="80"/>
        <v>145662.54300000001</v>
      </c>
      <c r="AX80">
        <f t="shared" si="87"/>
        <v>9</v>
      </c>
      <c r="AY80" s="7">
        <f t="shared" si="81"/>
        <v>145662.54300000001</v>
      </c>
      <c r="AZ80" t="str">
        <f t="shared" si="82"/>
        <v>火蛇Lv29</v>
      </c>
      <c r="BA80">
        <v>84</v>
      </c>
    </row>
    <row r="81" spans="12:53" x14ac:dyDescent="0.2">
      <c r="L81">
        <v>78</v>
      </c>
      <c r="M81">
        <f t="shared" si="88"/>
        <v>65</v>
      </c>
      <c r="N81">
        <f t="shared" si="83"/>
        <v>65</v>
      </c>
      <c r="P81">
        <f t="shared" si="89"/>
        <v>102.22727272727275</v>
      </c>
      <c r="Q81">
        <f t="shared" si="84"/>
        <v>102.23</v>
      </c>
      <c r="S81">
        <v>78</v>
      </c>
      <c r="T81">
        <f t="shared" si="85"/>
        <v>182.48</v>
      </c>
      <c r="AD81">
        <v>79</v>
      </c>
      <c r="AE81">
        <f t="shared" si="90"/>
        <v>88</v>
      </c>
      <c r="AF81">
        <f t="shared" si="86"/>
        <v>29</v>
      </c>
      <c r="AG81">
        <f t="shared" si="64"/>
        <v>29</v>
      </c>
      <c r="AH81">
        <f t="shared" si="65"/>
        <v>13857.480000000001</v>
      </c>
      <c r="AI81">
        <f t="shared" si="66"/>
        <v>29</v>
      </c>
      <c r="AJ81">
        <f t="shared" si="67"/>
        <v>29</v>
      </c>
      <c r="AK81">
        <f t="shared" si="68"/>
        <v>21145.859999999997</v>
      </c>
      <c r="AL81">
        <f t="shared" si="69"/>
        <v>29</v>
      </c>
      <c r="AM81">
        <f t="shared" si="70"/>
        <v>29</v>
      </c>
      <c r="AN81">
        <f t="shared" si="71"/>
        <v>10382.175000000001</v>
      </c>
      <c r="AO81">
        <f t="shared" si="72"/>
        <v>29</v>
      </c>
      <c r="AP81">
        <f t="shared" si="73"/>
        <v>29</v>
      </c>
      <c r="AQ81">
        <f t="shared" si="74"/>
        <v>3060.585</v>
      </c>
      <c r="AR81">
        <f t="shared" si="75"/>
        <v>29</v>
      </c>
      <c r="AS81">
        <f t="shared" si="76"/>
        <v>29</v>
      </c>
      <c r="AT81">
        <f t="shared" si="77"/>
        <v>25406.2575</v>
      </c>
      <c r="AU81">
        <f t="shared" si="78"/>
        <v>29</v>
      </c>
      <c r="AV81">
        <f t="shared" si="79"/>
        <v>29</v>
      </c>
      <c r="AW81">
        <f t="shared" si="80"/>
        <v>152437.54499999998</v>
      </c>
      <c r="AX81">
        <f t="shared" si="87"/>
        <v>9</v>
      </c>
      <c r="AY81" s="7">
        <f t="shared" si="81"/>
        <v>152437.54499999998</v>
      </c>
      <c r="AZ81" t="str">
        <f t="shared" si="82"/>
        <v>火蛇Lv29</v>
      </c>
      <c r="BA81">
        <v>85</v>
      </c>
    </row>
    <row r="82" spans="12:53" x14ac:dyDescent="0.2">
      <c r="L82">
        <v>79</v>
      </c>
      <c r="M82">
        <f t="shared" si="88"/>
        <v>65.5</v>
      </c>
      <c r="N82">
        <f t="shared" si="83"/>
        <v>65.5</v>
      </c>
      <c r="P82">
        <f t="shared" si="89"/>
        <v>103.53787878787881</v>
      </c>
      <c r="Q82">
        <f t="shared" si="84"/>
        <v>103.54</v>
      </c>
      <c r="S82">
        <v>79</v>
      </c>
      <c r="T82">
        <f t="shared" si="85"/>
        <v>184.82</v>
      </c>
      <c r="AD82">
        <v>80</v>
      </c>
      <c r="AE82">
        <f t="shared" si="90"/>
        <v>89</v>
      </c>
      <c r="AF82">
        <f t="shared" si="86"/>
        <v>30</v>
      </c>
      <c r="AG82">
        <f t="shared" si="64"/>
        <v>30</v>
      </c>
      <c r="AH82">
        <f t="shared" si="65"/>
        <v>14957.980799999999</v>
      </c>
      <c r="AI82">
        <f t="shared" si="66"/>
        <v>30</v>
      </c>
      <c r="AJ82">
        <f t="shared" si="67"/>
        <v>30</v>
      </c>
      <c r="AK82">
        <f t="shared" si="68"/>
        <v>22043.334879999999</v>
      </c>
      <c r="AL82">
        <f t="shared" si="69"/>
        <v>30</v>
      </c>
      <c r="AM82">
        <f t="shared" si="70"/>
        <v>30</v>
      </c>
      <c r="AN82">
        <f t="shared" si="71"/>
        <v>11598.480000000001</v>
      </c>
      <c r="AO82">
        <f t="shared" si="72"/>
        <v>30</v>
      </c>
      <c r="AP82">
        <f t="shared" si="73"/>
        <v>30</v>
      </c>
      <c r="AQ82">
        <f t="shared" si="74"/>
        <v>3342.1885200000002</v>
      </c>
      <c r="AR82">
        <f t="shared" si="75"/>
        <v>30</v>
      </c>
      <c r="AS82">
        <f t="shared" si="76"/>
        <v>30</v>
      </c>
      <c r="AT82">
        <f t="shared" si="77"/>
        <v>27080.464320000003</v>
      </c>
      <c r="AU82">
        <f t="shared" si="78"/>
        <v>30</v>
      </c>
      <c r="AV82">
        <f t="shared" si="79"/>
        <v>30</v>
      </c>
      <c r="AW82">
        <f t="shared" si="80"/>
        <v>162482.78592000002</v>
      </c>
      <c r="AX82">
        <v>10</v>
      </c>
      <c r="AY82" s="7">
        <f t="shared" si="81"/>
        <v>162482.78592000002</v>
      </c>
      <c r="AZ82" t="str">
        <f t="shared" si="82"/>
        <v>火蛇Lv30</v>
      </c>
      <c r="BA82">
        <v>85</v>
      </c>
    </row>
    <row r="83" spans="12:53" x14ac:dyDescent="0.2">
      <c r="L83">
        <v>80</v>
      </c>
      <c r="M83">
        <f t="shared" si="88"/>
        <v>66</v>
      </c>
      <c r="N83">
        <f t="shared" si="83"/>
        <v>66</v>
      </c>
      <c r="P83">
        <f t="shared" si="89"/>
        <v>104.84848484848487</v>
      </c>
      <c r="Q83">
        <f t="shared" si="84"/>
        <v>104.85</v>
      </c>
      <c r="S83">
        <v>80</v>
      </c>
      <c r="T83">
        <f t="shared" si="85"/>
        <v>187.16</v>
      </c>
      <c r="AD83">
        <v>81</v>
      </c>
      <c r="AE83">
        <f t="shared" si="90"/>
        <v>90</v>
      </c>
      <c r="AF83">
        <f t="shared" si="86"/>
        <v>30</v>
      </c>
      <c r="AG83">
        <f t="shared" si="64"/>
        <v>30</v>
      </c>
      <c r="AH83">
        <f t="shared" si="65"/>
        <v>15938.832</v>
      </c>
      <c r="AI83">
        <f t="shared" si="66"/>
        <v>30</v>
      </c>
      <c r="AJ83">
        <f t="shared" si="67"/>
        <v>30</v>
      </c>
      <c r="AK83">
        <f t="shared" si="68"/>
        <v>23408.851200000001</v>
      </c>
      <c r="AL83">
        <f t="shared" si="69"/>
        <v>30</v>
      </c>
      <c r="AM83">
        <f t="shared" si="70"/>
        <v>30</v>
      </c>
      <c r="AN83">
        <f t="shared" si="71"/>
        <v>11598.480000000001</v>
      </c>
      <c r="AO83">
        <f t="shared" si="72"/>
        <v>30</v>
      </c>
      <c r="AP83">
        <f t="shared" si="73"/>
        <v>30</v>
      </c>
      <c r="AQ83">
        <f t="shared" si="74"/>
        <v>3372.8508000000002</v>
      </c>
      <c r="AR83">
        <f t="shared" si="75"/>
        <v>30</v>
      </c>
      <c r="AS83">
        <f t="shared" si="76"/>
        <v>30</v>
      </c>
      <c r="AT83">
        <f t="shared" si="77"/>
        <v>28340.020800000006</v>
      </c>
      <c r="AU83">
        <f t="shared" si="78"/>
        <v>30</v>
      </c>
      <c r="AV83">
        <f t="shared" si="79"/>
        <v>30</v>
      </c>
      <c r="AW83">
        <f t="shared" si="80"/>
        <v>170040.12480000005</v>
      </c>
      <c r="AX83">
        <f t="shared" si="87"/>
        <v>10</v>
      </c>
      <c r="AY83" s="7">
        <f t="shared" si="81"/>
        <v>170040.12480000005</v>
      </c>
      <c r="AZ83" t="str">
        <f t="shared" si="82"/>
        <v>火蛇Lv30</v>
      </c>
      <c r="BA83">
        <v>86</v>
      </c>
    </row>
    <row r="84" spans="12:53" x14ac:dyDescent="0.2">
      <c r="L84">
        <v>81</v>
      </c>
      <c r="M84">
        <f t="shared" si="88"/>
        <v>66.5</v>
      </c>
      <c r="N84">
        <f t="shared" si="83"/>
        <v>66.5</v>
      </c>
      <c r="P84">
        <f t="shared" si="89"/>
        <v>106.15909090909093</v>
      </c>
      <c r="Q84">
        <f t="shared" si="84"/>
        <v>106.16</v>
      </c>
      <c r="S84">
        <v>81</v>
      </c>
      <c r="T84">
        <f t="shared" si="85"/>
        <v>189.5</v>
      </c>
      <c r="AD84">
        <v>82</v>
      </c>
      <c r="AE84">
        <f t="shared" si="90"/>
        <v>91</v>
      </c>
      <c r="AF84">
        <f t="shared" si="86"/>
        <v>30</v>
      </c>
      <c r="AG84">
        <f t="shared" si="64"/>
        <v>30</v>
      </c>
      <c r="AH84">
        <f t="shared" si="65"/>
        <v>16919.683199999999</v>
      </c>
      <c r="AI84">
        <f t="shared" si="66"/>
        <v>30</v>
      </c>
      <c r="AJ84">
        <f t="shared" si="67"/>
        <v>30</v>
      </c>
      <c r="AK84">
        <f t="shared" si="68"/>
        <v>24774.36752</v>
      </c>
      <c r="AL84">
        <f t="shared" si="69"/>
        <v>30</v>
      </c>
      <c r="AM84">
        <f t="shared" si="70"/>
        <v>30</v>
      </c>
      <c r="AN84">
        <f t="shared" si="71"/>
        <v>11598.480000000001</v>
      </c>
      <c r="AO84">
        <f t="shared" si="72"/>
        <v>30</v>
      </c>
      <c r="AP84">
        <f t="shared" si="73"/>
        <v>30</v>
      </c>
      <c r="AQ84">
        <f t="shared" si="74"/>
        <v>3403.5130800000002</v>
      </c>
      <c r="AR84">
        <f t="shared" si="75"/>
        <v>30</v>
      </c>
      <c r="AS84">
        <f t="shared" si="76"/>
        <v>30</v>
      </c>
      <c r="AT84">
        <f t="shared" si="77"/>
        <v>29599.577280000001</v>
      </c>
      <c r="AU84">
        <f t="shared" si="78"/>
        <v>30</v>
      </c>
      <c r="AV84">
        <f t="shared" si="79"/>
        <v>30</v>
      </c>
      <c r="AW84">
        <f t="shared" si="80"/>
        <v>177597.46368000002</v>
      </c>
      <c r="AX84">
        <f t="shared" si="87"/>
        <v>10</v>
      </c>
      <c r="AY84" s="7">
        <f t="shared" si="81"/>
        <v>177597.46368000002</v>
      </c>
      <c r="AZ84" t="str">
        <f t="shared" si="82"/>
        <v>火蛇Lv30</v>
      </c>
      <c r="BA84">
        <v>86</v>
      </c>
    </row>
    <row r="85" spans="12:53" x14ac:dyDescent="0.2">
      <c r="L85">
        <v>82</v>
      </c>
      <c r="M85">
        <f t="shared" si="88"/>
        <v>67</v>
      </c>
      <c r="N85">
        <f t="shared" si="83"/>
        <v>67</v>
      </c>
      <c r="P85">
        <f t="shared" si="89"/>
        <v>107.469696969697</v>
      </c>
      <c r="Q85">
        <f t="shared" si="84"/>
        <v>107.47</v>
      </c>
      <c r="S85">
        <v>82</v>
      </c>
      <c r="T85">
        <f t="shared" si="85"/>
        <v>191.84</v>
      </c>
      <c r="AD85">
        <v>83</v>
      </c>
      <c r="AE85" s="3">
        <v>94</v>
      </c>
      <c r="AF85">
        <f t="shared" si="86"/>
        <v>30</v>
      </c>
      <c r="AG85">
        <f t="shared" si="64"/>
        <v>30</v>
      </c>
      <c r="AH85">
        <f t="shared" si="65"/>
        <v>19862.236799999999</v>
      </c>
      <c r="AI85">
        <f t="shared" si="66"/>
        <v>30</v>
      </c>
      <c r="AJ85">
        <f t="shared" si="67"/>
        <v>30</v>
      </c>
      <c r="AK85">
        <f t="shared" si="68"/>
        <v>28870.91648</v>
      </c>
      <c r="AL85">
        <f t="shared" si="69"/>
        <v>30</v>
      </c>
      <c r="AM85">
        <f t="shared" si="70"/>
        <v>30</v>
      </c>
      <c r="AN85">
        <f t="shared" si="71"/>
        <v>11598.480000000001</v>
      </c>
      <c r="AO85">
        <f t="shared" si="72"/>
        <v>30</v>
      </c>
      <c r="AP85">
        <f t="shared" si="73"/>
        <v>30</v>
      </c>
      <c r="AQ85">
        <f t="shared" si="74"/>
        <v>3495.4999200000007</v>
      </c>
      <c r="AR85">
        <f t="shared" si="75"/>
        <v>30</v>
      </c>
      <c r="AS85">
        <f t="shared" si="76"/>
        <v>30</v>
      </c>
      <c r="AT85">
        <f t="shared" si="77"/>
        <v>33378.246720000003</v>
      </c>
      <c r="AU85">
        <f t="shared" si="78"/>
        <v>30</v>
      </c>
      <c r="AV85">
        <f t="shared" si="79"/>
        <v>30</v>
      </c>
      <c r="AW85">
        <f t="shared" si="80"/>
        <v>200269.48032000003</v>
      </c>
      <c r="AX85">
        <f t="shared" si="87"/>
        <v>10</v>
      </c>
      <c r="AY85" s="7">
        <f t="shared" si="81"/>
        <v>200269.48032000003</v>
      </c>
      <c r="AZ85" t="str">
        <f t="shared" si="82"/>
        <v>火蛇Lv30</v>
      </c>
      <c r="BA85">
        <v>87</v>
      </c>
    </row>
    <row r="86" spans="12:53" x14ac:dyDescent="0.2">
      <c r="L86">
        <v>83</v>
      </c>
      <c r="M86">
        <f t="shared" si="88"/>
        <v>67.5</v>
      </c>
      <c r="N86">
        <f t="shared" si="83"/>
        <v>67.5</v>
      </c>
      <c r="P86">
        <f t="shared" si="89"/>
        <v>108.78030303030306</v>
      </c>
      <c r="Q86">
        <f t="shared" si="84"/>
        <v>108.78</v>
      </c>
      <c r="S86">
        <v>83</v>
      </c>
      <c r="T86">
        <f t="shared" si="85"/>
        <v>194.18</v>
      </c>
      <c r="AD86">
        <v>84</v>
      </c>
      <c r="AE86">
        <f t="shared" si="90"/>
        <v>95</v>
      </c>
      <c r="AF86">
        <f t="shared" si="86"/>
        <v>30</v>
      </c>
      <c r="AG86">
        <f t="shared" si="64"/>
        <v>30</v>
      </c>
      <c r="AH86">
        <f t="shared" si="65"/>
        <v>20843.088</v>
      </c>
      <c r="AI86">
        <f t="shared" si="66"/>
        <v>30</v>
      </c>
      <c r="AJ86">
        <f t="shared" si="67"/>
        <v>30</v>
      </c>
      <c r="AK86">
        <f t="shared" si="68"/>
        <v>30236.432800000002</v>
      </c>
      <c r="AL86">
        <f t="shared" si="69"/>
        <v>30</v>
      </c>
      <c r="AM86">
        <f t="shared" si="70"/>
        <v>30</v>
      </c>
      <c r="AN86">
        <f t="shared" si="71"/>
        <v>11598.480000000001</v>
      </c>
      <c r="AO86">
        <f t="shared" si="72"/>
        <v>30</v>
      </c>
      <c r="AP86">
        <f t="shared" si="73"/>
        <v>30</v>
      </c>
      <c r="AQ86">
        <f t="shared" si="74"/>
        <v>3526.1621999999998</v>
      </c>
      <c r="AR86">
        <f t="shared" si="75"/>
        <v>30</v>
      </c>
      <c r="AS86">
        <f t="shared" si="76"/>
        <v>30</v>
      </c>
      <c r="AT86">
        <f t="shared" si="77"/>
        <v>34637.803200000009</v>
      </c>
      <c r="AU86">
        <f t="shared" si="78"/>
        <v>30</v>
      </c>
      <c r="AV86">
        <f t="shared" si="79"/>
        <v>30</v>
      </c>
      <c r="AW86">
        <f t="shared" si="80"/>
        <v>207826.81920000006</v>
      </c>
      <c r="AX86">
        <f t="shared" si="87"/>
        <v>10</v>
      </c>
      <c r="AY86" s="7">
        <f t="shared" si="81"/>
        <v>207826.81920000006</v>
      </c>
      <c r="AZ86" t="str">
        <f t="shared" si="82"/>
        <v>火蛇Lv30</v>
      </c>
      <c r="BA86">
        <v>87</v>
      </c>
    </row>
    <row r="87" spans="12:53" x14ac:dyDescent="0.2">
      <c r="L87">
        <v>84</v>
      </c>
      <c r="M87">
        <f t="shared" si="88"/>
        <v>68</v>
      </c>
      <c r="N87">
        <f t="shared" si="83"/>
        <v>68</v>
      </c>
      <c r="P87">
        <f t="shared" si="89"/>
        <v>110.09090909090912</v>
      </c>
      <c r="Q87">
        <f t="shared" si="84"/>
        <v>110.09</v>
      </c>
      <c r="S87">
        <v>84</v>
      </c>
      <c r="T87">
        <f t="shared" si="85"/>
        <v>196.52</v>
      </c>
      <c r="AD87">
        <v>85</v>
      </c>
      <c r="AE87">
        <f t="shared" si="90"/>
        <v>96</v>
      </c>
      <c r="AF87">
        <f t="shared" si="86"/>
        <v>32</v>
      </c>
      <c r="AG87">
        <f t="shared" si="64"/>
        <v>32</v>
      </c>
      <c r="AH87">
        <f t="shared" si="65"/>
        <v>23038.414560000001</v>
      </c>
      <c r="AI87">
        <f t="shared" si="66"/>
        <v>32</v>
      </c>
      <c r="AJ87">
        <f t="shared" si="67"/>
        <v>32</v>
      </c>
      <c r="AK87">
        <f t="shared" si="68"/>
        <v>31578.241679999996</v>
      </c>
      <c r="AL87">
        <f t="shared" si="69"/>
        <v>32</v>
      </c>
      <c r="AM87">
        <f t="shared" si="70"/>
        <v>32</v>
      </c>
      <c r="AN87">
        <f t="shared" si="71"/>
        <v>14232.888000000001</v>
      </c>
      <c r="AO87">
        <f t="shared" si="72"/>
        <v>32</v>
      </c>
      <c r="AP87">
        <f t="shared" si="73"/>
        <v>32</v>
      </c>
      <c r="AQ87">
        <f t="shared" si="74"/>
        <v>4115.9361600000002</v>
      </c>
      <c r="AR87">
        <f t="shared" si="75"/>
        <v>32</v>
      </c>
      <c r="AS87">
        <f t="shared" si="76"/>
        <v>32</v>
      </c>
      <c r="AT87">
        <f t="shared" si="77"/>
        <v>37771.450080000002</v>
      </c>
      <c r="AU87">
        <f t="shared" si="78"/>
        <v>32</v>
      </c>
      <c r="AV87">
        <f t="shared" si="79"/>
        <v>32</v>
      </c>
      <c r="AW87">
        <f t="shared" si="80"/>
        <v>226628.70048</v>
      </c>
      <c r="AX87">
        <v>12</v>
      </c>
      <c r="AY87" s="7">
        <f t="shared" si="81"/>
        <v>226628.70048</v>
      </c>
      <c r="AZ87" t="str">
        <f t="shared" si="82"/>
        <v>火蛇Lv32</v>
      </c>
      <c r="BA87">
        <v>88</v>
      </c>
    </row>
    <row r="88" spans="12:53" x14ac:dyDescent="0.2">
      <c r="L88">
        <v>85</v>
      </c>
      <c r="M88">
        <f t="shared" si="88"/>
        <v>68.5</v>
      </c>
      <c r="N88">
        <f t="shared" si="83"/>
        <v>68.5</v>
      </c>
      <c r="P88">
        <f t="shared" si="89"/>
        <v>111.40151515151518</v>
      </c>
      <c r="Q88">
        <f t="shared" si="84"/>
        <v>111.4</v>
      </c>
      <c r="S88">
        <v>85</v>
      </c>
      <c r="T88">
        <f t="shared" si="85"/>
        <v>198.86</v>
      </c>
      <c r="AD88">
        <v>86</v>
      </c>
      <c r="AE88">
        <f t="shared" si="90"/>
        <v>97</v>
      </c>
      <c r="AF88">
        <f t="shared" si="86"/>
        <v>32</v>
      </c>
      <c r="AG88">
        <f t="shared" si="64"/>
        <v>32</v>
      </c>
      <c r="AH88">
        <f t="shared" si="65"/>
        <v>24300.793440000001</v>
      </c>
      <c r="AI88">
        <f t="shared" si="66"/>
        <v>32</v>
      </c>
      <c r="AJ88">
        <f t="shared" si="67"/>
        <v>32</v>
      </c>
      <c r="AK88">
        <f t="shared" si="68"/>
        <v>33227.851320000002</v>
      </c>
      <c r="AL88">
        <f t="shared" si="69"/>
        <v>32</v>
      </c>
      <c r="AM88">
        <f t="shared" si="70"/>
        <v>32</v>
      </c>
      <c r="AN88">
        <f t="shared" si="71"/>
        <v>14232.888000000001</v>
      </c>
      <c r="AO88">
        <f t="shared" si="72"/>
        <v>32</v>
      </c>
      <c r="AP88">
        <f t="shared" si="73"/>
        <v>32</v>
      </c>
      <c r="AQ88">
        <f t="shared" si="74"/>
        <v>4152.68559</v>
      </c>
      <c r="AR88">
        <f t="shared" si="75"/>
        <v>32</v>
      </c>
      <c r="AS88">
        <f t="shared" si="76"/>
        <v>32</v>
      </c>
      <c r="AT88">
        <f t="shared" si="77"/>
        <v>39313.141920000002</v>
      </c>
      <c r="AU88">
        <f t="shared" si="78"/>
        <v>32</v>
      </c>
      <c r="AV88">
        <f t="shared" si="79"/>
        <v>32</v>
      </c>
      <c r="AW88">
        <f t="shared" si="80"/>
        <v>235878.85152000003</v>
      </c>
      <c r="AX88">
        <f t="shared" si="87"/>
        <v>12</v>
      </c>
      <c r="AY88" s="7">
        <f t="shared" si="81"/>
        <v>235878.85152000003</v>
      </c>
      <c r="AZ88" t="str">
        <f t="shared" si="82"/>
        <v>火蛇Lv32</v>
      </c>
      <c r="BA88">
        <v>88</v>
      </c>
    </row>
    <row r="89" spans="12:53" x14ac:dyDescent="0.2">
      <c r="L89">
        <v>86</v>
      </c>
      <c r="M89">
        <f t="shared" si="88"/>
        <v>69</v>
      </c>
      <c r="N89">
        <f t="shared" si="83"/>
        <v>69</v>
      </c>
      <c r="P89">
        <f t="shared" si="89"/>
        <v>112.71212121212125</v>
      </c>
      <c r="Q89">
        <f t="shared" si="84"/>
        <v>112.71</v>
      </c>
      <c r="S89">
        <v>86</v>
      </c>
      <c r="T89">
        <f t="shared" si="85"/>
        <v>201.2</v>
      </c>
      <c r="AD89">
        <v>87</v>
      </c>
      <c r="AE89">
        <f t="shared" si="90"/>
        <v>98</v>
      </c>
      <c r="AF89">
        <f t="shared" si="86"/>
        <v>32</v>
      </c>
      <c r="AG89">
        <f t="shared" si="64"/>
        <v>32</v>
      </c>
      <c r="AH89">
        <f t="shared" si="65"/>
        <v>25563.172320000001</v>
      </c>
      <c r="AI89">
        <f t="shared" si="66"/>
        <v>32</v>
      </c>
      <c r="AJ89">
        <f t="shared" si="67"/>
        <v>32</v>
      </c>
      <c r="AK89">
        <f t="shared" si="68"/>
        <v>34877.460959999997</v>
      </c>
      <c r="AL89">
        <f t="shared" si="69"/>
        <v>32</v>
      </c>
      <c r="AM89">
        <f t="shared" si="70"/>
        <v>32</v>
      </c>
      <c r="AN89">
        <f t="shared" si="71"/>
        <v>14232.888000000001</v>
      </c>
      <c r="AO89">
        <f t="shared" si="72"/>
        <v>32</v>
      </c>
      <c r="AP89">
        <f t="shared" si="73"/>
        <v>32</v>
      </c>
      <c r="AQ89">
        <f t="shared" si="74"/>
        <v>4189.4350200000008</v>
      </c>
      <c r="AR89">
        <f t="shared" si="75"/>
        <v>32</v>
      </c>
      <c r="AS89">
        <f t="shared" si="76"/>
        <v>32</v>
      </c>
      <c r="AT89">
        <f t="shared" si="77"/>
        <v>40854.833760000001</v>
      </c>
      <c r="AU89">
        <f t="shared" si="78"/>
        <v>32</v>
      </c>
      <c r="AV89">
        <f t="shared" si="79"/>
        <v>32</v>
      </c>
      <c r="AW89">
        <f t="shared" si="80"/>
        <v>245129.00255999999</v>
      </c>
      <c r="AX89">
        <f t="shared" si="87"/>
        <v>12</v>
      </c>
      <c r="AY89" s="7">
        <f t="shared" si="81"/>
        <v>245129.00255999999</v>
      </c>
      <c r="AZ89" t="str">
        <f t="shared" si="82"/>
        <v>火蛇Lv32</v>
      </c>
      <c r="BA89">
        <v>89</v>
      </c>
    </row>
    <row r="90" spans="12:53" x14ac:dyDescent="0.2">
      <c r="L90">
        <v>87</v>
      </c>
      <c r="M90">
        <f t="shared" si="88"/>
        <v>69.5</v>
      </c>
      <c r="N90">
        <f t="shared" si="83"/>
        <v>69.5</v>
      </c>
      <c r="P90">
        <f t="shared" si="89"/>
        <v>114.02272727272731</v>
      </c>
      <c r="Q90">
        <f t="shared" si="84"/>
        <v>114.02</v>
      </c>
      <c r="S90">
        <v>87</v>
      </c>
      <c r="T90">
        <f t="shared" si="85"/>
        <v>203.54</v>
      </c>
      <c r="AD90">
        <v>88</v>
      </c>
      <c r="AE90">
        <f t="shared" si="90"/>
        <v>99</v>
      </c>
      <c r="AF90">
        <f t="shared" si="86"/>
        <v>32</v>
      </c>
      <c r="AG90">
        <f t="shared" si="64"/>
        <v>32</v>
      </c>
      <c r="AH90">
        <f t="shared" si="65"/>
        <v>26825.551200000002</v>
      </c>
      <c r="AI90">
        <f t="shared" si="66"/>
        <v>32</v>
      </c>
      <c r="AJ90">
        <f t="shared" si="67"/>
        <v>32</v>
      </c>
      <c r="AK90">
        <f t="shared" si="68"/>
        <v>36527.070599999999</v>
      </c>
      <c r="AL90">
        <f t="shared" si="69"/>
        <v>32</v>
      </c>
      <c r="AM90">
        <f t="shared" si="70"/>
        <v>32</v>
      </c>
      <c r="AN90">
        <f t="shared" si="71"/>
        <v>14232.888000000001</v>
      </c>
      <c r="AO90">
        <f t="shared" si="72"/>
        <v>32</v>
      </c>
      <c r="AP90">
        <f t="shared" si="73"/>
        <v>32</v>
      </c>
      <c r="AQ90">
        <f t="shared" si="74"/>
        <v>4226.1844499999997</v>
      </c>
      <c r="AR90">
        <f t="shared" si="75"/>
        <v>32</v>
      </c>
      <c r="AS90">
        <f t="shared" si="76"/>
        <v>32</v>
      </c>
      <c r="AT90">
        <f t="shared" si="77"/>
        <v>42396.525600000008</v>
      </c>
      <c r="AU90">
        <f t="shared" si="78"/>
        <v>32</v>
      </c>
      <c r="AV90">
        <f t="shared" si="79"/>
        <v>32</v>
      </c>
      <c r="AW90">
        <f t="shared" si="80"/>
        <v>254379.15360000005</v>
      </c>
      <c r="AX90">
        <f t="shared" si="87"/>
        <v>12</v>
      </c>
      <c r="AY90" s="7">
        <f t="shared" si="81"/>
        <v>254379.15360000005</v>
      </c>
      <c r="AZ90" t="str">
        <f t="shared" si="82"/>
        <v>火蛇Lv32</v>
      </c>
      <c r="BA90">
        <v>89</v>
      </c>
    </row>
    <row r="91" spans="12:53" x14ac:dyDescent="0.2">
      <c r="L91">
        <v>88</v>
      </c>
      <c r="M91">
        <f t="shared" si="88"/>
        <v>70</v>
      </c>
      <c r="N91">
        <f t="shared" si="83"/>
        <v>70</v>
      </c>
      <c r="P91">
        <f t="shared" si="89"/>
        <v>115.33333333333337</v>
      </c>
      <c r="Q91">
        <f t="shared" si="84"/>
        <v>115.33</v>
      </c>
      <c r="S91">
        <v>88</v>
      </c>
      <c r="T91">
        <f t="shared" si="85"/>
        <v>205.88</v>
      </c>
      <c r="AD91">
        <v>89</v>
      </c>
      <c r="AE91">
        <f t="shared" si="90"/>
        <v>100</v>
      </c>
      <c r="AF91">
        <f t="shared" si="86"/>
        <v>32</v>
      </c>
      <c r="AG91">
        <f t="shared" si="64"/>
        <v>32</v>
      </c>
      <c r="AH91">
        <f t="shared" si="65"/>
        <v>28087.930080000002</v>
      </c>
      <c r="AI91">
        <f t="shared" si="66"/>
        <v>32</v>
      </c>
      <c r="AJ91">
        <f t="shared" si="67"/>
        <v>32</v>
      </c>
      <c r="AK91">
        <f t="shared" si="68"/>
        <v>38176.680240000002</v>
      </c>
      <c r="AL91">
        <f t="shared" si="69"/>
        <v>32</v>
      </c>
      <c r="AM91">
        <f t="shared" si="70"/>
        <v>32</v>
      </c>
      <c r="AN91">
        <f t="shared" si="71"/>
        <v>14232.888000000001</v>
      </c>
      <c r="AO91">
        <f t="shared" si="72"/>
        <v>32</v>
      </c>
      <c r="AP91">
        <f t="shared" si="73"/>
        <v>32</v>
      </c>
      <c r="AQ91">
        <f t="shared" si="74"/>
        <v>4262.9338799999996</v>
      </c>
      <c r="AR91">
        <f t="shared" si="75"/>
        <v>32</v>
      </c>
      <c r="AS91">
        <f t="shared" si="76"/>
        <v>32</v>
      </c>
      <c r="AT91">
        <f t="shared" si="77"/>
        <v>43938.217440000008</v>
      </c>
      <c r="AU91">
        <f t="shared" si="78"/>
        <v>32</v>
      </c>
      <c r="AV91">
        <f t="shared" si="79"/>
        <v>32</v>
      </c>
      <c r="AW91">
        <f t="shared" si="80"/>
        <v>263629.30464000005</v>
      </c>
      <c r="AX91">
        <f t="shared" si="87"/>
        <v>12</v>
      </c>
      <c r="AY91" s="7">
        <f t="shared" si="81"/>
        <v>263629.30464000005</v>
      </c>
      <c r="AZ91" t="str">
        <f t="shared" si="82"/>
        <v>火蛇Lv32</v>
      </c>
      <c r="BA91">
        <v>90</v>
      </c>
    </row>
    <row r="92" spans="12:53" x14ac:dyDescent="0.2">
      <c r="L92">
        <v>89</v>
      </c>
      <c r="M92">
        <f t="shared" si="88"/>
        <v>70.5</v>
      </c>
      <c r="N92">
        <f t="shared" si="83"/>
        <v>70.5</v>
      </c>
      <c r="P92">
        <f t="shared" si="89"/>
        <v>116.64393939393943</v>
      </c>
      <c r="Q92">
        <f t="shared" si="84"/>
        <v>116.64</v>
      </c>
      <c r="S92">
        <v>89</v>
      </c>
      <c r="T92">
        <f t="shared" si="85"/>
        <v>208.22</v>
      </c>
      <c r="AD92">
        <v>90</v>
      </c>
      <c r="AE92">
        <f t="shared" si="90"/>
        <v>101</v>
      </c>
      <c r="AF92">
        <f t="shared" si="86"/>
        <v>34</v>
      </c>
      <c r="AG92">
        <f t="shared" si="64"/>
        <v>34</v>
      </c>
      <c r="AH92">
        <f t="shared" si="65"/>
        <v>30371.140799999997</v>
      </c>
      <c r="AI92">
        <f t="shared" si="66"/>
        <v>34</v>
      </c>
      <c r="AJ92">
        <f t="shared" si="67"/>
        <v>34</v>
      </c>
      <c r="AK92">
        <f t="shared" si="68"/>
        <v>39489.531600000002</v>
      </c>
      <c r="AL92">
        <f t="shared" si="69"/>
        <v>34</v>
      </c>
      <c r="AM92">
        <f t="shared" si="70"/>
        <v>34</v>
      </c>
      <c r="AN92">
        <f t="shared" si="71"/>
        <v>17136.359999999997</v>
      </c>
      <c r="AO92">
        <f t="shared" si="72"/>
        <v>34</v>
      </c>
      <c r="AP92">
        <f t="shared" si="73"/>
        <v>34</v>
      </c>
      <c r="AQ92">
        <f t="shared" si="74"/>
        <v>4902.2451000000001</v>
      </c>
      <c r="AR92">
        <f t="shared" si="75"/>
        <v>34</v>
      </c>
      <c r="AS92">
        <f t="shared" si="76"/>
        <v>34</v>
      </c>
      <c r="AT92">
        <f t="shared" si="77"/>
        <v>47233.711199999998</v>
      </c>
      <c r="AU92">
        <f t="shared" si="78"/>
        <v>34</v>
      </c>
      <c r="AV92">
        <f t="shared" si="79"/>
        <v>34</v>
      </c>
      <c r="AW92">
        <f t="shared" si="80"/>
        <v>283402.2672</v>
      </c>
      <c r="AX92">
        <v>14</v>
      </c>
      <c r="AY92" s="7">
        <f t="shared" si="81"/>
        <v>283402.2672</v>
      </c>
      <c r="AZ92" t="str">
        <f t="shared" si="82"/>
        <v>火蛇Lv34</v>
      </c>
      <c r="BA92">
        <v>90</v>
      </c>
    </row>
    <row r="93" spans="12:53" x14ac:dyDescent="0.2">
      <c r="L93">
        <v>90</v>
      </c>
      <c r="M93">
        <f t="shared" si="88"/>
        <v>71</v>
      </c>
      <c r="N93">
        <f t="shared" si="83"/>
        <v>71</v>
      </c>
      <c r="P93">
        <f t="shared" si="89"/>
        <v>117.9545454545455</v>
      </c>
      <c r="Q93">
        <f t="shared" si="84"/>
        <v>117.95</v>
      </c>
      <c r="S93">
        <v>90</v>
      </c>
      <c r="T93">
        <f t="shared" si="85"/>
        <v>210.56</v>
      </c>
      <c r="AD93">
        <v>91</v>
      </c>
      <c r="AE93">
        <f t="shared" si="90"/>
        <v>102</v>
      </c>
      <c r="AF93">
        <f t="shared" si="86"/>
        <v>34</v>
      </c>
      <c r="AG93">
        <f t="shared" si="64"/>
        <v>34</v>
      </c>
      <c r="AH93">
        <f t="shared" si="65"/>
        <v>31948.862399999998</v>
      </c>
      <c r="AI93">
        <f t="shared" si="66"/>
        <v>34</v>
      </c>
      <c r="AJ93">
        <f t="shared" si="67"/>
        <v>34</v>
      </c>
      <c r="AK93">
        <f t="shared" si="68"/>
        <v>41450.004799999995</v>
      </c>
      <c r="AL93">
        <f t="shared" si="69"/>
        <v>34</v>
      </c>
      <c r="AM93">
        <f t="shared" si="70"/>
        <v>34</v>
      </c>
      <c r="AN93">
        <f t="shared" si="71"/>
        <v>17136.359999999997</v>
      </c>
      <c r="AO93">
        <f t="shared" si="72"/>
        <v>34</v>
      </c>
      <c r="AP93">
        <f t="shared" si="73"/>
        <v>34</v>
      </c>
      <c r="AQ93">
        <f t="shared" si="74"/>
        <v>4945.6278000000011</v>
      </c>
      <c r="AR93">
        <f t="shared" si="75"/>
        <v>34</v>
      </c>
      <c r="AS93">
        <f t="shared" si="76"/>
        <v>34</v>
      </c>
      <c r="AT93">
        <f t="shared" si="77"/>
        <v>49086.013599999998</v>
      </c>
      <c r="AU93">
        <f t="shared" si="78"/>
        <v>34</v>
      </c>
      <c r="AV93">
        <f t="shared" si="79"/>
        <v>34</v>
      </c>
      <c r="AW93">
        <f t="shared" si="80"/>
        <v>294516.08159999998</v>
      </c>
      <c r="AX93">
        <f t="shared" si="87"/>
        <v>14</v>
      </c>
      <c r="AY93" s="7">
        <f t="shared" si="81"/>
        <v>294516.08159999998</v>
      </c>
      <c r="AZ93" t="str">
        <f t="shared" si="82"/>
        <v>火蛇Lv34</v>
      </c>
      <c r="BA93">
        <v>91</v>
      </c>
    </row>
    <row r="94" spans="12:53" x14ac:dyDescent="0.2">
      <c r="L94">
        <v>91</v>
      </c>
      <c r="M94">
        <f t="shared" si="88"/>
        <v>71.5</v>
      </c>
      <c r="N94">
        <f t="shared" si="83"/>
        <v>71.5</v>
      </c>
      <c r="P94">
        <f t="shared" si="89"/>
        <v>119.26515151515156</v>
      </c>
      <c r="Q94">
        <f t="shared" si="84"/>
        <v>119.27</v>
      </c>
      <c r="S94">
        <v>91</v>
      </c>
      <c r="T94">
        <f t="shared" si="85"/>
        <v>212.9</v>
      </c>
      <c r="AD94">
        <v>92</v>
      </c>
      <c r="AE94">
        <f t="shared" si="90"/>
        <v>103</v>
      </c>
      <c r="AF94">
        <f t="shared" si="86"/>
        <v>34</v>
      </c>
      <c r="AG94">
        <f t="shared" si="64"/>
        <v>34</v>
      </c>
      <c r="AH94">
        <f t="shared" si="65"/>
        <v>33526.583999999995</v>
      </c>
      <c r="AI94">
        <f t="shared" si="66"/>
        <v>34</v>
      </c>
      <c r="AJ94">
        <f t="shared" si="67"/>
        <v>34</v>
      </c>
      <c r="AK94">
        <f t="shared" si="68"/>
        <v>43410.477999999996</v>
      </c>
      <c r="AL94">
        <f t="shared" si="69"/>
        <v>34</v>
      </c>
      <c r="AM94">
        <f t="shared" si="70"/>
        <v>34</v>
      </c>
      <c r="AN94">
        <f t="shared" si="71"/>
        <v>17136.359999999997</v>
      </c>
      <c r="AO94">
        <f t="shared" si="72"/>
        <v>34</v>
      </c>
      <c r="AP94">
        <f t="shared" si="73"/>
        <v>34</v>
      </c>
      <c r="AQ94">
        <f t="shared" si="74"/>
        <v>4989.0105000000003</v>
      </c>
      <c r="AR94">
        <f t="shared" si="75"/>
        <v>34</v>
      </c>
      <c r="AS94">
        <f t="shared" si="76"/>
        <v>34</v>
      </c>
      <c r="AT94">
        <f t="shared" si="77"/>
        <v>50938.315999999999</v>
      </c>
      <c r="AU94">
        <f t="shared" si="78"/>
        <v>34</v>
      </c>
      <c r="AV94">
        <f t="shared" si="79"/>
        <v>34</v>
      </c>
      <c r="AW94">
        <f t="shared" si="80"/>
        <v>305629.89600000001</v>
      </c>
      <c r="AX94">
        <f t="shared" si="87"/>
        <v>14</v>
      </c>
      <c r="AY94" s="7">
        <f t="shared" si="81"/>
        <v>305629.89600000001</v>
      </c>
      <c r="AZ94" t="str">
        <f t="shared" si="82"/>
        <v>火蛇Lv34</v>
      </c>
      <c r="BA94">
        <v>91</v>
      </c>
    </row>
    <row r="95" spans="12:53" x14ac:dyDescent="0.2">
      <c r="L95">
        <v>92</v>
      </c>
      <c r="M95">
        <f t="shared" si="88"/>
        <v>72</v>
      </c>
      <c r="N95">
        <f t="shared" si="83"/>
        <v>72</v>
      </c>
      <c r="P95">
        <f t="shared" si="89"/>
        <v>120.57575757575762</v>
      </c>
      <c r="Q95">
        <f t="shared" si="84"/>
        <v>120.58</v>
      </c>
      <c r="S95">
        <v>92</v>
      </c>
      <c r="T95">
        <f t="shared" si="85"/>
        <v>215.24</v>
      </c>
      <c r="AD95">
        <v>93</v>
      </c>
      <c r="AE95">
        <f t="shared" si="90"/>
        <v>104</v>
      </c>
      <c r="AF95">
        <f t="shared" si="86"/>
        <v>34</v>
      </c>
      <c r="AG95">
        <f t="shared" si="64"/>
        <v>34</v>
      </c>
      <c r="AH95">
        <f t="shared" si="65"/>
        <v>35104.305599999992</v>
      </c>
      <c r="AI95">
        <f t="shared" si="66"/>
        <v>34</v>
      </c>
      <c r="AJ95">
        <f t="shared" si="67"/>
        <v>34</v>
      </c>
      <c r="AK95">
        <f t="shared" si="68"/>
        <v>45370.951200000003</v>
      </c>
      <c r="AL95">
        <f t="shared" si="69"/>
        <v>34</v>
      </c>
      <c r="AM95">
        <f t="shared" si="70"/>
        <v>34</v>
      </c>
      <c r="AN95">
        <f t="shared" si="71"/>
        <v>17136.359999999997</v>
      </c>
      <c r="AO95">
        <f t="shared" si="72"/>
        <v>34</v>
      </c>
      <c r="AP95">
        <f t="shared" si="73"/>
        <v>34</v>
      </c>
      <c r="AQ95">
        <f t="shared" si="74"/>
        <v>5032.3932000000004</v>
      </c>
      <c r="AR95">
        <f t="shared" si="75"/>
        <v>34</v>
      </c>
      <c r="AS95">
        <f t="shared" si="76"/>
        <v>34</v>
      </c>
      <c r="AT95">
        <f t="shared" si="77"/>
        <v>52790.618400000007</v>
      </c>
      <c r="AU95">
        <f t="shared" si="78"/>
        <v>34</v>
      </c>
      <c r="AV95">
        <f t="shared" si="79"/>
        <v>34</v>
      </c>
      <c r="AW95">
        <f t="shared" si="80"/>
        <v>316743.71040000004</v>
      </c>
      <c r="AX95">
        <f t="shared" si="87"/>
        <v>14</v>
      </c>
      <c r="AY95" s="7">
        <f t="shared" si="81"/>
        <v>316743.71040000004</v>
      </c>
      <c r="AZ95" t="str">
        <f t="shared" si="82"/>
        <v>火蛇Lv34</v>
      </c>
      <c r="BA95">
        <v>92</v>
      </c>
    </row>
    <row r="96" spans="12:53" x14ac:dyDescent="0.2">
      <c r="L96">
        <v>93</v>
      </c>
      <c r="M96">
        <f t="shared" si="88"/>
        <v>72.5</v>
      </c>
      <c r="N96">
        <f t="shared" si="83"/>
        <v>72.5</v>
      </c>
      <c r="P96">
        <f t="shared" si="89"/>
        <v>121.88636363636368</v>
      </c>
      <c r="Q96">
        <f t="shared" si="84"/>
        <v>121.89</v>
      </c>
      <c r="S96">
        <v>93</v>
      </c>
      <c r="T96">
        <f t="shared" si="85"/>
        <v>217.58</v>
      </c>
      <c r="AD96">
        <v>94</v>
      </c>
      <c r="AE96">
        <f t="shared" si="90"/>
        <v>105</v>
      </c>
      <c r="AF96">
        <f t="shared" si="86"/>
        <v>34</v>
      </c>
      <c r="AG96">
        <f t="shared" si="64"/>
        <v>34</v>
      </c>
      <c r="AH96">
        <f t="shared" si="65"/>
        <v>36682.027199999997</v>
      </c>
      <c r="AI96">
        <f t="shared" si="66"/>
        <v>34</v>
      </c>
      <c r="AJ96">
        <f t="shared" si="67"/>
        <v>34</v>
      </c>
      <c r="AK96">
        <f t="shared" si="68"/>
        <v>47331.424399999996</v>
      </c>
      <c r="AL96">
        <f t="shared" si="69"/>
        <v>34</v>
      </c>
      <c r="AM96">
        <f t="shared" si="70"/>
        <v>34</v>
      </c>
      <c r="AN96">
        <f t="shared" si="71"/>
        <v>17136.359999999997</v>
      </c>
      <c r="AO96">
        <f t="shared" si="72"/>
        <v>34</v>
      </c>
      <c r="AP96">
        <f t="shared" si="73"/>
        <v>34</v>
      </c>
      <c r="AQ96">
        <f t="shared" si="74"/>
        <v>5075.7759000000005</v>
      </c>
      <c r="AR96">
        <f t="shared" si="75"/>
        <v>34</v>
      </c>
      <c r="AS96">
        <f t="shared" si="76"/>
        <v>34</v>
      </c>
      <c r="AT96">
        <f t="shared" si="77"/>
        <v>54642.920800000007</v>
      </c>
      <c r="AU96">
        <f t="shared" si="78"/>
        <v>34</v>
      </c>
      <c r="AV96">
        <f t="shared" si="79"/>
        <v>34</v>
      </c>
      <c r="AW96">
        <f t="shared" si="80"/>
        <v>327857.52480000001</v>
      </c>
      <c r="AX96">
        <f t="shared" si="87"/>
        <v>14</v>
      </c>
      <c r="AY96" s="7">
        <f t="shared" si="81"/>
        <v>327857.52480000001</v>
      </c>
      <c r="AZ96" t="str">
        <f t="shared" si="82"/>
        <v>火蛇Lv34</v>
      </c>
      <c r="BA96">
        <v>92</v>
      </c>
    </row>
    <row r="97" spans="12:53" x14ac:dyDescent="0.2">
      <c r="L97">
        <v>94</v>
      </c>
      <c r="M97">
        <f t="shared" si="88"/>
        <v>73</v>
      </c>
      <c r="N97">
        <f t="shared" si="83"/>
        <v>73</v>
      </c>
      <c r="P97">
        <f t="shared" si="89"/>
        <v>123.19696969696975</v>
      </c>
      <c r="Q97">
        <f t="shared" si="84"/>
        <v>123.2</v>
      </c>
      <c r="S97">
        <v>94</v>
      </c>
      <c r="T97">
        <f t="shared" si="85"/>
        <v>219.92</v>
      </c>
      <c r="AD97">
        <v>95</v>
      </c>
      <c r="AE97">
        <f t="shared" si="90"/>
        <v>106</v>
      </c>
      <c r="AF97">
        <f t="shared" si="86"/>
        <v>34</v>
      </c>
      <c r="AG97">
        <f t="shared" si="64"/>
        <v>34</v>
      </c>
      <c r="AH97">
        <f t="shared" si="65"/>
        <v>38259.748799999994</v>
      </c>
      <c r="AI97">
        <f t="shared" si="66"/>
        <v>34</v>
      </c>
      <c r="AJ97">
        <f t="shared" si="67"/>
        <v>34</v>
      </c>
      <c r="AK97">
        <f t="shared" si="68"/>
        <v>49291.897599999997</v>
      </c>
      <c r="AL97">
        <f t="shared" si="69"/>
        <v>34</v>
      </c>
      <c r="AM97">
        <f t="shared" si="70"/>
        <v>34</v>
      </c>
      <c r="AN97">
        <f t="shared" si="71"/>
        <v>17136.359999999997</v>
      </c>
      <c r="AO97">
        <f t="shared" si="72"/>
        <v>34</v>
      </c>
      <c r="AP97">
        <f t="shared" si="73"/>
        <v>34</v>
      </c>
      <c r="AQ97">
        <f t="shared" si="74"/>
        <v>5119.1586000000007</v>
      </c>
      <c r="AR97">
        <f t="shared" si="75"/>
        <v>34</v>
      </c>
      <c r="AS97">
        <f t="shared" si="76"/>
        <v>34</v>
      </c>
      <c r="AT97">
        <f t="shared" si="77"/>
        <v>56495.223199999993</v>
      </c>
      <c r="AU97">
        <f t="shared" si="78"/>
        <v>34</v>
      </c>
      <c r="AV97">
        <f t="shared" si="79"/>
        <v>34</v>
      </c>
      <c r="AW97">
        <f t="shared" si="80"/>
        <v>338971.33919999993</v>
      </c>
      <c r="AX97">
        <f t="shared" si="87"/>
        <v>14</v>
      </c>
      <c r="AY97" s="7">
        <f t="shared" si="81"/>
        <v>338971.33919999993</v>
      </c>
      <c r="AZ97" t="str">
        <f t="shared" si="82"/>
        <v>火蛇Lv34</v>
      </c>
      <c r="BA97">
        <v>93</v>
      </c>
    </row>
    <row r="98" spans="12:53" x14ac:dyDescent="0.2">
      <c r="L98">
        <v>95</v>
      </c>
      <c r="M98">
        <f t="shared" si="88"/>
        <v>73.5</v>
      </c>
      <c r="N98">
        <f t="shared" si="83"/>
        <v>73.5</v>
      </c>
      <c r="P98">
        <f t="shared" si="89"/>
        <v>124.50757575757581</v>
      </c>
      <c r="Q98">
        <f t="shared" si="84"/>
        <v>124.51</v>
      </c>
      <c r="S98">
        <v>95</v>
      </c>
      <c r="T98">
        <f t="shared" si="85"/>
        <v>222.26</v>
      </c>
      <c r="AD98">
        <v>96</v>
      </c>
      <c r="AE98">
        <f t="shared" si="90"/>
        <v>107</v>
      </c>
      <c r="AF98">
        <f t="shared" si="86"/>
        <v>34</v>
      </c>
      <c r="AG98">
        <f t="shared" si="64"/>
        <v>34</v>
      </c>
      <c r="AH98">
        <f t="shared" si="65"/>
        <v>39837.470399999991</v>
      </c>
      <c r="AI98">
        <f t="shared" si="66"/>
        <v>34</v>
      </c>
      <c r="AJ98">
        <f t="shared" si="67"/>
        <v>34</v>
      </c>
      <c r="AK98">
        <f t="shared" si="68"/>
        <v>51252.370799999997</v>
      </c>
      <c r="AL98">
        <f t="shared" si="69"/>
        <v>34</v>
      </c>
      <c r="AM98">
        <f t="shared" si="70"/>
        <v>34</v>
      </c>
      <c r="AN98">
        <f t="shared" si="71"/>
        <v>17136.359999999997</v>
      </c>
      <c r="AO98">
        <f t="shared" si="72"/>
        <v>34</v>
      </c>
      <c r="AP98">
        <f t="shared" si="73"/>
        <v>34</v>
      </c>
      <c r="AQ98">
        <f t="shared" si="74"/>
        <v>5162.5412999999999</v>
      </c>
      <c r="AR98">
        <f t="shared" si="75"/>
        <v>34</v>
      </c>
      <c r="AS98">
        <f t="shared" si="76"/>
        <v>34</v>
      </c>
      <c r="AT98">
        <f t="shared" si="77"/>
        <v>58347.525600000001</v>
      </c>
      <c r="AU98">
        <f t="shared" si="78"/>
        <v>34</v>
      </c>
      <c r="AV98">
        <f t="shared" si="79"/>
        <v>34</v>
      </c>
      <c r="AW98">
        <f t="shared" si="80"/>
        <v>350085.15360000002</v>
      </c>
      <c r="AX98">
        <f t="shared" si="87"/>
        <v>14</v>
      </c>
      <c r="AY98" s="7">
        <f t="shared" si="81"/>
        <v>350085.15360000002</v>
      </c>
      <c r="AZ98" t="str">
        <f t="shared" si="82"/>
        <v>火蛇Lv34</v>
      </c>
      <c r="BA98">
        <v>93</v>
      </c>
    </row>
    <row r="99" spans="12:53" x14ac:dyDescent="0.2">
      <c r="L99">
        <v>96</v>
      </c>
      <c r="M99">
        <f t="shared" si="88"/>
        <v>74</v>
      </c>
      <c r="N99">
        <f t="shared" si="83"/>
        <v>74</v>
      </c>
      <c r="P99">
        <f t="shared" si="89"/>
        <v>125.81818181818187</v>
      </c>
      <c r="Q99">
        <f t="shared" si="84"/>
        <v>125.82</v>
      </c>
      <c r="S99">
        <v>96</v>
      </c>
      <c r="T99">
        <f t="shared" si="85"/>
        <v>224.6</v>
      </c>
      <c r="AD99">
        <v>97</v>
      </c>
      <c r="AE99">
        <f t="shared" si="90"/>
        <v>108</v>
      </c>
      <c r="AF99">
        <f t="shared" si="86"/>
        <v>34</v>
      </c>
      <c r="AG99">
        <f t="shared" si="64"/>
        <v>34</v>
      </c>
      <c r="AH99">
        <f t="shared" si="65"/>
        <v>41415.191999999995</v>
      </c>
      <c r="AI99">
        <f t="shared" si="66"/>
        <v>34</v>
      </c>
      <c r="AJ99">
        <f t="shared" si="67"/>
        <v>34</v>
      </c>
      <c r="AK99">
        <f t="shared" si="68"/>
        <v>53212.843999999997</v>
      </c>
      <c r="AL99">
        <f t="shared" si="69"/>
        <v>34</v>
      </c>
      <c r="AM99">
        <f t="shared" si="70"/>
        <v>34</v>
      </c>
      <c r="AN99">
        <f t="shared" si="71"/>
        <v>17136.359999999997</v>
      </c>
      <c r="AO99">
        <f t="shared" si="72"/>
        <v>34</v>
      </c>
      <c r="AP99">
        <f t="shared" si="73"/>
        <v>34</v>
      </c>
      <c r="AQ99">
        <f t="shared" si="74"/>
        <v>5205.924</v>
      </c>
      <c r="AR99">
        <f t="shared" si="75"/>
        <v>34</v>
      </c>
      <c r="AS99">
        <f t="shared" si="76"/>
        <v>34</v>
      </c>
      <c r="AT99">
        <f t="shared" si="77"/>
        <v>60199.828000000001</v>
      </c>
      <c r="AU99">
        <f t="shared" si="78"/>
        <v>34</v>
      </c>
      <c r="AV99">
        <f t="shared" si="79"/>
        <v>34</v>
      </c>
      <c r="AW99">
        <f t="shared" si="80"/>
        <v>361198.96799999999</v>
      </c>
      <c r="AX99">
        <f t="shared" si="87"/>
        <v>14</v>
      </c>
      <c r="AY99" s="7">
        <f t="shared" si="81"/>
        <v>361198.96799999999</v>
      </c>
      <c r="AZ99" t="str">
        <f t="shared" si="82"/>
        <v>火蛇Lv34</v>
      </c>
      <c r="BA99">
        <v>94</v>
      </c>
    </row>
    <row r="100" spans="12:53" x14ac:dyDescent="0.2">
      <c r="L100">
        <v>97</v>
      </c>
      <c r="M100">
        <f t="shared" si="88"/>
        <v>74.5</v>
      </c>
      <c r="N100">
        <f t="shared" si="83"/>
        <v>74.5</v>
      </c>
      <c r="P100">
        <f t="shared" si="89"/>
        <v>127.12878787878793</v>
      </c>
      <c r="Q100">
        <f t="shared" si="84"/>
        <v>127.13</v>
      </c>
      <c r="S100">
        <v>97</v>
      </c>
      <c r="T100">
        <f t="shared" si="85"/>
        <v>226.94</v>
      </c>
      <c r="AD100">
        <v>98</v>
      </c>
      <c r="AE100">
        <f t="shared" si="90"/>
        <v>109</v>
      </c>
      <c r="AF100">
        <f t="shared" si="86"/>
        <v>34</v>
      </c>
      <c r="AG100">
        <f t="shared" si="64"/>
        <v>34</v>
      </c>
      <c r="AH100">
        <f t="shared" si="65"/>
        <v>41415.191999999995</v>
      </c>
      <c r="AI100">
        <f t="shared" si="66"/>
        <v>34</v>
      </c>
      <c r="AJ100">
        <f t="shared" si="67"/>
        <v>34</v>
      </c>
      <c r="AK100">
        <f t="shared" si="68"/>
        <v>53212.843999999997</v>
      </c>
      <c r="AL100">
        <f t="shared" si="69"/>
        <v>34</v>
      </c>
      <c r="AM100">
        <f t="shared" si="70"/>
        <v>34</v>
      </c>
      <c r="AN100">
        <f t="shared" si="71"/>
        <v>17136.359999999997</v>
      </c>
      <c r="AO100">
        <f t="shared" si="72"/>
        <v>34</v>
      </c>
      <c r="AP100">
        <f t="shared" si="73"/>
        <v>34</v>
      </c>
      <c r="AQ100">
        <f t="shared" si="74"/>
        <v>5205.924</v>
      </c>
      <c r="AR100">
        <f t="shared" si="75"/>
        <v>34</v>
      </c>
      <c r="AS100">
        <f t="shared" si="76"/>
        <v>34</v>
      </c>
      <c r="AT100">
        <f t="shared" si="77"/>
        <v>60199.828000000001</v>
      </c>
      <c r="AU100">
        <f t="shared" si="78"/>
        <v>34</v>
      </c>
      <c r="AV100">
        <f t="shared" si="79"/>
        <v>34</v>
      </c>
      <c r="AW100">
        <f t="shared" si="80"/>
        <v>361198.96799999999</v>
      </c>
      <c r="AX100">
        <f t="shared" si="87"/>
        <v>14</v>
      </c>
      <c r="AY100" s="7">
        <f t="shared" si="81"/>
        <v>361198.96799999999</v>
      </c>
      <c r="AZ100" t="str">
        <f t="shared" si="82"/>
        <v>火蛇Lv34</v>
      </c>
      <c r="BA100">
        <v>94</v>
      </c>
    </row>
    <row r="101" spans="12:53" x14ac:dyDescent="0.2">
      <c r="L101">
        <v>98</v>
      </c>
      <c r="M101">
        <f t="shared" si="88"/>
        <v>75</v>
      </c>
      <c r="N101">
        <f t="shared" si="83"/>
        <v>75</v>
      </c>
      <c r="P101">
        <f t="shared" si="89"/>
        <v>128.43939393939399</v>
      </c>
      <c r="Q101">
        <f t="shared" si="84"/>
        <v>128.44</v>
      </c>
      <c r="S101">
        <v>98</v>
      </c>
      <c r="T101">
        <f t="shared" si="85"/>
        <v>229.28</v>
      </c>
      <c r="AD101">
        <v>99</v>
      </c>
      <c r="AE101">
        <f t="shared" si="90"/>
        <v>110</v>
      </c>
      <c r="AF101">
        <f t="shared" si="86"/>
        <v>34</v>
      </c>
      <c r="AG101">
        <f t="shared" si="64"/>
        <v>34</v>
      </c>
      <c r="AH101">
        <f t="shared" si="65"/>
        <v>41415.191999999995</v>
      </c>
      <c r="AI101">
        <f t="shared" si="66"/>
        <v>34</v>
      </c>
      <c r="AJ101">
        <f t="shared" si="67"/>
        <v>34</v>
      </c>
      <c r="AK101">
        <f t="shared" si="68"/>
        <v>53212.843999999997</v>
      </c>
      <c r="AL101">
        <f t="shared" si="69"/>
        <v>34</v>
      </c>
      <c r="AM101">
        <f t="shared" si="70"/>
        <v>34</v>
      </c>
      <c r="AN101">
        <f t="shared" si="71"/>
        <v>17136.359999999997</v>
      </c>
      <c r="AO101">
        <f t="shared" si="72"/>
        <v>34</v>
      </c>
      <c r="AP101">
        <f t="shared" si="73"/>
        <v>34</v>
      </c>
      <c r="AQ101">
        <f t="shared" si="74"/>
        <v>5205.924</v>
      </c>
      <c r="AR101">
        <f t="shared" si="75"/>
        <v>34</v>
      </c>
      <c r="AS101">
        <f t="shared" si="76"/>
        <v>34</v>
      </c>
      <c r="AT101">
        <f t="shared" si="77"/>
        <v>60199.828000000001</v>
      </c>
      <c r="AU101">
        <f t="shared" si="78"/>
        <v>34</v>
      </c>
      <c r="AV101">
        <f t="shared" si="79"/>
        <v>34</v>
      </c>
      <c r="AW101">
        <f t="shared" si="80"/>
        <v>361198.96799999999</v>
      </c>
      <c r="AX101">
        <f t="shared" si="87"/>
        <v>14</v>
      </c>
      <c r="AY101" s="7">
        <f t="shared" si="81"/>
        <v>361198.96799999999</v>
      </c>
      <c r="AZ101" t="str">
        <f t="shared" si="82"/>
        <v>火蛇Lv34</v>
      </c>
      <c r="BA101" s="8">
        <v>95</v>
      </c>
    </row>
    <row r="102" spans="12:53" x14ac:dyDescent="0.2">
      <c r="L102">
        <v>99</v>
      </c>
      <c r="M102">
        <f t="shared" si="88"/>
        <v>75.5</v>
      </c>
      <c r="N102">
        <f t="shared" si="83"/>
        <v>75.5</v>
      </c>
      <c r="P102">
        <f t="shared" si="89"/>
        <v>129.75000000000006</v>
      </c>
      <c r="Q102">
        <f t="shared" si="84"/>
        <v>129.75</v>
      </c>
      <c r="S102">
        <v>99</v>
      </c>
      <c r="T102">
        <f t="shared" si="85"/>
        <v>231.62</v>
      </c>
    </row>
  </sheetData>
  <autoFilter ref="W2:AA12" xr:uid="{00000000-0009-0000-0000-000006000000}">
    <sortState xmlns:xlrd2="http://schemas.microsoft.com/office/spreadsheetml/2017/richdata2" ref="W2:AA12">
      <sortCondition ref="W2:W12"/>
    </sortState>
  </autoFilter>
  <mergeCells count="6">
    <mergeCell ref="AU1:AW1"/>
    <mergeCell ref="AF1:AH1"/>
    <mergeCell ref="AI1:AK1"/>
    <mergeCell ref="AL1:AN1"/>
    <mergeCell ref="AO1:AQ1"/>
    <mergeCell ref="AR1:AT1"/>
  </mergeCells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2B23EB-4A17-4BEC-9BD1-CF71892F1B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怪物基本表</vt:lpstr>
      <vt:lpstr>怪物属性表</vt:lpstr>
      <vt:lpstr>Sheet3</vt:lpstr>
      <vt:lpstr>怪物词缀投放</vt:lpstr>
      <vt:lpstr>Sheet1</vt:lpstr>
      <vt:lpstr>Sheet2</vt:lpstr>
      <vt:lpstr>怪物-场景-伤害</vt:lpstr>
      <vt:lpstr>刀数数据支持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2015-06-05T18:19:00Z</dcterms:created>
  <dcterms:modified xsi:type="dcterms:W3CDTF">2026-03-02T10:19:35Z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623D57A70C95482F8367EDA089EC4A33</vt:lpwstr>
  </property>
  <property fmtid="{D5CDD505-2E9C-101B-9397-08002B2CF9AE}" pid="3" name="KSOProductBuildVer">
    <vt:lpwstr>2052-12.1.0.22215</vt:lpwstr>
  </property>
</Properties>
</file>