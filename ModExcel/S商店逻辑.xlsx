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x1\data\trunk\excel\"/>
    </mc:Choice>
  </mc:AlternateContent>
  <xr:revisionPtr revIDLastSave="0" documentId="13_ncr:1_{29CAA801-B951-4707-B303-0DA4A52405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商店等级表" sheetId="1" r:id="rId1"/>
    <sheet name="上局加成表" sheetId="2" r:id="rId2"/>
    <sheet name="赌博商店" sheetId="3" r:id="rId3"/>
    <sheet name="特殊物品售卖" sheetId="4" r:id="rId4"/>
    <sheet name="特殊物品售卖价格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2" l="1"/>
  <c r="Q12" i="2"/>
  <c r="Q11" i="2"/>
  <c r="Q10" i="2"/>
  <c r="P13" i="2"/>
  <c r="P10" i="2"/>
  <c r="P11" i="2"/>
  <c r="P12" i="2"/>
  <c r="P9" i="2"/>
  <c r="N15" i="2" s="1"/>
  <c r="O15" i="2" l="1"/>
  <c r="K15" i="2"/>
  <c r="L15" i="2"/>
  <c r="M15" i="2"/>
  <c r="N18" i="2"/>
  <c r="K16" i="2"/>
  <c r="M18" i="2"/>
  <c r="L17" i="2"/>
  <c r="N19" i="2"/>
  <c r="L18" i="2"/>
  <c r="N16" i="2"/>
  <c r="K18" i="2"/>
  <c r="M16" i="2"/>
  <c r="O17" i="2"/>
  <c r="O16" i="2"/>
  <c r="L16" i="2"/>
  <c r="N17" i="2"/>
  <c r="O19" i="2"/>
  <c r="M17" i="2"/>
  <c r="M19" i="2"/>
  <c r="K17" i="2"/>
  <c r="L19" i="2"/>
  <c r="K19" i="2"/>
  <c r="O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F05438-3C52-4E38-AED1-CBAA2A68CEAC}" name="shop_gamble" type="4" refreshedVersion="0" background="1">
    <webPr xml="1" sourceData="1" url="E:\svvdata\trunk\excel\xml模板\shop_gamble.xml" htmlTables="1" htmlFormat="all"/>
  </connection>
  <connection id="2" xr16:uid="{C1EEB546-7456-4D8D-90F0-5271361DEA35}" name="shop_lv" type="4" refreshedVersion="0" background="1">
    <webPr xml="1" sourceData="1" url="E:\svvdata\trunk\excel\xml模板\shop_lv.xml" htmlTables="1" htmlFormat="all"/>
  </connection>
  <connection id="3" xr16:uid="{C1D1ADEC-8B2C-478E-BA3D-C9F960D3F988}" name="shop_lv1" type="4" refreshedVersion="0" background="1">
    <webPr xml="1" sourceData="1" url="E:\x1\data\trunk\excel\xml模板\shop_lv.xml" htmlTables="1" htmlFormat="all"/>
  </connection>
  <connection id="4" xr16:uid="{59C35196-EC62-4668-9474-6721A03DC886}" name="shop_lv2" type="4" refreshedVersion="0" background="1">
    <webPr xml="1" sourceData="1" url="E:\x1\data\trunk\excel\xml模板\shop_lv.xml" htmlTables="1" htmlFormat="all"/>
  </connection>
  <connection id="5" xr16:uid="{0E85D17A-9770-4F9C-A96B-1D269BFA91C2}" name="shop_reward" type="4" refreshedVersion="0" background="1">
    <webPr xml="1" sourceData="1" url="E:\svvdata\trunk\excel\xml模板\shop_reward.xml" htmlTables="1" htmlFormat="all"/>
  </connection>
  <connection id="6" xr16:uid="{2436F90F-F4E2-408F-A797-2159EF74D3DF}" name="shop_special" type="4" refreshedVersion="0" background="1">
    <webPr xml="1" sourceData="1" url="G:\survivors\data\trunk\excel\xml模板\shop_special.xml" htmlTables="1" htmlFormat="all"/>
  </connection>
  <connection id="7" xr16:uid="{C7003CCD-EBB0-4132-BBD5-DC3DFC57F82A}" name="shop_special_price" type="4" refreshedVersion="0" background="1">
    <webPr xml="1" sourceData="1" url="G:\survivors\data\trunk\excel\xml模板\shop_special_price.xml" htmlTables="1" htmlFormat="all"/>
  </connection>
</connections>
</file>

<file path=xl/sharedStrings.xml><?xml version="1.0" encoding="utf-8"?>
<sst xmlns="http://schemas.openxmlformats.org/spreadsheetml/2006/main" count="178" uniqueCount="131">
  <si>
    <t>id_i</t>
  </si>
  <si>
    <t>id_i</t>
    <phoneticPr fontId="1" type="noConversion"/>
  </si>
  <si>
    <t>商店等级</t>
    <phoneticPr fontId="1" type="noConversion"/>
  </si>
  <si>
    <t>解锁条件</t>
    <phoneticPr fontId="1" type="noConversion"/>
  </si>
  <si>
    <t>部位分类：数量最小值，数量最大值，品质1，权重1……</t>
    <phoneticPr fontId="1" type="noConversion"/>
  </si>
  <si>
    <t>全局表</t>
    <phoneticPr fontId="1" type="noConversion"/>
  </si>
  <si>
    <t>商店里的装备组（组标识：包含的装备类型）</t>
    <phoneticPr fontId="3" type="noConversion"/>
  </si>
  <si>
    <t>equip_sort_n</t>
    <phoneticPr fontId="3" type="noConversion"/>
  </si>
  <si>
    <t>必须解锁上一等级后，才能解锁下一级</t>
    <phoneticPr fontId="1" type="noConversion"/>
  </si>
  <si>
    <t>limit_n</t>
  </si>
  <si>
    <t>limit_n</t>
    <phoneticPr fontId="1" type="noConversion"/>
  </si>
  <si>
    <t>sort_n</t>
    <phoneticPr fontId="1" type="noConversion"/>
  </si>
  <si>
    <t>shop_lv.xml</t>
    <phoneticPr fontId="1" type="noConversion"/>
  </si>
  <si>
    <t>可以出现重复装备</t>
    <phoneticPr fontId="1" type="noConversion"/>
  </si>
  <si>
    <t>0:0</t>
    <phoneticPr fontId="1" type="noConversion"/>
  </si>
  <si>
    <t>初始1级</t>
    <phoneticPr fontId="1" type="noConversion"/>
  </si>
  <si>
    <t>流水号</t>
    <phoneticPr fontId="1" type="noConversion"/>
  </si>
  <si>
    <t>奖励地图</t>
    <phoneticPr fontId="1" type="noConversion"/>
  </si>
  <si>
    <t>达成条件</t>
    <phoneticPr fontId="1" type="noConversion"/>
  </si>
  <si>
    <t>地图id</t>
    <phoneticPr fontId="1" type="noConversion"/>
  </si>
  <si>
    <t>奖励加成</t>
    <phoneticPr fontId="1" type="noConversion"/>
  </si>
  <si>
    <t>map_i</t>
    <phoneticPr fontId="1" type="noConversion"/>
  </si>
  <si>
    <t>同一地图满足多条按id最大的来的
1=生存时间(秒）
2=击杀怪物数量
3=击杀BOSS数量</t>
    <phoneticPr fontId="1" type="noConversion"/>
  </si>
  <si>
    <t>所加成的分类：额外最小数量，额外最大数量，品质1，额外权重1……
商店中原本没有的类型，也会因为这里有额外加成而刷出来</t>
    <phoneticPr fontId="1" type="noConversion"/>
  </si>
  <si>
    <t>extra_sort_n</t>
    <phoneticPr fontId="1" type="noConversion"/>
  </si>
  <si>
    <t>shop_reward.xml</t>
    <phoneticPr fontId="1" type="noConversion"/>
  </si>
  <si>
    <r>
      <t>从商店中购买时</t>
    </r>
    <r>
      <rPr>
        <b/>
        <sz val="9"/>
        <rFont val="微软雅黑"/>
        <family val="2"/>
        <charset val="134"/>
      </rPr>
      <t>额外</t>
    </r>
    <r>
      <rPr>
        <sz val="9"/>
        <rFont val="微软雅黑"/>
        <family val="2"/>
        <charset val="134"/>
      </rPr>
      <t>花费金币的倍率</t>
    </r>
    <phoneticPr fontId="3" type="noConversion"/>
  </si>
  <si>
    <t>equip_buy_i</t>
    <phoneticPr fontId="3" type="noConversion"/>
  </si>
  <si>
    <t>1</t>
    <phoneticPr fontId="3" type="noConversion"/>
  </si>
  <si>
    <t>赌博商店显示底材数量</t>
    <phoneticPr fontId="3" type="noConversion"/>
  </si>
  <si>
    <t>equip_gamble_i</t>
    <phoneticPr fontId="3" type="noConversion"/>
  </si>
  <si>
    <t>18</t>
    <phoneticPr fontId="3" type="noConversion"/>
  </si>
  <si>
    <t>商店显示底材</t>
    <phoneticPr fontId="1" type="noConversion"/>
  </si>
  <si>
    <t>售价</t>
    <phoneticPr fontId="1" type="noConversion"/>
  </si>
  <si>
    <t>equip_i</t>
  </si>
  <si>
    <t>price_i</t>
  </si>
  <si>
    <t>shop_gamble.xml</t>
  </si>
  <si>
    <t>shop_gamble.xml</t>
    <phoneticPr fontId="1" type="noConversion"/>
  </si>
  <si>
    <t>具体生成什么装备需要读装备表来进行随机</t>
    <phoneticPr fontId="1" type="noConversion"/>
  </si>
  <si>
    <t>1拿到装备组</t>
    <phoneticPr fontId="1" type="noConversion"/>
  </si>
  <si>
    <t>2根据装备组确定哪些装备类型</t>
    <phoneticPr fontId="1" type="noConversion"/>
  </si>
  <si>
    <t>3确定刷新这一类装备多少个</t>
    <phoneticPr fontId="1" type="noConversion"/>
  </si>
  <si>
    <t>4每个装备单独随机一次品质</t>
    <phoneticPr fontId="1" type="noConversion"/>
  </si>
  <si>
    <t>5指定的品质和类型里，根据权重出现对应装备</t>
    <phoneticPr fontId="1" type="noConversion"/>
  </si>
  <si>
    <t>普通商店刷新消耗   （道具id：消耗数量）</t>
    <phoneticPr fontId="3" type="noConversion"/>
  </si>
  <si>
    <t>shop_refresh_m</t>
    <phoneticPr fontId="3" type="noConversion"/>
  </si>
  <si>
    <t>2:500</t>
    <phoneticPr fontId="3" type="noConversion"/>
  </si>
  <si>
    <t>对应概率</t>
    <phoneticPr fontId="1" type="noConversion"/>
  </si>
  <si>
    <t>1,2</t>
    <phoneticPr fontId="1" type="noConversion"/>
  </si>
  <si>
    <t>2,4</t>
    <phoneticPr fontId="1" type="noConversion"/>
  </si>
  <si>
    <t>3,6</t>
    <phoneticPr fontId="1" type="noConversion"/>
  </si>
  <si>
    <t>4,8</t>
    <phoneticPr fontId="1" type="noConversion"/>
  </si>
  <si>
    <t>1:300</t>
    <phoneticPr fontId="1" type="noConversion"/>
  </si>
  <si>
    <t>1:600</t>
    <phoneticPr fontId="1" type="noConversion"/>
  </si>
  <si>
    <t>白</t>
    <phoneticPr fontId="1" type="noConversion"/>
  </si>
  <si>
    <t>绿</t>
    <phoneticPr fontId="1" type="noConversion"/>
  </si>
  <si>
    <t>蓝</t>
    <phoneticPr fontId="1" type="noConversion"/>
  </si>
  <si>
    <t>紫</t>
    <phoneticPr fontId="1" type="noConversion"/>
  </si>
  <si>
    <t>橙</t>
    <phoneticPr fontId="1" type="noConversion"/>
  </si>
  <si>
    <t>3:4</t>
    <phoneticPr fontId="1" type="noConversion"/>
  </si>
  <si>
    <t>2:10000</t>
    <phoneticPr fontId="1" type="noConversion"/>
  </si>
  <si>
    <t>1:1,2,1,40,2,40,3,20,4,0,5,0;2:1,2,1,40,2,40,3,20,4,0,5,0;4:1,1,1,0,2,100,3,0,4,0,5,0</t>
    <phoneticPr fontId="1" type="noConversion"/>
  </si>
  <si>
    <t>1:2,4,1,50,2,35,3,30,4,10,5,0;2:2,4,1,50,2,35,3,30,4,10,5,0;4:1,1,1,0,2,100,3,0,4,0,5,0</t>
    <phoneticPr fontId="1" type="noConversion"/>
  </si>
  <si>
    <t>1:3,6,1,40,2,30,3,35,4,18,5,2;2:3,6,1,40,2,30,3,35,4,18,5,2;4:1,1,1,0,2,100,3,0,4,0,5,0</t>
    <phoneticPr fontId="1" type="noConversion"/>
  </si>
  <si>
    <t>1:4,8,1,20,2,20,3,35,4,25,5,4;2:4,8,1,20,2,20,3,35,4,25,5,4;4:1,1,1,0,2,100,3,0,4,0,5,0</t>
    <phoneticPr fontId="1" type="noConversion"/>
  </si>
  <si>
    <t>cost_m</t>
  </si>
  <si>
    <t>2:1000</t>
    <phoneticPr fontId="1" type="noConversion"/>
  </si>
  <si>
    <t>售卖的道具ID</t>
    <phoneticPr fontId="1" type="noConversion"/>
  </si>
  <si>
    <t>刷新次数+1</t>
  </si>
  <si>
    <t>锁定次数+1</t>
  </si>
  <si>
    <t>剔除次数+1</t>
  </si>
  <si>
    <t>攻击+2</t>
  </si>
  <si>
    <t>攻击速度+2%</t>
  </si>
  <si>
    <t>移动速度+2%</t>
  </si>
  <si>
    <t>腐化材料+1</t>
  </si>
  <si>
    <t>5</t>
  </si>
  <si>
    <t>5</t>
    <phoneticPr fontId="1" type="noConversion"/>
  </si>
  <si>
    <t>10</t>
    <phoneticPr fontId="1" type="noConversion"/>
  </si>
  <si>
    <t>售卖次数
不填则不限制次数</t>
    <phoneticPr fontId="1" type="noConversion"/>
  </si>
  <si>
    <t>购买消耗
货币ID：货币数量</t>
    <phoneticPr fontId="1" type="noConversion"/>
  </si>
  <si>
    <t>购买次数
超出配置的次数用最大次数的价格</t>
    <phoneticPr fontId="1" type="noConversion"/>
  </si>
  <si>
    <t>2:1500</t>
    <phoneticPr fontId="1" type="noConversion"/>
  </si>
  <si>
    <t>2:2000</t>
  </si>
  <si>
    <t>2:2500</t>
  </si>
  <si>
    <t>2:3000</t>
  </si>
  <si>
    <t>2:3500</t>
  </si>
  <si>
    <t>2:4000</t>
  </si>
  <si>
    <t>2:4500</t>
  </si>
  <si>
    <t>2:5000</t>
  </si>
  <si>
    <t>2:5500</t>
  </si>
  <si>
    <t>2:6000</t>
  </si>
  <si>
    <t>2:6500</t>
  </si>
  <si>
    <t>2:7000</t>
  </si>
  <si>
    <t>2:7500</t>
  </si>
  <si>
    <t>2:8000</t>
  </si>
  <si>
    <t>2:8500</t>
  </si>
  <si>
    <t>2:9000</t>
  </si>
  <si>
    <t>2:9500</t>
  </si>
  <si>
    <t>2:10000</t>
  </si>
  <si>
    <t>sale_item_i</t>
  </si>
  <si>
    <t>buy_num_i</t>
  </si>
  <si>
    <t>sale_num_i</t>
  </si>
  <si>
    <t>shop_special.xml</t>
    <phoneticPr fontId="1" type="noConversion"/>
  </si>
  <si>
    <t>shop_special_price.xml</t>
    <phoneticPr fontId="1" type="noConversion"/>
  </si>
  <si>
    <t>生命值+5</t>
    <phoneticPr fontId="1" type="noConversion"/>
  </si>
  <si>
    <t>商店等级所需通关任务；等级高替换等级低；0：0表示不需要解锁，初始等级为1</t>
    <phoneticPr fontId="1" type="noConversion"/>
  </si>
  <si>
    <t>条件描述</t>
    <phoneticPr fontId="1" type="noConversion"/>
  </si>
  <si>
    <t>desc_i</t>
    <phoneticPr fontId="1" type="noConversion"/>
  </si>
  <si>
    <t xml:space="preserve">  </t>
    <phoneticPr fontId="1" type="noConversion"/>
  </si>
  <si>
    <t>0</t>
    <phoneticPr fontId="1" type="noConversion"/>
  </si>
  <si>
    <t>1:10001</t>
  </si>
  <si>
    <t>7820</t>
    <phoneticPr fontId="1" type="noConversion"/>
  </si>
  <si>
    <t>1:1,2,3,4,5,6,7,8,9,10;2:11,21,22,23,24,25;3:31,32</t>
    <phoneticPr fontId="3" type="noConversion"/>
  </si>
  <si>
    <t>3:10001</t>
    <phoneticPr fontId="1" type="noConversion"/>
  </si>
  <si>
    <t>1:10002</t>
    <phoneticPr fontId="1" type="noConversion"/>
  </si>
  <si>
    <t>3:10004</t>
    <phoneticPr fontId="1" type="noConversion"/>
  </si>
  <si>
    <t>1:10004</t>
    <phoneticPr fontId="1" type="noConversion"/>
  </si>
  <si>
    <t>1:10006</t>
    <phoneticPr fontId="1" type="noConversion"/>
  </si>
  <si>
    <t>3:10002</t>
    <phoneticPr fontId="1" type="noConversion"/>
  </si>
  <si>
    <t>3:10006</t>
    <phoneticPr fontId="1" type="noConversion"/>
  </si>
  <si>
    <t>1:10008</t>
    <phoneticPr fontId="1" type="noConversion"/>
  </si>
  <si>
    <t>1:10,15,1,30,2,50,3,20,4,8,5,2;2:5,8,1,30,2,50,3,20,4,8,5,2;3:1,1,1,0,2,70,3,20,4,8,5,2</t>
    <phoneticPr fontId="1" type="noConversion"/>
  </si>
  <si>
    <t>1:3,6,1,60,2,30,3,8,4,2,5,0;2:3,4,1,60,2,30,3,8,4,2,5,0;3:1,1,1,0,2,90,3,8,4,2,5,0</t>
    <phoneticPr fontId="1" type="noConversion"/>
  </si>
  <si>
    <t>1:2,3,1,80,2,20,3,0,4,0,5,0;2:2,3,1,80,2,20,3,0,4,0,5,0;3:1,2,1,80,2,20,3,0,4,0,5,0</t>
    <phoneticPr fontId="1" type="noConversion"/>
  </si>
  <si>
    <t>1:3,5,1,70,2,20,3,10,4,0,5,0;2:2,3,1,70,2,20,3,10,4,0,5,0;3:1,2,1,0,2,100,3,0,4,0,5,0</t>
    <phoneticPr fontId="1" type="noConversion"/>
  </si>
  <si>
    <t>1:3,6,1,70,2,20,3,9,4,1,5,0;2:2,4,1,70,2,20,3,9,4,1,5,0;3:1,1,1,70,2,20,3,9,4,1,5,0</t>
    <phoneticPr fontId="1" type="noConversion"/>
  </si>
  <si>
    <t>1:3,8,1,60,2,20,3,15,4,5,5,0;2:3,4,1,60,2,20,3,15,4,5,5,0;3:1,1,1,60,2,20,3,15,4,5,5,0</t>
    <phoneticPr fontId="1" type="noConversion"/>
  </si>
  <si>
    <t>1:5,8,1,50,2,30,3,10,4,8,5,0;2:4,5,1,50,2,30,3,10,4,8,5,0;3:1,1,1,50,2,30,3,12,4,8,5,0</t>
    <phoneticPr fontId="1" type="noConversion"/>
  </si>
  <si>
    <t>1:6,10,1,50,2,30,3,10,4,5,5,1;2:4,6,1,50,2,30,3,10,4,5,5,1;3:1,1,1,0,2,80,3,10,4,9,5,1</t>
    <phoneticPr fontId="1" type="noConversion"/>
  </si>
  <si>
    <t>1:8,12,1,40,2,40,3,10,4,9,5,1;2:4,6,1,40,2,40,3,10,4,9,5,1;3:1,1,1,0,2,80,3,10,4,9,5,1</t>
    <phoneticPr fontId="1" type="noConversion"/>
  </si>
  <si>
    <t>1:10,14,1,30,2,40,3,20,4,9,5,1;2:4,6,1,30,2,50,3,20,4,9,5,1;3:1,1,1,0,2,80,3,20,4,9,5,1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</si>
</sst>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4"/>
      <color theme="1"/>
      <name val="等线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/>
    <xf numFmtId="0" fontId="5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/>
    <xf numFmtId="2" fontId="4" fillId="0" borderId="1" xfId="0" applyNumberFormat="1" applyFont="1" applyBorder="1"/>
    <xf numFmtId="49" fontId="4" fillId="0" borderId="0" xfId="0" applyNumberFormat="1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9" fillId="0" borderId="3" xfId="0" applyFont="1" applyBorder="1" applyAlignment="1">
      <alignment horizontal="left" wrapText="1"/>
    </xf>
    <xf numFmtId="0" fontId="9" fillId="0" borderId="3" xfId="0" applyFont="1" applyBorder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Border="1"/>
    <xf numFmtId="0" fontId="12" fillId="0" borderId="0" xfId="0" applyFont="1"/>
  </cellXfs>
  <cellStyles count="1">
    <cellStyle name="常规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numFmt numFmtId="30" formatCode="@"/>
      <alignment horizontal="left"/>
    </dxf>
    <dxf>
      <font>
        <strike val="0"/>
        <u val="none"/>
        <sz val="14"/>
      </font>
      <alignment horizontal="left"/>
    </dxf>
    <dxf>
      <font>
        <strike val="0"/>
        <u val="none"/>
        <sz val="14"/>
      </font>
      <alignment horizontal="left"/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/>
    </dxf>
    <dxf>
      <font>
        <strike val="0"/>
        <u val="none"/>
        <sz val="14"/>
      </font>
      <alignment horizontal="left"/>
    </dxf>
    <dxf>
      <font>
        <strike val="0"/>
        <u val="none"/>
        <sz val="14"/>
      </font>
      <alignment horizontal="left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rops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map_i" form="unqualified"/>
                  <xsd:element minOccurs="0" nillable="true" type="xsd:string" name="limit_n" form="unqualified"/>
                  <xsd:element minOccurs="0" nillable="true" type="xsd:string" name="extra_sort_n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rops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equip_i" form="unqualified"/>
                  <xsd:element minOccurs="0" nillable="true" type="xsd:integer" name="price_i" form="unqualified"/>
                </xsd:sequence>
              </xsd:complexType>
            </xsd:element>
          </xsd:sequence>
        </xsd:complexType>
      </xsd:element>
    </xsd:schema>
  </Schema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sale_item_i" form="unqualified"/>
                  <xsd:element minOccurs="0" nillable="true" type="xsd:integer" name="sale_num_i" form="unqualified"/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buy_num_i" form="unqualified"/>
                  <xsd:element minOccurs="0" nillable="true" type="xsd:string" name="cost_m" form="unqualified"/>
                </xsd:sequence>
              </xsd:complexType>
            </xsd:element>
          </xsd:sequence>
        </xsd:complexType>
      </xsd:element>
    </xsd:schema>
  </Schema>
  <Schema ID="Schema8">
    <xsd:schema xmlns:xsd="http://www.w3.org/2001/XMLSchema" xmlns="">
      <xsd:element nillable="true" name="root">
        <xsd:complexType>
          <xsd:sequence minOccurs="0">
            <xsd:element minOccurs="0" maxOccurs="unbounded" nillable="true" name="shop_lv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string" name="limit_n" form="unqualified"/>
                  <xsd:element minOccurs="0" nillable="true" type="xsd:string" name="desc_i" form="unqualified"/>
                  <xsd:element minOccurs="0" nillable="true" type="xsd:string" name="sort_n" form="unqualified"/>
                </xsd:sequence>
              </xsd:complexType>
            </xsd:element>
          </xsd:sequence>
        </xsd:complexType>
      </xsd:element>
    </xsd:schema>
  </Schema>
  <Map ID="10" Name="root_映射" RootElement="root" SchemaID="Schema8" ShowImportExportValidationErrors="false" AutoFit="true" Append="false" PreserveSortAFLayout="true" PreserveFormat="true">
    <DataBinding FileBinding="true" ConnectionID="4" DataBindingLoadMode="1"/>
  </Map>
  <Map ID="3" Name="shop_gamble" RootElement="root" SchemaID="Schema3" ShowImportExportValidationErrors="false" AutoFit="true" Append="false" PreserveSortAFLayout="true" PreserveFormat="true">
    <DataBinding FileBinding="true" ConnectionID="1" DataBindingLoadMode="1"/>
  </Map>
  <Map ID="2" Name="shop_reward" RootElement="root" SchemaID="Schema2" ShowImportExportValidationErrors="false" AutoFit="true" Append="false" PreserveSortAFLayout="true" PreserveFormat="true">
    <DataBinding FileBinding="true" ConnectionID="5" DataBindingLoadMode="1"/>
  </Map>
  <Map ID="6" Name="shop_special" RootElement="root" SchemaID="Schema4" ShowImportExportValidationErrors="false" AutoFit="true" Append="false" PreserveSortAFLayout="true" PreserveFormat="true">
    <DataBinding FileBinding="true" ConnectionID="6" DataBindingLoadMode="1"/>
  </Map>
  <Map ID="7" Name="shop_special_price" RootElement="root" SchemaID="Schema5" ShowImportExportValidationErrors="false" AutoFit="true" Append="false" PreserveSortAFLayout="true" PreserveFormat="true">
    <DataBinding FileBinding="true" ConnectionID="7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422F-B988-4923-89F4-72C2C67FC39E}" name="表1" displayName="表1" ref="E10:H21" tableType="xml" totalsRowShown="0" headerRowDxfId="29" dataDxfId="28" connectionId="4">
  <autoFilter ref="E10:H21" xr:uid="{6E46422F-B988-4923-89F4-72C2C67FC39E}"/>
  <tableColumns count="4">
    <tableColumn id="1" xr3:uid="{6D4D22ED-D3CB-4C86-BD71-7CFF62FC877A}" uniqueName="id_i" name="id_i" dataDxfId="27">
      <xmlColumnPr mapId="10" xpath="/root/shop_lv/id_i" xmlDataType="integer"/>
    </tableColumn>
    <tableColumn id="2" xr3:uid="{3C833603-42FF-417E-839E-B816F0B7A4E5}" uniqueName="limit_n" name="limit_n" dataDxfId="26">
      <xmlColumnPr mapId="10" xpath="/root/shop_lv/limit_n" xmlDataType="string"/>
    </tableColumn>
    <tableColumn id="5" xr3:uid="{A6769283-0708-4EEF-959A-0B232589E3AA}" uniqueName="desc_i" name="desc_i" dataDxfId="25">
      <xmlColumnPr mapId="10" xpath="/root/shop_lv/desc_i" xmlDataType="string"/>
    </tableColumn>
    <tableColumn id="3" xr3:uid="{451CF7CB-B79C-4716-8979-4362BF87934F}" uniqueName="sort_n" name="sort_n" dataDxfId="24">
      <xmlColumnPr mapId="10" xpath="/root/shop_lv/sort_n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AE83B-2AE5-40BA-B9DA-669786C59F11}" name="表2" displayName="表2" ref="E9:H26" tableType="xml" totalsRowShown="0" headerRowDxfId="23" dataDxfId="22" tableBorderDxfId="21" connectionId="5">
  <autoFilter ref="E9:H26" xr:uid="{CF7AE83B-2AE5-40BA-B9DA-669786C59F11}"/>
  <tableColumns count="4">
    <tableColumn id="1" xr3:uid="{8FE655F6-90D5-4CDF-A89E-E5530FAC4664}" uniqueName="id_i" name="id_i" dataDxfId="20">
      <xmlColumnPr mapId="2" xpath="/root/drops/id_i" xmlDataType="integer"/>
    </tableColumn>
    <tableColumn id="2" xr3:uid="{8518CC0D-02BD-4F67-9325-4FAD5D7D217F}" uniqueName="map_i" name="map_i" dataDxfId="19">
      <xmlColumnPr mapId="2" xpath="/root/drops/map_i" xmlDataType="integer"/>
    </tableColumn>
    <tableColumn id="3" xr3:uid="{54628C57-06C3-4148-B55F-B82DADD0FAED}" uniqueName="limit_n" name="limit_n" dataDxfId="18">
      <xmlColumnPr mapId="2" xpath="/root/drops/limit_n" xmlDataType="string"/>
    </tableColumn>
    <tableColumn id="4" xr3:uid="{128F3D7F-8046-4764-BC9B-084B20F84F69}" uniqueName="extra_sort_n" name="extra_sort_n" dataDxfId="17">
      <xmlColumnPr mapId="2" xpath="/root/drops/extra_sort_n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86253F-DFEB-4CD1-81E1-75E77F9054EF}" name="表3" displayName="表3" ref="F10:H29" tableType="xml" totalsRowShown="0" headerRowDxfId="16" dataDxfId="15" connectionId="1">
  <autoFilter ref="F10:H29" xr:uid="{D786253F-DFEB-4CD1-81E1-75E77F9054EF}"/>
  <tableColumns count="3">
    <tableColumn id="1" xr3:uid="{BCC1DD15-7227-4B8B-9186-63771200C6FF}" uniqueName="id_i" name="id_i" dataDxfId="14">
      <xmlColumnPr mapId="3" xpath="/root/drops/id_i" xmlDataType="integer"/>
    </tableColumn>
    <tableColumn id="2" xr3:uid="{9F9F6462-AF2D-4897-A87E-264BB25DB378}" uniqueName="equip_i" name="equip_i" dataDxfId="13">
      <xmlColumnPr mapId="3" xpath="/root/drops/equip_i" xmlDataType="integer"/>
    </tableColumn>
    <tableColumn id="3" xr3:uid="{F75047CB-03F8-41FC-ADC4-8ABF0B55A9D4}" uniqueName="price_i" name="price_i" dataDxfId="12">
      <xmlColumnPr mapId="3" xpath="/root/drops/price_i" xmlDataType="integer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8E7BA6-A04E-4B0A-A536-8DFDF0955F84}" name="表2_5" displayName="表2_5" ref="D5:F14" tableType="xml" totalsRowShown="0" connectionId="6">
  <autoFilter ref="D5:F14" xr:uid="{F5BBC140-F604-4176-8353-81A70B5F3056}"/>
  <tableColumns count="3">
    <tableColumn id="1" xr3:uid="{C8E572B4-C047-4495-BA9A-36F33EC0CE62}" uniqueName="id_i" name="id_i" dataDxfId="11">
      <xmlColumnPr mapId="6" xpath="/root/data/id_i" xmlDataType="integer"/>
    </tableColumn>
    <tableColumn id="2" xr3:uid="{62A06ACE-A77D-477B-85FC-80E35ED1AFC7}" uniqueName="sale_item_i" name="sale_item_i" dataDxfId="10">
      <xmlColumnPr mapId="6" xpath="/root/data/sale_item_i" xmlDataType="integer"/>
    </tableColumn>
    <tableColumn id="23" xr3:uid="{760D0E51-6D76-469E-B962-DABBCEB5C9A0}" uniqueName="sale_num_i" name="sale_num_i" dataDxfId="9">
      <xmlColumnPr mapId="6" xpath="/root/data/sale_num_i" xmlDataType="integer"/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631945-F977-4757-8011-F052B2E5028E}" name="表2_56" displayName="表2_56" ref="D5:F25" tableType="xml" totalsRowShown="0" connectionId="7">
  <autoFilter ref="D5:F25" xr:uid="{77495992-989E-4E55-A0A9-F226BA7C055C}"/>
  <tableColumns count="3">
    <tableColumn id="1" xr3:uid="{14D74D42-4133-42C1-9438-83A3772DC768}" uniqueName="id_i" name="id_i" dataDxfId="8">
      <xmlColumnPr mapId="7" xpath="/root/data/id_i" xmlDataType="integer"/>
    </tableColumn>
    <tableColumn id="2" xr3:uid="{E28130C0-9C09-4A3F-B98E-BC025ECB08CA}" uniqueName="buy_num_i" name="buy_num_i" dataDxfId="7">
      <xmlColumnPr mapId="7" xpath="/root/data/buy_num_i" xmlDataType="integer"/>
    </tableColumn>
    <tableColumn id="23" xr3:uid="{30114760-84D6-43AD-B3C0-1BDAE733FCED}" uniqueName="cost_m" name="cost_m" dataDxfId="6">
      <xmlColumnPr mapId="7" xpath="/root/data/cost_m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showGridLines="0" tabSelected="1" topLeftCell="C1" workbookViewId="0">
      <selection activeCell="I15" sqref="I15"/>
    </sheetView>
  </sheetViews>
  <sheetFormatPr defaultRowHeight="16.5" x14ac:dyDescent="0.3"/>
  <cols>
    <col min="1" max="4" width="9" style="3"/>
    <col min="5" max="5" width="8.875" style="3" bestFit="1" customWidth="1"/>
    <col min="6" max="7" width="20.375" style="3" customWidth="1"/>
    <col min="8" max="8" width="46.375" style="3" customWidth="1"/>
    <col min="9" max="12" width="9" style="3"/>
    <col min="13" max="15" width="12.625" style="3" customWidth="1"/>
    <col min="16" max="16" width="38.25" style="3" customWidth="1"/>
    <col min="17" max="16384" width="9" style="3"/>
  </cols>
  <sheetData>
    <row r="1" spans="1:16" x14ac:dyDescent="0.3">
      <c r="A1" s="3" t="s">
        <v>12</v>
      </c>
      <c r="C1" s="3" t="s">
        <v>12</v>
      </c>
      <c r="H1" s="3" t="s">
        <v>12</v>
      </c>
      <c r="K1" s="3" t="s">
        <v>12</v>
      </c>
    </row>
    <row r="6" spans="1:16" x14ac:dyDescent="0.3">
      <c r="J6" s="3">
        <v>3</v>
      </c>
      <c r="L6" s="3" t="s">
        <v>8</v>
      </c>
    </row>
    <row r="8" spans="1:16" x14ac:dyDescent="0.3">
      <c r="E8" s="8" t="s">
        <v>2</v>
      </c>
      <c r="F8" s="8" t="s">
        <v>3</v>
      </c>
      <c r="G8" s="8" t="s">
        <v>106</v>
      </c>
      <c r="H8" s="8" t="s">
        <v>4</v>
      </c>
    </row>
    <row r="9" spans="1:16" ht="67.5" customHeight="1" x14ac:dyDescent="0.3">
      <c r="E9" s="9" t="s">
        <v>15</v>
      </c>
      <c r="F9" s="10" t="s">
        <v>105</v>
      </c>
      <c r="G9" s="10"/>
      <c r="H9" s="11" t="s">
        <v>13</v>
      </c>
      <c r="I9" s="6"/>
      <c r="J9" s="6"/>
      <c r="K9" s="6"/>
    </row>
    <row r="10" spans="1:16" x14ac:dyDescent="0.3">
      <c r="E10" s="4" t="s">
        <v>1</v>
      </c>
      <c r="F10" s="4" t="s">
        <v>10</v>
      </c>
      <c r="G10" s="4" t="s">
        <v>107</v>
      </c>
      <c r="H10" s="4" t="s">
        <v>11</v>
      </c>
      <c r="I10" s="4"/>
      <c r="J10" s="4"/>
      <c r="K10" s="4"/>
      <c r="L10" s="3" t="s">
        <v>5</v>
      </c>
      <c r="M10" s="14" t="s">
        <v>6</v>
      </c>
      <c r="N10" s="14">
        <v>10003</v>
      </c>
      <c r="O10" s="14" t="s">
        <v>7</v>
      </c>
      <c r="P10" s="15" t="s">
        <v>112</v>
      </c>
    </row>
    <row r="11" spans="1:16" x14ac:dyDescent="0.3">
      <c r="E11" s="4">
        <v>0</v>
      </c>
      <c r="F11" s="5" t="s">
        <v>14</v>
      </c>
      <c r="G11" s="5" t="s">
        <v>109</v>
      </c>
      <c r="H11" s="5" t="s">
        <v>14</v>
      </c>
      <c r="I11" s="4"/>
      <c r="J11" s="4"/>
      <c r="K11" s="4"/>
      <c r="M11" s="14" t="s">
        <v>26</v>
      </c>
      <c r="N11" s="14">
        <v>10004</v>
      </c>
      <c r="O11" s="14" t="s">
        <v>27</v>
      </c>
      <c r="P11" s="15" t="s">
        <v>28</v>
      </c>
    </row>
    <row r="12" spans="1:16" x14ac:dyDescent="0.3">
      <c r="E12" s="4">
        <v>1</v>
      </c>
      <c r="F12" s="5" t="s">
        <v>110</v>
      </c>
      <c r="G12" s="5">
        <v>7811</v>
      </c>
      <c r="H12" s="21" t="s">
        <v>123</v>
      </c>
      <c r="I12" s="7"/>
      <c r="J12" s="4"/>
      <c r="K12" s="4"/>
      <c r="M12" s="14" t="s">
        <v>44</v>
      </c>
      <c r="N12" s="14">
        <v>10006</v>
      </c>
      <c r="O12" s="14" t="s">
        <v>45</v>
      </c>
      <c r="P12" s="15" t="s">
        <v>46</v>
      </c>
    </row>
    <row r="13" spans="1:16" x14ac:dyDescent="0.3">
      <c r="E13" s="4">
        <v>2</v>
      </c>
      <c r="F13" s="5" t="s">
        <v>113</v>
      </c>
      <c r="G13" s="5">
        <v>7812</v>
      </c>
      <c r="H13" s="21" t="s">
        <v>124</v>
      </c>
      <c r="I13" s="4"/>
      <c r="J13" s="4"/>
      <c r="K13" s="4"/>
    </row>
    <row r="14" spans="1:16" x14ac:dyDescent="0.3">
      <c r="E14" s="4">
        <v>3</v>
      </c>
      <c r="F14" s="5" t="s">
        <v>114</v>
      </c>
      <c r="G14" s="5">
        <v>7813</v>
      </c>
      <c r="H14" s="21" t="s">
        <v>125</v>
      </c>
      <c r="I14" s="4"/>
      <c r="J14" s="4"/>
      <c r="K14" s="4"/>
    </row>
    <row r="15" spans="1:16" x14ac:dyDescent="0.3">
      <c r="E15" s="4">
        <v>4</v>
      </c>
      <c r="F15" s="5" t="s">
        <v>118</v>
      </c>
      <c r="G15" s="5">
        <v>7814</v>
      </c>
      <c r="H15" s="21" t="s">
        <v>122</v>
      </c>
      <c r="I15" s="4"/>
      <c r="J15" s="4"/>
      <c r="K15" s="4"/>
      <c r="L15" s="3" t="s">
        <v>39</v>
      </c>
    </row>
    <row r="16" spans="1:16" x14ac:dyDescent="0.3">
      <c r="E16" s="4">
        <v>5</v>
      </c>
      <c r="F16" s="5" t="s">
        <v>116</v>
      </c>
      <c r="G16" s="5">
        <v>7815</v>
      </c>
      <c r="H16" s="21" t="s">
        <v>126</v>
      </c>
      <c r="I16" s="4"/>
      <c r="J16" s="4"/>
      <c r="K16" s="4"/>
      <c r="L16" s="3" t="s">
        <v>40</v>
      </c>
    </row>
    <row r="17" spans="5:12" x14ac:dyDescent="0.3">
      <c r="E17" s="4">
        <v>6</v>
      </c>
      <c r="F17" s="5" t="s">
        <v>115</v>
      </c>
      <c r="G17" s="5">
        <v>7816</v>
      </c>
      <c r="H17" s="21" t="s">
        <v>127</v>
      </c>
      <c r="I17" s="4"/>
      <c r="J17" s="4"/>
      <c r="K17" s="4"/>
      <c r="L17" s="3" t="s">
        <v>41</v>
      </c>
    </row>
    <row r="18" spans="5:12" x14ac:dyDescent="0.3">
      <c r="E18" s="4">
        <v>7</v>
      </c>
      <c r="F18" s="5" t="s">
        <v>117</v>
      </c>
      <c r="G18" s="5">
        <v>7817</v>
      </c>
      <c r="H18" s="21" t="s">
        <v>128</v>
      </c>
      <c r="I18" s="4"/>
      <c r="J18" s="4"/>
      <c r="K18" s="4"/>
      <c r="L18" s="18" t="s">
        <v>42</v>
      </c>
    </row>
    <row r="19" spans="5:12" x14ac:dyDescent="0.3">
      <c r="E19" s="4">
        <v>8</v>
      </c>
      <c r="F19" s="5" t="s">
        <v>119</v>
      </c>
      <c r="G19" s="5">
        <v>7818</v>
      </c>
      <c r="H19" s="21" t="s">
        <v>129</v>
      </c>
      <c r="I19" s="4"/>
      <c r="J19" s="4"/>
      <c r="K19" s="4"/>
      <c r="L19" s="3" t="s">
        <v>43</v>
      </c>
    </row>
    <row r="20" spans="5:12" x14ac:dyDescent="0.3">
      <c r="E20" s="4">
        <v>9</v>
      </c>
      <c r="F20" s="5" t="s">
        <v>120</v>
      </c>
      <c r="G20" s="5">
        <v>7819</v>
      </c>
      <c r="H20" s="21" t="s">
        <v>130</v>
      </c>
      <c r="I20" s="4"/>
      <c r="J20" s="4"/>
      <c r="K20" s="4"/>
    </row>
    <row r="21" spans="5:12" x14ac:dyDescent="0.3">
      <c r="E21" s="4">
        <v>10</v>
      </c>
      <c r="F21" s="5" t="s">
        <v>14</v>
      </c>
      <c r="G21" s="5" t="s">
        <v>111</v>
      </c>
      <c r="H21" s="21" t="s">
        <v>121</v>
      </c>
      <c r="I21" s="4"/>
      <c r="J21" s="4"/>
      <c r="K21" s="4"/>
    </row>
    <row r="27" spans="5:12" x14ac:dyDescent="0.3">
      <c r="F27" s="3" t="s">
        <v>108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CCE8-D14B-4A0F-998B-72512DBCFD5B}">
  <sheetPr codeName="Sheet2"/>
  <dimension ref="A1:Q27"/>
  <sheetViews>
    <sheetView showGridLines="0" topLeftCell="A4" workbookViewId="0">
      <selection activeCell="E30" sqref="E30"/>
    </sheetView>
  </sheetViews>
  <sheetFormatPr defaultRowHeight="16.5" x14ac:dyDescent="0.3"/>
  <cols>
    <col min="1" max="4" width="9" style="3"/>
    <col min="5" max="5" width="8.875" style="3" bestFit="1" customWidth="1"/>
    <col min="6" max="6" width="11.375" style="3" bestFit="1" customWidth="1"/>
    <col min="7" max="7" width="25.75" style="3" customWidth="1"/>
    <col min="8" max="8" width="35.25" style="3" customWidth="1"/>
    <col min="9" max="16384" width="9" style="3"/>
  </cols>
  <sheetData>
    <row r="1" spans="1:17" x14ac:dyDescent="0.3">
      <c r="A1" s="3" t="s">
        <v>25</v>
      </c>
      <c r="G1" s="3" t="s">
        <v>25</v>
      </c>
      <c r="J1" s="3" t="s">
        <v>25</v>
      </c>
    </row>
    <row r="7" spans="1:17" x14ac:dyDescent="0.3">
      <c r="E7" s="8" t="s">
        <v>16</v>
      </c>
      <c r="F7" s="8" t="s">
        <v>17</v>
      </c>
      <c r="G7" s="8" t="s">
        <v>18</v>
      </c>
      <c r="H7" s="8" t="s">
        <v>20</v>
      </c>
    </row>
    <row r="8" spans="1:17" ht="99" x14ac:dyDescent="0.3">
      <c r="E8" s="12"/>
      <c r="F8" s="13" t="s">
        <v>19</v>
      </c>
      <c r="G8" s="13" t="s">
        <v>22</v>
      </c>
      <c r="H8" s="13" t="s">
        <v>23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58</v>
      </c>
    </row>
    <row r="9" spans="1:17" x14ac:dyDescent="0.3">
      <c r="E9" s="4" t="s">
        <v>1</v>
      </c>
      <c r="F9" s="4" t="s">
        <v>21</v>
      </c>
      <c r="G9" s="4" t="s">
        <v>9</v>
      </c>
      <c r="H9" s="4" t="s">
        <v>24</v>
      </c>
      <c r="K9" s="3">
        <v>60</v>
      </c>
      <c r="L9" s="3">
        <v>30</v>
      </c>
      <c r="M9" s="3">
        <v>10</v>
      </c>
      <c r="N9" s="3">
        <v>0</v>
      </c>
      <c r="O9" s="3">
        <v>0</v>
      </c>
      <c r="P9" s="3">
        <f>SUM(K9:O9)</f>
        <v>100</v>
      </c>
    </row>
    <row r="10" spans="1:17" x14ac:dyDescent="0.3">
      <c r="E10" s="4">
        <v>0</v>
      </c>
      <c r="F10" s="4">
        <v>0</v>
      </c>
      <c r="G10" s="5" t="s">
        <v>14</v>
      </c>
      <c r="H10" s="5" t="s">
        <v>14</v>
      </c>
      <c r="J10" s="3" t="s">
        <v>48</v>
      </c>
      <c r="K10" s="19">
        <v>40</v>
      </c>
      <c r="L10" s="19">
        <v>40</v>
      </c>
      <c r="M10" s="19">
        <v>20</v>
      </c>
      <c r="N10" s="19">
        <v>0</v>
      </c>
      <c r="O10" s="19">
        <v>0</v>
      </c>
      <c r="P10" s="3">
        <f t="shared" ref="P10:P13" si="0">SUM(K10:O10)</f>
        <v>100</v>
      </c>
      <c r="Q10" s="3" t="str">
        <f>"1:"&amp;J10&amp;",1,"&amp;K10&amp;",2,"&amp;L10&amp;",3,"&amp;M10&amp;",4,"&amp;N10&amp;",5,"&amp;O10&amp;";2:"&amp;J10&amp;",1,"&amp;K10&amp;",2,"&amp;L10&amp;",3,"&amp;M10&amp;",4,"&amp;N10&amp;",5,"&amp;O10</f>
        <v>1:1,2,1,40,2,40,3,20,4,0,5,0;2:1,2,1,40,2,40,3,20,4,0,5,0</v>
      </c>
    </row>
    <row r="11" spans="1:17" x14ac:dyDescent="0.3">
      <c r="E11" s="4">
        <v>1</v>
      </c>
      <c r="F11" s="4">
        <v>10001</v>
      </c>
      <c r="G11" s="5" t="s">
        <v>52</v>
      </c>
      <c r="H11" s="21" t="s">
        <v>61</v>
      </c>
      <c r="J11" s="3" t="s">
        <v>49</v>
      </c>
      <c r="K11" s="19">
        <v>50</v>
      </c>
      <c r="L11" s="19">
        <v>35</v>
      </c>
      <c r="M11" s="19">
        <v>30</v>
      </c>
      <c r="N11" s="19">
        <v>10</v>
      </c>
      <c r="O11" s="19">
        <v>0</v>
      </c>
      <c r="P11" s="3">
        <f t="shared" si="0"/>
        <v>125</v>
      </c>
      <c r="Q11" s="3" t="str">
        <f t="shared" ref="Q11:Q13" si="1">"1:"&amp;J11&amp;",1,"&amp;K11&amp;",2,"&amp;L11&amp;",3,"&amp;M11&amp;",4,"&amp;N11&amp;",5,"&amp;O11&amp;";2:"&amp;J11&amp;",1,"&amp;K11&amp;",2,"&amp;L11&amp;",3,"&amp;M11&amp;",4,"&amp;N11&amp;",5,"&amp;O11</f>
        <v>1:2,4,1,50,2,35,3,30,4,10,5,0;2:2,4,1,50,2,35,3,30,4,10,5,0</v>
      </c>
    </row>
    <row r="12" spans="1:17" x14ac:dyDescent="0.3">
      <c r="E12" s="4">
        <v>2</v>
      </c>
      <c r="F12" s="4">
        <v>10001</v>
      </c>
      <c r="G12" s="5" t="s">
        <v>53</v>
      </c>
      <c r="H12" s="21" t="s">
        <v>62</v>
      </c>
      <c r="J12" s="3" t="s">
        <v>50</v>
      </c>
      <c r="K12" s="19">
        <v>40</v>
      </c>
      <c r="L12" s="19">
        <v>30</v>
      </c>
      <c r="M12" s="19">
        <v>35</v>
      </c>
      <c r="N12" s="19">
        <v>18</v>
      </c>
      <c r="O12" s="19">
        <v>2</v>
      </c>
      <c r="P12" s="3">
        <f t="shared" si="0"/>
        <v>125</v>
      </c>
      <c r="Q12" s="3" t="str">
        <f t="shared" si="1"/>
        <v>1:3,6,1,40,2,30,3,35,4,18,5,2;2:3,6,1,40,2,30,3,35,4,18,5,2</v>
      </c>
    </row>
    <row r="13" spans="1:17" x14ac:dyDescent="0.3">
      <c r="E13" s="4">
        <v>3</v>
      </c>
      <c r="F13" s="4">
        <v>10001</v>
      </c>
      <c r="G13" s="5" t="s">
        <v>60</v>
      </c>
      <c r="H13" s="21" t="s">
        <v>63</v>
      </c>
      <c r="J13" s="3" t="s">
        <v>51</v>
      </c>
      <c r="K13" s="19">
        <v>20</v>
      </c>
      <c r="L13" s="19">
        <v>20</v>
      </c>
      <c r="M13" s="19">
        <v>35</v>
      </c>
      <c r="N13" s="19">
        <v>25</v>
      </c>
      <c r="O13" s="19">
        <v>4</v>
      </c>
      <c r="P13" s="3">
        <f t="shared" si="0"/>
        <v>104</v>
      </c>
      <c r="Q13" s="3" t="str">
        <f t="shared" si="1"/>
        <v>1:4,8,1,20,2,20,3,35,4,25,5,4;2:4,8,1,20,2,20,3,35,4,25,5,4</v>
      </c>
    </row>
    <row r="14" spans="1:17" x14ac:dyDescent="0.3">
      <c r="E14" s="4">
        <v>4</v>
      </c>
      <c r="F14" s="4">
        <v>10001</v>
      </c>
      <c r="G14" s="5" t="s">
        <v>59</v>
      </c>
      <c r="H14" s="21" t="s">
        <v>64</v>
      </c>
      <c r="K14" s="3" t="s">
        <v>47</v>
      </c>
    </row>
    <row r="15" spans="1:17" x14ac:dyDescent="0.3">
      <c r="E15" s="4">
        <v>5</v>
      </c>
      <c r="F15" s="4">
        <v>10002</v>
      </c>
      <c r="G15" s="5" t="s">
        <v>52</v>
      </c>
      <c r="H15" s="21" t="s">
        <v>61</v>
      </c>
      <c r="K15" s="20">
        <f>(K9+K$9)/($P9+$P$9)</f>
        <v>0.6</v>
      </c>
      <c r="L15" s="20">
        <f t="shared" ref="L15:O16" si="2">(L9+L$9)/($P9+$P$9)</f>
        <v>0.3</v>
      </c>
      <c r="M15" s="20">
        <f t="shared" si="2"/>
        <v>0.1</v>
      </c>
      <c r="N15" s="20">
        <f t="shared" si="2"/>
        <v>0</v>
      </c>
      <c r="O15" s="20">
        <f t="shared" si="2"/>
        <v>0</v>
      </c>
    </row>
    <row r="16" spans="1:17" x14ac:dyDescent="0.3">
      <c r="E16" s="4">
        <v>6</v>
      </c>
      <c r="F16" s="4">
        <v>10002</v>
      </c>
      <c r="G16" s="5" t="s">
        <v>53</v>
      </c>
      <c r="H16" s="21" t="s">
        <v>62</v>
      </c>
      <c r="K16" s="20">
        <f>(K10+K$9)/($P10+$P$9)</f>
        <v>0.5</v>
      </c>
      <c r="L16" s="20">
        <f t="shared" si="2"/>
        <v>0.35</v>
      </c>
      <c r="M16" s="20">
        <f t="shared" si="2"/>
        <v>0.15</v>
      </c>
      <c r="N16" s="20">
        <f t="shared" si="2"/>
        <v>0</v>
      </c>
      <c r="O16" s="20">
        <f t="shared" si="2"/>
        <v>0</v>
      </c>
    </row>
    <row r="17" spans="5:15" x14ac:dyDescent="0.3">
      <c r="E17" s="4">
        <v>7</v>
      </c>
      <c r="F17" s="4">
        <v>10002</v>
      </c>
      <c r="G17" s="5" t="s">
        <v>60</v>
      </c>
      <c r="H17" s="21" t="s">
        <v>63</v>
      </c>
      <c r="K17" s="20">
        <f t="shared" ref="K17:O17" si="3">(K11+K$9)/($P11+$P$9)</f>
        <v>0.48888888888888887</v>
      </c>
      <c r="L17" s="20">
        <f t="shared" si="3"/>
        <v>0.28888888888888886</v>
      </c>
      <c r="M17" s="20">
        <f t="shared" si="3"/>
        <v>0.17777777777777778</v>
      </c>
      <c r="N17" s="20">
        <f t="shared" si="3"/>
        <v>4.4444444444444446E-2</v>
      </c>
      <c r="O17" s="20">
        <f t="shared" si="3"/>
        <v>0</v>
      </c>
    </row>
    <row r="18" spans="5:15" x14ac:dyDescent="0.3">
      <c r="E18" s="4">
        <v>8</v>
      </c>
      <c r="F18" s="4">
        <v>10002</v>
      </c>
      <c r="G18" s="5" t="s">
        <v>59</v>
      </c>
      <c r="H18" s="21" t="s">
        <v>64</v>
      </c>
      <c r="K18" s="20">
        <f t="shared" ref="K18:O18" si="4">(K12+K$9)/($P12+$P$9)</f>
        <v>0.44444444444444442</v>
      </c>
      <c r="L18" s="20">
        <f t="shared" si="4"/>
        <v>0.26666666666666666</v>
      </c>
      <c r="M18" s="20">
        <f t="shared" si="4"/>
        <v>0.2</v>
      </c>
      <c r="N18" s="20">
        <f t="shared" si="4"/>
        <v>0.08</v>
      </c>
      <c r="O18" s="20">
        <f t="shared" si="4"/>
        <v>8.8888888888888889E-3</v>
      </c>
    </row>
    <row r="19" spans="5:15" x14ac:dyDescent="0.3">
      <c r="E19" s="4">
        <v>9</v>
      </c>
      <c r="F19" s="4">
        <v>10003</v>
      </c>
      <c r="G19" s="5" t="s">
        <v>52</v>
      </c>
      <c r="H19" s="21" t="s">
        <v>61</v>
      </c>
      <c r="K19" s="20">
        <f t="shared" ref="K19:O19" si="5">(K13+K$9)/($P13+$P$9)</f>
        <v>0.39215686274509803</v>
      </c>
      <c r="L19" s="20">
        <f t="shared" si="5"/>
        <v>0.24509803921568626</v>
      </c>
      <c r="M19" s="20">
        <f t="shared" si="5"/>
        <v>0.22058823529411764</v>
      </c>
      <c r="N19" s="20">
        <f t="shared" si="5"/>
        <v>0.12254901960784313</v>
      </c>
      <c r="O19" s="20">
        <f t="shared" si="5"/>
        <v>1.9607843137254902E-2</v>
      </c>
    </row>
    <row r="20" spans="5:15" x14ac:dyDescent="0.3">
      <c r="E20" s="4">
        <v>10</v>
      </c>
      <c r="F20" s="4">
        <v>10003</v>
      </c>
      <c r="G20" s="5" t="s">
        <v>53</v>
      </c>
      <c r="H20" s="21" t="s">
        <v>62</v>
      </c>
    </row>
    <row r="21" spans="5:15" x14ac:dyDescent="0.3">
      <c r="E21" s="4">
        <v>11</v>
      </c>
      <c r="F21" s="4">
        <v>10003</v>
      </c>
      <c r="G21" s="5" t="s">
        <v>60</v>
      </c>
      <c r="H21" s="21" t="s">
        <v>63</v>
      </c>
    </row>
    <row r="22" spans="5:15" x14ac:dyDescent="0.3">
      <c r="E22" s="4">
        <v>12</v>
      </c>
      <c r="F22" s="4">
        <v>10003</v>
      </c>
      <c r="G22" s="5" t="s">
        <v>59</v>
      </c>
      <c r="H22" s="21" t="s">
        <v>64</v>
      </c>
    </row>
    <row r="23" spans="5:15" x14ac:dyDescent="0.3">
      <c r="E23" s="4">
        <v>13</v>
      </c>
      <c r="F23" s="4">
        <v>10004</v>
      </c>
      <c r="G23" s="5" t="s">
        <v>52</v>
      </c>
      <c r="H23" s="21" t="s">
        <v>61</v>
      </c>
    </row>
    <row r="24" spans="5:15" x14ac:dyDescent="0.3">
      <c r="E24" s="4">
        <v>14</v>
      </c>
      <c r="F24" s="4">
        <v>10004</v>
      </c>
      <c r="G24" s="5" t="s">
        <v>53</v>
      </c>
      <c r="H24" s="21" t="s">
        <v>62</v>
      </c>
    </row>
    <row r="25" spans="5:15" x14ac:dyDescent="0.3">
      <c r="E25" s="4">
        <v>15</v>
      </c>
      <c r="F25" s="4">
        <v>10004</v>
      </c>
      <c r="G25" s="5" t="s">
        <v>60</v>
      </c>
      <c r="H25" s="21" t="s">
        <v>63</v>
      </c>
    </row>
    <row r="26" spans="5:15" x14ac:dyDescent="0.3">
      <c r="E26" s="4">
        <v>16</v>
      </c>
      <c r="F26" s="4">
        <v>10004</v>
      </c>
      <c r="G26" s="5" t="s">
        <v>59</v>
      </c>
      <c r="H26" s="21" t="s">
        <v>64</v>
      </c>
    </row>
    <row r="27" spans="5:15" x14ac:dyDescent="0.3">
      <c r="E27" s="4"/>
      <c r="F27" s="4"/>
      <c r="G27" s="5"/>
      <c r="H27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EEDC-BEA3-45D0-899D-90786690A4A1}">
  <sheetPr codeName="Sheet3"/>
  <dimension ref="A1:R29"/>
  <sheetViews>
    <sheetView showGridLines="0" topLeftCell="A3" workbookViewId="0">
      <selection activeCell="K17" sqref="K17"/>
    </sheetView>
  </sheetViews>
  <sheetFormatPr defaultRowHeight="16.5" x14ac:dyDescent="0.3"/>
  <cols>
    <col min="1" max="5" width="9" style="3"/>
    <col min="6" max="6" width="6.375" style="3" bestFit="1" customWidth="1"/>
    <col min="7" max="7" width="16.375" style="3" customWidth="1"/>
    <col min="8" max="14" width="9" style="3"/>
    <col min="15" max="15" width="18.375" style="3" customWidth="1"/>
    <col min="16" max="16" width="9" style="3"/>
    <col min="17" max="17" width="15.625" style="3" customWidth="1"/>
    <col min="18" max="16384" width="9" style="3"/>
  </cols>
  <sheetData>
    <row r="1" spans="1:18" x14ac:dyDescent="0.3">
      <c r="A1" s="3" t="s">
        <v>37</v>
      </c>
      <c r="D1" s="3" t="s">
        <v>36</v>
      </c>
      <c r="I1" s="3" t="s">
        <v>36</v>
      </c>
      <c r="N1" s="3" t="s">
        <v>36</v>
      </c>
    </row>
    <row r="7" spans="1:18" x14ac:dyDescent="0.3">
      <c r="N7" s="3" t="s">
        <v>5</v>
      </c>
      <c r="O7" s="1" t="s">
        <v>29</v>
      </c>
      <c r="P7" s="1">
        <v>10005</v>
      </c>
      <c r="Q7" s="1" t="s">
        <v>30</v>
      </c>
      <c r="R7" s="2" t="s">
        <v>31</v>
      </c>
    </row>
    <row r="8" spans="1:18" x14ac:dyDescent="0.3">
      <c r="F8" s="16" t="s">
        <v>16</v>
      </c>
      <c r="G8" s="16" t="s">
        <v>32</v>
      </c>
      <c r="H8" s="16" t="s">
        <v>33</v>
      </c>
    </row>
    <row r="9" spans="1:18" ht="49.5" x14ac:dyDescent="0.3">
      <c r="F9" s="16"/>
      <c r="G9" s="17" t="s">
        <v>38</v>
      </c>
      <c r="H9" s="16"/>
    </row>
    <row r="10" spans="1:18" x14ac:dyDescent="0.3">
      <c r="F10" s="3" t="s">
        <v>0</v>
      </c>
      <c r="G10" s="3" t="s">
        <v>34</v>
      </c>
      <c r="H10" s="3" t="s">
        <v>35</v>
      </c>
    </row>
    <row r="11" spans="1:18" x14ac:dyDescent="0.3">
      <c r="F11" s="4">
        <v>0</v>
      </c>
      <c r="G11" s="4">
        <v>0</v>
      </c>
      <c r="H11" s="3">
        <v>0</v>
      </c>
    </row>
    <row r="12" spans="1:18" x14ac:dyDescent="0.3">
      <c r="F12" s="4">
        <v>1</v>
      </c>
      <c r="G12" s="4">
        <v>10001</v>
      </c>
      <c r="H12" s="3">
        <v>500</v>
      </c>
    </row>
    <row r="13" spans="1:18" x14ac:dyDescent="0.3">
      <c r="F13" s="4">
        <v>2</v>
      </c>
      <c r="G13" s="4">
        <v>10201</v>
      </c>
      <c r="H13" s="3">
        <v>500</v>
      </c>
    </row>
    <row r="14" spans="1:18" x14ac:dyDescent="0.3">
      <c r="F14" s="4">
        <v>3</v>
      </c>
      <c r="G14" s="4">
        <v>10301</v>
      </c>
      <c r="H14" s="3">
        <v>500</v>
      </c>
    </row>
    <row r="15" spans="1:18" x14ac:dyDescent="0.3">
      <c r="F15" s="4">
        <v>4</v>
      </c>
      <c r="G15" s="4">
        <v>10401</v>
      </c>
      <c r="H15" s="3">
        <v>500</v>
      </c>
    </row>
    <row r="16" spans="1:18" x14ac:dyDescent="0.3">
      <c r="F16" s="4">
        <v>5</v>
      </c>
      <c r="G16" s="4">
        <v>10501</v>
      </c>
      <c r="H16" s="3">
        <v>500</v>
      </c>
    </row>
    <row r="17" spans="6:8" x14ac:dyDescent="0.3">
      <c r="F17" s="4">
        <v>6</v>
      </c>
      <c r="G17" s="4">
        <v>10601</v>
      </c>
      <c r="H17" s="3">
        <v>500</v>
      </c>
    </row>
    <row r="18" spans="6:8" x14ac:dyDescent="0.3">
      <c r="F18" s="4">
        <v>7</v>
      </c>
      <c r="G18" s="4">
        <v>10701</v>
      </c>
      <c r="H18" s="3">
        <v>500</v>
      </c>
    </row>
    <row r="19" spans="6:8" x14ac:dyDescent="0.3">
      <c r="F19" s="4">
        <v>8</v>
      </c>
      <c r="G19" s="4">
        <v>10801</v>
      </c>
      <c r="H19" s="3">
        <v>500</v>
      </c>
    </row>
    <row r="20" spans="6:8" x14ac:dyDescent="0.3">
      <c r="F20" s="4">
        <v>9</v>
      </c>
      <c r="G20" s="4">
        <v>10901</v>
      </c>
      <c r="H20" s="3">
        <v>500</v>
      </c>
    </row>
    <row r="21" spans="6:8" x14ac:dyDescent="0.3">
      <c r="F21" s="4">
        <v>10</v>
      </c>
      <c r="G21" s="4">
        <v>11001</v>
      </c>
      <c r="H21" s="3">
        <v>500</v>
      </c>
    </row>
    <row r="22" spans="6:8" x14ac:dyDescent="0.3">
      <c r="F22" s="4">
        <v>11</v>
      </c>
      <c r="G22" s="4">
        <v>11101</v>
      </c>
      <c r="H22" s="3">
        <v>450</v>
      </c>
    </row>
    <row r="23" spans="6:8" x14ac:dyDescent="0.3">
      <c r="F23" s="4">
        <v>12</v>
      </c>
      <c r="G23" s="4">
        <v>12101</v>
      </c>
      <c r="H23" s="3">
        <v>600</v>
      </c>
    </row>
    <row r="24" spans="6:8" x14ac:dyDescent="0.3">
      <c r="F24" s="4">
        <v>13</v>
      </c>
      <c r="G24" s="4">
        <v>12201</v>
      </c>
      <c r="H24" s="3">
        <v>600</v>
      </c>
    </row>
    <row r="25" spans="6:8" x14ac:dyDescent="0.3">
      <c r="F25" s="4">
        <v>14</v>
      </c>
      <c r="G25" s="4">
        <v>12301</v>
      </c>
      <c r="H25" s="3">
        <v>600</v>
      </c>
    </row>
    <row r="26" spans="6:8" x14ac:dyDescent="0.3">
      <c r="F26" s="4">
        <v>15</v>
      </c>
      <c r="G26" s="4">
        <v>12401</v>
      </c>
      <c r="H26" s="3">
        <v>600</v>
      </c>
    </row>
    <row r="27" spans="6:8" x14ac:dyDescent="0.3">
      <c r="F27" s="4">
        <v>16</v>
      </c>
      <c r="G27" s="4">
        <v>12501</v>
      </c>
      <c r="H27" s="3">
        <v>600</v>
      </c>
    </row>
    <row r="28" spans="6:8" x14ac:dyDescent="0.3">
      <c r="F28" s="4">
        <v>17</v>
      </c>
      <c r="G28" s="4">
        <v>13101</v>
      </c>
      <c r="H28" s="3">
        <v>750</v>
      </c>
    </row>
    <row r="29" spans="6:8" x14ac:dyDescent="0.3">
      <c r="F29" s="4">
        <v>18</v>
      </c>
      <c r="G29" s="4">
        <v>13201</v>
      </c>
      <c r="H29" s="3">
        <v>750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BFE2-FDD4-41E3-8E54-E97D2AFC27E9}">
  <sheetPr codeName="Sheet4"/>
  <dimension ref="A1:M25"/>
  <sheetViews>
    <sheetView zoomScaleNormal="100" workbookViewId="0">
      <selection activeCell="C10" sqref="C10"/>
    </sheetView>
  </sheetViews>
  <sheetFormatPr defaultColWidth="9" defaultRowHeight="18" x14ac:dyDescent="0.25"/>
  <cols>
    <col min="1" max="1" width="9.75" style="22" customWidth="1"/>
    <col min="2" max="2" width="16.75" style="22" customWidth="1"/>
    <col min="3" max="3" width="19.25" style="22" customWidth="1"/>
    <col min="4" max="4" width="15.625" style="23" customWidth="1"/>
    <col min="5" max="5" width="29.125" style="23" customWidth="1"/>
    <col min="6" max="6" width="32.25" style="23" customWidth="1"/>
    <col min="7" max="7" width="15.625" style="23" customWidth="1"/>
    <col min="9" max="9" width="21.25" style="23" customWidth="1"/>
    <col min="10" max="10" width="26.125" style="23" customWidth="1"/>
    <col min="11" max="11" width="30.375" style="23" customWidth="1"/>
    <col min="12" max="12" width="25.25" style="23" customWidth="1"/>
    <col min="13" max="13" width="19" style="29" customWidth="1"/>
    <col min="14" max="14" width="27.375" style="23" customWidth="1"/>
    <col min="15" max="15" width="22" style="23" customWidth="1"/>
    <col min="16" max="16384" width="9" style="23"/>
  </cols>
  <sheetData>
    <row r="1" spans="1:13" x14ac:dyDescent="0.25">
      <c r="H1" s="23"/>
      <c r="M1" s="23"/>
    </row>
    <row r="2" spans="1:13" x14ac:dyDescent="0.25">
      <c r="B2" s="22" t="s">
        <v>102</v>
      </c>
      <c r="H2" s="23"/>
      <c r="M2" s="23"/>
    </row>
    <row r="3" spans="1:13" x14ac:dyDescent="0.25">
      <c r="H3" s="23"/>
      <c r="M3" s="23"/>
    </row>
    <row r="4" spans="1:13" ht="59.25" customHeight="1" x14ac:dyDescent="0.25">
      <c r="D4" s="33" t="s">
        <v>16</v>
      </c>
      <c r="E4" s="34" t="s">
        <v>67</v>
      </c>
      <c r="F4" s="33" t="s">
        <v>78</v>
      </c>
      <c r="H4" s="23"/>
      <c r="M4" s="23"/>
    </row>
    <row r="5" spans="1:13" x14ac:dyDescent="0.25">
      <c r="D5" s="24" t="s">
        <v>0</v>
      </c>
      <c r="E5" s="25" t="s">
        <v>99</v>
      </c>
      <c r="F5" s="25" t="s">
        <v>101</v>
      </c>
      <c r="H5" s="23"/>
      <c r="M5" s="23"/>
    </row>
    <row r="6" spans="1:13" x14ac:dyDescent="0.25">
      <c r="D6" s="26">
        <v>0</v>
      </c>
      <c r="E6" s="26">
        <v>0</v>
      </c>
      <c r="F6" s="26">
        <v>0</v>
      </c>
      <c r="H6" s="23"/>
      <c r="M6" s="23"/>
    </row>
    <row r="7" spans="1:13" x14ac:dyDescent="0.25">
      <c r="A7" s="28"/>
      <c r="B7" s="28"/>
      <c r="C7" s="37" t="s">
        <v>68</v>
      </c>
      <c r="D7" s="26">
        <v>1</v>
      </c>
      <c r="E7" s="26">
        <v>6001</v>
      </c>
      <c r="F7" s="27" t="s">
        <v>76</v>
      </c>
      <c r="H7" s="23"/>
      <c r="M7" s="23"/>
    </row>
    <row r="8" spans="1:13" x14ac:dyDescent="0.25">
      <c r="A8" s="28"/>
      <c r="B8" s="28"/>
      <c r="C8" s="37" t="s">
        <v>69</v>
      </c>
      <c r="D8" s="26">
        <v>2</v>
      </c>
      <c r="E8" s="26">
        <v>6002</v>
      </c>
      <c r="F8" s="27" t="s">
        <v>76</v>
      </c>
      <c r="H8" s="23"/>
      <c r="M8" s="23"/>
    </row>
    <row r="9" spans="1:13" x14ac:dyDescent="0.25">
      <c r="A9" s="28"/>
      <c r="B9" s="28"/>
      <c r="C9" s="37" t="s">
        <v>70</v>
      </c>
      <c r="D9" s="26">
        <v>3</v>
      </c>
      <c r="E9" s="26">
        <v>6003</v>
      </c>
      <c r="F9" s="27" t="s">
        <v>75</v>
      </c>
      <c r="H9" s="23"/>
      <c r="M9" s="23"/>
    </row>
    <row r="10" spans="1:13" x14ac:dyDescent="0.25">
      <c r="A10" s="28"/>
      <c r="B10" s="28"/>
      <c r="C10" s="37" t="s">
        <v>104</v>
      </c>
      <c r="D10" s="26">
        <v>4</v>
      </c>
      <c r="E10" s="26">
        <v>6011</v>
      </c>
      <c r="F10" s="27" t="s">
        <v>77</v>
      </c>
    </row>
    <row r="11" spans="1:13" x14ac:dyDescent="0.25">
      <c r="A11" s="28"/>
      <c r="B11" s="28"/>
      <c r="C11" s="37" t="s">
        <v>71</v>
      </c>
      <c r="D11" s="26">
        <v>5</v>
      </c>
      <c r="E11" s="26">
        <v>6012</v>
      </c>
      <c r="F11" s="27" t="s">
        <v>77</v>
      </c>
    </row>
    <row r="12" spans="1:13" x14ac:dyDescent="0.25">
      <c r="B12" s="30"/>
      <c r="C12" s="37" t="s">
        <v>72</v>
      </c>
      <c r="D12" s="26">
        <v>6</v>
      </c>
      <c r="E12" s="26">
        <v>6013</v>
      </c>
      <c r="F12" s="27" t="s">
        <v>77</v>
      </c>
    </row>
    <row r="13" spans="1:13" x14ac:dyDescent="0.25">
      <c r="B13" s="30"/>
      <c r="C13" s="37" t="s">
        <v>73</v>
      </c>
      <c r="D13" s="26">
        <v>7</v>
      </c>
      <c r="E13" s="26">
        <v>6014</v>
      </c>
      <c r="F13" s="27" t="s">
        <v>77</v>
      </c>
    </row>
    <row r="14" spans="1:13" ht="18.75" x14ac:dyDescent="0.25">
      <c r="A14" s="30"/>
      <c r="C14" s="37" t="s">
        <v>74</v>
      </c>
      <c r="D14" s="26">
        <v>8</v>
      </c>
      <c r="E14" s="26">
        <v>6021</v>
      </c>
      <c r="F14" s="32"/>
    </row>
    <row r="15" spans="1:13" ht="18.75" x14ac:dyDescent="0.25">
      <c r="D15" s="26"/>
      <c r="E15" s="26"/>
      <c r="F15" s="31"/>
    </row>
    <row r="16" spans="1:13" ht="18.75" x14ac:dyDescent="0.25">
      <c r="D16" s="26"/>
      <c r="E16" s="26"/>
      <c r="F16" s="31"/>
    </row>
    <row r="17" spans="4:6" ht="18.75" x14ac:dyDescent="0.25">
      <c r="D17" s="26"/>
      <c r="E17" s="26"/>
      <c r="F17" s="31"/>
    </row>
    <row r="18" spans="4:6" ht="18.75" x14ac:dyDescent="0.25">
      <c r="D18" s="26"/>
      <c r="E18" s="26"/>
      <c r="F18" s="31"/>
    </row>
    <row r="19" spans="4:6" ht="18.75" x14ac:dyDescent="0.25">
      <c r="D19" s="26"/>
      <c r="E19" s="26"/>
      <c r="F19" s="31"/>
    </row>
    <row r="20" spans="4:6" ht="18.75" x14ac:dyDescent="0.25">
      <c r="D20" s="26"/>
      <c r="E20" s="26"/>
      <c r="F20" s="31"/>
    </row>
    <row r="21" spans="4:6" ht="18.75" x14ac:dyDescent="0.25">
      <c r="D21" s="26"/>
      <c r="E21" s="26"/>
      <c r="F21" s="31"/>
    </row>
    <row r="22" spans="4:6" ht="18.75" x14ac:dyDescent="0.25">
      <c r="D22" s="26"/>
      <c r="E22" s="26"/>
      <c r="F22" s="31"/>
    </row>
    <row r="23" spans="4:6" ht="18.75" x14ac:dyDescent="0.25">
      <c r="D23" s="26"/>
      <c r="E23" s="26"/>
      <c r="F23" s="31"/>
    </row>
    <row r="24" spans="4:6" ht="18.75" x14ac:dyDescent="0.25">
      <c r="D24" s="26"/>
      <c r="E24" s="26"/>
      <c r="F24" s="31"/>
    </row>
    <row r="25" spans="4:6" ht="18.75" x14ac:dyDescent="0.25">
      <c r="D25" s="26"/>
      <c r="E25" s="26"/>
      <c r="F25" s="31"/>
    </row>
  </sheetData>
  <phoneticPr fontId="1" type="noConversion"/>
  <conditionalFormatting sqref="D6 D8 D11 D14:D16">
    <cfRule type="duplicateValues" dxfId="5" priority="1"/>
  </conditionalFormatting>
  <conditionalFormatting sqref="D7 D9:D10 D12:D13">
    <cfRule type="duplicateValues" dxfId="4" priority="3"/>
  </conditionalFormatting>
  <conditionalFormatting sqref="D8 D1:D6 D11 D14:D1048576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5F7-500F-4D3E-9422-A151A25B7CB5}">
  <sheetPr codeName="Sheet5"/>
  <dimension ref="A1:M39"/>
  <sheetViews>
    <sheetView workbookViewId="0">
      <selection activeCell="E15" sqref="E15"/>
    </sheetView>
  </sheetViews>
  <sheetFormatPr defaultColWidth="9" defaultRowHeight="18" x14ac:dyDescent="0.25"/>
  <cols>
    <col min="1" max="1" width="9.75" style="22" customWidth="1"/>
    <col min="2" max="2" width="16.75" style="22" customWidth="1"/>
    <col min="3" max="3" width="19.25" style="22" customWidth="1"/>
    <col min="4" max="4" width="15.625" style="23" customWidth="1"/>
    <col min="5" max="5" width="31.25" style="23" customWidth="1"/>
    <col min="6" max="6" width="32.25" style="29" customWidth="1"/>
    <col min="7" max="7" width="15.625" style="23" customWidth="1"/>
    <col min="9" max="9" width="21.25" style="23" customWidth="1"/>
    <col min="10" max="10" width="26.125" style="23" customWidth="1"/>
    <col min="11" max="11" width="30.375" style="23" customWidth="1"/>
    <col min="12" max="12" width="25.25" style="23" customWidth="1"/>
    <col min="13" max="13" width="19" style="29" customWidth="1"/>
    <col min="14" max="14" width="27.375" style="23" customWidth="1"/>
    <col min="15" max="15" width="22" style="23" customWidth="1"/>
    <col min="16" max="16384" width="9" style="23"/>
  </cols>
  <sheetData>
    <row r="1" spans="1:13" x14ac:dyDescent="0.25">
      <c r="H1" s="23"/>
      <c r="M1" s="23"/>
    </row>
    <row r="2" spans="1:13" x14ac:dyDescent="0.25">
      <c r="B2" s="22" t="s">
        <v>103</v>
      </c>
      <c r="H2" s="23"/>
      <c r="M2" s="23"/>
    </row>
    <row r="3" spans="1:13" x14ac:dyDescent="0.25">
      <c r="H3" s="23"/>
      <c r="M3" s="23"/>
    </row>
    <row r="4" spans="1:13" ht="59.25" customHeight="1" x14ac:dyDescent="0.25">
      <c r="D4" s="33" t="s">
        <v>16</v>
      </c>
      <c r="E4" s="33" t="s">
        <v>80</v>
      </c>
      <c r="F4" s="35" t="s">
        <v>79</v>
      </c>
      <c r="H4" s="23"/>
      <c r="M4" s="23"/>
    </row>
    <row r="5" spans="1:13" x14ac:dyDescent="0.25">
      <c r="D5" s="24" t="s">
        <v>0</v>
      </c>
      <c r="E5" s="25" t="s">
        <v>100</v>
      </c>
      <c r="F5" s="36" t="s">
        <v>65</v>
      </c>
      <c r="H5" s="23"/>
      <c r="M5" s="23"/>
    </row>
    <row r="6" spans="1:13" x14ac:dyDescent="0.25">
      <c r="D6" s="26">
        <v>0</v>
      </c>
      <c r="E6" s="26">
        <v>0</v>
      </c>
      <c r="F6" s="27" t="s">
        <v>14</v>
      </c>
      <c r="H6" s="23"/>
      <c r="M6" s="23"/>
    </row>
    <row r="7" spans="1:13" x14ac:dyDescent="0.25">
      <c r="A7" s="28"/>
      <c r="B7" s="28"/>
      <c r="D7" s="26">
        <v>1</v>
      </c>
      <c r="E7" s="26">
        <v>1</v>
      </c>
      <c r="F7" s="27" t="s">
        <v>66</v>
      </c>
      <c r="H7" s="23"/>
      <c r="M7" s="23"/>
    </row>
    <row r="8" spans="1:13" x14ac:dyDescent="0.25">
      <c r="A8" s="28"/>
      <c r="B8" s="28"/>
      <c r="D8" s="26">
        <v>2</v>
      </c>
      <c r="E8" s="26">
        <v>2</v>
      </c>
      <c r="F8" s="27" t="s">
        <v>81</v>
      </c>
      <c r="H8" s="23"/>
      <c r="M8" s="23"/>
    </row>
    <row r="9" spans="1:13" x14ac:dyDescent="0.25">
      <c r="A9" s="28"/>
      <c r="B9" s="28"/>
      <c r="D9" s="26">
        <v>3</v>
      </c>
      <c r="E9" s="26">
        <v>3</v>
      </c>
      <c r="F9" s="27" t="s">
        <v>82</v>
      </c>
      <c r="H9" s="23"/>
      <c r="M9" s="23"/>
    </row>
    <row r="10" spans="1:13" x14ac:dyDescent="0.25">
      <c r="A10" s="28"/>
      <c r="B10" s="28"/>
      <c r="D10" s="26">
        <v>4</v>
      </c>
      <c r="E10" s="26">
        <v>4</v>
      </c>
      <c r="F10" s="27" t="s">
        <v>83</v>
      </c>
    </row>
    <row r="11" spans="1:13" x14ac:dyDescent="0.25">
      <c r="A11" s="28"/>
      <c r="B11" s="28"/>
      <c r="D11" s="26">
        <v>5</v>
      </c>
      <c r="E11" s="26">
        <v>5</v>
      </c>
      <c r="F11" s="27" t="s">
        <v>84</v>
      </c>
    </row>
    <row r="12" spans="1:13" x14ac:dyDescent="0.25">
      <c r="B12" s="30"/>
      <c r="D12" s="26">
        <v>6</v>
      </c>
      <c r="E12" s="26">
        <v>6</v>
      </c>
      <c r="F12" s="27" t="s">
        <v>85</v>
      </c>
    </row>
    <row r="13" spans="1:13" x14ac:dyDescent="0.25">
      <c r="B13" s="30"/>
      <c r="D13" s="26">
        <v>7</v>
      </c>
      <c r="E13" s="26">
        <v>7</v>
      </c>
      <c r="F13" s="27" t="s">
        <v>86</v>
      </c>
    </row>
    <row r="14" spans="1:13" x14ac:dyDescent="0.25">
      <c r="A14" s="30"/>
      <c r="D14" s="26">
        <v>8</v>
      </c>
      <c r="E14" s="26">
        <v>8</v>
      </c>
      <c r="F14" s="27" t="s">
        <v>87</v>
      </c>
    </row>
    <row r="15" spans="1:13" x14ac:dyDescent="0.25">
      <c r="D15" s="26">
        <v>9</v>
      </c>
      <c r="E15" s="26">
        <v>9</v>
      </c>
      <c r="F15" s="27" t="s">
        <v>88</v>
      </c>
    </row>
    <row r="16" spans="1:13" x14ac:dyDescent="0.25">
      <c r="D16" s="26">
        <v>10</v>
      </c>
      <c r="E16" s="26">
        <v>10</v>
      </c>
      <c r="F16" s="27" t="s">
        <v>89</v>
      </c>
    </row>
    <row r="17" spans="4:6" x14ac:dyDescent="0.25">
      <c r="D17" s="26">
        <v>11</v>
      </c>
      <c r="E17" s="26">
        <v>11</v>
      </c>
      <c r="F17" s="27" t="s">
        <v>90</v>
      </c>
    </row>
    <row r="18" spans="4:6" x14ac:dyDescent="0.25">
      <c r="D18" s="26">
        <v>12</v>
      </c>
      <c r="E18" s="26">
        <v>12</v>
      </c>
      <c r="F18" s="27" t="s">
        <v>91</v>
      </c>
    </row>
    <row r="19" spans="4:6" x14ac:dyDescent="0.25">
      <c r="D19" s="26">
        <v>13</v>
      </c>
      <c r="E19" s="26">
        <v>13</v>
      </c>
      <c r="F19" s="27" t="s">
        <v>92</v>
      </c>
    </row>
    <row r="20" spans="4:6" x14ac:dyDescent="0.25">
      <c r="D20" s="26">
        <v>14</v>
      </c>
      <c r="E20" s="26">
        <v>14</v>
      </c>
      <c r="F20" s="27" t="s">
        <v>93</v>
      </c>
    </row>
    <row r="21" spans="4:6" x14ac:dyDescent="0.25">
      <c r="D21" s="26">
        <v>15</v>
      </c>
      <c r="E21" s="26">
        <v>15</v>
      </c>
      <c r="F21" s="27" t="s">
        <v>94</v>
      </c>
    </row>
    <row r="22" spans="4:6" x14ac:dyDescent="0.25">
      <c r="D22" s="26">
        <v>16</v>
      </c>
      <c r="E22" s="26">
        <v>16</v>
      </c>
      <c r="F22" s="27" t="s">
        <v>95</v>
      </c>
    </row>
    <row r="23" spans="4:6" x14ac:dyDescent="0.25">
      <c r="D23" s="26">
        <v>17</v>
      </c>
      <c r="E23" s="26">
        <v>17</v>
      </c>
      <c r="F23" s="27" t="s">
        <v>96</v>
      </c>
    </row>
    <row r="24" spans="4:6" x14ac:dyDescent="0.25">
      <c r="D24" s="26">
        <v>18</v>
      </c>
      <c r="E24" s="26">
        <v>18</v>
      </c>
      <c r="F24" s="27" t="s">
        <v>97</v>
      </c>
    </row>
    <row r="25" spans="4:6" x14ac:dyDescent="0.25">
      <c r="D25" s="26">
        <v>19</v>
      </c>
      <c r="E25" s="26">
        <v>19</v>
      </c>
      <c r="F25" s="27" t="s">
        <v>98</v>
      </c>
    </row>
    <row r="26" spans="4:6" ht="18.75" x14ac:dyDescent="0.25">
      <c r="D26" s="26"/>
      <c r="E26" s="26"/>
      <c r="F26" s="32"/>
    </row>
    <row r="27" spans="4:6" ht="18.75" x14ac:dyDescent="0.25">
      <c r="D27" s="26"/>
      <c r="E27" s="26"/>
      <c r="F27" s="32"/>
    </row>
    <row r="28" spans="4:6" ht="18.75" x14ac:dyDescent="0.25">
      <c r="D28" s="26"/>
      <c r="E28" s="26"/>
      <c r="F28" s="32"/>
    </row>
    <row r="29" spans="4:6" ht="18.75" x14ac:dyDescent="0.25">
      <c r="D29" s="26"/>
      <c r="E29" s="26"/>
      <c r="F29" s="32"/>
    </row>
    <row r="30" spans="4:6" ht="18.75" x14ac:dyDescent="0.25">
      <c r="D30" s="26"/>
      <c r="E30" s="26"/>
      <c r="F30" s="32"/>
    </row>
    <row r="31" spans="4:6" ht="18.75" x14ac:dyDescent="0.25">
      <c r="D31" s="26"/>
      <c r="E31" s="26"/>
      <c r="F31" s="32"/>
    </row>
    <row r="32" spans="4:6" ht="18.75" x14ac:dyDescent="0.25">
      <c r="D32" s="26"/>
      <c r="E32" s="26"/>
      <c r="F32" s="32"/>
    </row>
    <row r="33" spans="4:6" ht="18.75" x14ac:dyDescent="0.25">
      <c r="D33" s="26"/>
      <c r="E33" s="26"/>
      <c r="F33" s="32"/>
    </row>
    <row r="34" spans="4:6" ht="18.75" x14ac:dyDescent="0.25">
      <c r="D34" s="26"/>
      <c r="E34" s="26"/>
      <c r="F34" s="32"/>
    </row>
    <row r="35" spans="4:6" ht="18.75" x14ac:dyDescent="0.25">
      <c r="D35" s="26"/>
      <c r="E35" s="26"/>
      <c r="F35" s="32"/>
    </row>
    <row r="36" spans="4:6" ht="18.75" x14ac:dyDescent="0.25">
      <c r="D36" s="26"/>
      <c r="E36" s="26"/>
      <c r="F36" s="32"/>
    </row>
    <row r="37" spans="4:6" ht="18.75" x14ac:dyDescent="0.25">
      <c r="D37" s="26"/>
      <c r="E37" s="26"/>
      <c r="F37" s="32"/>
    </row>
    <row r="38" spans="4:6" ht="18.75" x14ac:dyDescent="0.25">
      <c r="D38" s="26"/>
      <c r="E38" s="26"/>
      <c r="F38" s="32"/>
    </row>
    <row r="39" spans="4:6" ht="18.75" x14ac:dyDescent="0.25">
      <c r="D39" s="26"/>
      <c r="E39" s="26"/>
      <c r="F39" s="32"/>
    </row>
  </sheetData>
  <phoneticPr fontId="1" type="noConversion"/>
  <conditionalFormatting sqref="D6 D8 D11 D14 D26:D30 D16 D18 D20 D22 D24">
    <cfRule type="duplicateValues" dxfId="2" priority="16"/>
  </conditionalFormatting>
  <conditionalFormatting sqref="D7 D9:D10 D12:D13 D15 D17 D19 D21 D23 D25">
    <cfRule type="duplicateValues" dxfId="1" priority="3"/>
  </conditionalFormatting>
  <conditionalFormatting sqref="D8 D1:D6 D11 D14 D26:D1048576 D16 D18 D20 D22 D24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商店等级表</vt:lpstr>
      <vt:lpstr>上局加成表</vt:lpstr>
      <vt:lpstr>赌博商店</vt:lpstr>
      <vt:lpstr>特殊物品售卖</vt:lpstr>
      <vt:lpstr>特殊物品售卖价格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1094382024@qq.com</cp:lastModifiedBy>
  <dcterms:created xsi:type="dcterms:W3CDTF">2015-06-05T18:19:34Z</dcterms:created>
  <dcterms:modified xsi:type="dcterms:W3CDTF">2025-10-15T04:28:38Z</dcterms:modified>
</cp:coreProperties>
</file>